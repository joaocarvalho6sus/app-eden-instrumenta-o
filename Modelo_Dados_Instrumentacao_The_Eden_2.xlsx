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vesrib-my.sharepoint.com/personal/joao_carvalho_alvesribeiro_pt/Documents/Ambiente de Trabalho/Tese - Teste/Modelo de dados 1.2/"/>
    </mc:Choice>
  </mc:AlternateContent>
  <xr:revisionPtr revIDLastSave="3" documentId="11_A5F447A7666EA1C7FE9799D4B981038DBCBC52E5" xr6:coauthVersionLast="47" xr6:coauthVersionMax="47" xr10:uidLastSave="{95197197-E30D-465C-80DF-E8AA7CAF55BE}"/>
  <bookViews>
    <workbookView xWindow="28680" yWindow="-120" windowWidth="29040" windowHeight="15720" xr2:uid="{00000000-000D-0000-FFFF-FFFF00000000}"/>
  </bookViews>
  <sheets>
    <sheet name="Resumo" sheetId="1" r:id="rId1"/>
    <sheet name="Instrumentos" sheetId="2" r:id="rId2"/>
    <sheet name="Campanhas" sheetId="3" r:id="rId3"/>
    <sheet name="Alvos_Topograficos" sheetId="4" r:id="rId4"/>
    <sheet name="Inclinometros_Resumo" sheetId="5" r:id="rId5"/>
    <sheet name="Inclinometros_Perfis" sheetId="6" r:id="rId6"/>
    <sheet name="Piezometros" sheetId="7" r:id="rId7"/>
    <sheet name="Celulas_Carga" sheetId="8" r:id="rId8"/>
    <sheet name="Qualidade_Dados" sheetId="9" r:id="rId9"/>
    <sheet name="Dicionario_Dad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8" l="1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K25" i="8"/>
  <c r="J25" i="8"/>
  <c r="L25" i="8" s="1"/>
  <c r="L24" i="8"/>
  <c r="K24" i="8"/>
  <c r="J24" i="8"/>
  <c r="K23" i="8"/>
  <c r="J23" i="8"/>
  <c r="L23" i="8" s="1"/>
  <c r="K22" i="8"/>
  <c r="J22" i="8"/>
  <c r="L22" i="8" s="1"/>
  <c r="K21" i="8"/>
  <c r="J21" i="8"/>
  <c r="L21" i="8" s="1"/>
  <c r="K20" i="8"/>
  <c r="J20" i="8"/>
  <c r="L20" i="8" s="1"/>
  <c r="K19" i="8"/>
  <c r="J19" i="8"/>
  <c r="L19" i="8" s="1"/>
  <c r="K18" i="8"/>
  <c r="J18" i="8"/>
  <c r="L18" i="8" s="1"/>
  <c r="J17" i="8"/>
  <c r="L17" i="8" s="1"/>
  <c r="K16" i="8"/>
  <c r="J16" i="8"/>
  <c r="L16" i="8" s="1"/>
  <c r="K15" i="8"/>
  <c r="J15" i="8"/>
  <c r="L15" i="8" s="1"/>
  <c r="K14" i="8"/>
  <c r="J14" i="8"/>
  <c r="L14" i="8" s="1"/>
  <c r="K13" i="8"/>
  <c r="J13" i="8"/>
  <c r="L13" i="8" s="1"/>
  <c r="L12" i="8"/>
  <c r="K12" i="8"/>
  <c r="J12" i="8"/>
  <c r="J11" i="8"/>
  <c r="L11" i="8" s="1"/>
  <c r="K10" i="8"/>
  <c r="J10" i="8"/>
  <c r="L10" i="8" s="1"/>
  <c r="J9" i="8"/>
  <c r="L9" i="8" s="1"/>
  <c r="J8" i="8"/>
  <c r="L8" i="8" s="1"/>
  <c r="K7" i="8"/>
  <c r="J7" i="8"/>
  <c r="L7" i="8" s="1"/>
  <c r="K6" i="8"/>
  <c r="J6" i="8"/>
  <c r="L6" i="8" s="1"/>
  <c r="J5" i="8"/>
  <c r="L5" i="8" s="1"/>
  <c r="K4" i="8"/>
  <c r="J4" i="8"/>
  <c r="L4" i="8" s="1"/>
  <c r="L3" i="8"/>
  <c r="K3" i="8"/>
  <c r="J3" i="8"/>
  <c r="K2" i="8"/>
  <c r="J2" i="8"/>
  <c r="L2" i="8" s="1"/>
  <c r="I21" i="7"/>
  <c r="H21" i="7"/>
  <c r="F21" i="7"/>
  <c r="I20" i="7"/>
  <c r="H20" i="7"/>
  <c r="F20" i="7"/>
  <c r="H19" i="7"/>
  <c r="I19" i="7" s="1"/>
  <c r="F19" i="7"/>
  <c r="I18" i="7"/>
  <c r="H18" i="7"/>
  <c r="F18" i="7"/>
  <c r="I17" i="7"/>
  <c r="H17" i="7"/>
  <c r="F17" i="7"/>
  <c r="H16" i="7"/>
  <c r="I16" i="7" s="1"/>
  <c r="F16" i="7"/>
  <c r="I15" i="7"/>
  <c r="H15" i="7"/>
  <c r="F15" i="7"/>
  <c r="H14" i="7"/>
  <c r="I14" i="7" s="1"/>
  <c r="F14" i="7"/>
  <c r="H13" i="7"/>
  <c r="I13" i="7" s="1"/>
  <c r="F13" i="7"/>
  <c r="I12" i="7"/>
  <c r="H12" i="7"/>
  <c r="F12" i="7"/>
  <c r="I11" i="7"/>
  <c r="H11" i="7"/>
  <c r="F11" i="7"/>
  <c r="H10" i="7"/>
  <c r="I10" i="7" s="1"/>
  <c r="F10" i="7"/>
  <c r="I9" i="7"/>
  <c r="H9" i="7"/>
  <c r="F9" i="7"/>
  <c r="I8" i="7"/>
  <c r="H8" i="7"/>
  <c r="F8" i="7"/>
  <c r="I7" i="7"/>
  <c r="H7" i="7"/>
  <c r="F7" i="7"/>
  <c r="H6" i="7"/>
  <c r="I6" i="7" s="1"/>
  <c r="F6" i="7"/>
  <c r="H5" i="7"/>
  <c r="I5" i="7" s="1"/>
  <c r="F5" i="7"/>
  <c r="H4" i="7"/>
  <c r="I4" i="7" s="1"/>
  <c r="F4" i="7"/>
  <c r="I3" i="7"/>
  <c r="H3" i="7"/>
  <c r="F3" i="7"/>
  <c r="H2" i="7"/>
  <c r="I2" i="7" s="1"/>
  <c r="F2" i="7"/>
  <c r="R849" i="4"/>
  <c r="Q849" i="4"/>
  <c r="R848" i="4"/>
  <c r="Q848" i="4"/>
  <c r="R847" i="4"/>
  <c r="Q847" i="4"/>
  <c r="R846" i="4"/>
  <c r="Q846" i="4"/>
  <c r="R845" i="4"/>
  <c r="Q845" i="4"/>
  <c r="R844" i="4"/>
  <c r="Q844" i="4"/>
  <c r="R843" i="4"/>
  <c r="Q843" i="4"/>
  <c r="R842" i="4"/>
  <c r="Q842" i="4"/>
  <c r="R841" i="4"/>
  <c r="Q841" i="4"/>
  <c r="R840" i="4"/>
  <c r="Q840" i="4"/>
  <c r="R839" i="4"/>
  <c r="Q839" i="4"/>
  <c r="R838" i="4"/>
  <c r="Q838" i="4"/>
  <c r="R837" i="4"/>
  <c r="Q837" i="4"/>
  <c r="R836" i="4"/>
  <c r="Q836" i="4"/>
  <c r="R835" i="4"/>
  <c r="Q835" i="4"/>
  <c r="R834" i="4"/>
  <c r="Q834" i="4"/>
  <c r="R833" i="4"/>
  <c r="Q833" i="4"/>
  <c r="R832" i="4"/>
  <c r="Q832" i="4"/>
  <c r="R831" i="4"/>
  <c r="Q831" i="4"/>
  <c r="R830" i="4"/>
  <c r="Q830" i="4"/>
  <c r="R829" i="4"/>
  <c r="Q829" i="4"/>
  <c r="R828" i="4"/>
  <c r="Q828" i="4"/>
  <c r="R827" i="4"/>
  <c r="Q827" i="4"/>
  <c r="R826" i="4"/>
  <c r="Q826" i="4"/>
  <c r="R825" i="4"/>
  <c r="Q825" i="4"/>
  <c r="R824" i="4"/>
  <c r="Q824" i="4"/>
  <c r="R823" i="4"/>
  <c r="Q823" i="4"/>
  <c r="R822" i="4"/>
  <c r="Q822" i="4"/>
  <c r="R821" i="4"/>
  <c r="Q821" i="4"/>
  <c r="R820" i="4"/>
  <c r="Q820" i="4"/>
  <c r="R819" i="4"/>
  <c r="Q819" i="4"/>
  <c r="R818" i="4"/>
  <c r="Q818" i="4"/>
  <c r="R817" i="4"/>
  <c r="Q817" i="4"/>
  <c r="R816" i="4"/>
  <c r="Q816" i="4"/>
  <c r="R815" i="4"/>
  <c r="Q815" i="4"/>
  <c r="R814" i="4"/>
  <c r="Q814" i="4"/>
  <c r="R813" i="4"/>
  <c r="Q813" i="4"/>
  <c r="R812" i="4"/>
  <c r="Q812" i="4"/>
  <c r="R811" i="4"/>
  <c r="Q811" i="4"/>
  <c r="R810" i="4"/>
  <c r="Q810" i="4"/>
  <c r="R809" i="4"/>
  <c r="Q809" i="4"/>
  <c r="R808" i="4"/>
  <c r="Q808" i="4"/>
  <c r="R807" i="4"/>
  <c r="Q807" i="4"/>
  <c r="R806" i="4"/>
  <c r="Q806" i="4"/>
  <c r="R805" i="4"/>
  <c r="Q805" i="4"/>
  <c r="R804" i="4"/>
  <c r="Q804" i="4"/>
  <c r="R803" i="4"/>
  <c r="Q803" i="4"/>
  <c r="R802" i="4"/>
  <c r="Q802" i="4"/>
  <c r="R801" i="4"/>
  <c r="Q801" i="4"/>
  <c r="R800" i="4"/>
  <c r="Q800" i="4"/>
  <c r="R799" i="4"/>
  <c r="Q799" i="4"/>
  <c r="R798" i="4"/>
  <c r="Q798" i="4"/>
  <c r="R797" i="4"/>
  <c r="Q797" i="4"/>
  <c r="R796" i="4"/>
  <c r="Q796" i="4"/>
  <c r="R795" i="4"/>
  <c r="Q795" i="4"/>
  <c r="R794" i="4"/>
  <c r="Q794" i="4"/>
  <c r="R793" i="4"/>
  <c r="Q793" i="4"/>
  <c r="R792" i="4"/>
  <c r="Q792" i="4"/>
  <c r="R791" i="4"/>
  <c r="Q791" i="4"/>
  <c r="R790" i="4"/>
  <c r="Q790" i="4"/>
  <c r="R789" i="4"/>
  <c r="Q789" i="4"/>
  <c r="R788" i="4"/>
  <c r="Q788" i="4"/>
  <c r="R787" i="4"/>
  <c r="Q787" i="4"/>
  <c r="R786" i="4"/>
  <c r="Q786" i="4"/>
  <c r="R785" i="4"/>
  <c r="Q785" i="4"/>
  <c r="R784" i="4"/>
  <c r="Q784" i="4"/>
  <c r="R783" i="4"/>
  <c r="Q783" i="4"/>
  <c r="R782" i="4"/>
  <c r="Q782" i="4"/>
  <c r="R781" i="4"/>
  <c r="Q781" i="4"/>
  <c r="R780" i="4"/>
  <c r="Q780" i="4"/>
  <c r="R779" i="4"/>
  <c r="Q779" i="4"/>
  <c r="R778" i="4"/>
  <c r="Q778" i="4"/>
  <c r="R777" i="4"/>
  <c r="Q777" i="4"/>
  <c r="R776" i="4"/>
  <c r="Q776" i="4"/>
  <c r="R775" i="4"/>
  <c r="Q775" i="4"/>
  <c r="R774" i="4"/>
  <c r="Q774" i="4"/>
  <c r="R773" i="4"/>
  <c r="Q773" i="4"/>
  <c r="R772" i="4"/>
  <c r="Q772" i="4"/>
  <c r="R771" i="4"/>
  <c r="Q771" i="4"/>
  <c r="R770" i="4"/>
  <c r="Q770" i="4"/>
  <c r="R769" i="4"/>
  <c r="Q769" i="4"/>
  <c r="R768" i="4"/>
  <c r="Q768" i="4"/>
  <c r="R767" i="4"/>
  <c r="Q767" i="4"/>
  <c r="R766" i="4"/>
  <c r="Q766" i="4"/>
  <c r="R765" i="4"/>
  <c r="Q765" i="4"/>
  <c r="R764" i="4"/>
  <c r="Q764" i="4"/>
  <c r="R763" i="4"/>
  <c r="Q763" i="4"/>
  <c r="R762" i="4"/>
  <c r="Q762" i="4"/>
  <c r="R761" i="4"/>
  <c r="Q761" i="4"/>
  <c r="R760" i="4"/>
  <c r="Q760" i="4"/>
  <c r="R759" i="4"/>
  <c r="Q759" i="4"/>
  <c r="R758" i="4"/>
  <c r="Q758" i="4"/>
  <c r="R757" i="4"/>
  <c r="Q757" i="4"/>
  <c r="R756" i="4"/>
  <c r="Q756" i="4"/>
  <c r="R755" i="4"/>
  <c r="Q755" i="4"/>
  <c r="R754" i="4"/>
  <c r="Q754" i="4"/>
  <c r="R753" i="4"/>
  <c r="Q753" i="4"/>
  <c r="R752" i="4"/>
  <c r="Q752" i="4"/>
  <c r="R751" i="4"/>
  <c r="Q751" i="4"/>
  <c r="R750" i="4"/>
  <c r="Q750" i="4"/>
  <c r="R749" i="4"/>
  <c r="Q749" i="4"/>
  <c r="R748" i="4"/>
  <c r="Q748" i="4"/>
  <c r="R747" i="4"/>
  <c r="Q747" i="4"/>
  <c r="R746" i="4"/>
  <c r="Q746" i="4"/>
  <c r="R745" i="4"/>
  <c r="Q745" i="4"/>
  <c r="R744" i="4"/>
  <c r="Q744" i="4"/>
  <c r="R743" i="4"/>
  <c r="Q743" i="4"/>
  <c r="R742" i="4"/>
  <c r="Q742" i="4"/>
  <c r="R741" i="4"/>
  <c r="Q741" i="4"/>
  <c r="R740" i="4"/>
  <c r="Q740" i="4"/>
  <c r="R739" i="4"/>
  <c r="Q739" i="4"/>
  <c r="R738" i="4"/>
  <c r="Q738" i="4"/>
  <c r="R737" i="4"/>
  <c r="Q737" i="4"/>
  <c r="R736" i="4"/>
  <c r="Q736" i="4"/>
  <c r="R735" i="4"/>
  <c r="Q735" i="4"/>
  <c r="R734" i="4"/>
  <c r="Q734" i="4"/>
  <c r="R733" i="4"/>
  <c r="Q733" i="4"/>
  <c r="R732" i="4"/>
  <c r="Q732" i="4"/>
  <c r="R731" i="4"/>
  <c r="Q731" i="4"/>
  <c r="R730" i="4"/>
  <c r="Q730" i="4"/>
  <c r="R729" i="4"/>
  <c r="Q729" i="4"/>
  <c r="R728" i="4"/>
  <c r="Q728" i="4"/>
  <c r="R727" i="4"/>
  <c r="Q727" i="4"/>
  <c r="R726" i="4"/>
  <c r="Q726" i="4"/>
  <c r="R725" i="4"/>
  <c r="Q725" i="4"/>
  <c r="R724" i="4"/>
  <c r="Q724" i="4"/>
  <c r="R723" i="4"/>
  <c r="Q723" i="4"/>
  <c r="R722" i="4"/>
  <c r="Q722" i="4"/>
  <c r="R721" i="4"/>
  <c r="Q721" i="4"/>
  <c r="R720" i="4"/>
  <c r="Q720" i="4"/>
  <c r="R719" i="4"/>
  <c r="Q719" i="4"/>
  <c r="R718" i="4"/>
  <c r="Q718" i="4"/>
  <c r="R717" i="4"/>
  <c r="Q717" i="4"/>
  <c r="R716" i="4"/>
  <c r="Q716" i="4"/>
  <c r="R715" i="4"/>
  <c r="Q715" i="4"/>
  <c r="R714" i="4"/>
  <c r="Q714" i="4"/>
  <c r="R713" i="4"/>
  <c r="Q713" i="4"/>
  <c r="R712" i="4"/>
  <c r="Q712" i="4"/>
  <c r="R711" i="4"/>
  <c r="Q711" i="4"/>
  <c r="R710" i="4"/>
  <c r="Q710" i="4"/>
  <c r="R709" i="4"/>
  <c r="Q709" i="4"/>
  <c r="R708" i="4"/>
  <c r="Q708" i="4"/>
  <c r="R707" i="4"/>
  <c r="Q707" i="4"/>
  <c r="R706" i="4"/>
  <c r="Q706" i="4"/>
  <c r="R705" i="4"/>
  <c r="Q705" i="4"/>
  <c r="R704" i="4"/>
  <c r="Q704" i="4"/>
  <c r="R703" i="4"/>
  <c r="Q703" i="4"/>
  <c r="R702" i="4"/>
  <c r="Q702" i="4"/>
  <c r="R701" i="4"/>
  <c r="Q701" i="4"/>
  <c r="R700" i="4"/>
  <c r="Q700" i="4"/>
  <c r="R699" i="4"/>
  <c r="Q699" i="4"/>
  <c r="R698" i="4"/>
  <c r="Q698" i="4"/>
  <c r="R697" i="4"/>
  <c r="Q697" i="4"/>
  <c r="R696" i="4"/>
  <c r="Q696" i="4"/>
  <c r="R695" i="4"/>
  <c r="Q695" i="4"/>
  <c r="R694" i="4"/>
  <c r="Q694" i="4"/>
  <c r="R693" i="4"/>
  <c r="Q693" i="4"/>
  <c r="R692" i="4"/>
  <c r="Q692" i="4"/>
  <c r="R691" i="4"/>
  <c r="Q691" i="4"/>
  <c r="R690" i="4"/>
  <c r="Q690" i="4"/>
  <c r="R689" i="4"/>
  <c r="Q689" i="4"/>
  <c r="R688" i="4"/>
  <c r="Q688" i="4"/>
  <c r="R687" i="4"/>
  <c r="Q687" i="4"/>
  <c r="R686" i="4"/>
  <c r="Q686" i="4"/>
  <c r="R685" i="4"/>
  <c r="Q685" i="4"/>
  <c r="R684" i="4"/>
  <c r="Q684" i="4"/>
  <c r="R683" i="4"/>
  <c r="Q683" i="4"/>
  <c r="R682" i="4"/>
  <c r="Q682" i="4"/>
  <c r="R681" i="4"/>
  <c r="Q681" i="4"/>
  <c r="R680" i="4"/>
  <c r="Q680" i="4"/>
  <c r="R679" i="4"/>
  <c r="Q679" i="4"/>
  <c r="R678" i="4"/>
  <c r="Q678" i="4"/>
  <c r="R677" i="4"/>
  <c r="Q677" i="4"/>
  <c r="R676" i="4"/>
  <c r="Q676" i="4"/>
  <c r="R675" i="4"/>
  <c r="Q675" i="4"/>
  <c r="R674" i="4"/>
  <c r="Q674" i="4"/>
  <c r="R673" i="4"/>
  <c r="Q673" i="4"/>
  <c r="R672" i="4"/>
  <c r="Q672" i="4"/>
  <c r="R671" i="4"/>
  <c r="Q671" i="4"/>
  <c r="R670" i="4"/>
  <c r="Q670" i="4"/>
  <c r="R669" i="4"/>
  <c r="Q669" i="4"/>
  <c r="R668" i="4"/>
  <c r="Q668" i="4"/>
  <c r="R667" i="4"/>
  <c r="Q667" i="4"/>
  <c r="R666" i="4"/>
  <c r="Q666" i="4"/>
  <c r="R665" i="4"/>
  <c r="Q665" i="4"/>
  <c r="R664" i="4"/>
  <c r="Q664" i="4"/>
  <c r="R663" i="4"/>
  <c r="Q663" i="4"/>
  <c r="R662" i="4"/>
  <c r="Q662" i="4"/>
  <c r="R661" i="4"/>
  <c r="Q661" i="4"/>
  <c r="R660" i="4"/>
  <c r="Q660" i="4"/>
  <c r="R659" i="4"/>
  <c r="Q659" i="4"/>
  <c r="R658" i="4"/>
  <c r="Q658" i="4"/>
  <c r="R657" i="4"/>
  <c r="Q657" i="4"/>
  <c r="R656" i="4"/>
  <c r="Q656" i="4"/>
  <c r="R655" i="4"/>
  <c r="Q655" i="4"/>
  <c r="R654" i="4"/>
  <c r="Q654" i="4"/>
  <c r="R653" i="4"/>
  <c r="Q653" i="4"/>
  <c r="R652" i="4"/>
  <c r="Q652" i="4"/>
  <c r="R651" i="4"/>
  <c r="Q651" i="4"/>
  <c r="R650" i="4"/>
  <c r="Q650" i="4"/>
  <c r="R649" i="4"/>
  <c r="Q649" i="4"/>
  <c r="R648" i="4"/>
  <c r="Q648" i="4"/>
  <c r="R647" i="4"/>
  <c r="Q647" i="4"/>
  <c r="R646" i="4"/>
  <c r="Q646" i="4"/>
  <c r="R645" i="4"/>
  <c r="Q645" i="4"/>
  <c r="R644" i="4"/>
  <c r="Q644" i="4"/>
  <c r="R643" i="4"/>
  <c r="Q643" i="4"/>
  <c r="R642" i="4"/>
  <c r="Q642" i="4"/>
  <c r="R641" i="4"/>
  <c r="Q641" i="4"/>
  <c r="R640" i="4"/>
  <c r="Q640" i="4"/>
  <c r="R639" i="4"/>
  <c r="Q639" i="4"/>
  <c r="R638" i="4"/>
  <c r="Q638" i="4"/>
  <c r="R637" i="4"/>
  <c r="Q637" i="4"/>
  <c r="R636" i="4"/>
  <c r="Q636" i="4"/>
  <c r="R635" i="4"/>
  <c r="Q635" i="4"/>
  <c r="R634" i="4"/>
  <c r="Q634" i="4"/>
  <c r="R633" i="4"/>
  <c r="Q633" i="4"/>
  <c r="R632" i="4"/>
  <c r="Q632" i="4"/>
  <c r="R631" i="4"/>
  <c r="Q631" i="4"/>
  <c r="R630" i="4"/>
  <c r="Q630" i="4"/>
  <c r="R629" i="4"/>
  <c r="Q629" i="4"/>
  <c r="R628" i="4"/>
  <c r="Q628" i="4"/>
  <c r="R627" i="4"/>
  <c r="Q627" i="4"/>
  <c r="R626" i="4"/>
  <c r="Q626" i="4"/>
  <c r="R625" i="4"/>
  <c r="Q625" i="4"/>
  <c r="R624" i="4"/>
  <c r="Q624" i="4"/>
  <c r="R623" i="4"/>
  <c r="Q623" i="4"/>
  <c r="R622" i="4"/>
  <c r="Q622" i="4"/>
  <c r="R621" i="4"/>
  <c r="Q621" i="4"/>
  <c r="R620" i="4"/>
  <c r="Q620" i="4"/>
  <c r="R619" i="4"/>
  <c r="Q619" i="4"/>
  <c r="R618" i="4"/>
  <c r="Q618" i="4"/>
  <c r="R617" i="4"/>
  <c r="Q617" i="4"/>
  <c r="R616" i="4"/>
  <c r="Q616" i="4"/>
  <c r="R615" i="4"/>
  <c r="Q615" i="4"/>
  <c r="R614" i="4"/>
  <c r="Q614" i="4"/>
  <c r="R613" i="4"/>
  <c r="Q613" i="4"/>
  <c r="R612" i="4"/>
  <c r="Q612" i="4"/>
  <c r="R611" i="4"/>
  <c r="Q611" i="4"/>
  <c r="R610" i="4"/>
  <c r="Q610" i="4"/>
  <c r="R609" i="4"/>
  <c r="Q609" i="4"/>
  <c r="R608" i="4"/>
  <c r="Q608" i="4"/>
  <c r="R607" i="4"/>
  <c r="Q607" i="4"/>
  <c r="R606" i="4"/>
  <c r="Q606" i="4"/>
  <c r="R605" i="4"/>
  <c r="Q605" i="4"/>
  <c r="R604" i="4"/>
  <c r="Q604" i="4"/>
  <c r="R603" i="4"/>
  <c r="Q603" i="4"/>
  <c r="R602" i="4"/>
  <c r="Q602" i="4"/>
  <c r="R601" i="4"/>
  <c r="Q601" i="4"/>
  <c r="R600" i="4"/>
  <c r="Q600" i="4"/>
  <c r="R599" i="4"/>
  <c r="Q599" i="4"/>
  <c r="R598" i="4"/>
  <c r="Q598" i="4"/>
  <c r="R597" i="4"/>
  <c r="Q597" i="4"/>
  <c r="R596" i="4"/>
  <c r="Q596" i="4"/>
  <c r="R595" i="4"/>
  <c r="Q595" i="4"/>
  <c r="R594" i="4"/>
  <c r="Q594" i="4"/>
  <c r="R593" i="4"/>
  <c r="Q593" i="4"/>
  <c r="R592" i="4"/>
  <c r="Q592" i="4"/>
  <c r="R591" i="4"/>
  <c r="Q591" i="4"/>
  <c r="R590" i="4"/>
  <c r="Q590" i="4"/>
  <c r="R589" i="4"/>
  <c r="Q589" i="4"/>
  <c r="R588" i="4"/>
  <c r="Q588" i="4"/>
  <c r="R587" i="4"/>
  <c r="Q587" i="4"/>
  <c r="R586" i="4"/>
  <c r="Q586" i="4"/>
  <c r="R585" i="4"/>
  <c r="Q585" i="4"/>
  <c r="R584" i="4"/>
  <c r="Q584" i="4"/>
  <c r="R583" i="4"/>
  <c r="Q583" i="4"/>
  <c r="R582" i="4"/>
  <c r="Q582" i="4"/>
  <c r="R581" i="4"/>
  <c r="Q581" i="4"/>
  <c r="R580" i="4"/>
  <c r="Q580" i="4"/>
  <c r="R579" i="4"/>
  <c r="Q579" i="4"/>
  <c r="R578" i="4"/>
  <c r="Q578" i="4"/>
  <c r="R577" i="4"/>
  <c r="Q577" i="4"/>
  <c r="R576" i="4"/>
  <c r="Q576" i="4"/>
  <c r="R575" i="4"/>
  <c r="Q575" i="4"/>
  <c r="R574" i="4"/>
  <c r="Q574" i="4"/>
  <c r="R573" i="4"/>
  <c r="Q573" i="4"/>
  <c r="R572" i="4"/>
  <c r="Q572" i="4"/>
  <c r="R571" i="4"/>
  <c r="Q571" i="4"/>
  <c r="R570" i="4"/>
  <c r="Q570" i="4"/>
  <c r="R569" i="4"/>
  <c r="Q569" i="4"/>
  <c r="R568" i="4"/>
  <c r="Q568" i="4"/>
  <c r="R567" i="4"/>
  <c r="Q567" i="4"/>
  <c r="R566" i="4"/>
  <c r="Q566" i="4"/>
  <c r="R565" i="4"/>
  <c r="Q565" i="4"/>
  <c r="R564" i="4"/>
  <c r="Q564" i="4"/>
  <c r="R563" i="4"/>
  <c r="Q563" i="4"/>
  <c r="R562" i="4"/>
  <c r="Q562" i="4"/>
  <c r="R561" i="4"/>
  <c r="Q561" i="4"/>
  <c r="R560" i="4"/>
  <c r="Q560" i="4"/>
  <c r="R559" i="4"/>
  <c r="Q559" i="4"/>
  <c r="R558" i="4"/>
  <c r="Q558" i="4"/>
  <c r="R557" i="4"/>
  <c r="Q557" i="4"/>
  <c r="R556" i="4"/>
  <c r="Q556" i="4"/>
  <c r="R555" i="4"/>
  <c r="Q555" i="4"/>
  <c r="R554" i="4"/>
  <c r="Q554" i="4"/>
  <c r="R553" i="4"/>
  <c r="Q553" i="4"/>
  <c r="R552" i="4"/>
  <c r="Q552" i="4"/>
  <c r="R551" i="4"/>
  <c r="Q551" i="4"/>
  <c r="R550" i="4"/>
  <c r="Q550" i="4"/>
  <c r="R549" i="4"/>
  <c r="Q549" i="4"/>
  <c r="R548" i="4"/>
  <c r="Q548" i="4"/>
  <c r="R547" i="4"/>
  <c r="Q547" i="4"/>
  <c r="R546" i="4"/>
  <c r="Q546" i="4"/>
  <c r="R545" i="4"/>
  <c r="Q545" i="4"/>
  <c r="R544" i="4"/>
  <c r="Q544" i="4"/>
  <c r="R543" i="4"/>
  <c r="Q543" i="4"/>
  <c r="R542" i="4"/>
  <c r="Q542" i="4"/>
  <c r="R541" i="4"/>
  <c r="Q541" i="4"/>
  <c r="R540" i="4"/>
  <c r="Q540" i="4"/>
  <c r="R539" i="4"/>
  <c r="Q539" i="4"/>
  <c r="R538" i="4"/>
  <c r="Q538" i="4"/>
  <c r="R537" i="4"/>
  <c r="Q537" i="4"/>
  <c r="R536" i="4"/>
  <c r="Q536" i="4"/>
  <c r="R535" i="4"/>
  <c r="Q535" i="4"/>
  <c r="R534" i="4"/>
  <c r="Q534" i="4"/>
  <c r="R533" i="4"/>
  <c r="Q533" i="4"/>
  <c r="R532" i="4"/>
  <c r="Q532" i="4"/>
  <c r="R531" i="4"/>
  <c r="Q531" i="4"/>
  <c r="R530" i="4"/>
  <c r="Q530" i="4"/>
  <c r="R529" i="4"/>
  <c r="Q529" i="4"/>
  <c r="R528" i="4"/>
  <c r="Q528" i="4"/>
  <c r="R527" i="4"/>
  <c r="Q527" i="4"/>
  <c r="R526" i="4"/>
  <c r="Q526" i="4"/>
  <c r="R525" i="4"/>
  <c r="Q525" i="4"/>
  <c r="R524" i="4"/>
  <c r="Q524" i="4"/>
  <c r="R523" i="4"/>
  <c r="Q523" i="4"/>
  <c r="R522" i="4"/>
  <c r="Q522" i="4"/>
  <c r="R521" i="4"/>
  <c r="Q521" i="4"/>
  <c r="R520" i="4"/>
  <c r="Q520" i="4"/>
  <c r="R519" i="4"/>
  <c r="Q519" i="4"/>
  <c r="R518" i="4"/>
  <c r="Q518" i="4"/>
  <c r="R517" i="4"/>
  <c r="Q517" i="4"/>
  <c r="R516" i="4"/>
  <c r="Q516" i="4"/>
  <c r="R515" i="4"/>
  <c r="Q515" i="4"/>
  <c r="R514" i="4"/>
  <c r="Q514" i="4"/>
  <c r="R513" i="4"/>
  <c r="Q513" i="4"/>
  <c r="R512" i="4"/>
  <c r="Q512" i="4"/>
  <c r="R511" i="4"/>
  <c r="Q511" i="4"/>
  <c r="R510" i="4"/>
  <c r="Q510" i="4"/>
  <c r="R509" i="4"/>
  <c r="Q509" i="4"/>
  <c r="R508" i="4"/>
  <c r="Q508" i="4"/>
  <c r="R507" i="4"/>
  <c r="Q507" i="4"/>
  <c r="R506" i="4"/>
  <c r="Q506" i="4"/>
  <c r="R505" i="4"/>
  <c r="Q505" i="4"/>
  <c r="R504" i="4"/>
  <c r="Q504" i="4"/>
  <c r="R503" i="4"/>
  <c r="Q503" i="4"/>
  <c r="R502" i="4"/>
  <c r="Q502" i="4"/>
  <c r="R501" i="4"/>
  <c r="Q501" i="4"/>
  <c r="R500" i="4"/>
  <c r="Q500" i="4"/>
  <c r="R499" i="4"/>
  <c r="Q499" i="4"/>
  <c r="R498" i="4"/>
  <c r="Q498" i="4"/>
  <c r="R497" i="4"/>
  <c r="Q497" i="4"/>
  <c r="R496" i="4"/>
  <c r="Q496" i="4"/>
  <c r="R495" i="4"/>
  <c r="Q495" i="4"/>
  <c r="R494" i="4"/>
  <c r="Q494" i="4"/>
  <c r="R493" i="4"/>
  <c r="Q493" i="4"/>
  <c r="R492" i="4"/>
  <c r="Q492" i="4"/>
  <c r="R491" i="4"/>
  <c r="Q491" i="4"/>
  <c r="R490" i="4"/>
  <c r="Q490" i="4"/>
  <c r="R489" i="4"/>
  <c r="Q489" i="4"/>
  <c r="R488" i="4"/>
  <c r="Q488" i="4"/>
  <c r="R487" i="4"/>
  <c r="Q487" i="4"/>
  <c r="R486" i="4"/>
  <c r="Q486" i="4"/>
  <c r="R485" i="4"/>
  <c r="Q485" i="4"/>
  <c r="R484" i="4"/>
  <c r="Q484" i="4"/>
  <c r="R483" i="4"/>
  <c r="Q483" i="4"/>
  <c r="R482" i="4"/>
  <c r="Q482" i="4"/>
  <c r="R481" i="4"/>
  <c r="Q481" i="4"/>
  <c r="R480" i="4"/>
  <c r="Q480" i="4"/>
  <c r="R479" i="4"/>
  <c r="Q479" i="4"/>
  <c r="R478" i="4"/>
  <c r="Q478" i="4"/>
  <c r="R477" i="4"/>
  <c r="Q477" i="4"/>
  <c r="R476" i="4"/>
  <c r="Q476" i="4"/>
  <c r="R475" i="4"/>
  <c r="Q475" i="4"/>
  <c r="R474" i="4"/>
  <c r="Q474" i="4"/>
  <c r="R473" i="4"/>
  <c r="Q473" i="4"/>
  <c r="R472" i="4"/>
  <c r="Q472" i="4"/>
  <c r="R471" i="4"/>
  <c r="Q471" i="4"/>
  <c r="R470" i="4"/>
  <c r="Q470" i="4"/>
  <c r="R469" i="4"/>
  <c r="Q469" i="4"/>
  <c r="R468" i="4"/>
  <c r="Q468" i="4"/>
  <c r="R467" i="4"/>
  <c r="Q467" i="4"/>
  <c r="R466" i="4"/>
  <c r="Q466" i="4"/>
  <c r="R465" i="4"/>
  <c r="Q465" i="4"/>
  <c r="R464" i="4"/>
  <c r="Q464" i="4"/>
  <c r="R463" i="4"/>
  <c r="Q463" i="4"/>
  <c r="R462" i="4"/>
  <c r="Q462" i="4"/>
  <c r="R461" i="4"/>
  <c r="Q461" i="4"/>
  <c r="R460" i="4"/>
  <c r="Q460" i="4"/>
  <c r="R459" i="4"/>
  <c r="Q459" i="4"/>
  <c r="R458" i="4"/>
  <c r="Q458" i="4"/>
  <c r="R457" i="4"/>
  <c r="Q457" i="4"/>
  <c r="R456" i="4"/>
  <c r="Q456" i="4"/>
  <c r="R455" i="4"/>
  <c r="Q455" i="4"/>
  <c r="R454" i="4"/>
  <c r="Q454" i="4"/>
  <c r="R453" i="4"/>
  <c r="Q453" i="4"/>
  <c r="R452" i="4"/>
  <c r="Q452" i="4"/>
  <c r="R451" i="4"/>
  <c r="Q451" i="4"/>
  <c r="R450" i="4"/>
  <c r="Q450" i="4"/>
  <c r="R449" i="4"/>
  <c r="Q449" i="4"/>
  <c r="R448" i="4"/>
  <c r="Q448" i="4"/>
  <c r="R447" i="4"/>
  <c r="Q447" i="4"/>
  <c r="R446" i="4"/>
  <c r="Q446" i="4"/>
  <c r="R445" i="4"/>
  <c r="Q445" i="4"/>
  <c r="R444" i="4"/>
  <c r="Q444" i="4"/>
  <c r="R443" i="4"/>
  <c r="Q443" i="4"/>
  <c r="R442" i="4"/>
  <c r="Q442" i="4"/>
  <c r="R441" i="4"/>
  <c r="Q441" i="4"/>
  <c r="R440" i="4"/>
  <c r="Q440" i="4"/>
  <c r="R439" i="4"/>
  <c r="Q439" i="4"/>
  <c r="R438" i="4"/>
  <c r="Q438" i="4"/>
  <c r="R437" i="4"/>
  <c r="Q437" i="4"/>
  <c r="R436" i="4"/>
  <c r="Q436" i="4"/>
  <c r="R435" i="4"/>
  <c r="Q435" i="4"/>
  <c r="R434" i="4"/>
  <c r="Q434" i="4"/>
  <c r="R433" i="4"/>
  <c r="Q433" i="4"/>
  <c r="R432" i="4"/>
  <c r="Q432" i="4"/>
  <c r="R431" i="4"/>
  <c r="Q431" i="4"/>
  <c r="R430" i="4"/>
  <c r="Q430" i="4"/>
  <c r="R429" i="4"/>
  <c r="Q429" i="4"/>
  <c r="R428" i="4"/>
  <c r="Q428" i="4"/>
  <c r="R427" i="4"/>
  <c r="Q427" i="4"/>
  <c r="R426" i="4"/>
  <c r="Q426" i="4"/>
  <c r="R425" i="4"/>
  <c r="Q425" i="4"/>
  <c r="R424" i="4"/>
  <c r="Q424" i="4"/>
  <c r="R423" i="4"/>
  <c r="Q423" i="4"/>
  <c r="R422" i="4"/>
  <c r="Q422" i="4"/>
  <c r="R421" i="4"/>
  <c r="Q421" i="4"/>
  <c r="R420" i="4"/>
  <c r="Q420" i="4"/>
  <c r="R419" i="4"/>
  <c r="Q419" i="4"/>
  <c r="R418" i="4"/>
  <c r="Q418" i="4"/>
  <c r="R417" i="4"/>
  <c r="Q417" i="4"/>
  <c r="R416" i="4"/>
  <c r="Q416" i="4"/>
  <c r="R415" i="4"/>
  <c r="Q415" i="4"/>
  <c r="R414" i="4"/>
  <c r="Q414" i="4"/>
  <c r="R413" i="4"/>
  <c r="Q413" i="4"/>
  <c r="R412" i="4"/>
  <c r="Q412" i="4"/>
  <c r="R411" i="4"/>
  <c r="Q411" i="4"/>
  <c r="R410" i="4"/>
  <c r="Q410" i="4"/>
  <c r="R409" i="4"/>
  <c r="Q409" i="4"/>
  <c r="R408" i="4"/>
  <c r="Q408" i="4"/>
  <c r="R407" i="4"/>
  <c r="Q407" i="4"/>
  <c r="R406" i="4"/>
  <c r="Q406" i="4"/>
  <c r="R405" i="4"/>
  <c r="Q405" i="4"/>
  <c r="R404" i="4"/>
  <c r="Q404" i="4"/>
  <c r="R403" i="4"/>
  <c r="Q403" i="4"/>
  <c r="R402" i="4"/>
  <c r="Q402" i="4"/>
  <c r="R401" i="4"/>
  <c r="Q401" i="4"/>
  <c r="R400" i="4"/>
  <c r="Q400" i="4"/>
  <c r="R399" i="4"/>
  <c r="Q399" i="4"/>
  <c r="R398" i="4"/>
  <c r="Q398" i="4"/>
  <c r="R397" i="4"/>
  <c r="Q397" i="4"/>
  <c r="R396" i="4"/>
  <c r="Q396" i="4"/>
  <c r="R395" i="4"/>
  <c r="Q395" i="4"/>
  <c r="R394" i="4"/>
  <c r="Q394" i="4"/>
  <c r="R393" i="4"/>
  <c r="Q393" i="4"/>
  <c r="R392" i="4"/>
  <c r="Q392" i="4"/>
  <c r="R391" i="4"/>
  <c r="Q391" i="4"/>
  <c r="R390" i="4"/>
  <c r="Q390" i="4"/>
  <c r="R389" i="4"/>
  <c r="Q389" i="4"/>
  <c r="R388" i="4"/>
  <c r="Q388" i="4"/>
  <c r="R387" i="4"/>
  <c r="Q387" i="4"/>
  <c r="R386" i="4"/>
  <c r="Q386" i="4"/>
  <c r="R385" i="4"/>
  <c r="Q385" i="4"/>
  <c r="R384" i="4"/>
  <c r="Q384" i="4"/>
  <c r="R383" i="4"/>
  <c r="Q383" i="4"/>
  <c r="R382" i="4"/>
  <c r="Q382" i="4"/>
  <c r="R381" i="4"/>
  <c r="Q381" i="4"/>
  <c r="R380" i="4"/>
  <c r="Q380" i="4"/>
  <c r="R379" i="4"/>
  <c r="Q379" i="4"/>
  <c r="R378" i="4"/>
  <c r="Q378" i="4"/>
  <c r="R377" i="4"/>
  <c r="Q377" i="4"/>
  <c r="R376" i="4"/>
  <c r="Q376" i="4"/>
  <c r="R375" i="4"/>
  <c r="Q375" i="4"/>
  <c r="R374" i="4"/>
  <c r="Q374" i="4"/>
  <c r="R373" i="4"/>
  <c r="Q373" i="4"/>
  <c r="R372" i="4"/>
  <c r="Q372" i="4"/>
  <c r="R371" i="4"/>
  <c r="Q371" i="4"/>
  <c r="R370" i="4"/>
  <c r="Q370" i="4"/>
  <c r="R369" i="4"/>
  <c r="Q369" i="4"/>
  <c r="R368" i="4"/>
  <c r="Q368" i="4"/>
  <c r="R367" i="4"/>
  <c r="Q367" i="4"/>
  <c r="R366" i="4"/>
  <c r="Q366" i="4"/>
  <c r="R365" i="4"/>
  <c r="Q365" i="4"/>
  <c r="R364" i="4"/>
  <c r="Q364" i="4"/>
  <c r="R363" i="4"/>
  <c r="Q363" i="4"/>
  <c r="R362" i="4"/>
  <c r="Q362" i="4"/>
  <c r="R361" i="4"/>
  <c r="Q361" i="4"/>
  <c r="R360" i="4"/>
  <c r="Q360" i="4"/>
  <c r="R359" i="4"/>
  <c r="Q359" i="4"/>
  <c r="R358" i="4"/>
  <c r="Q358" i="4"/>
  <c r="R357" i="4"/>
  <c r="Q357" i="4"/>
  <c r="R356" i="4"/>
  <c r="Q356" i="4"/>
  <c r="R355" i="4"/>
  <c r="Q355" i="4"/>
  <c r="R354" i="4"/>
  <c r="Q354" i="4"/>
  <c r="R353" i="4"/>
  <c r="Q353" i="4"/>
  <c r="R352" i="4"/>
  <c r="Q352" i="4"/>
  <c r="R351" i="4"/>
  <c r="Q351" i="4"/>
  <c r="R350" i="4"/>
  <c r="Q350" i="4"/>
  <c r="R349" i="4"/>
  <c r="Q349" i="4"/>
  <c r="R348" i="4"/>
  <c r="Q348" i="4"/>
  <c r="R347" i="4"/>
  <c r="Q347" i="4"/>
  <c r="R346" i="4"/>
  <c r="Q346" i="4"/>
  <c r="R345" i="4"/>
  <c r="Q345" i="4"/>
  <c r="R344" i="4"/>
  <c r="Q344" i="4"/>
  <c r="R343" i="4"/>
  <c r="Q343" i="4"/>
  <c r="R342" i="4"/>
  <c r="Q342" i="4"/>
  <c r="R341" i="4"/>
  <c r="Q341" i="4"/>
  <c r="R340" i="4"/>
  <c r="Q340" i="4"/>
  <c r="R339" i="4"/>
  <c r="Q339" i="4"/>
  <c r="R338" i="4"/>
  <c r="Q338" i="4"/>
  <c r="R337" i="4"/>
  <c r="Q337" i="4"/>
  <c r="R336" i="4"/>
  <c r="Q336" i="4"/>
  <c r="R335" i="4"/>
  <c r="Q335" i="4"/>
  <c r="R334" i="4"/>
  <c r="Q334" i="4"/>
  <c r="R333" i="4"/>
  <c r="Q333" i="4"/>
  <c r="R332" i="4"/>
  <c r="Q332" i="4"/>
  <c r="R331" i="4"/>
  <c r="Q331" i="4"/>
  <c r="R330" i="4"/>
  <c r="Q330" i="4"/>
  <c r="R329" i="4"/>
  <c r="Q329" i="4"/>
  <c r="R328" i="4"/>
  <c r="Q328" i="4"/>
  <c r="R327" i="4"/>
  <c r="Q327" i="4"/>
  <c r="R326" i="4"/>
  <c r="Q326" i="4"/>
  <c r="R325" i="4"/>
  <c r="Q325" i="4"/>
  <c r="R324" i="4"/>
  <c r="Q324" i="4"/>
  <c r="R323" i="4"/>
  <c r="Q323" i="4"/>
  <c r="R322" i="4"/>
  <c r="Q322" i="4"/>
  <c r="R321" i="4"/>
  <c r="Q321" i="4"/>
  <c r="R320" i="4"/>
  <c r="Q320" i="4"/>
  <c r="R319" i="4"/>
  <c r="Q319" i="4"/>
  <c r="R318" i="4"/>
  <c r="Q318" i="4"/>
  <c r="R317" i="4"/>
  <c r="Q317" i="4"/>
  <c r="R316" i="4"/>
  <c r="Q316" i="4"/>
  <c r="R315" i="4"/>
  <c r="Q315" i="4"/>
  <c r="R314" i="4"/>
  <c r="Q314" i="4"/>
  <c r="R313" i="4"/>
  <c r="Q313" i="4"/>
  <c r="R312" i="4"/>
  <c r="Q312" i="4"/>
  <c r="R311" i="4"/>
  <c r="Q311" i="4"/>
  <c r="R310" i="4"/>
  <c r="Q310" i="4"/>
  <c r="R309" i="4"/>
  <c r="Q309" i="4"/>
  <c r="R308" i="4"/>
  <c r="Q308" i="4"/>
  <c r="R307" i="4"/>
  <c r="Q307" i="4"/>
  <c r="R306" i="4"/>
  <c r="Q306" i="4"/>
  <c r="R305" i="4"/>
  <c r="Q305" i="4"/>
  <c r="R304" i="4"/>
  <c r="Q304" i="4"/>
  <c r="R303" i="4"/>
  <c r="Q303" i="4"/>
  <c r="R302" i="4"/>
  <c r="Q302" i="4"/>
  <c r="R301" i="4"/>
  <c r="Q301" i="4"/>
  <c r="R300" i="4"/>
  <c r="Q300" i="4"/>
  <c r="R299" i="4"/>
  <c r="Q299" i="4"/>
  <c r="R298" i="4"/>
  <c r="Q298" i="4"/>
  <c r="R297" i="4"/>
  <c r="Q297" i="4"/>
  <c r="R296" i="4"/>
  <c r="Q296" i="4"/>
  <c r="R295" i="4"/>
  <c r="Q295" i="4"/>
  <c r="R294" i="4"/>
  <c r="Q294" i="4"/>
  <c r="R293" i="4"/>
  <c r="Q293" i="4"/>
  <c r="R292" i="4"/>
  <c r="Q292" i="4"/>
  <c r="R291" i="4"/>
  <c r="Q291" i="4"/>
  <c r="R290" i="4"/>
  <c r="Q290" i="4"/>
  <c r="R289" i="4"/>
  <c r="Q289" i="4"/>
  <c r="R288" i="4"/>
  <c r="Q288" i="4"/>
  <c r="R287" i="4"/>
  <c r="Q287" i="4"/>
  <c r="R286" i="4"/>
  <c r="Q286" i="4"/>
  <c r="R285" i="4"/>
  <c r="Q285" i="4"/>
  <c r="R284" i="4"/>
  <c r="Q284" i="4"/>
  <c r="R283" i="4"/>
  <c r="Q283" i="4"/>
  <c r="R282" i="4"/>
  <c r="Q282" i="4"/>
  <c r="R281" i="4"/>
  <c r="Q281" i="4"/>
  <c r="R280" i="4"/>
  <c r="Q280" i="4"/>
  <c r="R279" i="4"/>
  <c r="Q279" i="4"/>
  <c r="R278" i="4"/>
  <c r="Q278" i="4"/>
  <c r="R277" i="4"/>
  <c r="Q277" i="4"/>
  <c r="R276" i="4"/>
  <c r="Q276" i="4"/>
  <c r="R275" i="4"/>
  <c r="Q275" i="4"/>
  <c r="R274" i="4"/>
  <c r="Q274" i="4"/>
  <c r="R273" i="4"/>
  <c r="Q273" i="4"/>
  <c r="R272" i="4"/>
  <c r="Q272" i="4"/>
  <c r="R271" i="4"/>
  <c r="Q271" i="4"/>
  <c r="R270" i="4"/>
  <c r="Q270" i="4"/>
  <c r="R269" i="4"/>
  <c r="Q269" i="4"/>
  <c r="R268" i="4"/>
  <c r="Q268" i="4"/>
  <c r="R267" i="4"/>
  <c r="Q267" i="4"/>
  <c r="R266" i="4"/>
  <c r="Q266" i="4"/>
  <c r="R265" i="4"/>
  <c r="Q265" i="4"/>
  <c r="R264" i="4"/>
  <c r="Q264" i="4"/>
  <c r="R263" i="4"/>
  <c r="Q263" i="4"/>
  <c r="R262" i="4"/>
  <c r="Q262" i="4"/>
  <c r="R261" i="4"/>
  <c r="Q261" i="4"/>
  <c r="R260" i="4"/>
  <c r="Q260" i="4"/>
  <c r="R259" i="4"/>
  <c r="Q259" i="4"/>
  <c r="R258" i="4"/>
  <c r="Q258" i="4"/>
  <c r="R257" i="4"/>
  <c r="Q257" i="4"/>
  <c r="R256" i="4"/>
  <c r="Q256" i="4"/>
  <c r="R255" i="4"/>
  <c r="Q255" i="4"/>
  <c r="R254" i="4"/>
  <c r="Q254" i="4"/>
  <c r="R253" i="4"/>
  <c r="Q253" i="4"/>
  <c r="R252" i="4"/>
  <c r="Q252" i="4"/>
  <c r="R251" i="4"/>
  <c r="Q251" i="4"/>
  <c r="R250" i="4"/>
  <c r="Q250" i="4"/>
  <c r="R249" i="4"/>
  <c r="Q249" i="4"/>
  <c r="R248" i="4"/>
  <c r="Q248" i="4"/>
  <c r="R247" i="4"/>
  <c r="Q247" i="4"/>
  <c r="R246" i="4"/>
  <c r="Q246" i="4"/>
  <c r="R245" i="4"/>
  <c r="Q245" i="4"/>
  <c r="R244" i="4"/>
  <c r="Q244" i="4"/>
  <c r="R243" i="4"/>
  <c r="Q243" i="4"/>
  <c r="R242" i="4"/>
  <c r="Q242" i="4"/>
  <c r="R241" i="4"/>
  <c r="Q241" i="4"/>
  <c r="R240" i="4"/>
  <c r="Q240" i="4"/>
  <c r="R239" i="4"/>
  <c r="Q239" i="4"/>
  <c r="R238" i="4"/>
  <c r="Q238" i="4"/>
  <c r="R237" i="4"/>
  <c r="Q237" i="4"/>
  <c r="R236" i="4"/>
  <c r="Q236" i="4"/>
  <c r="R235" i="4"/>
  <c r="Q235" i="4"/>
  <c r="R234" i="4"/>
  <c r="Q234" i="4"/>
  <c r="R233" i="4"/>
  <c r="Q233" i="4"/>
  <c r="R232" i="4"/>
  <c r="Q232" i="4"/>
  <c r="R231" i="4"/>
  <c r="Q231" i="4"/>
  <c r="R230" i="4"/>
  <c r="Q230" i="4"/>
  <c r="R229" i="4"/>
  <c r="Q229" i="4"/>
  <c r="R228" i="4"/>
  <c r="Q228" i="4"/>
  <c r="R227" i="4"/>
  <c r="Q227" i="4"/>
  <c r="R226" i="4"/>
  <c r="Q226" i="4"/>
  <c r="R225" i="4"/>
  <c r="Q225" i="4"/>
  <c r="R224" i="4"/>
  <c r="Q224" i="4"/>
  <c r="R223" i="4"/>
  <c r="Q223" i="4"/>
  <c r="R222" i="4"/>
  <c r="Q222" i="4"/>
  <c r="R221" i="4"/>
  <c r="Q221" i="4"/>
  <c r="R220" i="4"/>
  <c r="Q220" i="4"/>
  <c r="R219" i="4"/>
  <c r="Q219" i="4"/>
  <c r="R218" i="4"/>
  <c r="Q218" i="4"/>
  <c r="R217" i="4"/>
  <c r="Q217" i="4"/>
  <c r="R216" i="4"/>
  <c r="Q216" i="4"/>
  <c r="R215" i="4"/>
  <c r="Q215" i="4"/>
  <c r="R214" i="4"/>
  <c r="Q214" i="4"/>
  <c r="R213" i="4"/>
  <c r="Q213" i="4"/>
  <c r="R212" i="4"/>
  <c r="Q212" i="4"/>
  <c r="R211" i="4"/>
  <c r="Q211" i="4"/>
  <c r="R210" i="4"/>
  <c r="Q210" i="4"/>
  <c r="R209" i="4"/>
  <c r="Q209" i="4"/>
  <c r="R208" i="4"/>
  <c r="Q208" i="4"/>
  <c r="R207" i="4"/>
  <c r="Q207" i="4"/>
  <c r="R206" i="4"/>
  <c r="Q206" i="4"/>
  <c r="R205" i="4"/>
  <c r="Q205" i="4"/>
  <c r="R204" i="4"/>
  <c r="Q204" i="4"/>
  <c r="R203" i="4"/>
  <c r="Q203" i="4"/>
  <c r="R202" i="4"/>
  <c r="Q202" i="4"/>
  <c r="R201" i="4"/>
  <c r="Q201" i="4"/>
  <c r="R200" i="4"/>
  <c r="Q200" i="4"/>
  <c r="R199" i="4"/>
  <c r="Q199" i="4"/>
  <c r="R198" i="4"/>
  <c r="Q198" i="4"/>
  <c r="R197" i="4"/>
  <c r="Q197" i="4"/>
  <c r="R196" i="4"/>
  <c r="Q196" i="4"/>
  <c r="R195" i="4"/>
  <c r="Q195" i="4"/>
  <c r="R194" i="4"/>
  <c r="Q194" i="4"/>
  <c r="R193" i="4"/>
  <c r="Q193" i="4"/>
  <c r="R192" i="4"/>
  <c r="Q192" i="4"/>
  <c r="R191" i="4"/>
  <c r="Q191" i="4"/>
  <c r="R190" i="4"/>
  <c r="Q190" i="4"/>
  <c r="R189" i="4"/>
  <c r="Q189" i="4"/>
  <c r="R188" i="4"/>
  <c r="Q188" i="4"/>
  <c r="R187" i="4"/>
  <c r="Q187" i="4"/>
  <c r="R186" i="4"/>
  <c r="Q186" i="4"/>
  <c r="R185" i="4"/>
  <c r="Q185" i="4"/>
  <c r="R184" i="4"/>
  <c r="Q184" i="4"/>
  <c r="R183" i="4"/>
  <c r="Q183" i="4"/>
  <c r="R182" i="4"/>
  <c r="Q182" i="4"/>
  <c r="R181" i="4"/>
  <c r="Q181" i="4"/>
  <c r="R180" i="4"/>
  <c r="Q180" i="4"/>
  <c r="R179" i="4"/>
  <c r="Q179" i="4"/>
  <c r="R178" i="4"/>
  <c r="Q178" i="4"/>
  <c r="R177" i="4"/>
  <c r="Q177" i="4"/>
  <c r="R176" i="4"/>
  <c r="Q176" i="4"/>
  <c r="R175" i="4"/>
  <c r="Q175" i="4"/>
  <c r="R174" i="4"/>
  <c r="Q174" i="4"/>
  <c r="R173" i="4"/>
  <c r="Q173" i="4"/>
  <c r="R172" i="4"/>
  <c r="Q172" i="4"/>
  <c r="R171" i="4"/>
  <c r="Q171" i="4"/>
  <c r="R170" i="4"/>
  <c r="Q170" i="4"/>
  <c r="R169" i="4"/>
  <c r="Q169" i="4"/>
  <c r="R168" i="4"/>
  <c r="Q168" i="4"/>
  <c r="R167" i="4"/>
  <c r="Q167" i="4"/>
  <c r="R166" i="4"/>
  <c r="Q166" i="4"/>
  <c r="R165" i="4"/>
  <c r="Q165" i="4"/>
  <c r="R164" i="4"/>
  <c r="Q164" i="4"/>
  <c r="R163" i="4"/>
  <c r="Q163" i="4"/>
  <c r="R162" i="4"/>
  <c r="Q162" i="4"/>
  <c r="R161" i="4"/>
  <c r="Q161" i="4"/>
  <c r="R160" i="4"/>
  <c r="Q160" i="4"/>
  <c r="R159" i="4"/>
  <c r="Q159" i="4"/>
  <c r="R158" i="4"/>
  <c r="Q158" i="4"/>
  <c r="R157" i="4"/>
  <c r="Q157" i="4"/>
  <c r="R156" i="4"/>
  <c r="Q156" i="4"/>
  <c r="R155" i="4"/>
  <c r="Q155" i="4"/>
  <c r="R154" i="4"/>
  <c r="Q154" i="4"/>
  <c r="R153" i="4"/>
  <c r="Q153" i="4"/>
  <c r="R152" i="4"/>
  <c r="Q152" i="4"/>
  <c r="R151" i="4"/>
  <c r="Q151" i="4"/>
  <c r="R150" i="4"/>
  <c r="Q150" i="4"/>
  <c r="R149" i="4"/>
  <c r="Q149" i="4"/>
  <c r="R148" i="4"/>
  <c r="Q148" i="4"/>
  <c r="R147" i="4"/>
  <c r="Q147" i="4"/>
  <c r="R146" i="4"/>
  <c r="Q146" i="4"/>
  <c r="R145" i="4"/>
  <c r="Q145" i="4"/>
  <c r="R144" i="4"/>
  <c r="Q144" i="4"/>
  <c r="R143" i="4"/>
  <c r="Q143" i="4"/>
  <c r="R142" i="4"/>
  <c r="Q142" i="4"/>
  <c r="R141" i="4"/>
  <c r="Q141" i="4"/>
  <c r="R140" i="4"/>
  <c r="Q140" i="4"/>
  <c r="R139" i="4"/>
  <c r="Q139" i="4"/>
  <c r="R138" i="4"/>
  <c r="Q138" i="4"/>
  <c r="R137" i="4"/>
  <c r="Q137" i="4"/>
  <c r="R136" i="4"/>
  <c r="Q136" i="4"/>
  <c r="R135" i="4"/>
  <c r="Q135" i="4"/>
  <c r="R134" i="4"/>
  <c r="Q134" i="4"/>
  <c r="R133" i="4"/>
  <c r="Q133" i="4"/>
  <c r="R132" i="4"/>
  <c r="Q132" i="4"/>
  <c r="R131" i="4"/>
  <c r="Q131" i="4"/>
  <c r="R130" i="4"/>
  <c r="Q130" i="4"/>
  <c r="R129" i="4"/>
  <c r="Q129" i="4"/>
  <c r="R128" i="4"/>
  <c r="Q128" i="4"/>
  <c r="R127" i="4"/>
  <c r="Q127" i="4"/>
  <c r="R126" i="4"/>
  <c r="Q126" i="4"/>
  <c r="R125" i="4"/>
  <c r="Q125" i="4"/>
  <c r="R124" i="4"/>
  <c r="Q124" i="4"/>
  <c r="R123" i="4"/>
  <c r="Q123" i="4"/>
  <c r="R122" i="4"/>
  <c r="Q122" i="4"/>
  <c r="R121" i="4"/>
  <c r="Q121" i="4"/>
  <c r="R120" i="4"/>
  <c r="Q120" i="4"/>
  <c r="R119" i="4"/>
  <c r="Q119" i="4"/>
  <c r="R118" i="4"/>
  <c r="Q118" i="4"/>
  <c r="R117" i="4"/>
  <c r="Q117" i="4"/>
  <c r="R116" i="4"/>
  <c r="Q116" i="4"/>
  <c r="R115" i="4"/>
  <c r="Q115" i="4"/>
  <c r="R114" i="4"/>
  <c r="Q114" i="4"/>
  <c r="R113" i="4"/>
  <c r="Q113" i="4"/>
  <c r="R112" i="4"/>
  <c r="Q112" i="4"/>
  <c r="R111" i="4"/>
  <c r="Q111" i="4"/>
  <c r="R110" i="4"/>
  <c r="Q110" i="4"/>
  <c r="R109" i="4"/>
  <c r="Q109" i="4"/>
  <c r="R108" i="4"/>
  <c r="Q108" i="4"/>
  <c r="R107" i="4"/>
  <c r="Q107" i="4"/>
  <c r="R106" i="4"/>
  <c r="Q106" i="4"/>
  <c r="R105" i="4"/>
  <c r="Q105" i="4"/>
  <c r="R104" i="4"/>
  <c r="Q104" i="4"/>
  <c r="R103" i="4"/>
  <c r="Q103" i="4"/>
  <c r="R102" i="4"/>
  <c r="Q102" i="4"/>
  <c r="R101" i="4"/>
  <c r="Q101" i="4"/>
  <c r="R100" i="4"/>
  <c r="Q100" i="4"/>
  <c r="R99" i="4"/>
  <c r="Q99" i="4"/>
  <c r="R98" i="4"/>
  <c r="Q98" i="4"/>
  <c r="R97" i="4"/>
  <c r="Q97" i="4"/>
  <c r="R96" i="4"/>
  <c r="Q96" i="4"/>
  <c r="R95" i="4"/>
  <c r="Q95" i="4"/>
  <c r="R94" i="4"/>
  <c r="Q94" i="4"/>
  <c r="R93" i="4"/>
  <c r="Q93" i="4"/>
  <c r="R92" i="4"/>
  <c r="Q92" i="4"/>
  <c r="R91" i="4"/>
  <c r="Q91" i="4"/>
  <c r="R90" i="4"/>
  <c r="Q90" i="4"/>
  <c r="R89" i="4"/>
  <c r="Q89" i="4"/>
  <c r="R88" i="4"/>
  <c r="Q88" i="4"/>
  <c r="R87" i="4"/>
  <c r="Q87" i="4"/>
  <c r="R86" i="4"/>
  <c r="Q86" i="4"/>
  <c r="R85" i="4"/>
  <c r="Q85" i="4"/>
  <c r="R84" i="4"/>
  <c r="Q84" i="4"/>
  <c r="R83" i="4"/>
  <c r="Q83" i="4"/>
  <c r="R82" i="4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R73" i="4"/>
  <c r="Q73" i="4"/>
  <c r="R72" i="4"/>
  <c r="Q72" i="4"/>
  <c r="R71" i="4"/>
  <c r="Q71" i="4"/>
  <c r="R70" i="4"/>
  <c r="Q70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R59" i="4"/>
  <c r="Q59" i="4"/>
  <c r="R58" i="4"/>
  <c r="Q58" i="4"/>
  <c r="R57" i="4"/>
  <c r="Q57" i="4"/>
  <c r="R56" i="4"/>
  <c r="Q56" i="4"/>
  <c r="R55" i="4"/>
  <c r="Q55" i="4"/>
  <c r="R54" i="4"/>
  <c r="Q54" i="4"/>
  <c r="R53" i="4"/>
  <c r="Q53" i="4"/>
  <c r="R52" i="4"/>
  <c r="Q52" i="4"/>
  <c r="R51" i="4"/>
  <c r="Q51" i="4"/>
  <c r="R50" i="4"/>
  <c r="Q50" i="4"/>
  <c r="R49" i="4"/>
  <c r="Q49" i="4"/>
  <c r="R48" i="4"/>
  <c r="Q48" i="4"/>
  <c r="R47" i="4"/>
  <c r="Q47" i="4"/>
  <c r="R46" i="4"/>
  <c r="Q46" i="4"/>
  <c r="R45" i="4"/>
  <c r="Q45" i="4"/>
  <c r="R44" i="4"/>
  <c r="Q44" i="4"/>
  <c r="R43" i="4"/>
  <c r="Q43" i="4"/>
  <c r="R42" i="4"/>
  <c r="Q42" i="4"/>
  <c r="R41" i="4"/>
  <c r="Q41" i="4"/>
  <c r="R40" i="4"/>
  <c r="Q40" i="4"/>
  <c r="R39" i="4"/>
  <c r="Q39" i="4"/>
  <c r="R38" i="4"/>
  <c r="Q38" i="4"/>
  <c r="R37" i="4"/>
  <c r="Q37" i="4"/>
  <c r="R36" i="4"/>
  <c r="Q36" i="4"/>
  <c r="R35" i="4"/>
  <c r="Q35" i="4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9" i="4"/>
  <c r="Q19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R11" i="4"/>
  <c r="Q11" i="4"/>
  <c r="R10" i="4"/>
  <c r="Q10" i="4"/>
  <c r="R9" i="4"/>
  <c r="Q9" i="4"/>
  <c r="R8" i="4"/>
  <c r="Q8" i="4"/>
  <c r="R7" i="4"/>
  <c r="Q7" i="4"/>
  <c r="R6" i="4"/>
  <c r="Q6" i="4"/>
  <c r="R5" i="4"/>
  <c r="Q5" i="4"/>
  <c r="R4" i="4"/>
  <c r="Q4" i="4"/>
  <c r="R3" i="4"/>
  <c r="Q3" i="4"/>
  <c r="R2" i="4"/>
  <c r="Q2" i="4"/>
  <c r="K11" i="8" l="1"/>
  <c r="K5" i="8"/>
  <c r="K8" i="8"/>
  <c r="K9" i="8"/>
  <c r="K17" i="8"/>
</calcChain>
</file>

<file path=xl/sharedStrings.xml><?xml version="1.0" encoding="utf-8"?>
<sst xmlns="http://schemas.openxmlformats.org/spreadsheetml/2006/main" count="10430" uniqueCount="427">
  <si>
    <t>MODELO DE DADOS DE INSTRUMENTAÇÃO - EMPREITADA THE EDEN</t>
  </si>
  <si>
    <t>Data</t>
  </si>
  <si>
    <t>Máx. H (mm)</t>
  </si>
  <si>
    <t>Máx. V (mm)</t>
  </si>
  <si>
    <t>I1 (mm)</t>
  </si>
  <si>
    <t>I2 (mm)</t>
  </si>
  <si>
    <t>I3 (mm)</t>
  </si>
  <si>
    <t>Cota da água (m)</t>
  </si>
  <si>
    <t>A26 (kN)</t>
  </si>
  <si>
    <t>12/05/2025</t>
  </si>
  <si>
    <t>06/10/2025</t>
  </si>
  <si>
    <t>09/12/2025</t>
  </si>
  <si>
    <t>Consolidação dos relatórios de alvos topográficos, inclinómetros, piezómetro e célula de carga</t>
  </si>
  <si>
    <t>11/06/2025</t>
  </si>
  <si>
    <t>14/10/2025</t>
  </si>
  <si>
    <t>15/12/2025</t>
  </si>
  <si>
    <t>08/07/2025</t>
  </si>
  <si>
    <t>20/10/2025</t>
  </si>
  <si>
    <t>22/12/2025</t>
  </si>
  <si>
    <t>Instrumentos registados</t>
  </si>
  <si>
    <t>Relatórios consolidados</t>
  </si>
  <si>
    <t>Máx. desloc. topográfico H</t>
  </si>
  <si>
    <t>Máx. desloc. inclinométrico</t>
  </si>
  <si>
    <t>Máx. variação célula</t>
  </si>
  <si>
    <t>05/08/2025</t>
  </si>
  <si>
    <t>29/10/2025</t>
  </si>
  <si>
    <t>29/12/2025</t>
  </si>
  <si>
    <t>03/09/2025</t>
  </si>
  <si>
    <t>03/11/2025</t>
  </si>
  <si>
    <t>05/01/2026</t>
  </si>
  <si>
    <t>30/09/2025</t>
  </si>
  <si>
    <t>10/11/2025</t>
  </si>
  <si>
    <t>12/01/2026</t>
  </si>
  <si>
    <t>Período abrangido: 12/05/2025 a 16/03/2026 | Nível piezométrico mínimo: 8.39 m | Estado máximo das células de carga: Alarme</t>
  </si>
  <si>
    <t>17/11/2025</t>
  </si>
  <si>
    <t>19/01/2026</t>
  </si>
  <si>
    <t>24/11/2025</t>
  </si>
  <si>
    <t>26/01/2026</t>
  </si>
  <si>
    <t>02/12/2025</t>
  </si>
  <si>
    <t>02/02/2026</t>
  </si>
  <si>
    <t>31/10/2025</t>
  </si>
  <si>
    <t>09/02/2026</t>
  </si>
  <si>
    <t>16/02/2026</t>
  </si>
  <si>
    <t>19/02/2026</t>
  </si>
  <si>
    <t>23/02/2026</t>
  </si>
  <si>
    <t>26/02/2026</t>
  </si>
  <si>
    <t>02/03/2026</t>
  </si>
  <si>
    <t>05/03/2026</t>
  </si>
  <si>
    <t>09/03/2026</t>
  </si>
  <si>
    <t>29/01/2026</t>
  </si>
  <si>
    <t>12/03/2026</t>
  </si>
  <si>
    <t>16/03/2026</t>
  </si>
  <si>
    <t>05/02/2026</t>
  </si>
  <si>
    <t>Tipo</t>
  </si>
  <si>
    <t>ID</t>
  </si>
  <si>
    <t>Localização / elemento</t>
  </si>
  <si>
    <t>Grandeza observada</t>
  </si>
  <si>
    <t>Unidade</t>
  </si>
  <si>
    <t>M inicial</t>
  </si>
  <si>
    <t>P inicial</t>
  </si>
  <si>
    <t>Z / cota inicial</t>
  </si>
  <si>
    <t>Profundidade / comprimento (m)</t>
  </si>
  <si>
    <t>Stick-up (m)</t>
  </si>
  <si>
    <t>Azimute A+ (°)</t>
  </si>
  <si>
    <t>Blocagem (kN)</t>
  </si>
  <si>
    <t>Estado</t>
  </si>
  <si>
    <t>Ficheiro fonte</t>
  </si>
  <si>
    <t>Página</t>
  </si>
  <si>
    <t>Alvo topográfico</t>
  </si>
  <si>
    <t>A1</t>
  </si>
  <si>
    <t>Edifício Santa Casa da Misericórdia</t>
  </si>
  <si>
    <t>Deslocamento tridimensional</t>
  </si>
  <si>
    <t>m / mm</t>
  </si>
  <si>
    <t>Ativo</t>
  </si>
  <si>
    <t>RELATÓRIO ALVOS TOPOGRÁFICOS - Empreitada THE EDEN, Estoril_ R04_03-09-25(1).pdf</t>
  </si>
  <si>
    <t>A2</t>
  </si>
  <si>
    <t>A3</t>
  </si>
  <si>
    <t>A4</t>
  </si>
  <si>
    <t>A5</t>
  </si>
  <si>
    <t>Tapado</t>
  </si>
  <si>
    <t>A6</t>
  </si>
  <si>
    <t>A7</t>
  </si>
  <si>
    <t>A8</t>
  </si>
  <si>
    <t>B1</t>
  </si>
  <si>
    <t>Restaurante Cimas</t>
  </si>
  <si>
    <t>B2</t>
  </si>
  <si>
    <t>B3</t>
  </si>
  <si>
    <t>B4</t>
  </si>
  <si>
    <t>C1</t>
  </si>
  <si>
    <t>Clínica Abreu Loureiro</t>
  </si>
  <si>
    <t>C2</t>
  </si>
  <si>
    <t>C3</t>
  </si>
  <si>
    <t>C4</t>
  </si>
  <si>
    <t>Inclinómetro</t>
  </si>
  <si>
    <t>I1</t>
  </si>
  <si>
    <t>Contenção periférica - localização em planta</t>
  </si>
  <si>
    <t>Deslocamento horizontal em profundidade</t>
  </si>
  <si>
    <t>mm</t>
  </si>
  <si>
    <t>RELATÓRIO LEITURAS INCLINOMÉTRICAS - Empreitada THE EDEN, Estoril_ R05_03-11-25.pdf</t>
  </si>
  <si>
    <t>I2</t>
  </si>
  <si>
    <t>I3</t>
  </si>
  <si>
    <t>Piezómetro</t>
  </si>
  <si>
    <t>PZ1</t>
  </si>
  <si>
    <t>Contenção periférica - alçado A-B</t>
  </si>
  <si>
    <t>Nível de água</t>
  </si>
  <si>
    <t>m</t>
  </si>
  <si>
    <t>RELATÓRIO LEITURAS PIEZOMÈTRICAS - Empreitada THE EDEN, Estoril_ R05_03-11-25.pdf</t>
  </si>
  <si>
    <t>Célula de carga</t>
  </si>
  <si>
    <t>A26 / CC 2501796</t>
  </si>
  <si>
    <t>Ancoragem A26</t>
  </si>
  <si>
    <t>Carga na ancoragem</t>
  </si>
  <si>
    <t>kN / mA</t>
  </si>
  <si>
    <t>RELATÓRIO LEITURAS CÉLULAS CARGA - Empreitada THE EDEN, Estoril_ R5_05-01-26.pdf</t>
  </si>
  <si>
    <t>Alvo/prisma topográfico</t>
  </si>
  <si>
    <t>A5b</t>
  </si>
  <si>
    <t>RELATÓRIO ALVOS TOPOGRÁFICOS - Empreitada THE EDEN, Estoril_ R09_31-10-25(1).pdf</t>
  </si>
  <si>
    <t>A6b</t>
  </si>
  <si>
    <t>A7b</t>
  </si>
  <si>
    <t>A8b</t>
  </si>
  <si>
    <t>AB1</t>
  </si>
  <si>
    <t>Escavação e Contenção Periférica - Alçado AB</t>
  </si>
  <si>
    <t>Tapado por laje</t>
  </si>
  <si>
    <t>CD1</t>
  </si>
  <si>
    <t>Escavação e Contenção Periférica - Alçado CD</t>
  </si>
  <si>
    <t>BF1</t>
  </si>
  <si>
    <t>Escavação e Contenção Periférica - Alçado BF</t>
  </si>
  <si>
    <t>BF2</t>
  </si>
  <si>
    <t>FG1</t>
  </si>
  <si>
    <t>Escavação e Contenção Periférica - Alçado FG</t>
  </si>
  <si>
    <t>GH1</t>
  </si>
  <si>
    <t>Escavação e Contenção Periférica - Alçado GH</t>
  </si>
  <si>
    <t>GH2</t>
  </si>
  <si>
    <t>GH3</t>
  </si>
  <si>
    <t>JK2</t>
  </si>
  <si>
    <t>Escavação e Contenção Periférica - Alçado JK</t>
  </si>
  <si>
    <t>KL1</t>
  </si>
  <si>
    <t>Escavação e Contenção Periférica - Alçado KL</t>
  </si>
  <si>
    <t>PQ1</t>
  </si>
  <si>
    <t>Escavação e Contenção Periférica - Alçado PQ</t>
  </si>
  <si>
    <t>JK1</t>
  </si>
  <si>
    <t>FG2</t>
  </si>
  <si>
    <t>GH4</t>
  </si>
  <si>
    <t>GH5</t>
  </si>
  <si>
    <t>KL2</t>
  </si>
  <si>
    <t>OP1</t>
  </si>
  <si>
    <t>Escavação e Contenção Periférica - Alçado OP</t>
  </si>
  <si>
    <t>DE / CC 200792</t>
  </si>
  <si>
    <t>Ancoragem no alçado DE</t>
  </si>
  <si>
    <t>RELATÓRIO LEITURAS CÉLULAS CARGA - Empreitada THE EDEN, Estoril_ R10_09-02-26.pdf</t>
  </si>
  <si>
    <t>AB1b</t>
  </si>
  <si>
    <t>RELATÓRIO ALVOS TOPOGRÁFICOS - Empreitada THE EDEN, Estoril_ R20_12-01-26(1).pdf</t>
  </si>
  <si>
    <t>AB3</t>
  </si>
  <si>
    <t>Destruído</t>
  </si>
  <si>
    <t>AB3b</t>
  </si>
  <si>
    <t>CD2</t>
  </si>
  <si>
    <t>DE1</t>
  </si>
  <si>
    <t>Escavação e Contenção Periférica - Alçado DE</t>
  </si>
  <si>
    <t>DE2</t>
  </si>
  <si>
    <t>DE2b</t>
  </si>
  <si>
    <t>FG3</t>
  </si>
  <si>
    <t>FG3b</t>
  </si>
  <si>
    <t>GH6</t>
  </si>
  <si>
    <t>GH7</t>
  </si>
  <si>
    <t>JK4</t>
  </si>
  <si>
    <t>KL3</t>
  </si>
  <si>
    <t>KL4</t>
  </si>
  <si>
    <t>MNO1</t>
  </si>
  <si>
    <t>Escavação e Contenção Periférica - Alçado MNO</t>
  </si>
  <si>
    <t>MNO3</t>
  </si>
  <si>
    <t>OP3</t>
  </si>
  <si>
    <t>PQ2</t>
  </si>
  <si>
    <t>CD2b</t>
  </si>
  <si>
    <t>RELATÓRIO ALVOS TOPOGRÁFICOS - Empreitada THE EDEN, Estoril_ R21_19-01-26.pdf</t>
  </si>
  <si>
    <t>CD3</t>
  </si>
  <si>
    <t>RELATÓRIO ALVOS TOPOGRÁFICOS - Empreitada THE EDEN, Estoril_ R22_26-01-26.pdf</t>
  </si>
  <si>
    <t>DE3</t>
  </si>
  <si>
    <t>FG4</t>
  </si>
  <si>
    <t>GH8</t>
  </si>
  <si>
    <t>GH9</t>
  </si>
  <si>
    <t>JK3</t>
  </si>
  <si>
    <t>JK4b</t>
  </si>
  <si>
    <t>JK5</t>
  </si>
  <si>
    <t>RELATÓRIO ALVOS TOPOGRÁFICOS - Empreitada THE EDEN, Estoril_ R24_02-02-26.pdf</t>
  </si>
  <si>
    <t>JK6</t>
  </si>
  <si>
    <t>KL5</t>
  </si>
  <si>
    <t>RELATÓRIO ALVOS TOPOGRÁFICOS - Empreitada THE EDEN, Estoril_ R25_05-02-26.pdf</t>
  </si>
  <si>
    <t>LM1</t>
  </si>
  <si>
    <t>Escavação e Contenção Periférica - Alçado LM</t>
  </si>
  <si>
    <t>Tipo de instrumentação</t>
  </si>
  <si>
    <t>Campanha</t>
  </si>
  <si>
    <t>Relatório</t>
  </si>
  <si>
    <t>Alvos topográficos</t>
  </si>
  <si>
    <t>Relatório 0 - Zeragem</t>
  </si>
  <si>
    <t>RELATÓRIO ALVOS TOPOGRÁFICOS - Empreitada THE EDEN, Estoril_ R00_12-05-25(1).pdf</t>
  </si>
  <si>
    <t>Relatório 1</t>
  </si>
  <si>
    <t>RELATÓRIO ALVOS TOPOGRÁFICOS - Empreitada THE EDEN, Estoril_ R01_11-06-25(1).pdf</t>
  </si>
  <si>
    <t>Relatório 2</t>
  </si>
  <si>
    <t>RELATÓRIO ALVOS TOPOGRÁFICOS - Empreitada THE EDEN, Estoril_ R02_08-07-25(1).pdf</t>
  </si>
  <si>
    <t>Relatório 3</t>
  </si>
  <si>
    <t>RELATÓRIO ALVOS TOPOGRÁFICOS - Empreitada THE EDEN, Estoril_ R03_05-08-25(1).pdf</t>
  </si>
  <si>
    <t>Relatório 4</t>
  </si>
  <si>
    <t>Inclinómetros</t>
  </si>
  <si>
    <t>RELATÓRIO LEITURAS INCLINOMÉTRICAS - Empreitada THE EDEN, Estoril_ R01_06-10-25.pdf</t>
  </si>
  <si>
    <t>RELATÓRIO LEITURAS INCLINOMÉTRICAS - Empreitada THE EDEN, Estoril_ R02_14-10-25.pdf</t>
  </si>
  <si>
    <t>RELATÓRIO LEITURAS INCLINOMÉTRICAS - Empreitada THE EDEN, Estoril_ R03_20-10-25.pdf</t>
  </si>
  <si>
    <t>RELATÓRIO LEITURAS INCLINOMÉTRICAS - Empreitada THE EDEN, Estoril_ R04_29-10-25.pdf</t>
  </si>
  <si>
    <t>Relatório 5</t>
  </si>
  <si>
    <t>Piezómetros</t>
  </si>
  <si>
    <t>RELATÓRIO LEITURAS PIEZOMÈTRICAS - Empreitada THE EDEN, Estoril_ R01_06-10-25.pdf</t>
  </si>
  <si>
    <t>RELATÓRIO LEITURAS PIEZOMÈTRICAS - Empreitada THE EDEN, Estoril_ R02_14-10-25.pdf</t>
  </si>
  <si>
    <t>RELATÓRIO LEITURAS PIEZOMÈTRICAS - Empreitada THE EDEN, Estoril_ R03_20-10-25.pdf</t>
  </si>
  <si>
    <t>RELATÓRIO LEITURAS PIEZOMÈTRICAS - Empreitada THE EDEN, Estoril_ R04_29-10-25.pdf</t>
  </si>
  <si>
    <t>Células de carga</t>
  </si>
  <si>
    <t>RELATÓRIO LEITURAS CÉLULAS CARGA - Empreitada THE EDEN, Estoril_ R1_09-12-25 rev.pdf</t>
  </si>
  <si>
    <t>RELATÓRIO LEITURAS CÉLULAS CARGA - Empreitada THE EDEN, Estoril_ R2_15-12-25.pdf</t>
  </si>
  <si>
    <t>RELATÓRIO LEITURAS CÉLULAS CARGA - Empreitada THE EDEN, Estoril_ R3_22-12-25.pdf</t>
  </si>
  <si>
    <t>RELATÓRIO LEITURAS CÉLULAS CARGA - Empreitada THE EDEN, Estoril_ R4_29-12-25.pdf</t>
  </si>
  <si>
    <t>RELATÓRIO ALVOS TOPOGRÁFICOS - Empreitada THE EDEN, Estoril_ R05_30-09-25(1).pdf</t>
  </si>
  <si>
    <t>Relatório 6</t>
  </si>
  <si>
    <t>RELATÓRIO ALVOS TOPOGRÁFICOS - Empreitada THE EDEN, Estoril_ R06_06-10-25(1).pdf</t>
  </si>
  <si>
    <t>Relatório 7</t>
  </si>
  <si>
    <t>RELATÓRIO ALVOS TOPOGRÁFICOS - Empreitada THE EDEN, Estoril_ R07_14-10-25(1).pdf</t>
  </si>
  <si>
    <t>Relatório 8</t>
  </si>
  <si>
    <t>RELATÓRIO ALVOS TOPOGRÁFICOS - Empreitada THE EDEN, Estoril_ R08_20-10-25(1).pdf</t>
  </si>
  <si>
    <t>Relatório 9</t>
  </si>
  <si>
    <t>RELATÓRIO LEITURAS INCLINOMÉTRICAS - Empreitada THE EDEN, Estoril_ R06_10-11-25.pdf</t>
  </si>
  <si>
    <t>RELATÓRIO LEITURAS INCLINOMÉTRICAS - Empreitada THE EDEN, Estoril_ R07_17-11-25.pdf</t>
  </si>
  <si>
    <t>RELATÓRIO LEITURAS INCLINOMÉTRICAS - Empreitada THE EDEN, Estoril_ R08_24-11-25.pdf</t>
  </si>
  <si>
    <t>RELATÓRIO LEITURAS INCLINOMÉTRICAS - Empreitada THE EDEN, Estoril_ R09_02-12-25.pdf</t>
  </si>
  <si>
    <t>Relatório 10</t>
  </si>
  <si>
    <t>RELATÓRIO LEITURAS INCLINOMÉTRICAS - Empreitada THE EDEN, Estoril_ R10_09-12-25.pdf</t>
  </si>
  <si>
    <t>RELATÓRIO LEITURAS PIEZOMÈTRICAS - Empreitada THE EDEN, Estoril_ R06_10-11-25.pdf</t>
  </si>
  <si>
    <t>RELATÓRIO LEITURAS PIEZOMÈTRICAS - Empreitada THE EDEN, Estoril_ R07_17-11-25.pdf</t>
  </si>
  <si>
    <t>RELATÓRIO LEITURAS PIEZOMÈTRICAS - Empreitada THE EDEN, Estoril_ R08_24-11-25.pdf</t>
  </si>
  <si>
    <t>RELATÓRIO LEITURAS PIEZOMÈTRICAS - Empreitada THE EDEN, Estoril_ R09_02-12-25.pdf</t>
  </si>
  <si>
    <t>RELATÓRIO LEITURAS PIEZOMÈTRICAS - Empreitada THE EDEN, Estoril_ R10_09-12-25.pdf</t>
  </si>
  <si>
    <t>RELATÓRIO LEITURAS CÉLULAS CARGA - Empreitada THE EDEN, Estoril_ R6_12-01-26.pdf</t>
  </si>
  <si>
    <t>RELATÓRIO LEITURAS CÉLULAS CARGA - Empreitada THE EDEN, Estoril_ R7_19-01-26.pdf</t>
  </si>
  <si>
    <t>RELATÓRIO LEITURAS CÉLULAS CARGA - Empreitada THE EDEN, Estoril_ R8_26-01-26.pdf</t>
  </si>
  <si>
    <t>RELATÓRIO LEITURAS CÉLULAS CARGA - Empreitada THE EDEN, Estoril_ R9_02-02-26.pdf</t>
  </si>
  <si>
    <t>Relatório 16</t>
  </si>
  <si>
    <t>RELATÓRIO ALVOS TOPOGRÁFICOS - Empreitada THE EDEN, Estoril_ R16_15-12-25(2).pdf</t>
  </si>
  <si>
    <t>Relatório 17</t>
  </si>
  <si>
    <t>RELATÓRIO ALVOS TOPOGRÁFICOS - Empreitada THE EDEN, Estoril_ R17_22-12-25(2).pdf</t>
  </si>
  <si>
    <t>Relatório 18</t>
  </si>
  <si>
    <t>RELATÓRIO ALVOS TOPOGRÁFICOS - Empreitada THE EDEN, Estoril_ R18_29-12-25(2).pdf</t>
  </si>
  <si>
    <t>Relatório 19</t>
  </si>
  <si>
    <t>RELATÓRIO ALVOS TOPOGRÁFICOS - Empreitada THE EDEN, Estoril_ R19_05-01-26(2).pdf</t>
  </si>
  <si>
    <t>Relatório 20</t>
  </si>
  <si>
    <t>Relatório 11</t>
  </si>
  <si>
    <t>RELATÓRIO LEITURAS INCLINOMÉTRICAS - Empreitada THE EDEN, Estoril_ R11_15-12-25(1).pdf</t>
  </si>
  <si>
    <t>RELATÓRIO LEITURAS PIEZOMÈTRICAS - Empreitada THE EDEN, Estoril_ R11_15-12-25(1).pdf</t>
  </si>
  <si>
    <t>Relatório 12</t>
  </si>
  <si>
    <t>RELATÓRIO LEITURAS INCLINOMÉTRICAS - Empreitada THE EDEN, Estoril_ R12_22-12-25(1).pdf</t>
  </si>
  <si>
    <t>RELATÓRIO LEITURAS PIEZOMÈTRICAS - Empreitada THE EDEN, Estoril_ R12_22-12-25(1).pdf</t>
  </si>
  <si>
    <t>Relatório 13</t>
  </si>
  <si>
    <t>RELATÓRIO LEITURAS INCLINOMÉTRICAS - Empreitada THE EDEN, Estoril_ R13_29-12-25(1).pdf</t>
  </si>
  <si>
    <t>RELATÓRIO LEITURAS PIEZOMÈTRICAS - Empreitada THE EDEN, Estoril_ R13_29-12-25(1).pdf</t>
  </si>
  <si>
    <t>Relatório 14</t>
  </si>
  <si>
    <t>RELATÓRIO LEITURAS INCLINOMÉTRICAS - Empreitada THE EDEN, Estoril_ R14_05-01-26(1).pdf</t>
  </si>
  <si>
    <t>RELATÓRIO LEITURAS PIEZOMÈTRICAS - Empreitada THE EDEN, Estoril_ R14_05-01-26(1).pdf</t>
  </si>
  <si>
    <t>Relatório 15</t>
  </si>
  <si>
    <t>RELATÓRIO LEITURAS INCLINOMÉTRICAS - Empreitada THE EDEN, Estoril_ R15_12-01-26(1).pdf</t>
  </si>
  <si>
    <t>RELATÓRIO LEITURAS PIEZOMÈTRICAS - Empreitada THE EDEN, Estoril_ R15_12-01-26(1).pdf</t>
  </si>
  <si>
    <t>RELATÓRIO LEITURAS CÉLULAS CARGA - Empreitada THE EDEN, Estoril_ R11_16-02-26(1).pdf</t>
  </si>
  <si>
    <t>RELATÓRIO LEITURAS CÉLULAS CARGA - Empreitada THE EDEN, Estoril_ R12_19-02-26(1).pdf</t>
  </si>
  <si>
    <t>RELATÓRIO LEITURAS CÉLULAS CARGA - Empreitada THE EDEN, Estoril_ R13_23-02-26(1).pdf</t>
  </si>
  <si>
    <t>RELATÓRIO LEITURAS CÉLULAS CARGA - Empreitada THE EDEN, Estoril_ R14_26-02-26(1).pdf</t>
  </si>
  <si>
    <t>Relatório 21</t>
  </si>
  <si>
    <t>Relatório 22</t>
  </si>
  <si>
    <t>Relatório 23</t>
  </si>
  <si>
    <t>RELATÓRIO ALVOS TOPOGRÁFICOS - Empreitada THE EDEN, Estoril_ R23_29-01-26.pdf</t>
  </si>
  <si>
    <t>Relatório 24</t>
  </si>
  <si>
    <t>Relatório 25</t>
  </si>
  <si>
    <t>RELATÓRIO LEITURAS INCLINOMÉTRICAS - Empreitada THE EDEN, Estoril_ R16_19-01-26.pdf</t>
  </si>
  <si>
    <t>RELATÓRIO LEITURAS PIEZOMÈTRICAS - Empreitada THE EDEN, Estoril_ R16_19-01-26.pdf</t>
  </si>
  <si>
    <t>RELATÓRIO LEITURAS INCLINOMÉTRICAS - Empreitada THE EDEN, Estoril_ R17_26-01-26.pdf</t>
  </si>
  <si>
    <t>RELATÓRIO LEITURAS PIEZOMÈTRICAS - Empreitada THE EDEN, Estoril_ R17_26-01-26.pdf</t>
  </si>
  <si>
    <t>RELATÓRIO LEITURAS INCLINOMÉTRICAS - Empreitada THE EDEN, Estoril_ R18_02-02-26.pdf</t>
  </si>
  <si>
    <t>RELATÓRIO LEITURAS PIEZOMÈTRICAS - Empreitada THE EDEN, Estoril_ R18_02-02-26.pdf</t>
  </si>
  <si>
    <t>RELATÓRIO LEITURAS INCLINOMÉTRICAS - Empreitada THE EDEN, Estoril_ R19_09-02-26.pdf</t>
  </si>
  <si>
    <t>RELATÓRIO LEITURAS PIEZOMÈTRICAS - Empreitada THE EDEN, Estoril_ R19_09-02-26.pdf</t>
  </si>
  <si>
    <t>RELATÓRIO LEITURAS INCLINOMÉTRICAS - Empreitada THE EDEN, Estoril_ R20_16-02-26.pdf</t>
  </si>
  <si>
    <t>RELATÓRIO LEITURAS PIEZOMÈTRICAS - Empreitada THE EDEN, Estoril_ R20_16-02-26.pdf</t>
  </si>
  <si>
    <t>RELATÓRIO LEITURAS CÉLULAS CARGA - Empreitada THE EDEN, Estoril_ R15_02-03-26.pdf</t>
  </si>
  <si>
    <t>RELATÓRIO LEITURAS CÉLULAS CARGA - Empreitada THE EDEN, Estoril_ R16_05-03-26.pdf</t>
  </si>
  <si>
    <t>RELATÓRIO LEITURAS CÉLULAS CARGA - Empreitada THE EDEN, Estoril_ R17_09-03-26.pdf</t>
  </si>
  <si>
    <t>RELATÓRIO LEITURAS CÉLULAS CARGA - Empreitada THE EDEN, Estoril_ R18_12-03-26.pdf</t>
  </si>
  <si>
    <t>RELATÓRIO LEITURAS CÉLULAS CARGA - Empreitada THE EDEN, Estoril_ R19_16-03-26.pdf</t>
  </si>
  <si>
    <t>Alvo</t>
  </si>
  <si>
    <t>Edifício / elemento</t>
  </si>
  <si>
    <t>M0 (m)</t>
  </si>
  <si>
    <t>P0 (m)</t>
  </si>
  <si>
    <t>Z0 (m)</t>
  </si>
  <si>
    <t>M atual (m)</t>
  </si>
  <si>
    <t>P atual (m)</t>
  </si>
  <si>
    <t>Z atual (m)</t>
  </si>
  <si>
    <t>ΔM incremental (mm)</t>
  </si>
  <si>
    <t>ΔP incremental (mm)</t>
  </si>
  <si>
    <t>ΔZ incremental (mm)</t>
  </si>
  <si>
    <t>ΔM acumulado (mm)</t>
  </si>
  <si>
    <t>ΔP acumulado (mm)</t>
  </si>
  <si>
    <t>ΔZ acumulado (mm)</t>
  </si>
  <si>
    <t>Desloc. horizontal acumulado (mm)</t>
  </si>
  <si>
    <t>Campanha geral</t>
  </si>
  <si>
    <t>Leitura do instrumento</t>
  </si>
  <si>
    <t>Máx. desloc. acumulado total (mm)</t>
  </si>
  <si>
    <t>Profundidade do máximo (m)</t>
  </si>
  <si>
    <t>Desl. A no máximo (mm)</t>
  </si>
  <si>
    <t>Desl. B no máximo (mm)</t>
  </si>
  <si>
    <t>Máx. |desloc. parcial| (mm)</t>
  </si>
  <si>
    <t>Profundidade do máx. parcial (m)</t>
  </si>
  <si>
    <t>Profundidade (m)</t>
  </si>
  <si>
    <t>A1 (digit)</t>
  </si>
  <si>
    <t>A3 (digit)</t>
  </si>
  <si>
    <t>B1 (digit)</t>
  </si>
  <si>
    <t>B3 (digit)</t>
  </si>
  <si>
    <t>Desl. acumulado A (mm)</t>
  </si>
  <si>
    <t>Desl. acumulado B (mm)</t>
  </si>
  <si>
    <t>Desl. acumulado total (mm)</t>
  </si>
  <si>
    <t>Desl. parcial (mm)</t>
  </si>
  <si>
    <t>Validade / observação</t>
  </si>
  <si>
    <t>Válida</t>
  </si>
  <si>
    <t>Excluir do resumo - calha fora do terreno</t>
  </si>
  <si>
    <t>Cota da boca (m)</t>
  </si>
  <si>
    <t>Profundidade reportada com sinal (m)</t>
  </si>
  <si>
    <t>Profundidade abaixo da boca (m)</t>
  </si>
  <si>
    <t>Cota da água reportada (m)</t>
  </si>
  <si>
    <t>Cota da água calculada (m)</t>
  </si>
  <si>
    <t>Diferença reportado-calculado (m)</t>
  </si>
  <si>
    <t>Comprimento (m)</t>
  </si>
  <si>
    <t>Ancoragem</t>
  </si>
  <si>
    <t>Célula</t>
  </si>
  <si>
    <t>Carga prevista (kN)</t>
  </si>
  <si>
    <t>Leitura elétrica (mA)</t>
  </si>
  <si>
    <t>Carga atual (kN)</t>
  </si>
  <si>
    <t>Variação reportada</t>
  </si>
  <si>
    <t>Variação calculada</t>
  </si>
  <si>
    <t>Diferença</t>
  </si>
  <si>
    <t>Resistência (Ω)</t>
  </si>
  <si>
    <t>Temperatura (°C)</t>
  </si>
  <si>
    <t>A26</t>
  </si>
  <si>
    <t>CC 2501796</t>
  </si>
  <si>
    <t>DE</t>
  </si>
  <si>
    <t>CC 200792</t>
  </si>
  <si>
    <t>N.º</t>
  </si>
  <si>
    <t>Questão identificada</t>
  </si>
  <si>
    <t>Tratamento adotado no Excel</t>
  </si>
  <si>
    <t>O texto introdutório refere 12 alvos/prismas, mas as tabelas apresentam 16 identificações: A1-A8, B1-B4 e C1-C4.</t>
  </si>
  <si>
    <t>Foram registados os 16 alvos efetivamente presentes nas tabelas de coordenadas.</t>
  </si>
  <si>
    <t>No relatório de 14/10/2025, o resumo refere I3 = 2,30 m @ 13,00 m, embora as tabelas usem milímetros.</t>
  </si>
  <si>
    <t>O valor foi tratado como 2,30 mm, em coerência com a unidade das tabelas e dos restantes resultados.</t>
  </si>
  <si>
    <t>O inclinómetro I3 não apresenta leitura em 06/10/2025; a sua primeira leitura ocorre em 14/10/2025.</t>
  </si>
  <si>
    <t>A numeração própria do I3 foi preservada e a campanha geral foi registada separadamente.</t>
  </si>
  <si>
    <t>A coluna Prof.(m) é apresentada com valores negativos, em simultâneo com a cota positiva do nível de água.</t>
  </si>
  <si>
    <t>Foi preservado o valor com sinal e criada uma coluna calculada com a profundidade positiva abaixo da boca.</t>
  </si>
  <si>
    <t>A carga prevista é 1000 kN no primeiro relatório e 850 kN nos relatórios seguintes.</t>
  </si>
  <si>
    <t>O valor foi mantido por campanha, sem uniformização artificial.</t>
  </si>
  <si>
    <t>As colunas de resistência e temperatura não contêm valores nas campanhas fornecidas.</t>
  </si>
  <si>
    <t>As colunas foram mantidas no modelo, com células vazias, para futura atualização.</t>
  </si>
  <si>
    <t>Os alvos A5 a A8 ficaram tapados por um painel publicitário; foram instalados A5b a A8b e zerados em 20/10/2025.</t>
  </si>
  <si>
    <t>As séries antigas foram preservadas como sem leitura e foram criadas séries autónomas para A5b-A8b.</t>
  </si>
  <si>
    <t>Alvos/prismas da contenção</t>
  </si>
  <si>
    <t>A instrumentação da escavação e contenção periférica possui datas de zeragem diferentes consoante o alvo/prisma.</t>
  </si>
  <si>
    <t>Foi criada uma linha de campanha 0 por instrumento, utilizando a respetiva data individual de zeragem.</t>
  </si>
  <si>
    <t>O relatório R10 apresenta no resumo I3 = 6,27 mm @ 6,50 m, mas não inclui o perfil detalhado da leitura 10 do I3.</t>
  </si>
  <si>
    <t>O máximo foi registado na folha de resumo; não foram inventadas linhas de perfil para essa campanha.</t>
  </si>
  <si>
    <t>A célula do alçado DE surge a partir de 26/01/2026, com blocagem de 670,0 kN e carga prevista de 600,0 kN.</t>
  </si>
  <si>
    <t>Foi adicionada como instrumento autónomo e mantida separada da série da ancoragem A26.</t>
  </si>
  <si>
    <t>No relatório R16, os alvos A5-A8 surgem com leitura atual 0,0000, apesar de se encontrarem tapados e já terem sido substituídos por A5b-A8b.</t>
  </si>
  <si>
    <t>Os valores 0,0000 foram tratados como ausência de leitura, em coerência com a regra já adotada no modelo e com as campanhas seguintes.</t>
  </si>
  <si>
    <t>O relatório R20 identifica AB1 como tapado por laje e CD2, JK4, AB3, FG3 e DE2 como destruídos.</t>
  </si>
  <si>
    <t>Os estados foram refletidos no cadastro; as séries de substituição permanecem autónomas quando aplicável.</t>
  </si>
  <si>
    <t>No relatório R16 (19/01/2026), o resumo indica I3 = 11,25 mm @ 7,00 m, enquanto a tabela detalhada do perfil apresenta o máximo de 11,25 mm a 7,50 m.</t>
  </si>
  <si>
    <t>Foi adotada a profundidade de 7,50 m calculada a partir do perfil detalhado, preservando a discrepância nesta folha de qualidade de dados.</t>
  </si>
  <si>
    <t>Entre 19/01/2026 e 05/02/2026 foram introduzidos e zerados novos alvos/prismas (CD2b, CD3, DE3, FG4, GH8, GH9, JK3, JK4b, JK5, JK6, LM1 e KL5); o relatório R24 indica ainda a destruição de KL4.</t>
  </si>
  <si>
    <t>Foram criadas séries autónomas com campanha 0 na respetiva data de zeragem, e o estado de KL4 foi atualizado para Destruído.</t>
  </si>
  <si>
    <t>Folha</t>
  </si>
  <si>
    <t>Campo / conjunto</t>
  </si>
  <si>
    <t>Descrição</t>
  </si>
  <si>
    <t>Unidade / formato</t>
  </si>
  <si>
    <t>Instrumentos</t>
  </si>
  <si>
    <t>Uma linha por instrumento</t>
  </si>
  <si>
    <t>Cadastro principal e características estáticas de cada instrumento.</t>
  </si>
  <si>
    <t>Várias</t>
  </si>
  <si>
    <t>Campanhas</t>
  </si>
  <si>
    <t>Uma linha por relatório</t>
  </si>
  <si>
    <t>Índice cronológico dos 20 relatórios entregues.</t>
  </si>
  <si>
    <t>Data dd/mm/aaaa</t>
  </si>
  <si>
    <t>Alvos_Topograficos</t>
  </si>
  <si>
    <t>Δ incremental</t>
  </si>
  <si>
    <t>Variação relativamente à campanha anterior.</t>
  </si>
  <si>
    <t>Δ acumulado</t>
  </si>
  <si>
    <t>Variação relativamente à leitura de zeragem.</t>
  </si>
  <si>
    <t>Desloc. horizontal acumulado</t>
  </si>
  <si>
    <t>SQRT((ΔM acumulado)^2 + (ΔP acumulado)^2).</t>
  </si>
  <si>
    <t>Regular: H&lt;15 mm e |V|&lt;10 mm; Alerta: H≥15 mm ou |V|≥10 mm; Alarme: H≥25 mm ou |V|≥20 mm.</t>
  </si>
  <si>
    <t>Texto</t>
  </si>
  <si>
    <t>Inclinometros_Perfis</t>
  </si>
  <si>
    <t>Uma linha por profundidade</t>
  </si>
  <si>
    <t>Valores brutos e deslocamentos acumulados/parciais para cada profundidade.</t>
  </si>
  <si>
    <t>digit / mm</t>
  </si>
  <si>
    <t>Inclinometros_Resumo</t>
  </si>
  <si>
    <t>Máximo por leitura</t>
  </si>
  <si>
    <t>Máximo do deslocamento acumulado total calculado a partir dos perfis.</t>
  </si>
  <si>
    <t>mm / m</t>
  </si>
  <si>
    <t>Piezometros</t>
  </si>
  <si>
    <t>Profundidade com sinal</t>
  </si>
  <si>
    <t>Valor reportado no relatório; negativo abaixo da boca.</t>
  </si>
  <si>
    <t>Cota da água calculada</t>
  </si>
  <si>
    <t>Cota da boca + profundidade reportada com sinal.</t>
  </si>
  <si>
    <t>Celulas_Carga</t>
  </si>
  <si>
    <t>(Carga atual - blocagem) / blocagem.</t>
  </si>
  <si>
    <t>%</t>
  </si>
  <si>
    <t>Regular &lt;15%; Alerta 15%-25%; Alarme &gt;25%.</t>
  </si>
  <si>
    <t>Todas</t>
  </si>
  <si>
    <t>Ficheiro fonte / Página</t>
  </si>
  <si>
    <t>Rastreabilidade do dado para o relatório PDF de origem.</t>
  </si>
  <si>
    <t>Texto / inteiro</t>
  </si>
  <si>
    <t>Sem leitura</t>
  </si>
  <si>
    <t>Indica que o alvo tem coordenadas de referência, mas não pôde ser observado nessa campanha.</t>
  </si>
  <si>
    <t>Critérios - contenção 17 m</t>
  </si>
  <si>
    <t>Alçados AB, CD, BF e PQ: alerta horizontal 20 mm, alarme horizontal 40 mm; alerta vertical 10 mm e alarme vertical 15 mm.</t>
  </si>
  <si>
    <t>Critérios - contenção 24 m</t>
  </si>
  <si>
    <t>Alçados FG, GH, JK, KL, MNO e OP: alerta horizontal 30 mm, alarme horizontal 40 mm; alerta vertical 10 mm e alarme vertical 15 mm.</t>
  </si>
  <si>
    <t>Perfil detalhado indisponível</t>
  </si>
  <si>
    <t>O valor pode ser registado a partir do resumo do relatório quando a tabela de perfil não consta do documento.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</si>
</sst>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\ &quot;mm&quot;"/>
    <numFmt numFmtId="165" formatCode="0.0%"/>
    <numFmt numFmtId="166" formatCode="0.0"/>
    <numFmt numFmtId="167" formatCode="0.0000"/>
    <numFmt numFmtId="168" formatCode="0.000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8"/>
      <color rgb="FF1F4E78"/>
      <name val="Carlito"/>
    </font>
    <font>
      <b/>
      <sz val="11"/>
      <color rgb="FF40404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3" fillId="7" borderId="0" xfId="0" applyFont="1" applyFill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39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44546A"/>
      </font>
      <fill>
        <patternFill>
          <bgColor rgb="FFD9E1F2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i/>
        <color rgb="FF44546A"/>
      </font>
      <fill>
        <patternFill>
          <bgColor rgb="FFD9E1F2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44546A"/>
      </font>
      <fill>
        <patternFill patternType="solid">
          <bgColor rgb="FFD9E1F2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44546A"/>
      </font>
      <fill>
        <patternFill>
          <bgColor rgb="FFD9E1F2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i/>
        <color rgb="FF44546A"/>
      </font>
      <fill>
        <patternFill>
          <bgColor rgb="FFD9E1F2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Máximos da monitorização topográfica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Máx. H (mm)</c:v>
          </c:tx>
          <c:marker>
            <c:symbol val="none"/>
          </c:marker>
          <c:cat>
            <c:strRef>
              <c:f>Resumo!$P$2:$P$21</c:f>
              <c:strCache>
                <c:ptCount val="20"/>
                <c:pt idx="0">
                  <c:v>12/05/2025</c:v>
                </c:pt>
                <c:pt idx="1">
                  <c:v>11/06/2025</c:v>
                </c:pt>
                <c:pt idx="2">
                  <c:v>08/07/2025</c:v>
                </c:pt>
                <c:pt idx="3">
                  <c:v>05/08/2025</c:v>
                </c:pt>
                <c:pt idx="4">
                  <c:v>03/09/2025</c:v>
                </c:pt>
                <c:pt idx="5">
                  <c:v>30/09/2025</c:v>
                </c:pt>
                <c:pt idx="6">
                  <c:v>06/10/2025</c:v>
                </c:pt>
                <c:pt idx="7">
                  <c:v>14/10/2025</c:v>
                </c:pt>
                <c:pt idx="8">
                  <c:v>20/10/2025</c:v>
                </c:pt>
                <c:pt idx="9">
                  <c:v>31/10/2025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29/01/2026</c:v>
                </c:pt>
                <c:pt idx="18">
                  <c:v>02/02/2026</c:v>
                </c:pt>
                <c:pt idx="19">
                  <c:v>05/02/2026</c:v>
                </c:pt>
              </c:strCache>
            </c:strRef>
          </c:cat>
          <c:val>
            <c:numRef>
              <c:f>Resumo!$Q$2:$Q$21</c:f>
              <c:numCache>
                <c:formatCode>0.00</c:formatCode>
                <c:ptCount val="20"/>
                <c:pt idx="0">
                  <c:v>0</c:v>
                </c:pt>
                <c:pt idx="1">
                  <c:v>3.4713109915419564</c:v>
                </c:pt>
                <c:pt idx="2">
                  <c:v>4.6572524088780076</c:v>
                </c:pt>
                <c:pt idx="3">
                  <c:v>5.5009090157900271</c:v>
                </c:pt>
                <c:pt idx="4">
                  <c:v>7.6655071586947203</c:v>
                </c:pt>
                <c:pt idx="5">
                  <c:v>11.035397591387452</c:v>
                </c:pt>
                <c:pt idx="6">
                  <c:v>10.332473082471592</c:v>
                </c:pt>
                <c:pt idx="7">
                  <c:v>12.854960132182441</c:v>
                </c:pt>
                <c:pt idx="8">
                  <c:v>15.692354826475215</c:v>
                </c:pt>
                <c:pt idx="9">
                  <c:v>18.263077506269308</c:v>
                </c:pt>
                <c:pt idx="10">
                  <c:v>31.349960127566355</c:v>
                </c:pt>
                <c:pt idx="11">
                  <c:v>33.601488062286762</c:v>
                </c:pt>
                <c:pt idx="12">
                  <c:v>37.657535766430598</c:v>
                </c:pt>
                <c:pt idx="13">
                  <c:v>38.676607917447981</c:v>
                </c:pt>
                <c:pt idx="14">
                  <c:v>40.784433304877489</c:v>
                </c:pt>
                <c:pt idx="15">
                  <c:v>45.988259371278666</c:v>
                </c:pt>
                <c:pt idx="16">
                  <c:v>48.390184955215865</c:v>
                </c:pt>
                <c:pt idx="17">
                  <c:v>49.194003699638024</c:v>
                </c:pt>
                <c:pt idx="18">
                  <c:v>51.390466041864222</c:v>
                </c:pt>
                <c:pt idx="19">
                  <c:v>51.16688382147187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67-4BB0-B6D9-D53184FF6F92}"/>
            </c:ext>
          </c:extLst>
        </c:ser>
        <c:ser>
          <c:idx val="1"/>
          <c:order val="1"/>
          <c:tx>
            <c:v>Máx. V (mm)</c:v>
          </c:tx>
          <c:marker>
            <c:symbol val="none"/>
          </c:marker>
          <c:cat>
            <c:strRef>
              <c:f>Resumo!$P$2:$P$21</c:f>
              <c:strCache>
                <c:ptCount val="20"/>
                <c:pt idx="0">
                  <c:v>12/05/2025</c:v>
                </c:pt>
                <c:pt idx="1">
                  <c:v>11/06/2025</c:v>
                </c:pt>
                <c:pt idx="2">
                  <c:v>08/07/2025</c:v>
                </c:pt>
                <c:pt idx="3">
                  <c:v>05/08/2025</c:v>
                </c:pt>
                <c:pt idx="4">
                  <c:v>03/09/2025</c:v>
                </c:pt>
                <c:pt idx="5">
                  <c:v>30/09/2025</c:v>
                </c:pt>
                <c:pt idx="6">
                  <c:v>06/10/2025</c:v>
                </c:pt>
                <c:pt idx="7">
                  <c:v>14/10/2025</c:v>
                </c:pt>
                <c:pt idx="8">
                  <c:v>20/10/2025</c:v>
                </c:pt>
                <c:pt idx="9">
                  <c:v>31/10/2025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29/01/2026</c:v>
                </c:pt>
                <c:pt idx="18">
                  <c:v>02/02/2026</c:v>
                </c:pt>
                <c:pt idx="19">
                  <c:v>05/02/2026</c:v>
                </c:pt>
              </c:strCache>
            </c:strRef>
          </c:cat>
          <c:val>
            <c:numRef>
              <c:f>Resumo!$R$2:$R$21</c:f>
              <c:numCache>
                <c:formatCode>0.00</c:formatCode>
                <c:ptCount val="20"/>
                <c:pt idx="0">
                  <c:v>0</c:v>
                </c:pt>
                <c:pt idx="1">
                  <c:v>2.6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4.7</c:v>
                </c:pt>
                <c:pt idx="6">
                  <c:v>2.5</c:v>
                </c:pt>
                <c:pt idx="7">
                  <c:v>4.5</c:v>
                </c:pt>
                <c:pt idx="8">
                  <c:v>5.3</c:v>
                </c:pt>
                <c:pt idx="9">
                  <c:v>6</c:v>
                </c:pt>
                <c:pt idx="10">
                  <c:v>11.5</c:v>
                </c:pt>
                <c:pt idx="11">
                  <c:v>13.2</c:v>
                </c:pt>
                <c:pt idx="12">
                  <c:v>15.9</c:v>
                </c:pt>
                <c:pt idx="13">
                  <c:v>15.8</c:v>
                </c:pt>
                <c:pt idx="14">
                  <c:v>17.100000000000001</c:v>
                </c:pt>
                <c:pt idx="15">
                  <c:v>20.5</c:v>
                </c:pt>
                <c:pt idx="16">
                  <c:v>21.3</c:v>
                </c:pt>
                <c:pt idx="17">
                  <c:v>21.7</c:v>
                </c:pt>
                <c:pt idx="18">
                  <c:v>23.3</c:v>
                </c:pt>
                <c:pt idx="19">
                  <c:v>22.8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67-4BB0-B6D9-D53184FF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Máximo acumulado por inclinómetro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I1 (mm)</c:v>
          </c:tx>
          <c:marker>
            <c:symbol val="none"/>
          </c:marker>
          <c:cat>
            <c:strRef>
              <c:f>Resumo!$T$2:$T$21</c:f>
              <c:strCache>
                <c:ptCount val="20"/>
                <c:pt idx="0">
                  <c:v>06/10/2025</c:v>
                </c:pt>
                <c:pt idx="1">
                  <c:v>14/10/2025</c:v>
                </c:pt>
                <c:pt idx="2">
                  <c:v>20/10/2025</c:v>
                </c:pt>
                <c:pt idx="3">
                  <c:v>29/10/2025</c:v>
                </c:pt>
                <c:pt idx="4">
                  <c:v>03/11/2025</c:v>
                </c:pt>
                <c:pt idx="5">
                  <c:v>10/11/2025</c:v>
                </c:pt>
                <c:pt idx="6">
                  <c:v>17/11/2025</c:v>
                </c:pt>
                <c:pt idx="7">
                  <c:v>24/11/2025</c:v>
                </c:pt>
                <c:pt idx="8">
                  <c:v>02/12/2025</c:v>
                </c:pt>
                <c:pt idx="9">
                  <c:v>09/12/2025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02/02/2026</c:v>
                </c:pt>
                <c:pt idx="18">
                  <c:v>09/02/2026</c:v>
                </c:pt>
                <c:pt idx="19">
                  <c:v>16/02/2026</c:v>
                </c:pt>
              </c:strCache>
            </c:strRef>
          </c:cat>
          <c:val>
            <c:numRef>
              <c:f>Resumo!$U$2:$U$21</c:f>
              <c:numCache>
                <c:formatCode>0.00</c:formatCode>
                <c:ptCount val="20"/>
                <c:pt idx="0">
                  <c:v>5.62</c:v>
                </c:pt>
                <c:pt idx="1">
                  <c:v>5.1100000000000003</c:v>
                </c:pt>
                <c:pt idx="2">
                  <c:v>2.94</c:v>
                </c:pt>
                <c:pt idx="3">
                  <c:v>3.5</c:v>
                </c:pt>
                <c:pt idx="4">
                  <c:v>4.9800000000000004</c:v>
                </c:pt>
                <c:pt idx="5">
                  <c:v>4.24</c:v>
                </c:pt>
                <c:pt idx="6">
                  <c:v>5.27</c:v>
                </c:pt>
                <c:pt idx="7">
                  <c:v>6.66</c:v>
                </c:pt>
                <c:pt idx="8">
                  <c:v>8.33</c:v>
                </c:pt>
                <c:pt idx="9">
                  <c:v>9.7200000000000006</c:v>
                </c:pt>
                <c:pt idx="10">
                  <c:v>17.63</c:v>
                </c:pt>
                <c:pt idx="11">
                  <c:v>19.96</c:v>
                </c:pt>
                <c:pt idx="12">
                  <c:v>19.84</c:v>
                </c:pt>
                <c:pt idx="13">
                  <c:v>19</c:v>
                </c:pt>
                <c:pt idx="14">
                  <c:v>20.16</c:v>
                </c:pt>
                <c:pt idx="15">
                  <c:v>22.98</c:v>
                </c:pt>
                <c:pt idx="16">
                  <c:v>28.31</c:v>
                </c:pt>
                <c:pt idx="17">
                  <c:v>29.48</c:v>
                </c:pt>
                <c:pt idx="18">
                  <c:v>32.11</c:v>
                </c:pt>
                <c:pt idx="19">
                  <c:v>31.41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85-43D6-8D43-0ACCB9A06853}"/>
            </c:ext>
          </c:extLst>
        </c:ser>
        <c:ser>
          <c:idx val="1"/>
          <c:order val="1"/>
          <c:tx>
            <c:v>I2 (mm)</c:v>
          </c:tx>
          <c:marker>
            <c:symbol val="none"/>
          </c:marker>
          <c:cat>
            <c:strRef>
              <c:f>Resumo!$T$2:$T$21</c:f>
              <c:strCache>
                <c:ptCount val="20"/>
                <c:pt idx="0">
                  <c:v>06/10/2025</c:v>
                </c:pt>
                <c:pt idx="1">
                  <c:v>14/10/2025</c:v>
                </c:pt>
                <c:pt idx="2">
                  <c:v>20/10/2025</c:v>
                </c:pt>
                <c:pt idx="3">
                  <c:v>29/10/2025</c:v>
                </c:pt>
                <c:pt idx="4">
                  <c:v>03/11/2025</c:v>
                </c:pt>
                <c:pt idx="5">
                  <c:v>10/11/2025</c:v>
                </c:pt>
                <c:pt idx="6">
                  <c:v>17/11/2025</c:v>
                </c:pt>
                <c:pt idx="7">
                  <c:v>24/11/2025</c:v>
                </c:pt>
                <c:pt idx="8">
                  <c:v>02/12/2025</c:v>
                </c:pt>
                <c:pt idx="9">
                  <c:v>09/12/2025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02/02/2026</c:v>
                </c:pt>
                <c:pt idx="18">
                  <c:v>09/02/2026</c:v>
                </c:pt>
                <c:pt idx="19">
                  <c:v>16/02/2026</c:v>
                </c:pt>
              </c:strCache>
            </c:strRef>
          </c:cat>
          <c:val>
            <c:numRef>
              <c:f>Resumo!$V$2:$V$21</c:f>
              <c:numCache>
                <c:formatCode>0.00</c:formatCode>
                <c:ptCount val="20"/>
                <c:pt idx="0">
                  <c:v>1.67</c:v>
                </c:pt>
                <c:pt idx="1">
                  <c:v>0.75</c:v>
                </c:pt>
                <c:pt idx="2">
                  <c:v>1.01</c:v>
                </c:pt>
                <c:pt idx="3">
                  <c:v>3.52</c:v>
                </c:pt>
                <c:pt idx="4">
                  <c:v>4.6500000000000004</c:v>
                </c:pt>
                <c:pt idx="5">
                  <c:v>4.4400000000000004</c:v>
                </c:pt>
                <c:pt idx="6">
                  <c:v>5.0199999999999996</c:v>
                </c:pt>
                <c:pt idx="7">
                  <c:v>4.5999999999999996</c:v>
                </c:pt>
                <c:pt idx="8">
                  <c:v>7.93</c:v>
                </c:pt>
                <c:pt idx="9">
                  <c:v>8.6199999999999992</c:v>
                </c:pt>
                <c:pt idx="10">
                  <c:v>9.08</c:v>
                </c:pt>
                <c:pt idx="11">
                  <c:v>10.3</c:v>
                </c:pt>
                <c:pt idx="12">
                  <c:v>9.81</c:v>
                </c:pt>
                <c:pt idx="13">
                  <c:v>9.94</c:v>
                </c:pt>
                <c:pt idx="14">
                  <c:v>10.73</c:v>
                </c:pt>
                <c:pt idx="15">
                  <c:v>11.79</c:v>
                </c:pt>
                <c:pt idx="16">
                  <c:v>12.88</c:v>
                </c:pt>
                <c:pt idx="17">
                  <c:v>14.49</c:v>
                </c:pt>
                <c:pt idx="18">
                  <c:v>15.35</c:v>
                </c:pt>
                <c:pt idx="19">
                  <c:v>17.190000000000001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85-43D6-8D43-0ACCB9A06853}"/>
            </c:ext>
          </c:extLst>
        </c:ser>
        <c:ser>
          <c:idx val="2"/>
          <c:order val="2"/>
          <c:tx>
            <c:v>I3 (mm)</c:v>
          </c:tx>
          <c:marker>
            <c:symbol val="none"/>
          </c:marker>
          <c:cat>
            <c:strRef>
              <c:f>Resumo!$T$2:$T$21</c:f>
              <c:strCache>
                <c:ptCount val="20"/>
                <c:pt idx="0">
                  <c:v>06/10/2025</c:v>
                </c:pt>
                <c:pt idx="1">
                  <c:v>14/10/2025</c:v>
                </c:pt>
                <c:pt idx="2">
                  <c:v>20/10/2025</c:v>
                </c:pt>
                <c:pt idx="3">
                  <c:v>29/10/2025</c:v>
                </c:pt>
                <c:pt idx="4">
                  <c:v>03/11/2025</c:v>
                </c:pt>
                <c:pt idx="5">
                  <c:v>10/11/2025</c:v>
                </c:pt>
                <c:pt idx="6">
                  <c:v>17/11/2025</c:v>
                </c:pt>
                <c:pt idx="7">
                  <c:v>24/11/2025</c:v>
                </c:pt>
                <c:pt idx="8">
                  <c:v>02/12/2025</c:v>
                </c:pt>
                <c:pt idx="9">
                  <c:v>09/12/2025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02/02/2026</c:v>
                </c:pt>
                <c:pt idx="18">
                  <c:v>09/02/2026</c:v>
                </c:pt>
                <c:pt idx="19">
                  <c:v>16/02/2026</c:v>
                </c:pt>
              </c:strCache>
            </c:strRef>
          </c:cat>
          <c:val>
            <c:numRef>
              <c:f>Resumo!$W$2:$W$21</c:f>
              <c:numCache>
                <c:formatCode>0.00</c:formatCode>
                <c:ptCount val="20"/>
                <c:pt idx="1">
                  <c:v>2.2999999999999998</c:v>
                </c:pt>
                <c:pt idx="2">
                  <c:v>2.25</c:v>
                </c:pt>
                <c:pt idx="3">
                  <c:v>3.25</c:v>
                </c:pt>
                <c:pt idx="4">
                  <c:v>1.99</c:v>
                </c:pt>
                <c:pt idx="5">
                  <c:v>1.44</c:v>
                </c:pt>
                <c:pt idx="6">
                  <c:v>1.79</c:v>
                </c:pt>
                <c:pt idx="7">
                  <c:v>2.08</c:v>
                </c:pt>
                <c:pt idx="8">
                  <c:v>2.98</c:v>
                </c:pt>
                <c:pt idx="9">
                  <c:v>6.27</c:v>
                </c:pt>
                <c:pt idx="10">
                  <c:v>6.21</c:v>
                </c:pt>
                <c:pt idx="11">
                  <c:v>8.43</c:v>
                </c:pt>
                <c:pt idx="12">
                  <c:v>9.4</c:v>
                </c:pt>
                <c:pt idx="13">
                  <c:v>9.9499999999999993</c:v>
                </c:pt>
                <c:pt idx="14">
                  <c:v>10.85</c:v>
                </c:pt>
                <c:pt idx="15">
                  <c:v>11.25</c:v>
                </c:pt>
                <c:pt idx="16">
                  <c:v>10.57</c:v>
                </c:pt>
                <c:pt idx="17">
                  <c:v>11.32</c:v>
                </c:pt>
                <c:pt idx="18">
                  <c:v>12.15</c:v>
                </c:pt>
                <c:pt idx="19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85-43D6-8D43-0ACCB9A06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Evolução do nível piezométrico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Cota da água (m)</c:v>
          </c:tx>
          <c:marker>
            <c:symbol val="none"/>
          </c:marker>
          <c:cat>
            <c:strRef>
              <c:f>Resumo!$Y$2:$Y$21</c:f>
              <c:strCache>
                <c:ptCount val="20"/>
                <c:pt idx="0">
                  <c:v>06/10/2025</c:v>
                </c:pt>
                <c:pt idx="1">
                  <c:v>14/10/2025</c:v>
                </c:pt>
                <c:pt idx="2">
                  <c:v>20/10/2025</c:v>
                </c:pt>
                <c:pt idx="3">
                  <c:v>29/10/2025</c:v>
                </c:pt>
                <c:pt idx="4">
                  <c:v>03/11/2025</c:v>
                </c:pt>
                <c:pt idx="5">
                  <c:v>10/11/2025</c:v>
                </c:pt>
                <c:pt idx="6">
                  <c:v>17/11/2025</c:v>
                </c:pt>
                <c:pt idx="7">
                  <c:v>24/11/2025</c:v>
                </c:pt>
                <c:pt idx="8">
                  <c:v>02/12/2025</c:v>
                </c:pt>
                <c:pt idx="9">
                  <c:v>09/12/2025</c:v>
                </c:pt>
                <c:pt idx="10">
                  <c:v>15/12/2025</c:v>
                </c:pt>
                <c:pt idx="11">
                  <c:v>22/12/2025</c:v>
                </c:pt>
                <c:pt idx="12">
                  <c:v>29/12/2025</c:v>
                </c:pt>
                <c:pt idx="13">
                  <c:v>05/01/2026</c:v>
                </c:pt>
                <c:pt idx="14">
                  <c:v>12/01/2026</c:v>
                </c:pt>
                <c:pt idx="15">
                  <c:v>19/01/2026</c:v>
                </c:pt>
                <c:pt idx="16">
                  <c:v>26/01/2026</c:v>
                </c:pt>
                <c:pt idx="17">
                  <c:v>02/02/2026</c:v>
                </c:pt>
                <c:pt idx="18">
                  <c:v>09/02/2026</c:v>
                </c:pt>
                <c:pt idx="19">
                  <c:v>16/02/2026</c:v>
                </c:pt>
              </c:strCache>
            </c:strRef>
          </c:cat>
          <c:val>
            <c:numRef>
              <c:f>Resumo!$Z$2:$Z$21</c:f>
              <c:numCache>
                <c:formatCode>0.00</c:formatCode>
                <c:ptCount val="20"/>
                <c:pt idx="0">
                  <c:v>15.72</c:v>
                </c:pt>
                <c:pt idx="1">
                  <c:v>15.22</c:v>
                </c:pt>
                <c:pt idx="2">
                  <c:v>14.9</c:v>
                </c:pt>
                <c:pt idx="3">
                  <c:v>14.39</c:v>
                </c:pt>
                <c:pt idx="4">
                  <c:v>14.29</c:v>
                </c:pt>
                <c:pt idx="5">
                  <c:v>14.52</c:v>
                </c:pt>
                <c:pt idx="6">
                  <c:v>14.85</c:v>
                </c:pt>
                <c:pt idx="7">
                  <c:v>14.01</c:v>
                </c:pt>
                <c:pt idx="8">
                  <c:v>12.84</c:v>
                </c:pt>
                <c:pt idx="9">
                  <c:v>12.63</c:v>
                </c:pt>
                <c:pt idx="10">
                  <c:v>12.15</c:v>
                </c:pt>
                <c:pt idx="11">
                  <c:v>11.4</c:v>
                </c:pt>
                <c:pt idx="12">
                  <c:v>11.11</c:v>
                </c:pt>
                <c:pt idx="13">
                  <c:v>10.67</c:v>
                </c:pt>
                <c:pt idx="14">
                  <c:v>10.64</c:v>
                </c:pt>
                <c:pt idx="15">
                  <c:v>10.77</c:v>
                </c:pt>
                <c:pt idx="16">
                  <c:v>10.76</c:v>
                </c:pt>
                <c:pt idx="17">
                  <c:v>9.4700000000000006</c:v>
                </c:pt>
                <c:pt idx="18">
                  <c:v>8.75</c:v>
                </c:pt>
                <c:pt idx="19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79-4AD2-9DE5-AF75DFFD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Evolução da carga na ancoragem A26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A26 (kN)</c:v>
          </c:tx>
          <c:marker>
            <c:symbol val="none"/>
          </c:marker>
          <c:cat>
            <c:strRef>
              <c:f>Resumo!$AB$2:$AB$20</c:f>
              <c:strCache>
                <c:ptCount val="19"/>
                <c:pt idx="0">
                  <c:v>09/12/2025</c:v>
                </c:pt>
                <c:pt idx="1">
                  <c:v>15/12/2025</c:v>
                </c:pt>
                <c:pt idx="2">
                  <c:v>22/12/2025</c:v>
                </c:pt>
                <c:pt idx="3">
                  <c:v>29/12/2025</c:v>
                </c:pt>
                <c:pt idx="4">
                  <c:v>05/01/2026</c:v>
                </c:pt>
                <c:pt idx="5">
                  <c:v>12/01/2026</c:v>
                </c:pt>
                <c:pt idx="6">
                  <c:v>19/01/2026</c:v>
                </c:pt>
                <c:pt idx="7">
                  <c:v>26/01/2026</c:v>
                </c:pt>
                <c:pt idx="8">
                  <c:v>02/02/2026</c:v>
                </c:pt>
                <c:pt idx="9">
                  <c:v>09/02/2026</c:v>
                </c:pt>
                <c:pt idx="10">
                  <c:v>16/02/2026</c:v>
                </c:pt>
                <c:pt idx="11">
                  <c:v>19/02/2026</c:v>
                </c:pt>
                <c:pt idx="12">
                  <c:v>23/02/2026</c:v>
                </c:pt>
                <c:pt idx="13">
                  <c:v>26/02/2026</c:v>
                </c:pt>
                <c:pt idx="14">
                  <c:v>02/03/2026</c:v>
                </c:pt>
                <c:pt idx="15">
                  <c:v>05/03/2026</c:v>
                </c:pt>
                <c:pt idx="16">
                  <c:v>09/03/2026</c:v>
                </c:pt>
                <c:pt idx="17">
                  <c:v>12/03/2026</c:v>
                </c:pt>
                <c:pt idx="18">
                  <c:v>16/03/2026</c:v>
                </c:pt>
              </c:strCache>
            </c:strRef>
          </c:cat>
          <c:val>
            <c:numRef>
              <c:f>Resumo!$AC$2:$AC$20</c:f>
              <c:numCache>
                <c:formatCode>0.0</c:formatCode>
                <c:ptCount val="19"/>
                <c:pt idx="0">
                  <c:v>957.4</c:v>
                </c:pt>
                <c:pt idx="1">
                  <c:v>959.9</c:v>
                </c:pt>
                <c:pt idx="2">
                  <c:v>965.6</c:v>
                </c:pt>
                <c:pt idx="3">
                  <c:v>975.1</c:v>
                </c:pt>
                <c:pt idx="4">
                  <c:v>965.9</c:v>
                </c:pt>
                <c:pt idx="5">
                  <c:v>978.9</c:v>
                </c:pt>
                <c:pt idx="6">
                  <c:v>1016.1</c:v>
                </c:pt>
                <c:pt idx="7">
                  <c:v>1038.4000000000001</c:v>
                </c:pt>
                <c:pt idx="8">
                  <c:v>1056.2</c:v>
                </c:pt>
                <c:pt idx="9">
                  <c:v>1072.4000000000001</c:v>
                </c:pt>
                <c:pt idx="10">
                  <c:v>1078.3</c:v>
                </c:pt>
                <c:pt idx="11">
                  <c:v>1064.9000000000001</c:v>
                </c:pt>
                <c:pt idx="12">
                  <c:v>1061.4000000000001</c:v>
                </c:pt>
                <c:pt idx="13">
                  <c:v>1065</c:v>
                </c:pt>
                <c:pt idx="14">
                  <c:v>1066.9000000000001</c:v>
                </c:pt>
                <c:pt idx="15">
                  <c:v>1067.0999999999999</c:v>
                </c:pt>
                <c:pt idx="16">
                  <c:v>1070.3</c:v>
                </c:pt>
                <c:pt idx="17">
                  <c:v>1099.9000000000001</c:v>
                </c:pt>
                <c:pt idx="18">
                  <c:v>1092.9000000000001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EB-4ECA-8537-CE81A330E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nstrumentos" displayName="TabelaInstrumentos" ref="A1:O74">
  <tableColumns count="15">
    <tableColumn id="1" xr3:uid="{00000000-0010-0000-0000-000001000000}" name="Tipo"/>
    <tableColumn id="2" xr3:uid="{00000000-0010-0000-0000-000002000000}" name="ID"/>
    <tableColumn id="3" xr3:uid="{00000000-0010-0000-0000-000003000000}" name="Localização / elemento"/>
    <tableColumn id="4" xr3:uid="{00000000-0010-0000-0000-000004000000}" name="Grandeza observada"/>
    <tableColumn id="5" xr3:uid="{00000000-0010-0000-0000-000005000000}" name="Unidade"/>
    <tableColumn id="6" xr3:uid="{00000000-0010-0000-0000-000006000000}" name="M inicial"/>
    <tableColumn id="7" xr3:uid="{00000000-0010-0000-0000-000007000000}" name="P inicial"/>
    <tableColumn id="8" xr3:uid="{00000000-0010-0000-0000-000008000000}" name="Z / cota inicial"/>
    <tableColumn id="9" xr3:uid="{00000000-0010-0000-0000-000009000000}" name="Profundidade / comprimento (m)"/>
    <tableColumn id="10" xr3:uid="{00000000-0010-0000-0000-00000A000000}" name="Stick-up (m)"/>
    <tableColumn id="11" xr3:uid="{00000000-0010-0000-0000-00000B000000}" name="Azimute A+ (°)"/>
    <tableColumn id="12" xr3:uid="{00000000-0010-0000-0000-00000C000000}" name="Blocagem (kN)"/>
    <tableColumn id="13" xr3:uid="{00000000-0010-0000-0000-00000D000000}" name="Estado"/>
    <tableColumn id="14" xr3:uid="{00000000-0010-0000-0000-00000E000000}" name="Ficheiro fonte"/>
    <tableColumn id="15" xr3:uid="{00000000-0010-0000-0000-00000F000000}" name="Pági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ampanhas" displayName="TabelaCampanhas" ref="A1:E80">
  <tableColumns count="5">
    <tableColumn id="1" xr3:uid="{00000000-0010-0000-0100-000001000000}" name="Tipo de instrumentação"/>
    <tableColumn id="2" xr3:uid="{00000000-0010-0000-0100-000002000000}" name="Campanha"/>
    <tableColumn id="3" xr3:uid="{00000000-0010-0000-0100-000003000000}" name="Data"/>
    <tableColumn id="4" xr3:uid="{00000000-0010-0000-0100-000004000000}" name="Relatório"/>
    <tableColumn id="5" xr3:uid="{00000000-0010-0000-0100-000005000000}" name="Ficheiro fo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Alvos" displayName="TabelaAlvos" ref="A1:T849">
  <tableColumns count="20">
    <tableColumn id="1" xr3:uid="{00000000-0010-0000-0200-000001000000}" name="Data"/>
    <tableColumn id="2" xr3:uid="{00000000-0010-0000-0200-000002000000}" name="Campanha"/>
    <tableColumn id="3" xr3:uid="{00000000-0010-0000-0200-000003000000}" name="Alvo"/>
    <tableColumn id="4" xr3:uid="{00000000-0010-0000-0200-000004000000}" name="Edifício / elemento"/>
    <tableColumn id="5" xr3:uid="{00000000-0010-0000-0200-000005000000}" name="M0 (m)"/>
    <tableColumn id="6" xr3:uid="{00000000-0010-0000-0200-000006000000}" name="P0 (m)"/>
    <tableColumn id="7" xr3:uid="{00000000-0010-0000-0200-000007000000}" name="Z0 (m)"/>
    <tableColumn id="8" xr3:uid="{00000000-0010-0000-0200-000008000000}" name="M atual (m)"/>
    <tableColumn id="9" xr3:uid="{00000000-0010-0000-0200-000009000000}" name="P atual (m)"/>
    <tableColumn id="10" xr3:uid="{00000000-0010-0000-0200-00000A000000}" name="Z atual (m)"/>
    <tableColumn id="11" xr3:uid="{00000000-0010-0000-0200-00000B000000}" name="ΔM incremental (mm)"/>
    <tableColumn id="12" xr3:uid="{00000000-0010-0000-0200-00000C000000}" name="ΔP incremental (mm)"/>
    <tableColumn id="13" xr3:uid="{00000000-0010-0000-0200-00000D000000}" name="ΔZ incremental (mm)"/>
    <tableColumn id="14" xr3:uid="{00000000-0010-0000-0200-00000E000000}" name="ΔM acumulado (mm)"/>
    <tableColumn id="15" xr3:uid="{00000000-0010-0000-0200-00000F000000}" name="ΔP acumulado (mm)"/>
    <tableColumn id="16" xr3:uid="{00000000-0010-0000-0200-000010000000}" name="ΔZ acumulado (mm)"/>
    <tableColumn id="17" xr3:uid="{00000000-0010-0000-0200-000011000000}" name="Desloc. horizontal acumulado (mm)"/>
    <tableColumn id="18" xr3:uid="{00000000-0010-0000-0200-000012000000}" name="Estado"/>
    <tableColumn id="19" xr3:uid="{00000000-0010-0000-0200-000013000000}" name="Ficheiro fonte"/>
    <tableColumn id="20" xr3:uid="{00000000-0010-0000-0200-000014000000}" name="Págin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ResumoInclinometros" displayName="TabelaResumoInclinometros" ref="A1:L60">
  <tableColumns count="12">
    <tableColumn id="1" xr3:uid="{00000000-0010-0000-0300-000001000000}" name="Data"/>
    <tableColumn id="2" xr3:uid="{00000000-0010-0000-0300-000002000000}" name="Campanha geral"/>
    <tableColumn id="3" xr3:uid="{00000000-0010-0000-0300-000003000000}" name="Inclinómetro"/>
    <tableColumn id="4" xr3:uid="{00000000-0010-0000-0300-000004000000}" name="Leitura do instrumento"/>
    <tableColumn id="5" xr3:uid="{00000000-0010-0000-0300-000005000000}" name="Máx. desloc. acumulado total (mm)"/>
    <tableColumn id="6" xr3:uid="{00000000-0010-0000-0300-000006000000}" name="Profundidade do máximo (m)"/>
    <tableColumn id="7" xr3:uid="{00000000-0010-0000-0300-000007000000}" name="Desl. A no máximo (mm)"/>
    <tableColumn id="8" xr3:uid="{00000000-0010-0000-0300-000008000000}" name="Desl. B no máximo (mm)"/>
    <tableColumn id="9" xr3:uid="{00000000-0010-0000-0300-000009000000}" name="Máx. |desloc. parcial| (mm)"/>
    <tableColumn id="10" xr3:uid="{00000000-0010-0000-0300-00000A000000}" name="Profundidade do máx. parcial (m)"/>
    <tableColumn id="11" xr3:uid="{00000000-0010-0000-0300-00000B000000}" name="Ficheiro fonte"/>
    <tableColumn id="12" xr3:uid="{00000000-0010-0000-0300-00000C000000}" name="Págin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PerfisInclinometros" displayName="TabelaPerfisInclinometros" ref="A1:O2933">
  <tableColumns count="15">
    <tableColumn id="1" xr3:uid="{00000000-0010-0000-0400-000001000000}" name="Data"/>
    <tableColumn id="2" xr3:uid="{00000000-0010-0000-0400-000002000000}" name="Campanha geral"/>
    <tableColumn id="3" xr3:uid="{00000000-0010-0000-0400-000003000000}" name="Inclinómetro"/>
    <tableColumn id="4" xr3:uid="{00000000-0010-0000-0400-000004000000}" name="Leitura do instrumento"/>
    <tableColumn id="5" xr3:uid="{00000000-0010-0000-0400-000005000000}" name="Profundidade (m)"/>
    <tableColumn id="6" xr3:uid="{00000000-0010-0000-0400-000006000000}" name="A1 (digit)"/>
    <tableColumn id="7" xr3:uid="{00000000-0010-0000-0400-000007000000}" name="A3 (digit)"/>
    <tableColumn id="8" xr3:uid="{00000000-0010-0000-0400-000008000000}" name="B1 (digit)"/>
    <tableColumn id="9" xr3:uid="{00000000-0010-0000-0400-000009000000}" name="B3 (digit)"/>
    <tableColumn id="10" xr3:uid="{00000000-0010-0000-0400-00000A000000}" name="Desl. acumulado A (mm)"/>
    <tableColumn id="11" xr3:uid="{00000000-0010-0000-0400-00000B000000}" name="Desl. acumulado B (mm)"/>
    <tableColumn id="12" xr3:uid="{00000000-0010-0000-0400-00000C000000}" name="Desl. acumulado total (mm)"/>
    <tableColumn id="13" xr3:uid="{00000000-0010-0000-0400-00000D000000}" name="Desl. parcial (mm)"/>
    <tableColumn id="14" xr3:uid="{00000000-0010-0000-0400-00000E000000}" name="Ficheiro fonte"/>
    <tableColumn id="15" xr3:uid="{00000000-0010-0000-0400-00000F000000}" name="Pági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Piezometros" displayName="TabelaPiezometros" ref="A1:L21">
  <tableColumns count="12">
    <tableColumn id="1" xr3:uid="{00000000-0010-0000-0500-000001000000}" name="Data"/>
    <tableColumn id="2" xr3:uid="{00000000-0010-0000-0500-000002000000}" name="Campanha"/>
    <tableColumn id="3" xr3:uid="{00000000-0010-0000-0500-000003000000}" name="Piezómetro"/>
    <tableColumn id="4" xr3:uid="{00000000-0010-0000-0500-000004000000}" name="Cota da boca (m)"/>
    <tableColumn id="5" xr3:uid="{00000000-0010-0000-0500-000005000000}" name="Profundidade reportada com sinal (m)"/>
    <tableColumn id="6" xr3:uid="{00000000-0010-0000-0500-000006000000}" name="Profundidade abaixo da boca (m)"/>
    <tableColumn id="7" xr3:uid="{00000000-0010-0000-0500-000007000000}" name="Cota da água reportada (m)"/>
    <tableColumn id="8" xr3:uid="{00000000-0010-0000-0500-000008000000}" name="Cota da água calculada (m)"/>
    <tableColumn id="9" xr3:uid="{00000000-0010-0000-0500-000009000000}" name="Diferença reportado-calculado (m)"/>
    <tableColumn id="10" xr3:uid="{00000000-0010-0000-0500-00000A000000}" name="Comprimento (m)"/>
    <tableColumn id="11" xr3:uid="{00000000-0010-0000-0500-00000B000000}" name="Ficheiro fonte"/>
    <tableColumn id="12" xr3:uid="{00000000-0010-0000-0500-00000C000000}" name="Págin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CelulasCarga" displayName="TabelaCelulasCarga" ref="A1:P32">
  <tableColumns count="16">
    <tableColumn id="1" xr3:uid="{00000000-0010-0000-0600-000001000000}" name="Data"/>
    <tableColumn id="2" xr3:uid="{00000000-0010-0000-0600-000002000000}" name="Campanha"/>
    <tableColumn id="3" xr3:uid="{00000000-0010-0000-0600-000003000000}" name="Ancoragem"/>
    <tableColumn id="4" xr3:uid="{00000000-0010-0000-0600-000004000000}" name="Célula"/>
    <tableColumn id="5" xr3:uid="{00000000-0010-0000-0600-000005000000}" name="Carga prevista (kN)"/>
    <tableColumn id="6" xr3:uid="{00000000-0010-0000-0600-000006000000}" name="Blocagem (kN)"/>
    <tableColumn id="7" xr3:uid="{00000000-0010-0000-0600-000007000000}" name="Leitura elétrica (mA)"/>
    <tableColumn id="8" xr3:uid="{00000000-0010-0000-0600-000008000000}" name="Carga atual (kN)"/>
    <tableColumn id="9" xr3:uid="{00000000-0010-0000-0600-000009000000}" name="Variação reportada"/>
    <tableColumn id="10" xr3:uid="{00000000-0010-0000-0600-00000A000000}" name="Variação calculada"/>
    <tableColumn id="11" xr3:uid="{00000000-0010-0000-0600-00000B000000}" name="Diferença"/>
    <tableColumn id="12" xr3:uid="{00000000-0010-0000-0600-00000C000000}" name="Estado"/>
    <tableColumn id="13" xr3:uid="{00000000-0010-0000-0600-00000D000000}" name="Resistência (Ω)"/>
    <tableColumn id="14" xr3:uid="{00000000-0010-0000-0600-00000E000000}" name="Temperatura (°C)"/>
    <tableColumn id="15" xr3:uid="{00000000-0010-0000-0600-00000F000000}" name="Ficheiro fonte"/>
    <tableColumn id="16" xr3:uid="{00000000-0010-0000-0600-000010000000}" name="Págin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QualidadeDados" displayName="TabelaQualidadeDados" ref="A1:D15">
  <tableColumns count="4">
    <tableColumn id="1" xr3:uid="{00000000-0010-0000-0700-000001000000}" name="N.º"/>
    <tableColumn id="2" xr3:uid="{00000000-0010-0000-0700-000002000000}" name="Tipo"/>
    <tableColumn id="3" xr3:uid="{00000000-0010-0000-0700-000003000000}" name="Questão identificada"/>
    <tableColumn id="4" xr3:uid="{00000000-0010-0000-0700-000004000000}" name="Tratamento adotado no Exc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Dicionario" displayName="TabelaDicionario" ref="A1:D18">
  <tableColumns count="4">
    <tableColumn id="1" xr3:uid="{00000000-0010-0000-0800-000001000000}" name="Folha"/>
    <tableColumn id="2" xr3:uid="{00000000-0010-0000-0800-000002000000}" name="Campo / conjunto"/>
    <tableColumn id="3" xr3:uid="{00000000-0010-0000-0800-000003000000}" name="Descrição"/>
    <tableColumn id="4" xr3:uid="{00000000-0010-0000-0800-000004000000}" name="Unidade / form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workbookViewId="0">
      <selection activeCell="Z10" sqref="Z10"/>
    </sheetView>
  </sheetViews>
  <sheetFormatPr defaultRowHeight="13.8"/>
  <cols>
    <col min="1" max="14" width="12" customWidth="1"/>
    <col min="16" max="29" width="12.796875" customWidth="1"/>
    <col min="30" max="34" width="3" customWidth="1"/>
  </cols>
  <sheetData>
    <row r="1" spans="1:30" ht="25.6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t="s">
        <v>1</v>
      </c>
      <c r="Q1" t="s">
        <v>2</v>
      </c>
      <c r="R1" t="s">
        <v>3</v>
      </c>
      <c r="T1" t="s">
        <v>1</v>
      </c>
      <c r="U1" t="s">
        <v>4</v>
      </c>
      <c r="V1" t="s">
        <v>5</v>
      </c>
      <c r="W1" t="s">
        <v>6</v>
      </c>
      <c r="Y1" t="s">
        <v>1</v>
      </c>
      <c r="Z1" t="s">
        <v>7</v>
      </c>
      <c r="AB1" t="s">
        <v>1</v>
      </c>
      <c r="AC1" t="s">
        <v>8</v>
      </c>
    </row>
    <row r="2" spans="1:30" ht="25.6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P2" s="1" t="s">
        <v>9</v>
      </c>
      <c r="Q2" s="2">
        <v>0</v>
      </c>
      <c r="R2" s="2">
        <v>0</v>
      </c>
      <c r="T2" s="1" t="s">
        <v>10</v>
      </c>
      <c r="U2" s="2">
        <v>5.62</v>
      </c>
      <c r="V2" s="2">
        <v>1.67</v>
      </c>
      <c r="W2" s="2"/>
      <c r="Y2" s="1" t="s">
        <v>10</v>
      </c>
      <c r="Z2" s="2">
        <v>15.72</v>
      </c>
      <c r="AB2" s="1" t="s">
        <v>11</v>
      </c>
      <c r="AC2" s="3">
        <v>957.4</v>
      </c>
      <c r="AD2" s="3"/>
    </row>
    <row r="3" spans="1:30" ht="19.2" customHeight="1">
      <c r="A3" s="11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P3" s="1" t="s">
        <v>13</v>
      </c>
      <c r="Q3" s="2">
        <v>3.4713109915419564</v>
      </c>
      <c r="R3" s="2">
        <v>2.6</v>
      </c>
      <c r="T3" s="1" t="s">
        <v>14</v>
      </c>
      <c r="U3" s="2">
        <v>5.1100000000000003</v>
      </c>
      <c r="V3" s="2">
        <v>0.75</v>
      </c>
      <c r="W3" s="2">
        <v>2.2999999999999998</v>
      </c>
      <c r="Y3" s="1" t="s">
        <v>14</v>
      </c>
      <c r="Z3" s="2">
        <v>15.22</v>
      </c>
      <c r="AB3" s="1" t="s">
        <v>15</v>
      </c>
      <c r="AC3" s="3">
        <v>959.9</v>
      </c>
      <c r="AD3" s="3"/>
    </row>
    <row r="4" spans="1:30">
      <c r="P4" s="1" t="s">
        <v>16</v>
      </c>
      <c r="Q4" s="2">
        <v>4.6572524088780076</v>
      </c>
      <c r="R4" s="2">
        <v>2.5</v>
      </c>
      <c r="T4" s="1" t="s">
        <v>17</v>
      </c>
      <c r="U4" s="2">
        <v>2.94</v>
      </c>
      <c r="V4" s="2">
        <v>1.01</v>
      </c>
      <c r="W4" s="2">
        <v>2.25</v>
      </c>
      <c r="Y4" s="1" t="s">
        <v>17</v>
      </c>
      <c r="Z4" s="2">
        <v>14.9</v>
      </c>
      <c r="AB4" s="1" t="s">
        <v>18</v>
      </c>
      <c r="AC4" s="3">
        <v>965.6</v>
      </c>
      <c r="AD4" s="3"/>
    </row>
    <row r="5" spans="1:30">
      <c r="A5" s="12" t="s">
        <v>19</v>
      </c>
      <c r="B5" s="12"/>
      <c r="C5" s="12"/>
      <c r="D5" s="12" t="s">
        <v>20</v>
      </c>
      <c r="E5" s="12"/>
      <c r="F5" s="12"/>
      <c r="G5" s="12" t="s">
        <v>21</v>
      </c>
      <c r="H5" s="12"/>
      <c r="I5" s="12"/>
      <c r="J5" s="12" t="s">
        <v>22</v>
      </c>
      <c r="K5" s="12"/>
      <c r="L5" s="12"/>
      <c r="M5" s="12" t="s">
        <v>23</v>
      </c>
      <c r="N5" s="12"/>
      <c r="P5" s="1" t="s">
        <v>24</v>
      </c>
      <c r="Q5" s="2">
        <v>5.5009090157900271</v>
      </c>
      <c r="R5" s="2">
        <v>3</v>
      </c>
      <c r="T5" s="1" t="s">
        <v>25</v>
      </c>
      <c r="U5" s="2">
        <v>3.5</v>
      </c>
      <c r="V5" s="2">
        <v>3.52</v>
      </c>
      <c r="W5" s="2">
        <v>3.25</v>
      </c>
      <c r="Y5" s="1" t="s">
        <v>25</v>
      </c>
      <c r="Z5" s="2">
        <v>14.39</v>
      </c>
      <c r="AB5" s="1" t="s">
        <v>26</v>
      </c>
      <c r="AC5" s="3">
        <v>975.1</v>
      </c>
      <c r="AD5" s="3"/>
    </row>
    <row r="6" spans="1:30">
      <c r="A6" s="13">
        <v>73</v>
      </c>
      <c r="B6" s="13"/>
      <c r="C6" s="13"/>
      <c r="D6" s="13">
        <v>79</v>
      </c>
      <c r="E6" s="13"/>
      <c r="F6" s="13"/>
      <c r="G6" s="14">
        <v>51.390466041864222</v>
      </c>
      <c r="H6" s="14"/>
      <c r="I6" s="14"/>
      <c r="J6" s="14">
        <v>32.11</v>
      </c>
      <c r="K6" s="14"/>
      <c r="L6" s="14"/>
      <c r="M6" s="15">
        <v>0.32</v>
      </c>
      <c r="N6" s="15"/>
      <c r="P6" s="1" t="s">
        <v>27</v>
      </c>
      <c r="Q6" s="2">
        <v>7.6655071586947203</v>
      </c>
      <c r="R6" s="2">
        <v>3.5</v>
      </c>
      <c r="T6" s="1" t="s">
        <v>28</v>
      </c>
      <c r="U6" s="2">
        <v>4.9800000000000004</v>
      </c>
      <c r="V6" s="2">
        <v>4.6500000000000004</v>
      </c>
      <c r="W6" s="2">
        <v>1.99</v>
      </c>
      <c r="Y6" s="1" t="s">
        <v>28</v>
      </c>
      <c r="Z6" s="2">
        <v>14.29</v>
      </c>
      <c r="AB6" s="1" t="s">
        <v>29</v>
      </c>
      <c r="AC6" s="3">
        <v>965.9</v>
      </c>
      <c r="AD6" s="3"/>
    </row>
    <row r="7" spans="1:30">
      <c r="A7" s="13"/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5"/>
      <c r="N7" s="15"/>
      <c r="P7" s="1" t="s">
        <v>30</v>
      </c>
      <c r="Q7" s="2">
        <v>11.035397591387452</v>
      </c>
      <c r="R7" s="2">
        <v>4.7</v>
      </c>
      <c r="T7" s="1" t="s">
        <v>31</v>
      </c>
      <c r="U7" s="2">
        <v>4.24</v>
      </c>
      <c r="V7" s="2">
        <v>4.4400000000000004</v>
      </c>
      <c r="W7" s="2">
        <v>1.44</v>
      </c>
      <c r="Y7" s="1" t="s">
        <v>31</v>
      </c>
      <c r="Z7" s="2">
        <v>14.52</v>
      </c>
      <c r="AB7" s="1" t="s">
        <v>32</v>
      </c>
      <c r="AC7" s="3">
        <v>978.9</v>
      </c>
      <c r="AD7" s="3"/>
    </row>
    <row r="8" spans="1:30">
      <c r="A8" s="16" t="s">
        <v>33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P8" s="1" t="s">
        <v>10</v>
      </c>
      <c r="Q8" s="2">
        <v>10.332473082471592</v>
      </c>
      <c r="R8" s="2">
        <v>2.5</v>
      </c>
      <c r="T8" s="1" t="s">
        <v>34</v>
      </c>
      <c r="U8" s="2">
        <v>5.27</v>
      </c>
      <c r="V8" s="2">
        <v>5.0199999999999996</v>
      </c>
      <c r="W8" s="2">
        <v>1.79</v>
      </c>
      <c r="Y8" s="1" t="s">
        <v>34</v>
      </c>
      <c r="Z8" s="2">
        <v>14.85</v>
      </c>
      <c r="AB8" s="1" t="s">
        <v>35</v>
      </c>
      <c r="AC8" s="3">
        <v>1016.1</v>
      </c>
      <c r="AD8" s="3"/>
    </row>
    <row r="9" spans="1:30">
      <c r="P9" s="1" t="s">
        <v>14</v>
      </c>
      <c r="Q9" s="2">
        <v>12.854960132182441</v>
      </c>
      <c r="R9" s="2">
        <v>4.5</v>
      </c>
      <c r="T9" s="1" t="s">
        <v>36</v>
      </c>
      <c r="U9" s="2">
        <v>6.66</v>
      </c>
      <c r="V9" s="2">
        <v>4.5999999999999996</v>
      </c>
      <c r="W9" s="2">
        <v>2.08</v>
      </c>
      <c r="Y9" s="1" t="s">
        <v>36</v>
      </c>
      <c r="Z9" s="2">
        <v>14.01</v>
      </c>
      <c r="AB9" s="1" t="s">
        <v>37</v>
      </c>
      <c r="AC9" s="3">
        <v>1038.4000000000001</v>
      </c>
      <c r="AD9" s="3"/>
    </row>
    <row r="10" spans="1:30">
      <c r="P10" s="1" t="s">
        <v>17</v>
      </c>
      <c r="Q10" s="2">
        <v>15.692354826475215</v>
      </c>
      <c r="R10" s="2">
        <v>5.3</v>
      </c>
      <c r="T10" s="1" t="s">
        <v>38</v>
      </c>
      <c r="U10" s="2">
        <v>8.33</v>
      </c>
      <c r="V10" s="2">
        <v>7.93</v>
      </c>
      <c r="W10" s="2">
        <v>2.98</v>
      </c>
      <c r="Y10" s="1" t="s">
        <v>38</v>
      </c>
      <c r="Z10" s="2">
        <v>12.84</v>
      </c>
      <c r="AB10" s="1" t="s">
        <v>39</v>
      </c>
      <c r="AC10" s="3">
        <v>1056.2</v>
      </c>
      <c r="AD10" s="3"/>
    </row>
    <row r="11" spans="1:30">
      <c r="P11" s="1" t="s">
        <v>40</v>
      </c>
      <c r="Q11" s="2">
        <v>18.263077506269308</v>
      </c>
      <c r="R11" s="2">
        <v>6</v>
      </c>
      <c r="T11" s="1" t="s">
        <v>11</v>
      </c>
      <c r="U11" s="2">
        <v>9.7200000000000006</v>
      </c>
      <c r="V11" s="2">
        <v>8.6199999999999992</v>
      </c>
      <c r="W11" s="2">
        <v>6.27</v>
      </c>
      <c r="Y11" s="1" t="s">
        <v>11</v>
      </c>
      <c r="Z11" s="2">
        <v>12.63</v>
      </c>
      <c r="AB11" s="1" t="s">
        <v>41</v>
      </c>
      <c r="AC11" s="3">
        <v>1072.4000000000001</v>
      </c>
      <c r="AD11" s="3"/>
    </row>
    <row r="12" spans="1:30">
      <c r="P12" t="s">
        <v>15</v>
      </c>
      <c r="Q12" s="2">
        <v>31.349960127566355</v>
      </c>
      <c r="R12" s="2">
        <v>11.5</v>
      </c>
      <c r="T12" t="s">
        <v>15</v>
      </c>
      <c r="U12" s="2">
        <v>17.63</v>
      </c>
      <c r="V12" s="2">
        <v>9.08</v>
      </c>
      <c r="W12" s="2">
        <v>6.21</v>
      </c>
      <c r="Y12" t="s">
        <v>15</v>
      </c>
      <c r="Z12" s="2">
        <v>12.15</v>
      </c>
      <c r="AB12" t="s">
        <v>42</v>
      </c>
      <c r="AC12" s="3">
        <v>1078.3</v>
      </c>
    </row>
    <row r="13" spans="1:30">
      <c r="P13" t="s">
        <v>18</v>
      </c>
      <c r="Q13" s="2">
        <v>33.601488062286762</v>
      </c>
      <c r="R13" s="2">
        <v>13.2</v>
      </c>
      <c r="T13" t="s">
        <v>18</v>
      </c>
      <c r="U13" s="2">
        <v>19.96</v>
      </c>
      <c r="V13" s="2">
        <v>10.3</v>
      </c>
      <c r="W13" s="2">
        <v>8.43</v>
      </c>
      <c r="Y13" t="s">
        <v>18</v>
      </c>
      <c r="Z13" s="2">
        <v>11.4</v>
      </c>
      <c r="AB13" t="s">
        <v>43</v>
      </c>
      <c r="AC13" s="3">
        <v>1064.9000000000001</v>
      </c>
    </row>
    <row r="14" spans="1:30">
      <c r="P14" t="s">
        <v>26</v>
      </c>
      <c r="Q14" s="2">
        <v>37.657535766430598</v>
      </c>
      <c r="R14" s="2">
        <v>15.9</v>
      </c>
      <c r="T14" t="s">
        <v>26</v>
      </c>
      <c r="U14" s="2">
        <v>19.84</v>
      </c>
      <c r="V14" s="2">
        <v>9.81</v>
      </c>
      <c r="W14" s="2">
        <v>9.4</v>
      </c>
      <c r="Y14" t="s">
        <v>26</v>
      </c>
      <c r="Z14" s="2">
        <v>11.11</v>
      </c>
      <c r="AB14" t="s">
        <v>44</v>
      </c>
      <c r="AC14" s="3">
        <v>1061.4000000000001</v>
      </c>
    </row>
    <row r="15" spans="1:30">
      <c r="P15" t="s">
        <v>29</v>
      </c>
      <c r="Q15" s="2">
        <v>38.676607917447981</v>
      </c>
      <c r="R15" s="2">
        <v>15.8</v>
      </c>
      <c r="T15" t="s">
        <v>29</v>
      </c>
      <c r="U15" s="2">
        <v>19</v>
      </c>
      <c r="V15" s="2">
        <v>9.94</v>
      </c>
      <c r="W15" s="2">
        <v>9.9499999999999993</v>
      </c>
      <c r="Y15" t="s">
        <v>29</v>
      </c>
      <c r="Z15" s="2">
        <v>10.67</v>
      </c>
      <c r="AB15" t="s">
        <v>45</v>
      </c>
      <c r="AC15" s="3">
        <v>1065</v>
      </c>
    </row>
    <row r="16" spans="1:30">
      <c r="P16" t="s">
        <v>32</v>
      </c>
      <c r="Q16" s="2">
        <v>40.784433304877489</v>
      </c>
      <c r="R16" s="2">
        <v>17.100000000000001</v>
      </c>
      <c r="T16" t="s">
        <v>32</v>
      </c>
      <c r="U16" s="2">
        <v>20.16</v>
      </c>
      <c r="V16" s="2">
        <v>10.73</v>
      </c>
      <c r="W16" s="2">
        <v>10.85</v>
      </c>
      <c r="Y16" t="s">
        <v>32</v>
      </c>
      <c r="Z16" s="2">
        <v>10.64</v>
      </c>
      <c r="AB16" t="s">
        <v>46</v>
      </c>
      <c r="AC16" s="3">
        <v>1066.9000000000001</v>
      </c>
    </row>
    <row r="17" spans="16:29">
      <c r="P17" t="s">
        <v>35</v>
      </c>
      <c r="Q17" s="2">
        <v>45.988259371278666</v>
      </c>
      <c r="R17" s="2">
        <v>20.5</v>
      </c>
      <c r="T17" t="s">
        <v>35</v>
      </c>
      <c r="U17" s="2">
        <v>22.98</v>
      </c>
      <c r="V17" s="2">
        <v>11.79</v>
      </c>
      <c r="W17" s="2">
        <v>11.25</v>
      </c>
      <c r="Y17" t="s">
        <v>35</v>
      </c>
      <c r="Z17" s="2">
        <v>10.77</v>
      </c>
      <c r="AB17" t="s">
        <v>47</v>
      </c>
      <c r="AC17" s="3">
        <v>1067.0999999999999</v>
      </c>
    </row>
    <row r="18" spans="16:29">
      <c r="P18" t="s">
        <v>37</v>
      </c>
      <c r="Q18" s="2">
        <v>48.390184955215865</v>
      </c>
      <c r="R18" s="2">
        <v>21.3</v>
      </c>
      <c r="T18" t="s">
        <v>37</v>
      </c>
      <c r="U18" s="2">
        <v>28.31</v>
      </c>
      <c r="V18" s="2">
        <v>12.88</v>
      </c>
      <c r="W18" s="2">
        <v>10.57</v>
      </c>
      <c r="Y18" t="s">
        <v>37</v>
      </c>
      <c r="Z18" s="2">
        <v>10.76</v>
      </c>
      <c r="AB18" t="s">
        <v>48</v>
      </c>
      <c r="AC18" s="3">
        <v>1070.3</v>
      </c>
    </row>
    <row r="19" spans="16:29">
      <c r="P19" t="s">
        <v>49</v>
      </c>
      <c r="Q19" s="2">
        <v>49.194003699638024</v>
      </c>
      <c r="R19" s="2">
        <v>21.7</v>
      </c>
      <c r="T19" t="s">
        <v>39</v>
      </c>
      <c r="U19" s="2">
        <v>29.48</v>
      </c>
      <c r="V19" s="2">
        <v>14.49</v>
      </c>
      <c r="W19" s="2">
        <v>11.32</v>
      </c>
      <c r="Y19" t="s">
        <v>39</v>
      </c>
      <c r="Z19" s="2">
        <v>9.4700000000000006</v>
      </c>
      <c r="AB19" t="s">
        <v>50</v>
      </c>
      <c r="AC19" s="3">
        <v>1099.9000000000001</v>
      </c>
    </row>
    <row r="20" spans="16:29">
      <c r="P20" t="s">
        <v>39</v>
      </c>
      <c r="Q20" s="2">
        <v>51.390466041864222</v>
      </c>
      <c r="R20" s="2">
        <v>23.3</v>
      </c>
      <c r="T20" t="s">
        <v>41</v>
      </c>
      <c r="U20" s="2">
        <v>32.11</v>
      </c>
      <c r="V20" s="2">
        <v>15.35</v>
      </c>
      <c r="W20" s="2">
        <v>12.15</v>
      </c>
      <c r="Y20" t="s">
        <v>41</v>
      </c>
      <c r="Z20" s="2">
        <v>8.75</v>
      </c>
      <c r="AB20" t="s">
        <v>51</v>
      </c>
      <c r="AC20" s="3">
        <v>1092.9000000000001</v>
      </c>
    </row>
    <row r="21" spans="16:29">
      <c r="P21" t="s">
        <v>52</v>
      </c>
      <c r="Q21" s="2">
        <v>51.16688382147187</v>
      </c>
      <c r="R21" s="2">
        <v>22.8</v>
      </c>
      <c r="T21" t="s">
        <v>42</v>
      </c>
      <c r="U21" s="2">
        <v>31.41</v>
      </c>
      <c r="V21" s="2">
        <v>17.190000000000001</v>
      </c>
      <c r="W21" s="2">
        <v>12.05</v>
      </c>
      <c r="Y21" t="s">
        <v>42</v>
      </c>
      <c r="Z21" s="2">
        <v>8.39</v>
      </c>
    </row>
  </sheetData>
  <mergeCells count="13">
    <mergeCell ref="A8:N8"/>
    <mergeCell ref="A1:N2"/>
    <mergeCell ref="A3:N3"/>
    <mergeCell ref="A5:C5"/>
    <mergeCell ref="A6:C7"/>
    <mergeCell ref="D5:F5"/>
    <mergeCell ref="D6:F7"/>
    <mergeCell ref="G5:I5"/>
    <mergeCell ref="G6:I7"/>
    <mergeCell ref="J5:L5"/>
    <mergeCell ref="J6:L7"/>
    <mergeCell ref="M5:N5"/>
    <mergeCell ref="M6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workbookViewId="0"/>
  </sheetViews>
  <sheetFormatPr defaultRowHeight="13.8"/>
  <cols>
    <col min="1" max="1" width="20" customWidth="1"/>
    <col min="2" max="2" width="18" customWidth="1"/>
    <col min="3" max="3" width="36" customWidth="1"/>
    <col min="4" max="4" width="34" customWidth="1"/>
    <col min="5" max="5" width="13" customWidth="1"/>
    <col min="6" max="7" width="12" customWidth="1"/>
    <col min="8" max="8" width="14" customWidth="1"/>
    <col min="9" max="9" width="21" customWidth="1"/>
    <col min="10" max="10" width="12" customWidth="1"/>
    <col min="11" max="12" width="14" customWidth="1"/>
    <col min="13" max="13" width="12" customWidth="1"/>
    <col min="14" max="14" width="52" customWidth="1"/>
    <col min="15" max="15" width="9" customWidth="1"/>
  </cols>
  <sheetData>
    <row r="1" spans="1:15" ht="25.65" customHeight="1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</row>
    <row r="2" spans="1:1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s="6">
        <v>4990.9656999999997</v>
      </c>
      <c r="G2" s="6">
        <v>5053.7449999999999</v>
      </c>
      <c r="H2" s="6">
        <v>60.553600000000003</v>
      </c>
      <c r="I2" s="2"/>
      <c r="J2" s="2"/>
      <c r="K2" s="2"/>
      <c r="L2" s="2"/>
      <c r="M2" t="s">
        <v>73</v>
      </c>
      <c r="N2" t="s">
        <v>74</v>
      </c>
      <c r="O2">
        <v>8</v>
      </c>
    </row>
    <row r="3" spans="1:15">
      <c r="A3" t="s">
        <v>68</v>
      </c>
      <c r="B3" t="s">
        <v>75</v>
      </c>
      <c r="C3" t="s">
        <v>70</v>
      </c>
      <c r="D3" t="s">
        <v>71</v>
      </c>
      <c r="E3" t="s">
        <v>72</v>
      </c>
      <c r="F3" s="6">
        <v>4990.9760999999999</v>
      </c>
      <c r="G3" s="6">
        <v>5053.7455</v>
      </c>
      <c r="H3" s="6">
        <v>59.095199999999998</v>
      </c>
      <c r="I3" s="2"/>
      <c r="J3" s="2"/>
      <c r="K3" s="2"/>
      <c r="L3" s="2"/>
      <c r="M3" t="s">
        <v>73</v>
      </c>
      <c r="N3" t="s">
        <v>74</v>
      </c>
      <c r="O3">
        <v>8</v>
      </c>
    </row>
    <row r="4" spans="1:15">
      <c r="A4" t="s">
        <v>68</v>
      </c>
      <c r="B4" t="s">
        <v>76</v>
      </c>
      <c r="C4" t="s">
        <v>70</v>
      </c>
      <c r="D4" t="s">
        <v>71</v>
      </c>
      <c r="E4" t="s">
        <v>72</v>
      </c>
      <c r="F4" s="6">
        <v>5001.0812999999998</v>
      </c>
      <c r="G4" s="6">
        <v>5053.5291999999999</v>
      </c>
      <c r="H4" s="6">
        <v>60.621899999999997</v>
      </c>
      <c r="I4" s="2"/>
      <c r="J4" s="2"/>
      <c r="K4" s="2"/>
      <c r="L4" s="2"/>
      <c r="M4" t="s">
        <v>73</v>
      </c>
      <c r="N4" t="s">
        <v>74</v>
      </c>
      <c r="O4">
        <v>8</v>
      </c>
    </row>
    <row r="5" spans="1:15">
      <c r="A5" t="s">
        <v>68</v>
      </c>
      <c r="B5" t="s">
        <v>77</v>
      </c>
      <c r="C5" t="s">
        <v>70</v>
      </c>
      <c r="D5" t="s">
        <v>71</v>
      </c>
      <c r="E5" t="s">
        <v>72</v>
      </c>
      <c r="F5" s="6">
        <v>5001.0428000000002</v>
      </c>
      <c r="G5" s="6">
        <v>5053.5321999999996</v>
      </c>
      <c r="H5" s="6">
        <v>58.677799999999998</v>
      </c>
      <c r="I5" s="2"/>
      <c r="J5" s="2"/>
      <c r="K5" s="2"/>
      <c r="L5" s="2"/>
      <c r="M5" t="s">
        <v>73</v>
      </c>
      <c r="N5" t="s">
        <v>74</v>
      </c>
      <c r="O5">
        <v>8</v>
      </c>
    </row>
    <row r="6" spans="1:15">
      <c r="A6" t="s">
        <v>68</v>
      </c>
      <c r="B6" t="s">
        <v>78</v>
      </c>
      <c r="C6" t="s">
        <v>70</v>
      </c>
      <c r="D6" t="s">
        <v>71</v>
      </c>
      <c r="E6" t="s">
        <v>72</v>
      </c>
      <c r="F6" s="6">
        <v>5005.4017999999996</v>
      </c>
      <c r="G6" s="6">
        <v>5054.5141000000003</v>
      </c>
      <c r="H6" s="6">
        <v>60.181899999999999</v>
      </c>
      <c r="I6" s="2"/>
      <c r="J6" s="2"/>
      <c r="K6" s="2"/>
      <c r="L6" s="2"/>
      <c r="M6" t="s">
        <v>79</v>
      </c>
      <c r="N6" t="s">
        <v>74</v>
      </c>
      <c r="O6">
        <v>8</v>
      </c>
    </row>
    <row r="7" spans="1:15">
      <c r="A7" t="s">
        <v>68</v>
      </c>
      <c r="B7" t="s">
        <v>80</v>
      </c>
      <c r="C7" t="s">
        <v>70</v>
      </c>
      <c r="D7" t="s">
        <v>71</v>
      </c>
      <c r="E7" t="s">
        <v>72</v>
      </c>
      <c r="F7" s="6">
        <v>5005.4050999999999</v>
      </c>
      <c r="G7" s="6">
        <v>5054.5766999999996</v>
      </c>
      <c r="H7" s="6">
        <v>58.646999999999998</v>
      </c>
      <c r="I7" s="2"/>
      <c r="J7" s="2"/>
      <c r="K7" s="2"/>
      <c r="L7" s="2"/>
      <c r="M7" t="s">
        <v>79</v>
      </c>
      <c r="N7" t="s">
        <v>74</v>
      </c>
      <c r="O7">
        <v>8</v>
      </c>
    </row>
    <row r="8" spans="1:15">
      <c r="A8" t="s">
        <v>68</v>
      </c>
      <c r="B8" t="s">
        <v>81</v>
      </c>
      <c r="C8" t="s">
        <v>70</v>
      </c>
      <c r="D8" t="s">
        <v>71</v>
      </c>
      <c r="E8" t="s">
        <v>72</v>
      </c>
      <c r="F8" s="6">
        <v>5005.8755000000001</v>
      </c>
      <c r="G8" s="6">
        <v>5063.3173999999999</v>
      </c>
      <c r="H8" s="6">
        <v>60.481099999999998</v>
      </c>
      <c r="I8" s="2"/>
      <c r="J8" s="2"/>
      <c r="K8" s="2"/>
      <c r="L8" s="2"/>
      <c r="M8" t="s">
        <v>79</v>
      </c>
      <c r="N8" t="s">
        <v>74</v>
      </c>
      <c r="O8">
        <v>8</v>
      </c>
    </row>
    <row r="9" spans="1:15">
      <c r="A9" t="s">
        <v>68</v>
      </c>
      <c r="B9" t="s">
        <v>82</v>
      </c>
      <c r="C9" t="s">
        <v>70</v>
      </c>
      <c r="D9" t="s">
        <v>71</v>
      </c>
      <c r="E9" t="s">
        <v>72</v>
      </c>
      <c r="F9" s="6">
        <v>5005.8838999999998</v>
      </c>
      <c r="G9" s="6">
        <v>5063.7007999999996</v>
      </c>
      <c r="H9" s="6">
        <v>59.329300000000003</v>
      </c>
      <c r="I9" s="2"/>
      <c r="J9" s="2"/>
      <c r="K9" s="2"/>
      <c r="L9" s="2"/>
      <c r="M9" t="s">
        <v>79</v>
      </c>
      <c r="N9" t="s">
        <v>74</v>
      </c>
      <c r="O9">
        <v>8</v>
      </c>
    </row>
    <row r="10" spans="1:15">
      <c r="A10" t="s">
        <v>68</v>
      </c>
      <c r="B10" t="s">
        <v>83</v>
      </c>
      <c r="C10" t="s">
        <v>84</v>
      </c>
      <c r="D10" t="s">
        <v>71</v>
      </c>
      <c r="E10" t="s">
        <v>72</v>
      </c>
      <c r="F10" s="6">
        <v>5055.3705</v>
      </c>
      <c r="G10" s="6">
        <v>5037.6908000000003</v>
      </c>
      <c r="H10" s="6">
        <v>55.834499999999998</v>
      </c>
      <c r="I10" s="2"/>
      <c r="J10" s="2"/>
      <c r="K10" s="2"/>
      <c r="L10" s="2"/>
      <c r="M10" t="s">
        <v>73</v>
      </c>
      <c r="N10" t="s">
        <v>74</v>
      </c>
      <c r="O10">
        <v>8</v>
      </c>
    </row>
    <row r="11" spans="1:15">
      <c r="A11" t="s">
        <v>68</v>
      </c>
      <c r="B11" t="s">
        <v>85</v>
      </c>
      <c r="C11" t="s">
        <v>84</v>
      </c>
      <c r="D11" t="s">
        <v>71</v>
      </c>
      <c r="E11" t="s">
        <v>72</v>
      </c>
      <c r="F11" s="6">
        <v>5055.3611000000001</v>
      </c>
      <c r="G11" s="6">
        <v>5037.652</v>
      </c>
      <c r="H11" s="6">
        <v>53.920200000000001</v>
      </c>
      <c r="I11" s="2"/>
      <c r="J11" s="2"/>
      <c r="K11" s="2"/>
      <c r="L11" s="2"/>
      <c r="M11" t="s">
        <v>73</v>
      </c>
      <c r="N11" t="s">
        <v>74</v>
      </c>
      <c r="O11">
        <v>8</v>
      </c>
    </row>
    <row r="12" spans="1:15">
      <c r="A12" t="s">
        <v>68</v>
      </c>
      <c r="B12" t="s">
        <v>86</v>
      </c>
      <c r="C12" t="s">
        <v>84</v>
      </c>
      <c r="D12" t="s">
        <v>71</v>
      </c>
      <c r="E12" t="s">
        <v>72</v>
      </c>
      <c r="F12" s="6">
        <v>5053.1266999999998</v>
      </c>
      <c r="G12" s="6">
        <v>5028.5694000000003</v>
      </c>
      <c r="H12" s="6">
        <v>55.876899999999999</v>
      </c>
      <c r="I12" s="2"/>
      <c r="J12" s="2"/>
      <c r="K12" s="2"/>
      <c r="L12" s="2"/>
      <c r="M12" t="s">
        <v>73</v>
      </c>
      <c r="N12" t="s">
        <v>74</v>
      </c>
      <c r="O12">
        <v>8</v>
      </c>
    </row>
    <row r="13" spans="1:15">
      <c r="A13" t="s">
        <v>68</v>
      </c>
      <c r="B13" t="s">
        <v>87</v>
      </c>
      <c r="C13" t="s">
        <v>84</v>
      </c>
      <c r="D13" t="s">
        <v>71</v>
      </c>
      <c r="E13" t="s">
        <v>72</v>
      </c>
      <c r="F13" s="6">
        <v>5053.1229999999996</v>
      </c>
      <c r="G13" s="6">
        <v>5028.5785999999998</v>
      </c>
      <c r="H13" s="6">
        <v>54.159100000000002</v>
      </c>
      <c r="I13" s="2"/>
      <c r="J13" s="2"/>
      <c r="K13" s="2"/>
      <c r="L13" s="2"/>
      <c r="M13" t="s">
        <v>73</v>
      </c>
      <c r="N13" t="s">
        <v>74</v>
      </c>
      <c r="O13">
        <v>8</v>
      </c>
    </row>
    <row r="14" spans="1:15">
      <c r="A14" t="s">
        <v>68</v>
      </c>
      <c r="B14" t="s">
        <v>88</v>
      </c>
      <c r="C14" t="s">
        <v>89</v>
      </c>
      <c r="D14" t="s">
        <v>71</v>
      </c>
      <c r="E14" t="s">
        <v>72</v>
      </c>
      <c r="F14" s="6">
        <v>5051.1406999999999</v>
      </c>
      <c r="G14" s="6">
        <v>5062.3236999999999</v>
      </c>
      <c r="H14" s="6">
        <v>63.001399999999997</v>
      </c>
      <c r="I14" s="2"/>
      <c r="J14" s="2"/>
      <c r="K14" s="2"/>
      <c r="L14" s="2"/>
      <c r="M14" t="s">
        <v>73</v>
      </c>
      <c r="N14" t="s">
        <v>74</v>
      </c>
      <c r="O14">
        <v>8</v>
      </c>
    </row>
    <row r="15" spans="1:15">
      <c r="A15" t="s">
        <v>68</v>
      </c>
      <c r="B15" t="s">
        <v>90</v>
      </c>
      <c r="C15" t="s">
        <v>89</v>
      </c>
      <c r="D15" t="s">
        <v>71</v>
      </c>
      <c r="E15" t="s">
        <v>72</v>
      </c>
      <c r="F15" s="6">
        <v>5051.0086000000001</v>
      </c>
      <c r="G15" s="6">
        <v>5062.4333999999999</v>
      </c>
      <c r="H15" s="6">
        <v>56.898000000000003</v>
      </c>
      <c r="I15" s="2"/>
      <c r="J15" s="2"/>
      <c r="K15" s="2"/>
      <c r="L15" s="2"/>
      <c r="M15" t="s">
        <v>73</v>
      </c>
      <c r="N15" t="s">
        <v>74</v>
      </c>
      <c r="O15">
        <v>8</v>
      </c>
    </row>
    <row r="16" spans="1:15">
      <c r="A16" t="s">
        <v>68</v>
      </c>
      <c r="B16" t="s">
        <v>91</v>
      </c>
      <c r="C16" t="s">
        <v>89</v>
      </c>
      <c r="D16" t="s">
        <v>71</v>
      </c>
      <c r="E16" t="s">
        <v>72</v>
      </c>
      <c r="F16" s="6">
        <v>5058.5258999999996</v>
      </c>
      <c r="G16" s="6">
        <v>5053.1760000000004</v>
      </c>
      <c r="H16" s="6">
        <v>63.525199999999998</v>
      </c>
      <c r="I16" s="2"/>
      <c r="J16" s="2"/>
      <c r="K16" s="2"/>
      <c r="L16" s="2"/>
      <c r="M16" t="s">
        <v>73</v>
      </c>
      <c r="N16" t="s">
        <v>74</v>
      </c>
      <c r="O16">
        <v>8</v>
      </c>
    </row>
    <row r="17" spans="1:15">
      <c r="A17" t="s">
        <v>68</v>
      </c>
      <c r="B17" t="s">
        <v>92</v>
      </c>
      <c r="C17" t="s">
        <v>89</v>
      </c>
      <c r="D17" t="s">
        <v>71</v>
      </c>
      <c r="E17" t="s">
        <v>72</v>
      </c>
      <c r="F17" s="6">
        <v>5060.2732999999998</v>
      </c>
      <c r="G17" s="6">
        <v>5059.0944</v>
      </c>
      <c r="H17" s="6">
        <v>58.7943</v>
      </c>
      <c r="I17" s="2"/>
      <c r="J17" s="2"/>
      <c r="K17" s="2"/>
      <c r="L17" s="2"/>
      <c r="M17" t="s">
        <v>73</v>
      </c>
      <c r="N17" t="s">
        <v>74</v>
      </c>
      <c r="O17">
        <v>8</v>
      </c>
    </row>
    <row r="18" spans="1:1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s="6"/>
      <c r="G18" s="6"/>
      <c r="H18" s="6"/>
      <c r="I18" s="2">
        <v>27</v>
      </c>
      <c r="J18" s="2">
        <v>0.5</v>
      </c>
      <c r="K18" s="2">
        <v>330</v>
      </c>
      <c r="L18" s="2"/>
      <c r="M18" t="s">
        <v>73</v>
      </c>
      <c r="N18" t="s">
        <v>98</v>
      </c>
      <c r="O18">
        <v>3</v>
      </c>
    </row>
    <row r="19" spans="1:15">
      <c r="A19" t="s">
        <v>93</v>
      </c>
      <c r="B19" t="s">
        <v>99</v>
      </c>
      <c r="C19" t="s">
        <v>95</v>
      </c>
      <c r="D19" t="s">
        <v>96</v>
      </c>
      <c r="E19" t="s">
        <v>97</v>
      </c>
      <c r="F19" s="6"/>
      <c r="G19" s="6"/>
      <c r="H19" s="6"/>
      <c r="I19" s="2">
        <v>27</v>
      </c>
      <c r="J19" s="2">
        <v>1</v>
      </c>
      <c r="K19" s="2">
        <v>225</v>
      </c>
      <c r="L19" s="2"/>
      <c r="M19" t="s">
        <v>73</v>
      </c>
      <c r="N19" t="s">
        <v>98</v>
      </c>
      <c r="O19">
        <v>3</v>
      </c>
    </row>
    <row r="20" spans="1:15">
      <c r="A20" t="s">
        <v>93</v>
      </c>
      <c r="B20" t="s">
        <v>100</v>
      </c>
      <c r="C20" t="s">
        <v>95</v>
      </c>
      <c r="D20" t="s">
        <v>96</v>
      </c>
      <c r="E20" t="s">
        <v>97</v>
      </c>
      <c r="F20" s="6"/>
      <c r="G20" s="6"/>
      <c r="H20" s="6"/>
      <c r="I20" s="2">
        <v>22</v>
      </c>
      <c r="J20" s="2">
        <v>0</v>
      </c>
      <c r="K20" s="2">
        <v>335</v>
      </c>
      <c r="L20" s="2"/>
      <c r="M20" t="s">
        <v>73</v>
      </c>
      <c r="N20" t="s">
        <v>98</v>
      </c>
      <c r="O20">
        <v>3</v>
      </c>
    </row>
    <row r="21" spans="1:1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s="6"/>
      <c r="G21" s="6"/>
      <c r="H21" s="6">
        <v>21</v>
      </c>
      <c r="I21" s="2">
        <v>22.5</v>
      </c>
      <c r="J21" s="2"/>
      <c r="K21" s="2"/>
      <c r="L21" s="2"/>
      <c r="M21" t="s">
        <v>73</v>
      </c>
      <c r="N21" t="s">
        <v>106</v>
      </c>
      <c r="O21">
        <v>2</v>
      </c>
    </row>
    <row r="22" spans="1:1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s="6"/>
      <c r="G22" s="6"/>
      <c r="H22" s="6"/>
      <c r="I22" s="2"/>
      <c r="J22" s="2"/>
      <c r="K22" s="2"/>
      <c r="L22" s="2">
        <v>833.5</v>
      </c>
      <c r="M22" t="s">
        <v>73</v>
      </c>
      <c r="N22" t="s">
        <v>112</v>
      </c>
      <c r="O22">
        <v>5</v>
      </c>
    </row>
    <row r="23" spans="1:15">
      <c r="A23" t="s">
        <v>113</v>
      </c>
      <c r="B23" t="s">
        <v>114</v>
      </c>
      <c r="C23" t="s">
        <v>70</v>
      </c>
      <c r="D23" t="s">
        <v>71</v>
      </c>
      <c r="E23" t="s">
        <v>72</v>
      </c>
      <c r="F23" s="6">
        <v>5005.4053999999996</v>
      </c>
      <c r="G23" s="6">
        <v>5054.1601000000001</v>
      </c>
      <c r="H23" s="6">
        <v>59.572699999999998</v>
      </c>
      <c r="I23" s="2"/>
      <c r="J23" s="2"/>
      <c r="K23" s="2"/>
      <c r="L23" s="2"/>
      <c r="M23" t="s">
        <v>73</v>
      </c>
      <c r="N23" t="s">
        <v>115</v>
      </c>
      <c r="O23">
        <v>9</v>
      </c>
    </row>
    <row r="24" spans="1:15">
      <c r="A24" t="s">
        <v>113</v>
      </c>
      <c r="B24" t="s">
        <v>116</v>
      </c>
      <c r="C24" t="s">
        <v>70</v>
      </c>
      <c r="D24" t="s">
        <v>71</v>
      </c>
      <c r="E24" t="s">
        <v>72</v>
      </c>
      <c r="F24" s="6">
        <v>5005.4237999999996</v>
      </c>
      <c r="G24" s="6">
        <v>5054.4835999999996</v>
      </c>
      <c r="H24" s="6">
        <v>58.357300000000002</v>
      </c>
      <c r="I24" s="2"/>
      <c r="J24" s="2"/>
      <c r="K24" s="2"/>
      <c r="L24" s="2"/>
      <c r="M24" t="s">
        <v>73</v>
      </c>
      <c r="N24" t="s">
        <v>115</v>
      </c>
      <c r="O24">
        <v>9</v>
      </c>
    </row>
    <row r="25" spans="1:15">
      <c r="A25" t="s">
        <v>113</v>
      </c>
      <c r="B25" t="s">
        <v>117</v>
      </c>
      <c r="C25" t="s">
        <v>70</v>
      </c>
      <c r="D25" t="s">
        <v>71</v>
      </c>
      <c r="E25" t="s">
        <v>72</v>
      </c>
      <c r="F25" s="6">
        <v>5005.9258</v>
      </c>
      <c r="G25" s="6">
        <v>5064.1066000000001</v>
      </c>
      <c r="H25" s="6">
        <v>60.544499999999999</v>
      </c>
      <c r="I25" s="2"/>
      <c r="J25" s="2"/>
      <c r="K25" s="2"/>
      <c r="L25" s="2"/>
      <c r="M25" t="s">
        <v>73</v>
      </c>
      <c r="N25" t="s">
        <v>115</v>
      </c>
      <c r="O25">
        <v>9</v>
      </c>
    </row>
    <row r="26" spans="1:15">
      <c r="A26" t="s">
        <v>113</v>
      </c>
      <c r="B26" t="s">
        <v>118</v>
      </c>
      <c r="C26" t="s">
        <v>70</v>
      </c>
      <c r="D26" t="s">
        <v>71</v>
      </c>
      <c r="E26" t="s">
        <v>72</v>
      </c>
      <c r="F26" s="6">
        <v>5005.8734999999997</v>
      </c>
      <c r="G26" s="6">
        <v>5063.2722999999996</v>
      </c>
      <c r="H26" s="6">
        <v>58.732500000000002</v>
      </c>
      <c r="I26" s="2"/>
      <c r="J26" s="2"/>
      <c r="K26" s="2"/>
      <c r="L26" s="2"/>
      <c r="M26" t="s">
        <v>73</v>
      </c>
      <c r="N26" t="s">
        <v>115</v>
      </c>
      <c r="O26">
        <v>9</v>
      </c>
    </row>
    <row r="27" spans="1:15">
      <c r="A27" t="s">
        <v>113</v>
      </c>
      <c r="B27" t="s">
        <v>119</v>
      </c>
      <c r="C27" t="s">
        <v>120</v>
      </c>
      <c r="D27" t="s">
        <v>71</v>
      </c>
      <c r="E27" t="s">
        <v>72</v>
      </c>
      <c r="F27" s="6">
        <v>5019.7240000000002</v>
      </c>
      <c r="G27" s="6">
        <v>5017.4448000000002</v>
      </c>
      <c r="H27" s="6">
        <v>48.267099999999999</v>
      </c>
      <c r="I27" s="2"/>
      <c r="J27" s="2"/>
      <c r="K27" s="2"/>
      <c r="L27" s="2"/>
      <c r="M27" t="s">
        <v>121</v>
      </c>
      <c r="N27" t="s">
        <v>115</v>
      </c>
      <c r="O27">
        <v>38</v>
      </c>
    </row>
    <row r="28" spans="1:15">
      <c r="A28" t="s">
        <v>113</v>
      </c>
      <c r="B28" t="s">
        <v>122</v>
      </c>
      <c r="C28" t="s">
        <v>123</v>
      </c>
      <c r="D28" t="s">
        <v>71</v>
      </c>
      <c r="E28" t="s">
        <v>72</v>
      </c>
      <c r="F28" s="6">
        <v>4982.3819999999996</v>
      </c>
      <c r="G28" s="6">
        <v>5027.9636</v>
      </c>
      <c r="H28" s="6">
        <v>48.275500000000001</v>
      </c>
      <c r="I28" s="2"/>
      <c r="J28" s="2"/>
      <c r="K28" s="2"/>
      <c r="L28" s="2"/>
      <c r="M28" t="s">
        <v>73</v>
      </c>
      <c r="N28" t="s">
        <v>115</v>
      </c>
      <c r="O28">
        <v>38</v>
      </c>
    </row>
    <row r="29" spans="1:15">
      <c r="A29" t="s">
        <v>113</v>
      </c>
      <c r="B29" t="s">
        <v>124</v>
      </c>
      <c r="C29" t="s">
        <v>125</v>
      </c>
      <c r="D29" t="s">
        <v>71</v>
      </c>
      <c r="E29" t="s">
        <v>72</v>
      </c>
      <c r="F29" s="6">
        <v>4986.2775000000001</v>
      </c>
      <c r="G29" s="6">
        <v>5019.8639000000003</v>
      </c>
      <c r="H29" s="6">
        <v>50.872999999999998</v>
      </c>
      <c r="I29" s="2"/>
      <c r="J29" s="2"/>
      <c r="K29" s="2"/>
      <c r="L29" s="2"/>
      <c r="M29" t="s">
        <v>73</v>
      </c>
      <c r="N29" t="s">
        <v>115</v>
      </c>
      <c r="O29">
        <v>38</v>
      </c>
    </row>
    <row r="30" spans="1:15">
      <c r="A30" t="s">
        <v>113</v>
      </c>
      <c r="B30" t="s">
        <v>126</v>
      </c>
      <c r="C30" t="s">
        <v>125</v>
      </c>
      <c r="D30" t="s">
        <v>71</v>
      </c>
      <c r="E30" t="s">
        <v>72</v>
      </c>
      <c r="F30" s="6">
        <v>4977.5057999999999</v>
      </c>
      <c r="G30" s="6">
        <v>5027.6043</v>
      </c>
      <c r="H30" s="6">
        <v>52.208399999999997</v>
      </c>
      <c r="I30" s="2"/>
      <c r="J30" s="2"/>
      <c r="K30" s="2"/>
      <c r="L30" s="2"/>
      <c r="M30" t="s">
        <v>73</v>
      </c>
      <c r="N30" t="s">
        <v>115</v>
      </c>
      <c r="O30">
        <v>38</v>
      </c>
    </row>
    <row r="31" spans="1:15">
      <c r="A31" t="s">
        <v>113</v>
      </c>
      <c r="B31" t="s">
        <v>127</v>
      </c>
      <c r="C31" t="s">
        <v>128</v>
      </c>
      <c r="D31" t="s">
        <v>71</v>
      </c>
      <c r="E31" t="s">
        <v>72</v>
      </c>
      <c r="F31">
        <v>4974.3924999999999</v>
      </c>
      <c r="G31">
        <v>5039.5325999999995</v>
      </c>
      <c r="H31">
        <v>53.556800000000003</v>
      </c>
      <c r="M31" t="s">
        <v>73</v>
      </c>
      <c r="N31" t="s">
        <v>115</v>
      </c>
      <c r="O31">
        <v>38</v>
      </c>
    </row>
    <row r="32" spans="1:15">
      <c r="A32" t="s">
        <v>113</v>
      </c>
      <c r="B32" t="s">
        <v>129</v>
      </c>
      <c r="C32" t="s">
        <v>130</v>
      </c>
      <c r="D32" t="s">
        <v>71</v>
      </c>
      <c r="E32" t="s">
        <v>72</v>
      </c>
      <c r="F32">
        <v>4981.8689000000004</v>
      </c>
      <c r="G32">
        <v>5046.9902000000002</v>
      </c>
      <c r="H32">
        <v>53.966500000000003</v>
      </c>
      <c r="M32" t="s">
        <v>73</v>
      </c>
      <c r="N32" t="s">
        <v>115</v>
      </c>
      <c r="O32">
        <v>38</v>
      </c>
    </row>
    <row r="33" spans="1:15">
      <c r="A33" t="s">
        <v>113</v>
      </c>
      <c r="B33" t="s">
        <v>131</v>
      </c>
      <c r="C33" t="s">
        <v>130</v>
      </c>
      <c r="D33" t="s">
        <v>71</v>
      </c>
      <c r="E33" t="s">
        <v>72</v>
      </c>
      <c r="F33">
        <v>4993.0258000000003</v>
      </c>
      <c r="G33">
        <v>5045.3909000000003</v>
      </c>
      <c r="H33">
        <v>53.905200000000001</v>
      </c>
      <c r="M33" t="s">
        <v>73</v>
      </c>
      <c r="N33" t="s">
        <v>115</v>
      </c>
      <c r="O33">
        <v>38</v>
      </c>
    </row>
    <row r="34" spans="1:15">
      <c r="A34" t="s">
        <v>113</v>
      </c>
      <c r="B34" t="s">
        <v>132</v>
      </c>
      <c r="C34" t="s">
        <v>130</v>
      </c>
      <c r="D34" t="s">
        <v>71</v>
      </c>
      <c r="E34" t="s">
        <v>72</v>
      </c>
      <c r="F34">
        <v>5002.4090999999999</v>
      </c>
      <c r="G34">
        <v>5044.0244000000002</v>
      </c>
      <c r="H34">
        <v>53.889200000000002</v>
      </c>
      <c r="M34" t="s">
        <v>73</v>
      </c>
      <c r="N34" t="s">
        <v>115</v>
      </c>
      <c r="O34">
        <v>38</v>
      </c>
    </row>
    <row r="35" spans="1:15">
      <c r="A35" t="s">
        <v>113</v>
      </c>
      <c r="B35" t="s">
        <v>133</v>
      </c>
      <c r="C35" t="s">
        <v>134</v>
      </c>
      <c r="D35" t="s">
        <v>71</v>
      </c>
      <c r="E35" t="s">
        <v>72</v>
      </c>
      <c r="F35">
        <v>5012.8994000000002</v>
      </c>
      <c r="G35">
        <v>5060.6997000000001</v>
      </c>
      <c r="H35">
        <v>52.496299999999998</v>
      </c>
      <c r="M35" t="s">
        <v>73</v>
      </c>
      <c r="N35" t="s">
        <v>115</v>
      </c>
      <c r="O35">
        <v>38</v>
      </c>
    </row>
    <row r="36" spans="1:15">
      <c r="A36" t="s">
        <v>113</v>
      </c>
      <c r="B36" t="s">
        <v>135</v>
      </c>
      <c r="C36" t="s">
        <v>136</v>
      </c>
      <c r="D36" t="s">
        <v>71</v>
      </c>
      <c r="E36" t="s">
        <v>72</v>
      </c>
      <c r="F36">
        <v>5026.7076999999999</v>
      </c>
      <c r="G36">
        <v>5072.3888999999999</v>
      </c>
      <c r="H36">
        <v>53.761400000000002</v>
      </c>
      <c r="M36" t="s">
        <v>73</v>
      </c>
      <c r="N36" t="s">
        <v>115</v>
      </c>
      <c r="O36">
        <v>38</v>
      </c>
    </row>
    <row r="37" spans="1:15">
      <c r="A37" t="s">
        <v>113</v>
      </c>
      <c r="B37" t="s">
        <v>137</v>
      </c>
      <c r="C37" t="s">
        <v>138</v>
      </c>
      <c r="D37" t="s">
        <v>71</v>
      </c>
      <c r="E37" t="s">
        <v>72</v>
      </c>
      <c r="F37">
        <v>5046.1882999999998</v>
      </c>
      <c r="G37">
        <v>5033.5622999999996</v>
      </c>
      <c r="H37">
        <v>48.999099999999999</v>
      </c>
      <c r="M37" t="s">
        <v>73</v>
      </c>
      <c r="N37" t="s">
        <v>115</v>
      </c>
      <c r="O37">
        <v>38</v>
      </c>
    </row>
    <row r="38" spans="1:15">
      <c r="A38" t="s">
        <v>113</v>
      </c>
      <c r="B38" t="s">
        <v>139</v>
      </c>
      <c r="C38" t="s">
        <v>134</v>
      </c>
      <c r="D38" t="s">
        <v>71</v>
      </c>
      <c r="E38" t="s">
        <v>72</v>
      </c>
      <c r="F38">
        <v>5010.7592999999997</v>
      </c>
      <c r="G38">
        <v>5050.9463999999998</v>
      </c>
      <c r="H38">
        <v>52.517400000000002</v>
      </c>
      <c r="M38" t="s">
        <v>73</v>
      </c>
      <c r="N38" t="s">
        <v>115</v>
      </c>
      <c r="O38">
        <v>38</v>
      </c>
    </row>
    <row r="39" spans="1:15">
      <c r="A39" t="s">
        <v>113</v>
      </c>
      <c r="B39" t="s">
        <v>140</v>
      </c>
      <c r="C39" t="s">
        <v>128</v>
      </c>
      <c r="D39" t="s">
        <v>71</v>
      </c>
      <c r="E39" t="s">
        <v>72</v>
      </c>
      <c r="F39">
        <v>4976.0573000000004</v>
      </c>
      <c r="G39">
        <v>5040.5965999999999</v>
      </c>
      <c r="H39">
        <v>48.214799999999997</v>
      </c>
      <c r="M39" t="s">
        <v>73</v>
      </c>
      <c r="N39" t="s">
        <v>115</v>
      </c>
      <c r="O39">
        <v>38</v>
      </c>
    </row>
    <row r="40" spans="1:15">
      <c r="A40" t="s">
        <v>113</v>
      </c>
      <c r="B40" t="s">
        <v>141</v>
      </c>
      <c r="C40" t="s">
        <v>130</v>
      </c>
      <c r="D40" t="s">
        <v>71</v>
      </c>
      <c r="E40" t="s">
        <v>72</v>
      </c>
      <c r="F40">
        <v>4987.9621999999999</v>
      </c>
      <c r="G40">
        <v>5045.3176000000003</v>
      </c>
      <c r="H40">
        <v>47.637599999999999</v>
      </c>
      <c r="M40" t="s">
        <v>73</v>
      </c>
      <c r="N40" t="s">
        <v>115</v>
      </c>
      <c r="O40">
        <v>38</v>
      </c>
    </row>
    <row r="41" spans="1:15">
      <c r="A41" t="s">
        <v>113</v>
      </c>
      <c r="B41" t="s">
        <v>142</v>
      </c>
      <c r="C41" t="s">
        <v>130</v>
      </c>
      <c r="D41" t="s">
        <v>71</v>
      </c>
      <c r="E41" t="s">
        <v>72</v>
      </c>
      <c r="F41">
        <v>5002.5304999999998</v>
      </c>
      <c r="G41">
        <v>5043.4611000000004</v>
      </c>
      <c r="H41">
        <v>47.537100000000002</v>
      </c>
      <c r="M41" t="s">
        <v>73</v>
      </c>
      <c r="N41" t="s">
        <v>115</v>
      </c>
      <c r="O41">
        <v>38</v>
      </c>
    </row>
    <row r="42" spans="1:15">
      <c r="A42" t="s">
        <v>113</v>
      </c>
      <c r="B42" t="s">
        <v>143</v>
      </c>
      <c r="C42" t="s">
        <v>136</v>
      </c>
      <c r="D42" t="s">
        <v>71</v>
      </c>
      <c r="E42" t="s">
        <v>72</v>
      </c>
      <c r="F42">
        <v>5027.4714000000004</v>
      </c>
      <c r="G42">
        <v>5072.2404999999999</v>
      </c>
      <c r="H42">
        <v>51.143700000000003</v>
      </c>
      <c r="M42" t="s">
        <v>73</v>
      </c>
      <c r="N42" t="s">
        <v>115</v>
      </c>
      <c r="O42">
        <v>38</v>
      </c>
    </row>
    <row r="43" spans="1:15">
      <c r="A43" t="s">
        <v>113</v>
      </c>
      <c r="B43" t="s">
        <v>144</v>
      </c>
      <c r="C43" t="s">
        <v>145</v>
      </c>
      <c r="D43" t="s">
        <v>71</v>
      </c>
      <c r="E43" t="s">
        <v>72</v>
      </c>
      <c r="F43">
        <v>5041.9629000000004</v>
      </c>
      <c r="G43">
        <v>5043.3289999999997</v>
      </c>
      <c r="H43">
        <v>52.0655</v>
      </c>
      <c r="M43" t="s">
        <v>73</v>
      </c>
      <c r="N43" t="s">
        <v>115</v>
      </c>
      <c r="O43">
        <v>38</v>
      </c>
    </row>
    <row r="44" spans="1:15">
      <c r="A44" t="s">
        <v>107</v>
      </c>
      <c r="B44" t="s">
        <v>146</v>
      </c>
      <c r="C44" t="s">
        <v>147</v>
      </c>
      <c r="D44" t="s">
        <v>110</v>
      </c>
      <c r="E44" t="s">
        <v>111</v>
      </c>
      <c r="L44">
        <v>670</v>
      </c>
      <c r="M44" t="s">
        <v>73</v>
      </c>
      <c r="N44" t="s">
        <v>148</v>
      </c>
      <c r="O44">
        <v>7</v>
      </c>
    </row>
    <row r="45" spans="1:15">
      <c r="A45" t="s">
        <v>113</v>
      </c>
      <c r="B45" t="s">
        <v>149</v>
      </c>
      <c r="C45" t="s">
        <v>120</v>
      </c>
      <c r="D45" t="s">
        <v>71</v>
      </c>
      <c r="E45" t="s">
        <v>72</v>
      </c>
      <c r="F45" s="6">
        <v>5017.3522999999996</v>
      </c>
      <c r="G45" s="6">
        <v>5017.7930999999999</v>
      </c>
      <c r="H45" s="6">
        <v>47.4587</v>
      </c>
      <c r="I45" s="2"/>
      <c r="J45" s="2"/>
      <c r="K45" s="2"/>
      <c r="L45" s="2"/>
      <c r="M45" t="s">
        <v>73</v>
      </c>
      <c r="N45" t="s">
        <v>150</v>
      </c>
      <c r="O45">
        <v>40</v>
      </c>
    </row>
    <row r="46" spans="1:15">
      <c r="A46" t="s">
        <v>113</v>
      </c>
      <c r="B46" t="s">
        <v>151</v>
      </c>
      <c r="C46" t="s">
        <v>120</v>
      </c>
      <c r="D46" t="s">
        <v>71</v>
      </c>
      <c r="E46" t="s">
        <v>72</v>
      </c>
      <c r="F46" s="6">
        <v>5017.2749000000003</v>
      </c>
      <c r="G46" s="6">
        <v>5018.2057000000004</v>
      </c>
      <c r="H46" s="6">
        <v>43.061300000000003</v>
      </c>
      <c r="I46" s="2"/>
      <c r="J46" s="2"/>
      <c r="K46" s="2"/>
      <c r="L46" s="2"/>
      <c r="M46" t="s">
        <v>152</v>
      </c>
      <c r="N46" t="s">
        <v>150</v>
      </c>
      <c r="O46">
        <v>40</v>
      </c>
    </row>
    <row r="47" spans="1:15">
      <c r="A47" t="s">
        <v>113</v>
      </c>
      <c r="B47" t="s">
        <v>153</v>
      </c>
      <c r="C47" t="s">
        <v>120</v>
      </c>
      <c r="D47" t="s">
        <v>71</v>
      </c>
      <c r="E47" t="s">
        <v>72</v>
      </c>
      <c r="F47" s="6">
        <v>5017.2718999999997</v>
      </c>
      <c r="G47" s="6">
        <v>5018.1959999999999</v>
      </c>
      <c r="H47" s="6">
        <v>43.055799999999998</v>
      </c>
      <c r="I47" s="2"/>
      <c r="J47" s="2"/>
      <c r="K47" s="2"/>
      <c r="L47" s="2"/>
      <c r="M47" t="s">
        <v>73</v>
      </c>
      <c r="N47" t="s">
        <v>150</v>
      </c>
      <c r="O47">
        <v>40</v>
      </c>
    </row>
    <row r="48" spans="1:15">
      <c r="A48" t="s">
        <v>113</v>
      </c>
      <c r="B48" t="s">
        <v>154</v>
      </c>
      <c r="C48" t="s">
        <v>123</v>
      </c>
      <c r="D48" t="s">
        <v>71</v>
      </c>
      <c r="E48" t="s">
        <v>72</v>
      </c>
      <c r="F48" s="6">
        <v>4983.0880999999999</v>
      </c>
      <c r="G48" s="6">
        <v>5028.2978000000003</v>
      </c>
      <c r="H48" s="6">
        <v>42.8752</v>
      </c>
      <c r="I48" s="2"/>
      <c r="J48" s="2"/>
      <c r="K48" s="2"/>
      <c r="L48" s="2"/>
      <c r="M48" t="s">
        <v>152</v>
      </c>
      <c r="N48" t="s">
        <v>150</v>
      </c>
      <c r="O48">
        <v>40</v>
      </c>
    </row>
    <row r="49" spans="1:15">
      <c r="A49" t="s">
        <v>113</v>
      </c>
      <c r="B49" t="s">
        <v>155</v>
      </c>
      <c r="C49" t="s">
        <v>156</v>
      </c>
      <c r="D49" t="s">
        <v>71</v>
      </c>
      <c r="E49" t="s">
        <v>72</v>
      </c>
      <c r="F49" s="6">
        <v>4980.2689</v>
      </c>
      <c r="G49" s="6">
        <v>5031.7997999999998</v>
      </c>
      <c r="H49" s="6">
        <v>48.331200000000003</v>
      </c>
      <c r="I49" s="2"/>
      <c r="J49" s="2"/>
      <c r="K49" s="2"/>
      <c r="L49" s="2"/>
      <c r="M49" t="s">
        <v>73</v>
      </c>
      <c r="N49" t="s">
        <v>150</v>
      </c>
      <c r="O49">
        <v>40</v>
      </c>
    </row>
    <row r="50" spans="1:15">
      <c r="A50" t="s">
        <v>113</v>
      </c>
      <c r="B50" t="s">
        <v>157</v>
      </c>
      <c r="C50" t="s">
        <v>156</v>
      </c>
      <c r="D50" t="s">
        <v>71</v>
      </c>
      <c r="E50" t="s">
        <v>72</v>
      </c>
      <c r="F50" s="6">
        <v>4980.6113999999998</v>
      </c>
      <c r="G50" s="6">
        <v>5031.9393</v>
      </c>
      <c r="H50" s="6">
        <v>42.979900000000001</v>
      </c>
      <c r="I50" s="2"/>
      <c r="J50" s="2"/>
      <c r="K50" s="2"/>
      <c r="L50" s="2"/>
      <c r="M50" t="s">
        <v>152</v>
      </c>
      <c r="N50" t="s">
        <v>150</v>
      </c>
      <c r="O50">
        <v>40</v>
      </c>
    </row>
    <row r="51" spans="1:15">
      <c r="A51" t="s">
        <v>113</v>
      </c>
      <c r="B51" t="s">
        <v>158</v>
      </c>
      <c r="C51" t="s">
        <v>156</v>
      </c>
      <c r="D51" t="s">
        <v>71</v>
      </c>
      <c r="E51" t="s">
        <v>72</v>
      </c>
      <c r="F51" s="6">
        <v>4980.5802999999996</v>
      </c>
      <c r="G51" s="6">
        <v>5031.6513999999997</v>
      </c>
      <c r="H51" s="6">
        <v>42.887999999999998</v>
      </c>
      <c r="I51" s="2"/>
      <c r="J51" s="2"/>
      <c r="K51" s="2"/>
      <c r="L51" s="2"/>
      <c r="M51" t="s">
        <v>73</v>
      </c>
      <c r="N51" t="s">
        <v>150</v>
      </c>
      <c r="O51">
        <v>40</v>
      </c>
    </row>
    <row r="52" spans="1:15">
      <c r="A52" t="s">
        <v>113</v>
      </c>
      <c r="B52" t="s">
        <v>159</v>
      </c>
      <c r="C52" t="s">
        <v>128</v>
      </c>
      <c r="D52" t="s">
        <v>71</v>
      </c>
      <c r="E52" t="s">
        <v>72</v>
      </c>
      <c r="F52" s="6">
        <v>4976.0536000000002</v>
      </c>
      <c r="G52" s="6">
        <v>5040.1774999999998</v>
      </c>
      <c r="H52" s="6">
        <v>43.505000000000003</v>
      </c>
      <c r="I52" s="2"/>
      <c r="J52" s="2"/>
      <c r="K52" s="2"/>
      <c r="L52" s="2"/>
      <c r="M52" t="s">
        <v>152</v>
      </c>
      <c r="N52" t="s">
        <v>150</v>
      </c>
      <c r="O52">
        <v>40</v>
      </c>
    </row>
    <row r="53" spans="1:15">
      <c r="A53" t="s">
        <v>113</v>
      </c>
      <c r="B53" t="s">
        <v>160</v>
      </c>
      <c r="C53" t="s">
        <v>128</v>
      </c>
      <c r="D53" t="s">
        <v>71</v>
      </c>
      <c r="E53" t="s">
        <v>72</v>
      </c>
      <c r="F53" s="6">
        <v>4976.0869000000002</v>
      </c>
      <c r="G53" s="6">
        <v>5040.6423000000004</v>
      </c>
      <c r="H53" s="6">
        <v>43.351300000000002</v>
      </c>
      <c r="I53" s="2"/>
      <c r="J53" s="2"/>
      <c r="K53" s="2"/>
      <c r="L53" s="2"/>
      <c r="M53" t="s">
        <v>73</v>
      </c>
      <c r="N53" t="s">
        <v>150</v>
      </c>
      <c r="O53">
        <v>40</v>
      </c>
    </row>
    <row r="54" spans="1:15">
      <c r="A54" t="s">
        <v>113</v>
      </c>
      <c r="B54" t="s">
        <v>161</v>
      </c>
      <c r="C54" t="s">
        <v>130</v>
      </c>
      <c r="D54" t="s">
        <v>71</v>
      </c>
      <c r="E54" t="s">
        <v>72</v>
      </c>
      <c r="F54" s="6">
        <v>4988.3298000000004</v>
      </c>
      <c r="G54" s="6">
        <v>5045.2532000000001</v>
      </c>
      <c r="H54" s="6">
        <v>42.8264</v>
      </c>
      <c r="I54" s="2"/>
      <c r="J54" s="2"/>
      <c r="K54" s="2"/>
      <c r="L54" s="2"/>
      <c r="M54" t="s">
        <v>73</v>
      </c>
      <c r="N54" t="s">
        <v>150</v>
      </c>
      <c r="O54">
        <v>40</v>
      </c>
    </row>
    <row r="55" spans="1:15">
      <c r="A55" t="s">
        <v>113</v>
      </c>
      <c r="B55" t="s">
        <v>162</v>
      </c>
      <c r="C55" t="s">
        <v>130</v>
      </c>
      <c r="D55" t="s">
        <v>71</v>
      </c>
      <c r="E55" t="s">
        <v>72</v>
      </c>
      <c r="F55" s="6">
        <v>4998.6503000000002</v>
      </c>
      <c r="G55" s="6">
        <v>5043.7455</v>
      </c>
      <c r="H55" s="6">
        <v>42.848300000000002</v>
      </c>
      <c r="I55" s="2"/>
      <c r="J55" s="2"/>
      <c r="K55" s="2"/>
      <c r="L55" s="2"/>
      <c r="M55" t="s">
        <v>73</v>
      </c>
      <c r="N55" t="s">
        <v>150</v>
      </c>
      <c r="O55">
        <v>40</v>
      </c>
    </row>
    <row r="56" spans="1:15">
      <c r="A56" t="s">
        <v>113</v>
      </c>
      <c r="B56" t="s">
        <v>163</v>
      </c>
      <c r="C56" t="s">
        <v>134</v>
      </c>
      <c r="D56" t="s">
        <v>71</v>
      </c>
      <c r="E56" t="s">
        <v>72</v>
      </c>
      <c r="F56" s="6">
        <v>5013.4206999999997</v>
      </c>
      <c r="G56" s="6">
        <v>5061.5992999999999</v>
      </c>
      <c r="H56" s="6">
        <v>47.2774</v>
      </c>
      <c r="I56" s="2"/>
      <c r="J56" s="2"/>
      <c r="K56" s="2"/>
      <c r="L56" s="2"/>
      <c r="M56" t="s">
        <v>152</v>
      </c>
      <c r="N56" t="s">
        <v>150</v>
      </c>
      <c r="O56">
        <v>40</v>
      </c>
    </row>
    <row r="57" spans="1:15">
      <c r="A57" t="s">
        <v>113</v>
      </c>
      <c r="B57" t="s">
        <v>164</v>
      </c>
      <c r="C57" t="s">
        <v>136</v>
      </c>
      <c r="D57" t="s">
        <v>71</v>
      </c>
      <c r="E57" t="s">
        <v>72</v>
      </c>
      <c r="F57" s="6">
        <v>5026.8990000000003</v>
      </c>
      <c r="G57" s="6">
        <v>5072.0330000000004</v>
      </c>
      <c r="H57" s="6">
        <v>44.739800000000002</v>
      </c>
      <c r="I57" s="2"/>
      <c r="J57" s="2"/>
      <c r="K57" s="2"/>
      <c r="L57" s="2"/>
      <c r="M57" t="s">
        <v>73</v>
      </c>
      <c r="N57" t="s">
        <v>150</v>
      </c>
      <c r="O57">
        <v>40</v>
      </c>
    </row>
    <row r="58" spans="1:15">
      <c r="A58" t="s">
        <v>113</v>
      </c>
      <c r="B58" t="s">
        <v>165</v>
      </c>
      <c r="C58" t="s">
        <v>136</v>
      </c>
      <c r="D58" t="s">
        <v>71</v>
      </c>
      <c r="E58" t="s">
        <v>72</v>
      </c>
      <c r="F58" s="6">
        <v>5026.6471000000001</v>
      </c>
      <c r="G58" s="6">
        <v>5071.8581999999997</v>
      </c>
      <c r="H58" s="6">
        <v>41.8752</v>
      </c>
      <c r="I58" s="2"/>
      <c r="J58" s="2"/>
      <c r="K58" s="2"/>
      <c r="L58" s="2"/>
      <c r="M58" t="s">
        <v>73</v>
      </c>
      <c r="N58" t="s">
        <v>150</v>
      </c>
      <c r="O58">
        <v>40</v>
      </c>
    </row>
    <row r="59" spans="1:15">
      <c r="A59" t="s">
        <v>113</v>
      </c>
      <c r="B59" t="s">
        <v>166</v>
      </c>
      <c r="C59" t="s">
        <v>167</v>
      </c>
      <c r="D59" t="s">
        <v>71</v>
      </c>
      <c r="E59" t="s">
        <v>72</v>
      </c>
      <c r="F59" s="6">
        <v>5037.8409000000001</v>
      </c>
      <c r="G59" s="6">
        <v>5046.2614999999996</v>
      </c>
      <c r="H59" s="6">
        <v>51.521099999999997</v>
      </c>
      <c r="I59" s="2"/>
      <c r="J59" s="2"/>
      <c r="K59" s="2"/>
      <c r="L59" s="2"/>
      <c r="M59" t="s">
        <v>73</v>
      </c>
      <c r="N59" t="s">
        <v>150</v>
      </c>
      <c r="O59">
        <v>40</v>
      </c>
    </row>
    <row r="60" spans="1:15">
      <c r="A60" t="s">
        <v>113</v>
      </c>
      <c r="B60" t="s">
        <v>168</v>
      </c>
      <c r="C60" t="s">
        <v>167</v>
      </c>
      <c r="D60" t="s">
        <v>71</v>
      </c>
      <c r="E60" t="s">
        <v>72</v>
      </c>
      <c r="F60" s="6">
        <v>5037.7052999999996</v>
      </c>
      <c r="G60" s="6">
        <v>5047.0955999999996</v>
      </c>
      <c r="H60" s="6">
        <v>42.919199999999996</v>
      </c>
      <c r="I60" s="2"/>
      <c r="J60" s="2"/>
      <c r="K60" s="2"/>
      <c r="L60" s="2"/>
      <c r="M60" t="s">
        <v>73</v>
      </c>
      <c r="N60" t="s">
        <v>150</v>
      </c>
      <c r="O60">
        <v>40</v>
      </c>
    </row>
    <row r="61" spans="1:15">
      <c r="A61" t="s">
        <v>113</v>
      </c>
      <c r="B61" t="s">
        <v>169</v>
      </c>
      <c r="C61" t="s">
        <v>145</v>
      </c>
      <c r="D61" t="s">
        <v>71</v>
      </c>
      <c r="E61" t="s">
        <v>72</v>
      </c>
      <c r="F61" s="6">
        <v>5042.0578999999998</v>
      </c>
      <c r="G61" s="6">
        <v>5042.7259000000004</v>
      </c>
      <c r="H61" s="6">
        <v>42.933700000000002</v>
      </c>
      <c r="I61" s="2"/>
      <c r="J61" s="2"/>
      <c r="K61" s="2"/>
      <c r="L61" s="2"/>
      <c r="M61" t="s">
        <v>73</v>
      </c>
      <c r="N61" t="s">
        <v>150</v>
      </c>
      <c r="O61">
        <v>40</v>
      </c>
    </row>
    <row r="62" spans="1:15">
      <c r="A62" t="s">
        <v>113</v>
      </c>
      <c r="B62" t="s">
        <v>170</v>
      </c>
      <c r="C62" t="s">
        <v>138</v>
      </c>
      <c r="D62" t="s">
        <v>71</v>
      </c>
      <c r="E62" t="s">
        <v>72</v>
      </c>
      <c r="F62" s="6">
        <v>5045.8157000000001</v>
      </c>
      <c r="G62" s="6">
        <v>5033.7070000000003</v>
      </c>
      <c r="H62" s="6">
        <v>42.660600000000002</v>
      </c>
      <c r="I62" s="2"/>
      <c r="J62" s="2"/>
      <c r="K62" s="2"/>
      <c r="L62" s="2"/>
      <c r="M62" t="s">
        <v>73</v>
      </c>
      <c r="N62" t="s">
        <v>150</v>
      </c>
      <c r="O62">
        <v>40</v>
      </c>
    </row>
    <row r="63" spans="1:15">
      <c r="A63" t="s">
        <v>113</v>
      </c>
      <c r="B63" t="s">
        <v>171</v>
      </c>
      <c r="C63" t="s">
        <v>123</v>
      </c>
      <c r="D63" t="s">
        <v>71</v>
      </c>
      <c r="E63" t="s">
        <v>72</v>
      </c>
      <c r="F63">
        <v>4982.7381999999998</v>
      </c>
      <c r="G63">
        <v>5028.3501999999999</v>
      </c>
      <c r="H63">
        <v>42.705800000000004</v>
      </c>
      <c r="M63" t="s">
        <v>73</v>
      </c>
      <c r="N63" t="s">
        <v>172</v>
      </c>
      <c r="O63">
        <v>50</v>
      </c>
    </row>
    <row r="64" spans="1:15">
      <c r="A64" t="s">
        <v>113</v>
      </c>
      <c r="B64" t="s">
        <v>173</v>
      </c>
      <c r="C64" t="s">
        <v>123</v>
      </c>
      <c r="D64" t="s">
        <v>71</v>
      </c>
      <c r="E64" t="s">
        <v>72</v>
      </c>
      <c r="F64">
        <v>4982.2178000000004</v>
      </c>
      <c r="G64">
        <v>5028.4342999999999</v>
      </c>
      <c r="H64">
        <v>39.473500000000001</v>
      </c>
      <c r="M64" t="s">
        <v>73</v>
      </c>
      <c r="N64" t="s">
        <v>174</v>
      </c>
      <c r="O64">
        <v>50</v>
      </c>
    </row>
    <row r="65" spans="1:15">
      <c r="A65" t="s">
        <v>113</v>
      </c>
      <c r="B65" t="s">
        <v>175</v>
      </c>
      <c r="C65" t="s">
        <v>156</v>
      </c>
      <c r="D65" t="s">
        <v>71</v>
      </c>
      <c r="E65" t="s">
        <v>72</v>
      </c>
      <c r="F65">
        <v>4980.7398999999996</v>
      </c>
      <c r="G65">
        <v>5032.9142000000002</v>
      </c>
      <c r="H65">
        <v>39.535899999999998</v>
      </c>
      <c r="M65" t="s">
        <v>73</v>
      </c>
      <c r="N65" t="s">
        <v>174</v>
      </c>
      <c r="O65">
        <v>50</v>
      </c>
    </row>
    <row r="66" spans="1:15">
      <c r="A66" t="s">
        <v>113</v>
      </c>
      <c r="B66" t="s">
        <v>176</v>
      </c>
      <c r="C66" t="s">
        <v>128</v>
      </c>
      <c r="D66" t="s">
        <v>71</v>
      </c>
      <c r="E66" t="s">
        <v>72</v>
      </c>
      <c r="F66">
        <v>4974.8552</v>
      </c>
      <c r="G66">
        <v>5040.1602999999996</v>
      </c>
      <c r="H66">
        <v>39.188800000000001</v>
      </c>
      <c r="M66" t="s">
        <v>73</v>
      </c>
      <c r="N66" t="s">
        <v>174</v>
      </c>
      <c r="O66">
        <v>50</v>
      </c>
    </row>
    <row r="67" spans="1:15">
      <c r="A67" t="s">
        <v>113</v>
      </c>
      <c r="B67" t="s">
        <v>177</v>
      </c>
      <c r="C67" t="s">
        <v>130</v>
      </c>
      <c r="D67" t="s">
        <v>71</v>
      </c>
      <c r="E67" t="s">
        <v>72</v>
      </c>
      <c r="F67">
        <v>4988.0146000000004</v>
      </c>
      <c r="G67">
        <v>5045.2892000000002</v>
      </c>
      <c r="H67">
        <v>39.487099999999998</v>
      </c>
      <c r="M67" t="s">
        <v>73</v>
      </c>
      <c r="N67" t="s">
        <v>174</v>
      </c>
      <c r="O67">
        <v>50</v>
      </c>
    </row>
    <row r="68" spans="1:15">
      <c r="A68" t="s">
        <v>113</v>
      </c>
      <c r="B68" t="s">
        <v>178</v>
      </c>
      <c r="C68" t="s">
        <v>130</v>
      </c>
      <c r="D68" t="s">
        <v>71</v>
      </c>
      <c r="E68" t="s">
        <v>72</v>
      </c>
      <c r="F68">
        <v>4998.3825999999999</v>
      </c>
      <c r="G68">
        <v>5043.7443999999996</v>
      </c>
      <c r="H68">
        <v>39.476599999999998</v>
      </c>
      <c r="M68" t="s">
        <v>73</v>
      </c>
      <c r="N68" t="s">
        <v>174</v>
      </c>
      <c r="O68">
        <v>50</v>
      </c>
    </row>
    <row r="69" spans="1:15">
      <c r="A69" t="s">
        <v>113</v>
      </c>
      <c r="B69" t="s">
        <v>179</v>
      </c>
      <c r="C69" t="s">
        <v>134</v>
      </c>
      <c r="D69" t="s">
        <v>71</v>
      </c>
      <c r="E69" t="s">
        <v>72</v>
      </c>
      <c r="F69">
        <v>5011.4696000000004</v>
      </c>
      <c r="G69">
        <v>5051.8035</v>
      </c>
      <c r="H69">
        <v>48.342599999999997</v>
      </c>
      <c r="M69" t="s">
        <v>73</v>
      </c>
      <c r="N69" t="s">
        <v>174</v>
      </c>
      <c r="O69">
        <v>50</v>
      </c>
    </row>
    <row r="70" spans="1:15">
      <c r="A70" t="s">
        <v>113</v>
      </c>
      <c r="B70" t="s">
        <v>180</v>
      </c>
      <c r="C70" t="s">
        <v>134</v>
      </c>
      <c r="D70" t="s">
        <v>71</v>
      </c>
      <c r="E70" t="s">
        <v>72</v>
      </c>
      <c r="F70">
        <v>5013.4205000000002</v>
      </c>
      <c r="G70">
        <v>5061.5536000000002</v>
      </c>
      <c r="H70">
        <v>47.226599999999998</v>
      </c>
      <c r="M70" t="s">
        <v>73</v>
      </c>
      <c r="N70" t="s">
        <v>174</v>
      </c>
      <c r="O70">
        <v>50</v>
      </c>
    </row>
    <row r="71" spans="1:15">
      <c r="A71" t="s">
        <v>113</v>
      </c>
      <c r="B71" t="s">
        <v>181</v>
      </c>
      <c r="C71" t="s">
        <v>134</v>
      </c>
      <c r="D71" t="s">
        <v>71</v>
      </c>
      <c r="E71" t="s">
        <v>72</v>
      </c>
      <c r="F71">
        <v>5012.2750999999998</v>
      </c>
      <c r="G71">
        <v>5056.5322999999999</v>
      </c>
      <c r="H71">
        <v>42.882899999999999</v>
      </c>
      <c r="M71" t="s">
        <v>73</v>
      </c>
      <c r="N71" t="s">
        <v>182</v>
      </c>
      <c r="O71">
        <v>50</v>
      </c>
    </row>
    <row r="72" spans="1:15">
      <c r="A72" t="s">
        <v>113</v>
      </c>
      <c r="B72" t="s">
        <v>183</v>
      </c>
      <c r="C72" t="s">
        <v>134</v>
      </c>
      <c r="D72" t="s">
        <v>71</v>
      </c>
      <c r="E72" t="s">
        <v>72</v>
      </c>
      <c r="F72">
        <v>5013.3993</v>
      </c>
      <c r="G72">
        <v>5061.4317000000001</v>
      </c>
      <c r="H72">
        <v>42.942900000000002</v>
      </c>
      <c r="M72" t="s">
        <v>73</v>
      </c>
      <c r="N72" t="s">
        <v>182</v>
      </c>
      <c r="O72">
        <v>50</v>
      </c>
    </row>
    <row r="73" spans="1:15">
      <c r="A73" t="s">
        <v>113</v>
      </c>
      <c r="B73" t="s">
        <v>184</v>
      </c>
      <c r="C73" t="s">
        <v>136</v>
      </c>
      <c r="D73" t="s">
        <v>71</v>
      </c>
      <c r="E73" t="s">
        <v>72</v>
      </c>
      <c r="F73">
        <v>5028.1935999999996</v>
      </c>
      <c r="G73">
        <v>5072.4179999999997</v>
      </c>
      <c r="H73">
        <v>38.6631</v>
      </c>
      <c r="M73" t="s">
        <v>73</v>
      </c>
      <c r="N73" t="s">
        <v>185</v>
      </c>
      <c r="O73">
        <v>51</v>
      </c>
    </row>
    <row r="74" spans="1:15">
      <c r="A74" t="s">
        <v>113</v>
      </c>
      <c r="B74" t="s">
        <v>186</v>
      </c>
      <c r="C74" t="s">
        <v>187</v>
      </c>
      <c r="D74" t="s">
        <v>71</v>
      </c>
      <c r="E74" t="s">
        <v>72</v>
      </c>
      <c r="F74">
        <v>5041.9035000000003</v>
      </c>
      <c r="G74">
        <v>5069.2084000000004</v>
      </c>
      <c r="H74">
        <v>52.914200000000001</v>
      </c>
      <c r="M74" t="s">
        <v>73</v>
      </c>
      <c r="N74" t="s">
        <v>185</v>
      </c>
      <c r="O74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"/>
  <sheetViews>
    <sheetView workbookViewId="0"/>
  </sheetViews>
  <sheetFormatPr defaultRowHeight="13.8"/>
  <cols>
    <col min="1" max="1" width="24" customWidth="1"/>
    <col min="2" max="2" width="12" customWidth="1"/>
    <col min="3" max="3" width="14" customWidth="1"/>
    <col min="4" max="4" width="18" customWidth="1"/>
    <col min="5" max="5" width="68" customWidth="1"/>
  </cols>
  <sheetData>
    <row r="1" spans="1:5" ht="25.65" customHeight="1">
      <c r="A1" s="5" t="s">
        <v>188</v>
      </c>
      <c r="B1" s="5" t="s">
        <v>189</v>
      </c>
      <c r="C1" s="5" t="s">
        <v>1</v>
      </c>
      <c r="D1" s="5" t="s">
        <v>190</v>
      </c>
      <c r="E1" s="5" t="s">
        <v>66</v>
      </c>
    </row>
    <row r="2" spans="1:5">
      <c r="A2" t="s">
        <v>191</v>
      </c>
      <c r="B2">
        <v>0</v>
      </c>
      <c r="C2" s="1">
        <v>45789</v>
      </c>
      <c r="D2" t="s">
        <v>192</v>
      </c>
      <c r="E2" t="s">
        <v>193</v>
      </c>
    </row>
    <row r="3" spans="1:5">
      <c r="A3" t="s">
        <v>191</v>
      </c>
      <c r="B3">
        <v>1</v>
      </c>
      <c r="C3" s="1">
        <v>45819</v>
      </c>
      <c r="D3" t="s">
        <v>194</v>
      </c>
      <c r="E3" t="s">
        <v>195</v>
      </c>
    </row>
    <row r="4" spans="1:5">
      <c r="A4" t="s">
        <v>191</v>
      </c>
      <c r="B4">
        <v>2</v>
      </c>
      <c r="C4" s="1">
        <v>45846</v>
      </c>
      <c r="D4" t="s">
        <v>196</v>
      </c>
      <c r="E4" t="s">
        <v>197</v>
      </c>
    </row>
    <row r="5" spans="1:5">
      <c r="A5" t="s">
        <v>191</v>
      </c>
      <c r="B5">
        <v>3</v>
      </c>
      <c r="C5" s="1">
        <v>45874</v>
      </c>
      <c r="D5" t="s">
        <v>198</v>
      </c>
      <c r="E5" t="s">
        <v>199</v>
      </c>
    </row>
    <row r="6" spans="1:5">
      <c r="A6" t="s">
        <v>191</v>
      </c>
      <c r="B6">
        <v>4</v>
      </c>
      <c r="C6" s="1">
        <v>45903</v>
      </c>
      <c r="D6" t="s">
        <v>200</v>
      </c>
      <c r="E6" t="s">
        <v>74</v>
      </c>
    </row>
    <row r="7" spans="1:5">
      <c r="A7" t="s">
        <v>201</v>
      </c>
      <c r="B7">
        <v>1</v>
      </c>
      <c r="C7" s="1">
        <v>45936</v>
      </c>
      <c r="D7" t="s">
        <v>194</v>
      </c>
      <c r="E7" t="s">
        <v>202</v>
      </c>
    </row>
    <row r="8" spans="1:5">
      <c r="A8" t="s">
        <v>201</v>
      </c>
      <c r="B8">
        <v>2</v>
      </c>
      <c r="C8" s="1">
        <v>45944</v>
      </c>
      <c r="D8" t="s">
        <v>196</v>
      </c>
      <c r="E8" t="s">
        <v>203</v>
      </c>
    </row>
    <row r="9" spans="1:5">
      <c r="A9" t="s">
        <v>201</v>
      </c>
      <c r="B9">
        <v>3</v>
      </c>
      <c r="C9" s="1">
        <v>45950</v>
      </c>
      <c r="D9" t="s">
        <v>198</v>
      </c>
      <c r="E9" t="s">
        <v>204</v>
      </c>
    </row>
    <row r="10" spans="1:5">
      <c r="A10" t="s">
        <v>201</v>
      </c>
      <c r="B10">
        <v>4</v>
      </c>
      <c r="C10" s="1">
        <v>45959</v>
      </c>
      <c r="D10" t="s">
        <v>200</v>
      </c>
      <c r="E10" t="s">
        <v>205</v>
      </c>
    </row>
    <row r="11" spans="1:5">
      <c r="A11" t="s">
        <v>201</v>
      </c>
      <c r="B11">
        <v>5</v>
      </c>
      <c r="C11" s="1">
        <v>45964</v>
      </c>
      <c r="D11" t="s">
        <v>206</v>
      </c>
      <c r="E11" t="s">
        <v>98</v>
      </c>
    </row>
    <row r="12" spans="1:5">
      <c r="A12" t="s">
        <v>207</v>
      </c>
      <c r="B12">
        <v>1</v>
      </c>
      <c r="C12" s="1">
        <v>45936</v>
      </c>
      <c r="D12" t="s">
        <v>194</v>
      </c>
      <c r="E12" t="s">
        <v>208</v>
      </c>
    </row>
    <row r="13" spans="1:5">
      <c r="A13" t="s">
        <v>207</v>
      </c>
      <c r="B13">
        <v>2</v>
      </c>
      <c r="C13" s="1">
        <v>45944</v>
      </c>
      <c r="D13" t="s">
        <v>196</v>
      </c>
      <c r="E13" t="s">
        <v>209</v>
      </c>
    </row>
    <row r="14" spans="1:5">
      <c r="A14" t="s">
        <v>207</v>
      </c>
      <c r="B14">
        <v>3</v>
      </c>
      <c r="C14" s="1">
        <v>45950</v>
      </c>
      <c r="D14" t="s">
        <v>198</v>
      </c>
      <c r="E14" t="s">
        <v>210</v>
      </c>
    </row>
    <row r="15" spans="1:5">
      <c r="A15" t="s">
        <v>207</v>
      </c>
      <c r="B15">
        <v>4</v>
      </c>
      <c r="C15" s="1">
        <v>45959</v>
      </c>
      <c r="D15" t="s">
        <v>200</v>
      </c>
      <c r="E15" t="s">
        <v>211</v>
      </c>
    </row>
    <row r="16" spans="1:5">
      <c r="A16" t="s">
        <v>207</v>
      </c>
      <c r="B16">
        <v>5</v>
      </c>
      <c r="C16" s="1">
        <v>45964</v>
      </c>
      <c r="D16" t="s">
        <v>206</v>
      </c>
      <c r="E16" t="s">
        <v>106</v>
      </c>
    </row>
    <row r="17" spans="1:5">
      <c r="A17" t="s">
        <v>212</v>
      </c>
      <c r="B17">
        <v>1</v>
      </c>
      <c r="C17" s="1">
        <v>46000</v>
      </c>
      <c r="D17" t="s">
        <v>194</v>
      </c>
      <c r="E17" t="s">
        <v>213</v>
      </c>
    </row>
    <row r="18" spans="1:5">
      <c r="A18" t="s">
        <v>212</v>
      </c>
      <c r="B18">
        <v>2</v>
      </c>
      <c r="C18" s="1">
        <v>46006</v>
      </c>
      <c r="D18" t="s">
        <v>196</v>
      </c>
      <c r="E18" t="s">
        <v>214</v>
      </c>
    </row>
    <row r="19" spans="1:5">
      <c r="A19" t="s">
        <v>212</v>
      </c>
      <c r="B19">
        <v>3</v>
      </c>
      <c r="C19" s="1">
        <v>46013</v>
      </c>
      <c r="D19" t="s">
        <v>198</v>
      </c>
      <c r="E19" t="s">
        <v>215</v>
      </c>
    </row>
    <row r="20" spans="1:5">
      <c r="A20" t="s">
        <v>212</v>
      </c>
      <c r="B20">
        <v>4</v>
      </c>
      <c r="C20" s="1">
        <v>46020</v>
      </c>
      <c r="D20" t="s">
        <v>200</v>
      </c>
      <c r="E20" t="s">
        <v>216</v>
      </c>
    </row>
    <row r="21" spans="1:5">
      <c r="A21" t="s">
        <v>212</v>
      </c>
      <c r="B21">
        <v>5</v>
      </c>
      <c r="C21" s="1">
        <v>46027</v>
      </c>
      <c r="D21" t="s">
        <v>206</v>
      </c>
      <c r="E21" t="s">
        <v>112</v>
      </c>
    </row>
    <row r="22" spans="1:5">
      <c r="A22" t="s">
        <v>191</v>
      </c>
      <c r="B22">
        <v>5</v>
      </c>
      <c r="C22" s="1">
        <v>45930</v>
      </c>
      <c r="D22" t="s">
        <v>206</v>
      </c>
      <c r="E22" t="s">
        <v>217</v>
      </c>
    </row>
    <row r="23" spans="1:5">
      <c r="A23" t="s">
        <v>191</v>
      </c>
      <c r="B23">
        <v>6</v>
      </c>
      <c r="C23" s="1">
        <v>45936</v>
      </c>
      <c r="D23" t="s">
        <v>218</v>
      </c>
      <c r="E23" t="s">
        <v>219</v>
      </c>
    </row>
    <row r="24" spans="1:5">
      <c r="A24" t="s">
        <v>191</v>
      </c>
      <c r="B24">
        <v>7</v>
      </c>
      <c r="C24" s="1">
        <v>45944</v>
      </c>
      <c r="D24" t="s">
        <v>220</v>
      </c>
      <c r="E24" t="s">
        <v>221</v>
      </c>
    </row>
    <row r="25" spans="1:5">
      <c r="A25" t="s">
        <v>191</v>
      </c>
      <c r="B25">
        <v>8</v>
      </c>
      <c r="C25" s="1">
        <v>45950</v>
      </c>
      <c r="D25" t="s">
        <v>222</v>
      </c>
      <c r="E25" t="s">
        <v>223</v>
      </c>
    </row>
    <row r="26" spans="1:5">
      <c r="A26" t="s">
        <v>191</v>
      </c>
      <c r="B26">
        <v>9</v>
      </c>
      <c r="C26" s="1">
        <v>45961</v>
      </c>
      <c r="D26" t="s">
        <v>224</v>
      </c>
      <c r="E26" t="s">
        <v>115</v>
      </c>
    </row>
    <row r="27" spans="1:5">
      <c r="A27" t="s">
        <v>201</v>
      </c>
      <c r="B27">
        <v>6</v>
      </c>
      <c r="C27" s="1">
        <v>45971</v>
      </c>
      <c r="D27" t="s">
        <v>218</v>
      </c>
      <c r="E27" t="s">
        <v>225</v>
      </c>
    </row>
    <row r="28" spans="1:5">
      <c r="A28" t="s">
        <v>201</v>
      </c>
      <c r="B28">
        <v>7</v>
      </c>
      <c r="C28" s="1">
        <v>45978</v>
      </c>
      <c r="D28" t="s">
        <v>220</v>
      </c>
      <c r="E28" t="s">
        <v>226</v>
      </c>
    </row>
    <row r="29" spans="1:5">
      <c r="A29" t="s">
        <v>201</v>
      </c>
      <c r="B29">
        <v>8</v>
      </c>
      <c r="C29" s="1">
        <v>45985</v>
      </c>
      <c r="D29" t="s">
        <v>222</v>
      </c>
      <c r="E29" t="s">
        <v>227</v>
      </c>
    </row>
    <row r="30" spans="1:5">
      <c r="A30" t="s">
        <v>201</v>
      </c>
      <c r="B30">
        <v>9</v>
      </c>
      <c r="C30" s="1">
        <v>45993</v>
      </c>
      <c r="D30" t="s">
        <v>224</v>
      </c>
      <c r="E30" t="s">
        <v>228</v>
      </c>
    </row>
    <row r="31" spans="1:5">
      <c r="A31" t="s">
        <v>201</v>
      </c>
      <c r="B31">
        <v>10</v>
      </c>
      <c r="C31" s="1">
        <v>46000</v>
      </c>
      <c r="D31" t="s">
        <v>229</v>
      </c>
      <c r="E31" t="s">
        <v>230</v>
      </c>
    </row>
    <row r="32" spans="1:5">
      <c r="A32" t="s">
        <v>207</v>
      </c>
      <c r="B32">
        <v>6</v>
      </c>
      <c r="C32" s="1">
        <v>45971</v>
      </c>
      <c r="D32" t="s">
        <v>218</v>
      </c>
      <c r="E32" t="s">
        <v>231</v>
      </c>
    </row>
    <row r="33" spans="1:5">
      <c r="A33" t="s">
        <v>207</v>
      </c>
      <c r="B33">
        <v>7</v>
      </c>
      <c r="C33" s="1">
        <v>45978</v>
      </c>
      <c r="D33" t="s">
        <v>220</v>
      </c>
      <c r="E33" t="s">
        <v>232</v>
      </c>
    </row>
    <row r="34" spans="1:5">
      <c r="A34" t="s">
        <v>207</v>
      </c>
      <c r="B34">
        <v>8</v>
      </c>
      <c r="C34" s="1">
        <v>45985</v>
      </c>
      <c r="D34" t="s">
        <v>222</v>
      </c>
      <c r="E34" t="s">
        <v>233</v>
      </c>
    </row>
    <row r="35" spans="1:5">
      <c r="A35" t="s">
        <v>207</v>
      </c>
      <c r="B35">
        <v>9</v>
      </c>
      <c r="C35" s="1">
        <v>45993</v>
      </c>
      <c r="D35" t="s">
        <v>224</v>
      </c>
      <c r="E35" t="s">
        <v>234</v>
      </c>
    </row>
    <row r="36" spans="1:5">
      <c r="A36" t="s">
        <v>207</v>
      </c>
      <c r="B36">
        <v>10</v>
      </c>
      <c r="C36" s="1">
        <v>46000</v>
      </c>
      <c r="D36" t="s">
        <v>229</v>
      </c>
      <c r="E36" t="s">
        <v>235</v>
      </c>
    </row>
    <row r="37" spans="1:5">
      <c r="A37" t="s">
        <v>212</v>
      </c>
      <c r="B37">
        <v>6</v>
      </c>
      <c r="C37" s="1">
        <v>46034</v>
      </c>
      <c r="D37" t="s">
        <v>218</v>
      </c>
      <c r="E37" t="s">
        <v>236</v>
      </c>
    </row>
    <row r="38" spans="1:5">
      <c r="A38" t="s">
        <v>212</v>
      </c>
      <c r="B38">
        <v>7</v>
      </c>
      <c r="C38" s="1">
        <v>46041</v>
      </c>
      <c r="D38" t="s">
        <v>220</v>
      </c>
      <c r="E38" t="s">
        <v>237</v>
      </c>
    </row>
    <row r="39" spans="1:5">
      <c r="A39" t="s">
        <v>212</v>
      </c>
      <c r="B39">
        <v>8</v>
      </c>
      <c r="C39" s="1">
        <v>46048</v>
      </c>
      <c r="D39" t="s">
        <v>222</v>
      </c>
      <c r="E39" t="s">
        <v>238</v>
      </c>
    </row>
    <row r="40" spans="1:5">
      <c r="A40" t="s">
        <v>212</v>
      </c>
      <c r="B40">
        <v>9</v>
      </c>
      <c r="C40" s="1">
        <v>46055</v>
      </c>
      <c r="D40" t="s">
        <v>224</v>
      </c>
      <c r="E40" t="s">
        <v>239</v>
      </c>
    </row>
    <row r="41" spans="1:5">
      <c r="A41" t="s">
        <v>212</v>
      </c>
      <c r="B41">
        <v>10</v>
      </c>
      <c r="C41" s="1">
        <v>46062</v>
      </c>
      <c r="D41" t="s">
        <v>229</v>
      </c>
      <c r="E41" t="s">
        <v>148</v>
      </c>
    </row>
    <row r="42" spans="1:5">
      <c r="A42" t="s">
        <v>191</v>
      </c>
      <c r="B42">
        <v>16</v>
      </c>
      <c r="C42" s="1">
        <v>46006</v>
      </c>
      <c r="D42" t="s">
        <v>240</v>
      </c>
      <c r="E42" t="s">
        <v>241</v>
      </c>
    </row>
    <row r="43" spans="1:5">
      <c r="A43" t="s">
        <v>191</v>
      </c>
      <c r="B43">
        <v>17</v>
      </c>
      <c r="C43" s="1">
        <v>46013</v>
      </c>
      <c r="D43" t="s">
        <v>242</v>
      </c>
      <c r="E43" t="s">
        <v>243</v>
      </c>
    </row>
    <row r="44" spans="1:5">
      <c r="A44" t="s">
        <v>191</v>
      </c>
      <c r="B44">
        <v>18</v>
      </c>
      <c r="C44" s="1">
        <v>46020</v>
      </c>
      <c r="D44" t="s">
        <v>244</v>
      </c>
      <c r="E44" t="s">
        <v>245</v>
      </c>
    </row>
    <row r="45" spans="1:5">
      <c r="A45" t="s">
        <v>191</v>
      </c>
      <c r="B45">
        <v>19</v>
      </c>
      <c r="C45" s="1">
        <v>46027</v>
      </c>
      <c r="D45" t="s">
        <v>246</v>
      </c>
      <c r="E45" t="s">
        <v>247</v>
      </c>
    </row>
    <row r="46" spans="1:5">
      <c r="A46" t="s">
        <v>191</v>
      </c>
      <c r="B46">
        <v>20</v>
      </c>
      <c r="C46" s="1">
        <v>46034</v>
      </c>
      <c r="D46" t="s">
        <v>248</v>
      </c>
      <c r="E46" t="s">
        <v>150</v>
      </c>
    </row>
    <row r="47" spans="1:5">
      <c r="A47" t="s">
        <v>201</v>
      </c>
      <c r="B47">
        <v>11</v>
      </c>
      <c r="C47" s="1">
        <v>46006</v>
      </c>
      <c r="D47" t="s">
        <v>249</v>
      </c>
      <c r="E47" t="s">
        <v>250</v>
      </c>
    </row>
    <row r="48" spans="1:5">
      <c r="A48" t="s">
        <v>207</v>
      </c>
      <c r="B48">
        <v>11</v>
      </c>
      <c r="C48" s="1">
        <v>46006</v>
      </c>
      <c r="D48" t="s">
        <v>249</v>
      </c>
      <c r="E48" t="s">
        <v>251</v>
      </c>
    </row>
    <row r="49" spans="1:5">
      <c r="A49" t="s">
        <v>201</v>
      </c>
      <c r="B49">
        <v>12</v>
      </c>
      <c r="C49" s="1">
        <v>46013</v>
      </c>
      <c r="D49" t="s">
        <v>252</v>
      </c>
      <c r="E49" t="s">
        <v>253</v>
      </c>
    </row>
    <row r="50" spans="1:5">
      <c r="A50" t="s">
        <v>207</v>
      </c>
      <c r="B50">
        <v>12</v>
      </c>
      <c r="C50" s="1">
        <v>46013</v>
      </c>
      <c r="D50" t="s">
        <v>252</v>
      </c>
      <c r="E50" t="s">
        <v>254</v>
      </c>
    </row>
    <row r="51" spans="1:5">
      <c r="A51" t="s">
        <v>201</v>
      </c>
      <c r="B51">
        <v>13</v>
      </c>
      <c r="C51" s="1">
        <v>46020</v>
      </c>
      <c r="D51" t="s">
        <v>255</v>
      </c>
      <c r="E51" t="s">
        <v>256</v>
      </c>
    </row>
    <row r="52" spans="1:5">
      <c r="A52" t="s">
        <v>207</v>
      </c>
      <c r="B52">
        <v>13</v>
      </c>
      <c r="C52" s="1">
        <v>46020</v>
      </c>
      <c r="D52" t="s">
        <v>255</v>
      </c>
      <c r="E52" t="s">
        <v>257</v>
      </c>
    </row>
    <row r="53" spans="1:5">
      <c r="A53" t="s">
        <v>201</v>
      </c>
      <c r="B53">
        <v>14</v>
      </c>
      <c r="C53" s="1">
        <v>46027</v>
      </c>
      <c r="D53" t="s">
        <v>258</v>
      </c>
      <c r="E53" t="s">
        <v>259</v>
      </c>
    </row>
    <row r="54" spans="1:5">
      <c r="A54" t="s">
        <v>207</v>
      </c>
      <c r="B54">
        <v>14</v>
      </c>
      <c r="C54" s="1">
        <v>46027</v>
      </c>
      <c r="D54" t="s">
        <v>258</v>
      </c>
      <c r="E54" t="s">
        <v>260</v>
      </c>
    </row>
    <row r="55" spans="1:5">
      <c r="A55" t="s">
        <v>201</v>
      </c>
      <c r="B55">
        <v>15</v>
      </c>
      <c r="C55" s="1">
        <v>46034</v>
      </c>
      <c r="D55" t="s">
        <v>261</v>
      </c>
      <c r="E55" t="s">
        <v>262</v>
      </c>
    </row>
    <row r="56" spans="1:5">
      <c r="A56" t="s">
        <v>207</v>
      </c>
      <c r="B56">
        <v>15</v>
      </c>
      <c r="C56" s="1">
        <v>46034</v>
      </c>
      <c r="D56" t="s">
        <v>261</v>
      </c>
      <c r="E56" t="s">
        <v>263</v>
      </c>
    </row>
    <row r="57" spans="1:5">
      <c r="A57" t="s">
        <v>212</v>
      </c>
      <c r="B57">
        <v>11</v>
      </c>
      <c r="C57" s="1">
        <v>46069</v>
      </c>
      <c r="D57" t="s">
        <v>249</v>
      </c>
      <c r="E57" t="s">
        <v>264</v>
      </c>
    </row>
    <row r="58" spans="1:5">
      <c r="A58" t="s">
        <v>212</v>
      </c>
      <c r="B58">
        <v>12</v>
      </c>
      <c r="C58" s="1">
        <v>46072</v>
      </c>
      <c r="D58" t="s">
        <v>252</v>
      </c>
      <c r="E58" t="s">
        <v>265</v>
      </c>
    </row>
    <row r="59" spans="1:5">
      <c r="A59" t="s">
        <v>212</v>
      </c>
      <c r="B59">
        <v>13</v>
      </c>
      <c r="C59" s="1">
        <v>46076</v>
      </c>
      <c r="D59" t="s">
        <v>255</v>
      </c>
      <c r="E59" t="s">
        <v>266</v>
      </c>
    </row>
    <row r="60" spans="1:5">
      <c r="A60" t="s">
        <v>212</v>
      </c>
      <c r="B60">
        <v>14</v>
      </c>
      <c r="C60" s="1">
        <v>46079</v>
      </c>
      <c r="D60" t="s">
        <v>258</v>
      </c>
      <c r="E60" t="s">
        <v>267</v>
      </c>
    </row>
    <row r="61" spans="1:5">
      <c r="A61" t="s">
        <v>191</v>
      </c>
      <c r="B61">
        <v>21</v>
      </c>
      <c r="C61" s="1">
        <v>46041</v>
      </c>
      <c r="D61" t="s">
        <v>268</v>
      </c>
      <c r="E61" t="s">
        <v>172</v>
      </c>
    </row>
    <row r="62" spans="1:5">
      <c r="A62" t="s">
        <v>191</v>
      </c>
      <c r="B62">
        <v>22</v>
      </c>
      <c r="C62" s="1">
        <v>46048</v>
      </c>
      <c r="D62" t="s">
        <v>269</v>
      </c>
      <c r="E62" t="s">
        <v>174</v>
      </c>
    </row>
    <row r="63" spans="1:5">
      <c r="A63" t="s">
        <v>191</v>
      </c>
      <c r="B63">
        <v>23</v>
      </c>
      <c r="C63" s="1">
        <v>46051</v>
      </c>
      <c r="D63" t="s">
        <v>270</v>
      </c>
      <c r="E63" t="s">
        <v>271</v>
      </c>
    </row>
    <row r="64" spans="1:5">
      <c r="A64" t="s">
        <v>191</v>
      </c>
      <c r="B64">
        <v>24</v>
      </c>
      <c r="C64" s="1">
        <v>46055</v>
      </c>
      <c r="D64" t="s">
        <v>272</v>
      </c>
      <c r="E64" t="s">
        <v>182</v>
      </c>
    </row>
    <row r="65" spans="1:5">
      <c r="A65" t="s">
        <v>191</v>
      </c>
      <c r="B65">
        <v>25</v>
      </c>
      <c r="C65" s="1">
        <v>46058</v>
      </c>
      <c r="D65" t="s">
        <v>273</v>
      </c>
      <c r="E65" t="s">
        <v>185</v>
      </c>
    </row>
    <row r="66" spans="1:5">
      <c r="A66" t="s">
        <v>201</v>
      </c>
      <c r="B66">
        <v>16</v>
      </c>
      <c r="C66" s="1">
        <v>46041</v>
      </c>
      <c r="D66" t="s">
        <v>240</v>
      </c>
      <c r="E66" t="s">
        <v>274</v>
      </c>
    </row>
    <row r="67" spans="1:5">
      <c r="A67" t="s">
        <v>207</v>
      </c>
      <c r="B67">
        <v>16</v>
      </c>
      <c r="C67" s="1">
        <v>46041</v>
      </c>
      <c r="D67" t="s">
        <v>240</v>
      </c>
      <c r="E67" t="s">
        <v>275</v>
      </c>
    </row>
    <row r="68" spans="1:5">
      <c r="A68" t="s">
        <v>201</v>
      </c>
      <c r="B68">
        <v>17</v>
      </c>
      <c r="C68" s="1">
        <v>46048</v>
      </c>
      <c r="D68" t="s">
        <v>242</v>
      </c>
      <c r="E68" t="s">
        <v>276</v>
      </c>
    </row>
    <row r="69" spans="1:5">
      <c r="A69" t="s">
        <v>207</v>
      </c>
      <c r="B69">
        <v>17</v>
      </c>
      <c r="C69" s="1">
        <v>46048</v>
      </c>
      <c r="D69" t="s">
        <v>242</v>
      </c>
      <c r="E69" t="s">
        <v>277</v>
      </c>
    </row>
    <row r="70" spans="1:5">
      <c r="A70" t="s">
        <v>201</v>
      </c>
      <c r="B70">
        <v>18</v>
      </c>
      <c r="C70" s="1">
        <v>46055</v>
      </c>
      <c r="D70" t="s">
        <v>244</v>
      </c>
      <c r="E70" t="s">
        <v>278</v>
      </c>
    </row>
    <row r="71" spans="1:5">
      <c r="A71" t="s">
        <v>207</v>
      </c>
      <c r="B71">
        <v>18</v>
      </c>
      <c r="C71" s="1">
        <v>46055</v>
      </c>
      <c r="D71" t="s">
        <v>244</v>
      </c>
      <c r="E71" t="s">
        <v>279</v>
      </c>
    </row>
    <row r="72" spans="1:5">
      <c r="A72" t="s">
        <v>201</v>
      </c>
      <c r="B72">
        <v>19</v>
      </c>
      <c r="C72" s="1">
        <v>46062</v>
      </c>
      <c r="D72" t="s">
        <v>246</v>
      </c>
      <c r="E72" t="s">
        <v>280</v>
      </c>
    </row>
    <row r="73" spans="1:5">
      <c r="A73" t="s">
        <v>207</v>
      </c>
      <c r="B73">
        <v>19</v>
      </c>
      <c r="C73" s="1">
        <v>46062</v>
      </c>
      <c r="D73" t="s">
        <v>246</v>
      </c>
      <c r="E73" t="s">
        <v>281</v>
      </c>
    </row>
    <row r="74" spans="1:5">
      <c r="A74" t="s">
        <v>201</v>
      </c>
      <c r="B74">
        <v>20</v>
      </c>
      <c r="C74" s="1">
        <v>46069</v>
      </c>
      <c r="D74" t="s">
        <v>248</v>
      </c>
      <c r="E74" t="s">
        <v>282</v>
      </c>
    </row>
    <row r="75" spans="1:5">
      <c r="A75" t="s">
        <v>207</v>
      </c>
      <c r="B75">
        <v>20</v>
      </c>
      <c r="C75" s="1">
        <v>46069</v>
      </c>
      <c r="D75" t="s">
        <v>248</v>
      </c>
      <c r="E75" t="s">
        <v>283</v>
      </c>
    </row>
    <row r="76" spans="1:5">
      <c r="A76" t="s">
        <v>212</v>
      </c>
      <c r="B76">
        <v>15</v>
      </c>
      <c r="C76" s="1">
        <v>46083</v>
      </c>
      <c r="D76" t="s">
        <v>261</v>
      </c>
      <c r="E76" t="s">
        <v>284</v>
      </c>
    </row>
    <row r="77" spans="1:5">
      <c r="A77" t="s">
        <v>212</v>
      </c>
      <c r="B77">
        <v>16</v>
      </c>
      <c r="C77" s="1">
        <v>46086</v>
      </c>
      <c r="D77" t="s">
        <v>240</v>
      </c>
      <c r="E77" t="s">
        <v>285</v>
      </c>
    </row>
    <row r="78" spans="1:5">
      <c r="A78" t="s">
        <v>212</v>
      </c>
      <c r="B78">
        <v>17</v>
      </c>
      <c r="C78" s="1">
        <v>46090</v>
      </c>
      <c r="D78" t="s">
        <v>242</v>
      </c>
      <c r="E78" t="s">
        <v>286</v>
      </c>
    </row>
    <row r="79" spans="1:5">
      <c r="A79" t="s">
        <v>212</v>
      </c>
      <c r="B79">
        <v>18</v>
      </c>
      <c r="C79" s="1">
        <v>46093</v>
      </c>
      <c r="D79" t="s">
        <v>244</v>
      </c>
      <c r="E79" t="s">
        <v>287</v>
      </c>
    </row>
    <row r="80" spans="1:5">
      <c r="A80" t="s">
        <v>212</v>
      </c>
      <c r="B80">
        <v>19</v>
      </c>
      <c r="C80" s="1">
        <v>46097</v>
      </c>
      <c r="D80" t="s">
        <v>246</v>
      </c>
      <c r="E80" t="s">
        <v>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49"/>
  <sheetViews>
    <sheetView workbookViewId="0"/>
  </sheetViews>
  <sheetFormatPr defaultRowHeight="13.8"/>
  <cols>
    <col min="1" max="1" width="14" customWidth="1"/>
    <col min="2" max="3" width="10" customWidth="1"/>
    <col min="4" max="4" width="38" customWidth="1"/>
    <col min="5" max="7" width="12" customWidth="1"/>
    <col min="8" max="10" width="13" customWidth="1"/>
    <col min="11" max="13" width="17" customWidth="1"/>
    <col min="14" max="16" width="16" customWidth="1"/>
    <col min="17" max="17" width="22" customWidth="1"/>
    <col min="18" max="18" width="12" customWidth="1"/>
    <col min="19" max="19" width="68" customWidth="1"/>
    <col min="20" max="20" width="9" customWidth="1"/>
  </cols>
  <sheetData>
    <row r="1" spans="1:20" ht="25.65" customHeight="1">
      <c r="A1" s="5" t="s">
        <v>1</v>
      </c>
      <c r="B1" s="5" t="s">
        <v>189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  <c r="M1" s="5" t="s">
        <v>299</v>
      </c>
      <c r="N1" s="5" t="s">
        <v>300</v>
      </c>
      <c r="O1" s="5" t="s">
        <v>301</v>
      </c>
      <c r="P1" s="5" t="s">
        <v>302</v>
      </c>
      <c r="Q1" s="5" t="s">
        <v>303</v>
      </c>
      <c r="R1" s="5" t="s">
        <v>65</v>
      </c>
      <c r="S1" s="5" t="s">
        <v>66</v>
      </c>
      <c r="T1" s="5" t="s">
        <v>67</v>
      </c>
    </row>
    <row r="2" spans="1:20">
      <c r="A2" s="1">
        <v>45789</v>
      </c>
      <c r="B2">
        <v>0</v>
      </c>
      <c r="C2" t="s">
        <v>69</v>
      </c>
      <c r="D2" t="s">
        <v>70</v>
      </c>
      <c r="E2" s="6">
        <v>4990.9656999999997</v>
      </c>
      <c r="F2" s="6">
        <v>5053.7449999999999</v>
      </c>
      <c r="G2" s="6">
        <v>60.553600000000003</v>
      </c>
      <c r="H2" s="6">
        <v>4990.9656999999997</v>
      </c>
      <c r="I2" s="6">
        <v>5053.7449999999999</v>
      </c>
      <c r="J2" s="6">
        <v>60.553600000000003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f t="shared" ref="Q2:Q65" si="0">IF(COUNT(N2:O2)&lt;2,"",SQRT(N2^2+O2^2))</f>
        <v>0</v>
      </c>
      <c r="R2" t="str">
        <f t="shared" ref="R2:R65" si="1">IF(COUNT(H2:P2)=0,"Sem leitura",IF(ISNUMBER(SEARCH("Escavação",D2)),IF(OR(Q2&gt;=40,ABS(P2)&gt;=15),"Alarme",IF(OR(Q2&gt;=IF(OR(ISNUMBER(SEARCH("Alçado AB",D2)),ISNUMBER(SEARCH("Alçado CD",D2)),ISNUMBER(SEARCH("Alçado BF",D2)),ISNUMBER(SEARCH("Alçado PQ",D2))),20,30),ABS(P2)&gt;=10),"Alerta","Regular")),IF(OR(Q2&gt;=25,ABS(P2)&gt;=20),"Alarme",IF(OR(Q2&gt;=15,ABS(P2)&gt;=10),"Alerta","Regular"))))</f>
        <v>Regular</v>
      </c>
      <c r="S2" t="s">
        <v>74</v>
      </c>
      <c r="T2">
        <v>8</v>
      </c>
    </row>
    <row r="3" spans="1:20">
      <c r="A3" s="1">
        <v>45789</v>
      </c>
      <c r="B3">
        <v>0</v>
      </c>
      <c r="C3" t="s">
        <v>75</v>
      </c>
      <c r="D3" t="s">
        <v>70</v>
      </c>
      <c r="E3" s="6">
        <v>4990.9760999999999</v>
      </c>
      <c r="F3" s="6">
        <v>5053.7455</v>
      </c>
      <c r="G3" s="6">
        <v>59.095199999999998</v>
      </c>
      <c r="H3" s="6">
        <v>4990.9760999999999</v>
      </c>
      <c r="I3" s="6">
        <v>5053.7455</v>
      </c>
      <c r="J3" s="6">
        <v>59.095199999999998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f t="shared" si="0"/>
        <v>0</v>
      </c>
      <c r="R3" t="str">
        <f t="shared" si="1"/>
        <v>Regular</v>
      </c>
      <c r="S3" t="s">
        <v>74</v>
      </c>
      <c r="T3">
        <v>8</v>
      </c>
    </row>
    <row r="4" spans="1:20">
      <c r="A4" s="1">
        <v>45789</v>
      </c>
      <c r="B4">
        <v>0</v>
      </c>
      <c r="C4" t="s">
        <v>76</v>
      </c>
      <c r="D4" t="s">
        <v>70</v>
      </c>
      <c r="E4" s="6">
        <v>5001.0812999999998</v>
      </c>
      <c r="F4" s="6">
        <v>5053.5291999999999</v>
      </c>
      <c r="G4" s="6">
        <v>60.621899999999997</v>
      </c>
      <c r="H4" s="6">
        <v>5001.0812999999998</v>
      </c>
      <c r="I4" s="6">
        <v>5053.5291999999999</v>
      </c>
      <c r="J4" s="6">
        <v>60.621899999999997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f t="shared" si="0"/>
        <v>0</v>
      </c>
      <c r="R4" t="str">
        <f t="shared" si="1"/>
        <v>Regular</v>
      </c>
      <c r="S4" t="s">
        <v>74</v>
      </c>
      <c r="T4">
        <v>8</v>
      </c>
    </row>
    <row r="5" spans="1:20">
      <c r="A5" s="1">
        <v>45789</v>
      </c>
      <c r="B5">
        <v>0</v>
      </c>
      <c r="C5" t="s">
        <v>77</v>
      </c>
      <c r="D5" t="s">
        <v>70</v>
      </c>
      <c r="E5" s="6">
        <v>5001.0428000000002</v>
      </c>
      <c r="F5" s="6">
        <v>5053.5321999999996</v>
      </c>
      <c r="G5" s="6">
        <v>58.677799999999998</v>
      </c>
      <c r="H5" s="6">
        <v>5001.0428000000002</v>
      </c>
      <c r="I5" s="6">
        <v>5053.5321999999996</v>
      </c>
      <c r="J5" s="6">
        <v>58.677799999999998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f t="shared" si="0"/>
        <v>0</v>
      </c>
      <c r="R5" t="str">
        <f t="shared" si="1"/>
        <v>Regular</v>
      </c>
      <c r="S5" t="s">
        <v>74</v>
      </c>
      <c r="T5">
        <v>8</v>
      </c>
    </row>
    <row r="6" spans="1:20">
      <c r="A6" s="1">
        <v>45789</v>
      </c>
      <c r="B6">
        <v>0</v>
      </c>
      <c r="C6" t="s">
        <v>78</v>
      </c>
      <c r="D6" t="s">
        <v>70</v>
      </c>
      <c r="E6" s="6">
        <v>5005.4017999999996</v>
      </c>
      <c r="F6" s="6">
        <v>5054.5141000000003</v>
      </c>
      <c r="G6" s="6">
        <v>60.181899999999999</v>
      </c>
      <c r="H6" s="6">
        <v>5005.4017999999996</v>
      </c>
      <c r="I6" s="6">
        <v>5054.5141000000003</v>
      </c>
      <c r="J6" s="6">
        <v>60.181899999999999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f t="shared" si="0"/>
        <v>0</v>
      </c>
      <c r="R6" t="str">
        <f t="shared" si="1"/>
        <v>Regular</v>
      </c>
      <c r="S6" t="s">
        <v>74</v>
      </c>
      <c r="T6">
        <v>8</v>
      </c>
    </row>
    <row r="7" spans="1:20">
      <c r="A7" s="1">
        <v>45789</v>
      </c>
      <c r="B7">
        <v>0</v>
      </c>
      <c r="C7" t="s">
        <v>80</v>
      </c>
      <c r="D7" t="s">
        <v>70</v>
      </c>
      <c r="E7" s="6">
        <v>5005.4050999999999</v>
      </c>
      <c r="F7" s="6">
        <v>5054.5766999999996</v>
      </c>
      <c r="G7" s="6">
        <v>58.646999999999998</v>
      </c>
      <c r="H7" s="6">
        <v>5005.4050999999999</v>
      </c>
      <c r="I7" s="6">
        <v>5054.5766999999996</v>
      </c>
      <c r="J7" s="6">
        <v>58.646999999999998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f t="shared" si="0"/>
        <v>0</v>
      </c>
      <c r="R7" t="str">
        <f t="shared" si="1"/>
        <v>Regular</v>
      </c>
      <c r="S7" t="s">
        <v>74</v>
      </c>
      <c r="T7">
        <v>8</v>
      </c>
    </row>
    <row r="8" spans="1:20">
      <c r="A8" s="1">
        <v>45789</v>
      </c>
      <c r="B8">
        <v>0</v>
      </c>
      <c r="C8" t="s">
        <v>81</v>
      </c>
      <c r="D8" t="s">
        <v>70</v>
      </c>
      <c r="E8" s="6">
        <v>5005.8755000000001</v>
      </c>
      <c r="F8" s="6">
        <v>5063.3173999999999</v>
      </c>
      <c r="G8" s="6">
        <v>60.481099999999998</v>
      </c>
      <c r="H8" s="6">
        <v>5005.8755000000001</v>
      </c>
      <c r="I8" s="6">
        <v>5063.3173999999999</v>
      </c>
      <c r="J8" s="6">
        <v>60.481099999999998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f t="shared" si="0"/>
        <v>0</v>
      </c>
      <c r="R8" t="str">
        <f t="shared" si="1"/>
        <v>Regular</v>
      </c>
      <c r="S8" t="s">
        <v>74</v>
      </c>
      <c r="T8">
        <v>8</v>
      </c>
    </row>
    <row r="9" spans="1:20">
      <c r="A9" s="1">
        <v>45789</v>
      </c>
      <c r="B9">
        <v>0</v>
      </c>
      <c r="C9" t="s">
        <v>82</v>
      </c>
      <c r="D9" t="s">
        <v>70</v>
      </c>
      <c r="E9" s="6">
        <v>5005.8838999999998</v>
      </c>
      <c r="F9" s="6">
        <v>5063.7007999999996</v>
      </c>
      <c r="G9" s="6">
        <v>59.329300000000003</v>
      </c>
      <c r="H9" s="6">
        <v>5005.8838999999998</v>
      </c>
      <c r="I9" s="6">
        <v>5063.7007999999996</v>
      </c>
      <c r="J9" s="6">
        <v>59.329300000000003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f t="shared" si="0"/>
        <v>0</v>
      </c>
      <c r="R9" t="str">
        <f t="shared" si="1"/>
        <v>Regular</v>
      </c>
      <c r="S9" t="s">
        <v>74</v>
      </c>
      <c r="T9">
        <v>8</v>
      </c>
    </row>
    <row r="10" spans="1:20">
      <c r="A10" s="1">
        <v>45789</v>
      </c>
      <c r="B10">
        <v>0</v>
      </c>
      <c r="C10" t="s">
        <v>83</v>
      </c>
      <c r="D10" t="s">
        <v>84</v>
      </c>
      <c r="E10" s="6">
        <v>5055.3705</v>
      </c>
      <c r="F10" s="6">
        <v>5037.6908000000003</v>
      </c>
      <c r="G10" s="6">
        <v>55.834499999999998</v>
      </c>
      <c r="H10" s="6">
        <v>5055.3705</v>
      </c>
      <c r="I10" s="6">
        <v>5037.6908000000003</v>
      </c>
      <c r="J10" s="6">
        <v>55.834499999999998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f t="shared" si="0"/>
        <v>0</v>
      </c>
      <c r="R10" t="str">
        <f t="shared" si="1"/>
        <v>Regular</v>
      </c>
      <c r="S10" t="s">
        <v>74</v>
      </c>
      <c r="T10">
        <v>8</v>
      </c>
    </row>
    <row r="11" spans="1:20">
      <c r="A11" s="1">
        <v>45789</v>
      </c>
      <c r="B11">
        <v>0</v>
      </c>
      <c r="C11" t="s">
        <v>85</v>
      </c>
      <c r="D11" t="s">
        <v>84</v>
      </c>
      <c r="E11" s="6">
        <v>5055.3611000000001</v>
      </c>
      <c r="F11" s="6">
        <v>5037.652</v>
      </c>
      <c r="G11" s="6">
        <v>53.920200000000001</v>
      </c>
      <c r="H11" s="6">
        <v>5055.3611000000001</v>
      </c>
      <c r="I11" s="6">
        <v>5037.652</v>
      </c>
      <c r="J11" s="6">
        <v>53.920200000000001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f t="shared" si="0"/>
        <v>0</v>
      </c>
      <c r="R11" t="str">
        <f t="shared" si="1"/>
        <v>Regular</v>
      </c>
      <c r="S11" t="s">
        <v>74</v>
      </c>
      <c r="T11">
        <v>8</v>
      </c>
    </row>
    <row r="12" spans="1:20">
      <c r="A12" s="1">
        <v>45789</v>
      </c>
      <c r="B12">
        <v>0</v>
      </c>
      <c r="C12" t="s">
        <v>86</v>
      </c>
      <c r="D12" t="s">
        <v>84</v>
      </c>
      <c r="E12" s="6">
        <v>5053.1266999999998</v>
      </c>
      <c r="F12" s="6">
        <v>5028.5694000000003</v>
      </c>
      <c r="G12" s="6">
        <v>55.876899999999999</v>
      </c>
      <c r="H12" s="6">
        <v>5053.1266999999998</v>
      </c>
      <c r="I12" s="6">
        <v>5028.5694000000003</v>
      </c>
      <c r="J12" s="6">
        <v>55.876899999999999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0</v>
      </c>
      <c r="R12" t="str">
        <f t="shared" si="1"/>
        <v>Regular</v>
      </c>
      <c r="S12" t="s">
        <v>74</v>
      </c>
      <c r="T12">
        <v>8</v>
      </c>
    </row>
    <row r="13" spans="1:20">
      <c r="A13" s="1">
        <v>45789</v>
      </c>
      <c r="B13">
        <v>0</v>
      </c>
      <c r="C13" t="s">
        <v>87</v>
      </c>
      <c r="D13" t="s">
        <v>84</v>
      </c>
      <c r="E13" s="6">
        <v>5053.1229999999996</v>
      </c>
      <c r="F13" s="6">
        <v>5028.5785999999998</v>
      </c>
      <c r="G13" s="6">
        <v>54.159100000000002</v>
      </c>
      <c r="H13" s="6">
        <v>5053.1229999999996</v>
      </c>
      <c r="I13" s="6">
        <v>5028.5785999999998</v>
      </c>
      <c r="J13" s="6">
        <v>54.159100000000002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 t="shared" si="0"/>
        <v>0</v>
      </c>
      <c r="R13" t="str">
        <f t="shared" si="1"/>
        <v>Regular</v>
      </c>
      <c r="S13" t="s">
        <v>74</v>
      </c>
      <c r="T13">
        <v>8</v>
      </c>
    </row>
    <row r="14" spans="1:20">
      <c r="A14" s="1">
        <v>45789</v>
      </c>
      <c r="B14">
        <v>0</v>
      </c>
      <c r="C14" t="s">
        <v>88</v>
      </c>
      <c r="D14" t="s">
        <v>89</v>
      </c>
      <c r="E14" s="6">
        <v>5051.1406999999999</v>
      </c>
      <c r="F14" s="6">
        <v>5062.3236999999999</v>
      </c>
      <c r="G14" s="6">
        <v>63.001399999999997</v>
      </c>
      <c r="H14" s="6">
        <v>5051.1406999999999</v>
      </c>
      <c r="I14" s="6">
        <v>5062.3236999999999</v>
      </c>
      <c r="J14" s="6">
        <v>63.001399999999997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f t="shared" si="0"/>
        <v>0</v>
      </c>
      <c r="R14" t="str">
        <f t="shared" si="1"/>
        <v>Regular</v>
      </c>
      <c r="S14" t="s">
        <v>74</v>
      </c>
      <c r="T14">
        <v>8</v>
      </c>
    </row>
    <row r="15" spans="1:20">
      <c r="A15" s="1">
        <v>45789</v>
      </c>
      <c r="B15">
        <v>0</v>
      </c>
      <c r="C15" t="s">
        <v>90</v>
      </c>
      <c r="D15" t="s">
        <v>89</v>
      </c>
      <c r="E15" s="6">
        <v>5051.0086000000001</v>
      </c>
      <c r="F15" s="6">
        <v>5062.4333999999999</v>
      </c>
      <c r="G15" s="6">
        <v>56.898000000000003</v>
      </c>
      <c r="H15" s="6">
        <v>5051.0086000000001</v>
      </c>
      <c r="I15" s="6">
        <v>5062.4333999999999</v>
      </c>
      <c r="J15" s="6">
        <v>56.898000000000003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f t="shared" si="0"/>
        <v>0</v>
      </c>
      <c r="R15" t="str">
        <f t="shared" si="1"/>
        <v>Regular</v>
      </c>
      <c r="S15" t="s">
        <v>74</v>
      </c>
      <c r="T15">
        <v>8</v>
      </c>
    </row>
    <row r="16" spans="1:20">
      <c r="A16" s="1">
        <v>45789</v>
      </c>
      <c r="B16">
        <v>0</v>
      </c>
      <c r="C16" t="s">
        <v>91</v>
      </c>
      <c r="D16" t="s">
        <v>89</v>
      </c>
      <c r="E16" s="6">
        <v>5058.5258999999996</v>
      </c>
      <c r="F16" s="6">
        <v>5053.1760000000004</v>
      </c>
      <c r="G16" s="6">
        <v>63.525199999999998</v>
      </c>
      <c r="H16" s="6">
        <v>5058.5258999999996</v>
      </c>
      <c r="I16" s="6">
        <v>5053.1760000000004</v>
      </c>
      <c r="J16" s="6">
        <v>63.525199999999998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f t="shared" si="0"/>
        <v>0</v>
      </c>
      <c r="R16" t="str">
        <f t="shared" si="1"/>
        <v>Regular</v>
      </c>
      <c r="S16" t="s">
        <v>74</v>
      </c>
      <c r="T16">
        <v>8</v>
      </c>
    </row>
    <row r="17" spans="1:20">
      <c r="A17" s="1">
        <v>45789</v>
      </c>
      <c r="B17">
        <v>0</v>
      </c>
      <c r="C17" t="s">
        <v>92</v>
      </c>
      <c r="D17" t="s">
        <v>89</v>
      </c>
      <c r="E17" s="6">
        <v>5060.2732999999998</v>
      </c>
      <c r="F17" s="6">
        <v>5059.0944</v>
      </c>
      <c r="G17" s="6">
        <v>58.7943</v>
      </c>
      <c r="H17" s="6">
        <v>5060.2732999999998</v>
      </c>
      <c r="I17" s="6">
        <v>5059.0944</v>
      </c>
      <c r="J17" s="6">
        <v>58.7943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f t="shared" si="0"/>
        <v>0</v>
      </c>
      <c r="R17" t="str">
        <f t="shared" si="1"/>
        <v>Regular</v>
      </c>
      <c r="S17" t="s">
        <v>74</v>
      </c>
      <c r="T17">
        <v>8</v>
      </c>
    </row>
    <row r="18" spans="1:20">
      <c r="A18" s="1">
        <v>45819</v>
      </c>
      <c r="B18">
        <v>1</v>
      </c>
      <c r="C18" t="s">
        <v>69</v>
      </c>
      <c r="D18" t="s">
        <v>70</v>
      </c>
      <c r="E18" s="6">
        <v>4990.9656999999997</v>
      </c>
      <c r="F18" s="6">
        <v>5053.7449999999999</v>
      </c>
      <c r="G18" s="6">
        <v>60.553600000000003</v>
      </c>
      <c r="H18" s="6">
        <v>4990.9656999999997</v>
      </c>
      <c r="I18" s="6">
        <v>5053.7447000000002</v>
      </c>
      <c r="J18" s="6">
        <v>60.5533</v>
      </c>
      <c r="K18" s="2">
        <v>0</v>
      </c>
      <c r="L18" s="2">
        <v>-0.3</v>
      </c>
      <c r="M18" s="2">
        <v>-0.3</v>
      </c>
      <c r="N18" s="2">
        <v>0</v>
      </c>
      <c r="O18" s="2">
        <v>-0.3</v>
      </c>
      <c r="P18" s="2">
        <v>-0.3</v>
      </c>
      <c r="Q18" s="2">
        <f t="shared" si="0"/>
        <v>0.3</v>
      </c>
      <c r="R18" t="str">
        <f t="shared" si="1"/>
        <v>Regular</v>
      </c>
      <c r="S18" t="s">
        <v>74</v>
      </c>
      <c r="T18">
        <v>9</v>
      </c>
    </row>
    <row r="19" spans="1:20">
      <c r="A19" s="1">
        <v>45819</v>
      </c>
      <c r="B19">
        <v>1</v>
      </c>
      <c r="C19" t="s">
        <v>75</v>
      </c>
      <c r="D19" t="s">
        <v>70</v>
      </c>
      <c r="E19" s="6">
        <v>4990.9760999999999</v>
      </c>
      <c r="F19" s="6">
        <v>5053.7455</v>
      </c>
      <c r="G19" s="6">
        <v>59.095199999999998</v>
      </c>
      <c r="H19" s="6">
        <v>4990.9763999999996</v>
      </c>
      <c r="I19" s="6">
        <v>5053.7439000000004</v>
      </c>
      <c r="J19" s="6">
        <v>59.094900000000003</v>
      </c>
      <c r="K19" s="2">
        <v>0.3</v>
      </c>
      <c r="L19" s="2">
        <v>-1.6</v>
      </c>
      <c r="M19" s="2">
        <v>-0.3</v>
      </c>
      <c r="N19" s="2">
        <v>0.3</v>
      </c>
      <c r="O19" s="2">
        <v>-1.6</v>
      </c>
      <c r="P19" s="2">
        <v>-0.3</v>
      </c>
      <c r="Q19" s="2">
        <f t="shared" si="0"/>
        <v>1.6278820596099708</v>
      </c>
      <c r="R19" t="str">
        <f t="shared" si="1"/>
        <v>Regular</v>
      </c>
      <c r="S19" t="s">
        <v>74</v>
      </c>
      <c r="T19">
        <v>9</v>
      </c>
    </row>
    <row r="20" spans="1:20">
      <c r="A20" s="1">
        <v>45819</v>
      </c>
      <c r="B20">
        <v>1</v>
      </c>
      <c r="C20" t="s">
        <v>76</v>
      </c>
      <c r="D20" t="s">
        <v>70</v>
      </c>
      <c r="E20" s="6">
        <v>5001.0812999999998</v>
      </c>
      <c r="F20" s="6">
        <v>5053.5291999999999</v>
      </c>
      <c r="G20" s="6">
        <v>60.621899999999997</v>
      </c>
      <c r="H20" s="6">
        <v>5001.0802999999996</v>
      </c>
      <c r="I20" s="6">
        <v>5053.5271000000002</v>
      </c>
      <c r="J20" s="6">
        <v>60.621200000000002</v>
      </c>
      <c r="K20" s="2">
        <v>-1</v>
      </c>
      <c r="L20" s="2">
        <v>-2.1</v>
      </c>
      <c r="M20" s="2">
        <v>-0.7</v>
      </c>
      <c r="N20" s="2">
        <v>-1</v>
      </c>
      <c r="O20" s="2">
        <v>-2.1</v>
      </c>
      <c r="P20" s="2">
        <v>-0.7</v>
      </c>
      <c r="Q20" s="2">
        <f t="shared" si="0"/>
        <v>2.3259406699226015</v>
      </c>
      <c r="R20" t="str">
        <f t="shared" si="1"/>
        <v>Regular</v>
      </c>
      <c r="S20" t="s">
        <v>74</v>
      </c>
      <c r="T20">
        <v>9</v>
      </c>
    </row>
    <row r="21" spans="1:20">
      <c r="A21" s="1">
        <v>45819</v>
      </c>
      <c r="B21">
        <v>1</v>
      </c>
      <c r="C21" t="s">
        <v>77</v>
      </c>
      <c r="D21" t="s">
        <v>70</v>
      </c>
      <c r="E21" s="6">
        <v>5001.0428000000002</v>
      </c>
      <c r="F21" s="6">
        <v>5053.5321999999996</v>
      </c>
      <c r="G21" s="6">
        <v>58.677799999999998</v>
      </c>
      <c r="H21" s="6">
        <v>5001.0430999999999</v>
      </c>
      <c r="I21" s="6">
        <v>5053.5339000000004</v>
      </c>
      <c r="J21" s="6">
        <v>58.676299999999998</v>
      </c>
      <c r="K21" s="2">
        <v>0.3</v>
      </c>
      <c r="L21" s="2">
        <v>1.7</v>
      </c>
      <c r="M21" s="2">
        <v>-1.5</v>
      </c>
      <c r="N21" s="2">
        <v>0.3</v>
      </c>
      <c r="O21" s="2">
        <v>1.7</v>
      </c>
      <c r="P21" s="2">
        <v>-1.5</v>
      </c>
      <c r="Q21" s="2">
        <f t="shared" si="0"/>
        <v>1.7262676501632068</v>
      </c>
      <c r="R21" t="str">
        <f t="shared" si="1"/>
        <v>Regular</v>
      </c>
      <c r="S21" t="s">
        <v>74</v>
      </c>
      <c r="T21">
        <v>9</v>
      </c>
    </row>
    <row r="22" spans="1:20">
      <c r="A22" s="1">
        <v>45819</v>
      </c>
      <c r="B22">
        <v>1</v>
      </c>
      <c r="C22" t="s">
        <v>78</v>
      </c>
      <c r="D22" t="s">
        <v>70</v>
      </c>
      <c r="E22" s="6">
        <v>5005.4017999999996</v>
      </c>
      <c r="F22" s="6">
        <v>5054.5141000000003</v>
      </c>
      <c r="G22" s="6">
        <v>60.181899999999999</v>
      </c>
      <c r="H22" s="6">
        <v>5005.4035000000003</v>
      </c>
      <c r="I22" s="6">
        <v>5054.5128999999997</v>
      </c>
      <c r="J22" s="6">
        <v>60.179400000000001</v>
      </c>
      <c r="K22" s="2">
        <v>1.7</v>
      </c>
      <c r="L22" s="2">
        <v>-1.2</v>
      </c>
      <c r="M22" s="2">
        <v>-2.5</v>
      </c>
      <c r="N22" s="2">
        <v>1.7</v>
      </c>
      <c r="O22" s="2">
        <v>-1.2</v>
      </c>
      <c r="P22" s="2">
        <v>-2.5</v>
      </c>
      <c r="Q22" s="2">
        <f t="shared" si="0"/>
        <v>2.080865204668481</v>
      </c>
      <c r="R22" t="str">
        <f t="shared" si="1"/>
        <v>Regular</v>
      </c>
      <c r="S22" t="s">
        <v>74</v>
      </c>
      <c r="T22">
        <v>9</v>
      </c>
    </row>
    <row r="23" spans="1:20">
      <c r="A23" s="1">
        <v>45819</v>
      </c>
      <c r="B23">
        <v>1</v>
      </c>
      <c r="C23" t="s">
        <v>80</v>
      </c>
      <c r="D23" t="s">
        <v>70</v>
      </c>
      <c r="E23" s="6">
        <v>5005.4050999999999</v>
      </c>
      <c r="F23" s="6">
        <v>5054.5766999999996</v>
      </c>
      <c r="G23" s="6">
        <v>58.646999999999998</v>
      </c>
      <c r="H23" s="6">
        <v>5005.4076999999997</v>
      </c>
      <c r="I23" s="6">
        <v>5054.5744000000004</v>
      </c>
      <c r="J23" s="6">
        <v>58.644399999999997</v>
      </c>
      <c r="K23" s="2">
        <v>2.6</v>
      </c>
      <c r="L23" s="2">
        <v>-2.2999999999999998</v>
      </c>
      <c r="M23" s="2">
        <v>-2.6</v>
      </c>
      <c r="N23" s="2">
        <v>2.6</v>
      </c>
      <c r="O23" s="2">
        <v>-2.2999999999999998</v>
      </c>
      <c r="P23" s="2">
        <v>-2.6</v>
      </c>
      <c r="Q23" s="2">
        <f t="shared" si="0"/>
        <v>3.4713109915419564</v>
      </c>
      <c r="R23" t="str">
        <f t="shared" si="1"/>
        <v>Regular</v>
      </c>
      <c r="S23" t="s">
        <v>74</v>
      </c>
      <c r="T23">
        <v>9</v>
      </c>
    </row>
    <row r="24" spans="1:20">
      <c r="A24" s="1">
        <v>45819</v>
      </c>
      <c r="B24">
        <v>1</v>
      </c>
      <c r="C24" t="s">
        <v>81</v>
      </c>
      <c r="D24" t="s">
        <v>70</v>
      </c>
      <c r="E24" s="6">
        <v>5005.8755000000001</v>
      </c>
      <c r="F24" s="6">
        <v>5063.3173999999999</v>
      </c>
      <c r="G24" s="6">
        <v>60.481099999999998</v>
      </c>
      <c r="H24" s="6">
        <v>5005.8762999999999</v>
      </c>
      <c r="I24" s="6">
        <v>5063.3163000000004</v>
      </c>
      <c r="J24" s="6">
        <v>60.48</v>
      </c>
      <c r="K24" s="2">
        <v>0.8</v>
      </c>
      <c r="L24" s="2">
        <v>-1.1000000000000001</v>
      </c>
      <c r="M24" s="2">
        <v>-1.1000000000000001</v>
      </c>
      <c r="N24" s="2">
        <v>0.8</v>
      </c>
      <c r="O24" s="2">
        <v>-1.1000000000000001</v>
      </c>
      <c r="P24" s="2">
        <v>-1.1000000000000001</v>
      </c>
      <c r="Q24" s="2">
        <f t="shared" si="0"/>
        <v>1.3601470508735445</v>
      </c>
      <c r="R24" t="str">
        <f t="shared" si="1"/>
        <v>Regular</v>
      </c>
      <c r="S24" t="s">
        <v>74</v>
      </c>
      <c r="T24">
        <v>9</v>
      </c>
    </row>
    <row r="25" spans="1:20">
      <c r="A25" s="1">
        <v>45819</v>
      </c>
      <c r="B25">
        <v>1</v>
      </c>
      <c r="C25" t="s">
        <v>82</v>
      </c>
      <c r="D25" t="s">
        <v>70</v>
      </c>
      <c r="E25" s="6">
        <v>5005.8838999999998</v>
      </c>
      <c r="F25" s="6">
        <v>5063.7007999999996</v>
      </c>
      <c r="G25" s="6">
        <v>59.329300000000003</v>
      </c>
      <c r="H25" s="6">
        <v>5005.8824999999997</v>
      </c>
      <c r="I25" s="6">
        <v>5063.6985000000004</v>
      </c>
      <c r="J25" s="6">
        <v>59.328499999999998</v>
      </c>
      <c r="K25" s="2">
        <v>-1.4</v>
      </c>
      <c r="L25" s="2">
        <v>-2.2999999999999998</v>
      </c>
      <c r="M25" s="2">
        <v>-0.8</v>
      </c>
      <c r="N25" s="2">
        <v>-1.4</v>
      </c>
      <c r="O25" s="2">
        <v>-2.2999999999999998</v>
      </c>
      <c r="P25" s="2">
        <v>-0.8</v>
      </c>
      <c r="Q25" s="2">
        <f t="shared" si="0"/>
        <v>2.6925824035672519</v>
      </c>
      <c r="R25" t="str">
        <f t="shared" si="1"/>
        <v>Regular</v>
      </c>
      <c r="S25" t="s">
        <v>74</v>
      </c>
      <c r="T25">
        <v>9</v>
      </c>
    </row>
    <row r="26" spans="1:20">
      <c r="A26" s="1">
        <v>45819</v>
      </c>
      <c r="B26">
        <v>1</v>
      </c>
      <c r="C26" t="s">
        <v>83</v>
      </c>
      <c r="D26" t="s">
        <v>84</v>
      </c>
      <c r="E26" s="6">
        <v>5055.3705</v>
      </c>
      <c r="F26" s="6">
        <v>5037.6908000000003</v>
      </c>
      <c r="G26" s="6">
        <v>55.834499999999998</v>
      </c>
      <c r="H26" s="6">
        <v>5055.3705</v>
      </c>
      <c r="I26" s="6">
        <v>5037.6908000000003</v>
      </c>
      <c r="J26" s="6">
        <v>55.834499999999998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f t="shared" si="0"/>
        <v>0</v>
      </c>
      <c r="R26" t="str">
        <f t="shared" si="1"/>
        <v>Regular</v>
      </c>
      <c r="S26" t="s">
        <v>74</v>
      </c>
      <c r="T26">
        <v>9</v>
      </c>
    </row>
    <row r="27" spans="1:20">
      <c r="A27" s="1">
        <v>45819</v>
      </c>
      <c r="B27">
        <v>1</v>
      </c>
      <c r="C27" t="s">
        <v>85</v>
      </c>
      <c r="D27" t="s">
        <v>84</v>
      </c>
      <c r="E27" s="6">
        <v>5055.3611000000001</v>
      </c>
      <c r="F27" s="6">
        <v>5037.652</v>
      </c>
      <c r="G27" s="6">
        <v>53.920200000000001</v>
      </c>
      <c r="H27" s="6">
        <v>5055.3612999999996</v>
      </c>
      <c r="I27" s="6">
        <v>5037.6514999999999</v>
      </c>
      <c r="J27" s="6">
        <v>53.9206</v>
      </c>
      <c r="K27" s="2">
        <v>0.2</v>
      </c>
      <c r="L27" s="2">
        <v>-0.5</v>
      </c>
      <c r="M27" s="2">
        <v>0.4</v>
      </c>
      <c r="N27" s="2">
        <v>0.2</v>
      </c>
      <c r="O27" s="2">
        <v>-0.5</v>
      </c>
      <c r="P27" s="2">
        <v>0.4</v>
      </c>
      <c r="Q27" s="2">
        <f t="shared" si="0"/>
        <v>0.53851648071345048</v>
      </c>
      <c r="R27" t="str">
        <f t="shared" si="1"/>
        <v>Regular</v>
      </c>
      <c r="S27" t="s">
        <v>74</v>
      </c>
      <c r="T27">
        <v>9</v>
      </c>
    </row>
    <row r="28" spans="1:20">
      <c r="A28" s="1">
        <v>45819</v>
      </c>
      <c r="B28">
        <v>1</v>
      </c>
      <c r="C28" t="s">
        <v>86</v>
      </c>
      <c r="D28" t="s">
        <v>84</v>
      </c>
      <c r="E28" s="6">
        <v>5053.1266999999998</v>
      </c>
      <c r="F28" s="6">
        <v>5028.5694000000003</v>
      </c>
      <c r="G28" s="6">
        <v>55.876899999999999</v>
      </c>
      <c r="H28" s="6">
        <v>5053.1259</v>
      </c>
      <c r="I28" s="6">
        <v>5028.5702000000001</v>
      </c>
      <c r="J28" s="6">
        <v>55.876899999999999</v>
      </c>
      <c r="K28" s="2">
        <v>-0.8</v>
      </c>
      <c r="L28" s="2">
        <v>0.8</v>
      </c>
      <c r="M28" s="2">
        <v>0</v>
      </c>
      <c r="N28" s="2">
        <v>-0.8</v>
      </c>
      <c r="O28" s="2">
        <v>0.8</v>
      </c>
      <c r="P28" s="2">
        <v>0</v>
      </c>
      <c r="Q28" s="2">
        <f t="shared" si="0"/>
        <v>1.1313708498984762</v>
      </c>
      <c r="R28" t="str">
        <f t="shared" si="1"/>
        <v>Regular</v>
      </c>
      <c r="S28" t="s">
        <v>74</v>
      </c>
      <c r="T28">
        <v>9</v>
      </c>
    </row>
    <row r="29" spans="1:20">
      <c r="A29" s="1">
        <v>45819</v>
      </c>
      <c r="B29">
        <v>1</v>
      </c>
      <c r="C29" t="s">
        <v>87</v>
      </c>
      <c r="D29" t="s">
        <v>84</v>
      </c>
      <c r="E29" s="6">
        <v>5053.1229999999996</v>
      </c>
      <c r="F29" s="6">
        <v>5028.5785999999998</v>
      </c>
      <c r="G29" s="6">
        <v>54.159100000000002</v>
      </c>
      <c r="H29" s="6">
        <v>5053.1230999999998</v>
      </c>
      <c r="I29" s="6">
        <v>5028.5794999999998</v>
      </c>
      <c r="J29" s="6">
        <v>54.159700000000001</v>
      </c>
      <c r="K29" s="2">
        <v>0.1</v>
      </c>
      <c r="L29" s="2">
        <v>0.9</v>
      </c>
      <c r="M29" s="2">
        <v>0.6</v>
      </c>
      <c r="N29" s="2">
        <v>0.1</v>
      </c>
      <c r="O29" s="2">
        <v>0.9</v>
      </c>
      <c r="P29" s="2">
        <v>0.6</v>
      </c>
      <c r="Q29" s="2">
        <f t="shared" si="0"/>
        <v>0.90553851381374173</v>
      </c>
      <c r="R29" t="str">
        <f t="shared" si="1"/>
        <v>Regular</v>
      </c>
      <c r="S29" t="s">
        <v>74</v>
      </c>
      <c r="T29">
        <v>9</v>
      </c>
    </row>
    <row r="30" spans="1:20">
      <c r="A30" s="1">
        <v>45819</v>
      </c>
      <c r="B30">
        <v>1</v>
      </c>
      <c r="C30" t="s">
        <v>88</v>
      </c>
      <c r="D30" t="s">
        <v>89</v>
      </c>
      <c r="E30" s="6">
        <v>5051.1406999999999</v>
      </c>
      <c r="F30" s="6">
        <v>5062.3236999999999</v>
      </c>
      <c r="G30" s="6">
        <v>63.001399999999997</v>
      </c>
      <c r="H30" s="6">
        <v>5051.1408000000001</v>
      </c>
      <c r="I30" s="6">
        <v>5062.3244999999997</v>
      </c>
      <c r="J30" s="6">
        <v>63.000999999999998</v>
      </c>
      <c r="K30" s="2">
        <v>0.1</v>
      </c>
      <c r="L30" s="2">
        <v>0.8</v>
      </c>
      <c r="M30" s="2">
        <v>-0.4</v>
      </c>
      <c r="N30" s="2">
        <v>0.1</v>
      </c>
      <c r="O30" s="2">
        <v>0.8</v>
      </c>
      <c r="P30" s="2">
        <v>-0.4</v>
      </c>
      <c r="Q30" s="2">
        <f t="shared" si="0"/>
        <v>0.80622577482985502</v>
      </c>
      <c r="R30" t="str">
        <f t="shared" si="1"/>
        <v>Regular</v>
      </c>
      <c r="S30" t="s">
        <v>74</v>
      </c>
      <c r="T30">
        <v>9</v>
      </c>
    </row>
    <row r="31" spans="1:20">
      <c r="A31" s="1">
        <v>45819</v>
      </c>
      <c r="B31">
        <v>1</v>
      </c>
      <c r="C31" t="s">
        <v>90</v>
      </c>
      <c r="D31" t="s">
        <v>89</v>
      </c>
      <c r="E31" s="6">
        <v>5051.0086000000001</v>
      </c>
      <c r="F31" s="6">
        <v>5062.4333999999999</v>
      </c>
      <c r="G31" s="6">
        <v>56.898000000000003</v>
      </c>
      <c r="H31" s="6">
        <v>5051.0079999999998</v>
      </c>
      <c r="I31" s="6">
        <v>5062.4327999999996</v>
      </c>
      <c r="J31" s="6">
        <v>56.897500000000001</v>
      </c>
      <c r="K31" s="2">
        <v>-0.6</v>
      </c>
      <c r="L31" s="2">
        <v>-0.6</v>
      </c>
      <c r="M31" s="2">
        <v>-0.5</v>
      </c>
      <c r="N31" s="2">
        <v>-0.6</v>
      </c>
      <c r="O31" s="2">
        <v>-0.6</v>
      </c>
      <c r="P31" s="2">
        <v>-0.5</v>
      </c>
      <c r="Q31" s="2">
        <f t="shared" si="0"/>
        <v>0.84852813742385702</v>
      </c>
      <c r="R31" t="str">
        <f t="shared" si="1"/>
        <v>Regular</v>
      </c>
      <c r="S31" t="s">
        <v>74</v>
      </c>
      <c r="T31">
        <v>9</v>
      </c>
    </row>
    <row r="32" spans="1:20">
      <c r="A32" s="1">
        <v>45819</v>
      </c>
      <c r="B32">
        <v>1</v>
      </c>
      <c r="C32" t="s">
        <v>91</v>
      </c>
      <c r="D32" t="s">
        <v>89</v>
      </c>
      <c r="E32" s="6">
        <v>5058.5258999999996</v>
      </c>
      <c r="F32" s="6">
        <v>5053.1760000000004</v>
      </c>
      <c r="G32" s="6">
        <v>63.525199999999998</v>
      </c>
      <c r="H32" s="6">
        <v>5058.5253000000002</v>
      </c>
      <c r="I32" s="6">
        <v>5053.1756999999998</v>
      </c>
      <c r="J32" s="6">
        <v>63.525700000000001</v>
      </c>
      <c r="K32" s="2">
        <v>-0.6</v>
      </c>
      <c r="L32" s="2">
        <v>-0.3</v>
      </c>
      <c r="M32" s="2">
        <v>0.5</v>
      </c>
      <c r="N32" s="2">
        <v>-0.6</v>
      </c>
      <c r="O32" s="2">
        <v>-0.3</v>
      </c>
      <c r="P32" s="2">
        <v>0.5</v>
      </c>
      <c r="Q32" s="2">
        <f t="shared" si="0"/>
        <v>0.67082039324993692</v>
      </c>
      <c r="R32" t="str">
        <f t="shared" si="1"/>
        <v>Regular</v>
      </c>
      <c r="S32" t="s">
        <v>74</v>
      </c>
      <c r="T32">
        <v>9</v>
      </c>
    </row>
    <row r="33" spans="1:20">
      <c r="A33" s="1">
        <v>45819</v>
      </c>
      <c r="B33">
        <v>1</v>
      </c>
      <c r="C33" t="s">
        <v>92</v>
      </c>
      <c r="D33" t="s">
        <v>89</v>
      </c>
      <c r="E33" s="6">
        <v>5060.2732999999998</v>
      </c>
      <c r="F33" s="6">
        <v>5059.0944</v>
      </c>
      <c r="G33" s="6">
        <v>58.7943</v>
      </c>
      <c r="H33" s="6">
        <v>5060.2736000000004</v>
      </c>
      <c r="I33" s="6">
        <v>5059.0941000000003</v>
      </c>
      <c r="J33" s="6">
        <v>58.793999999999997</v>
      </c>
      <c r="K33" s="2">
        <v>0.3</v>
      </c>
      <c r="L33" s="2">
        <v>-0.3</v>
      </c>
      <c r="M33" s="2">
        <v>-0.3</v>
      </c>
      <c r="N33" s="2">
        <v>0.3</v>
      </c>
      <c r="O33" s="2">
        <v>-0.3</v>
      </c>
      <c r="P33" s="2">
        <v>-0.3</v>
      </c>
      <c r="Q33" s="2">
        <f t="shared" si="0"/>
        <v>0.42426406871192851</v>
      </c>
      <c r="R33" t="str">
        <f t="shared" si="1"/>
        <v>Regular</v>
      </c>
      <c r="S33" t="s">
        <v>74</v>
      </c>
      <c r="T33">
        <v>9</v>
      </c>
    </row>
    <row r="34" spans="1:20">
      <c r="A34" s="1">
        <v>45846</v>
      </c>
      <c r="B34">
        <v>2</v>
      </c>
      <c r="C34" t="s">
        <v>69</v>
      </c>
      <c r="D34" t="s">
        <v>70</v>
      </c>
      <c r="E34" s="6">
        <v>4990.9656999999997</v>
      </c>
      <c r="F34" s="6">
        <v>5053.7449999999999</v>
      </c>
      <c r="G34" s="6">
        <v>60.553600000000003</v>
      </c>
      <c r="H34" s="6">
        <v>4990.9647000000004</v>
      </c>
      <c r="I34" s="6">
        <v>5053.7430999999997</v>
      </c>
      <c r="J34" s="6">
        <v>60.552100000000003</v>
      </c>
      <c r="K34" s="2">
        <v>-1</v>
      </c>
      <c r="L34" s="2">
        <v>-1.6</v>
      </c>
      <c r="M34" s="2">
        <v>-1.2</v>
      </c>
      <c r="N34" s="2">
        <v>-1</v>
      </c>
      <c r="O34" s="2">
        <v>-1.9</v>
      </c>
      <c r="P34" s="2">
        <v>-1.5</v>
      </c>
      <c r="Q34" s="2">
        <f t="shared" si="0"/>
        <v>2.1470910553583886</v>
      </c>
      <c r="R34" t="str">
        <f t="shared" si="1"/>
        <v>Regular</v>
      </c>
      <c r="S34" t="s">
        <v>74</v>
      </c>
      <c r="T34">
        <v>10</v>
      </c>
    </row>
    <row r="35" spans="1:20">
      <c r="A35" s="1">
        <v>45846</v>
      </c>
      <c r="B35">
        <v>2</v>
      </c>
      <c r="C35" t="s">
        <v>75</v>
      </c>
      <c r="D35" t="s">
        <v>70</v>
      </c>
      <c r="E35" s="6">
        <v>4990.9760999999999</v>
      </c>
      <c r="F35" s="6">
        <v>5053.7455</v>
      </c>
      <c r="G35" s="6">
        <v>59.095199999999998</v>
      </c>
      <c r="H35" s="6">
        <v>4990.9759000000004</v>
      </c>
      <c r="I35" s="6">
        <v>5053.7444999999998</v>
      </c>
      <c r="J35" s="6">
        <v>59.094999999999999</v>
      </c>
      <c r="K35" s="2">
        <v>-0.5</v>
      </c>
      <c r="L35" s="2">
        <v>0.6</v>
      </c>
      <c r="M35" s="2">
        <v>0.1</v>
      </c>
      <c r="N35" s="2">
        <v>-0.2</v>
      </c>
      <c r="O35" s="2">
        <v>-1</v>
      </c>
      <c r="P35" s="2">
        <v>-0.2</v>
      </c>
      <c r="Q35" s="2">
        <f t="shared" si="0"/>
        <v>1.019803902718557</v>
      </c>
      <c r="R35" t="str">
        <f t="shared" si="1"/>
        <v>Regular</v>
      </c>
      <c r="S35" t="s">
        <v>74</v>
      </c>
      <c r="T35">
        <v>10</v>
      </c>
    </row>
    <row r="36" spans="1:20">
      <c r="A36" s="1">
        <v>45846</v>
      </c>
      <c r="B36">
        <v>2</v>
      </c>
      <c r="C36" t="s">
        <v>76</v>
      </c>
      <c r="D36" t="s">
        <v>70</v>
      </c>
      <c r="E36" s="6">
        <v>5001.0812999999998</v>
      </c>
      <c r="F36" s="6">
        <v>5053.5291999999999</v>
      </c>
      <c r="G36" s="6">
        <v>60.621899999999997</v>
      </c>
      <c r="H36" s="6">
        <v>5001.0801000000001</v>
      </c>
      <c r="I36" s="6">
        <v>5053.5246999999999</v>
      </c>
      <c r="J36" s="6">
        <v>60.620800000000003</v>
      </c>
      <c r="K36" s="2">
        <v>-0.2</v>
      </c>
      <c r="L36" s="2">
        <v>-2.4</v>
      </c>
      <c r="M36" s="2">
        <v>-0.4</v>
      </c>
      <c r="N36" s="2">
        <v>-1.2</v>
      </c>
      <c r="O36" s="2">
        <v>-4.5</v>
      </c>
      <c r="P36" s="2">
        <v>-1.1000000000000001</v>
      </c>
      <c r="Q36" s="2">
        <f t="shared" si="0"/>
        <v>4.6572524088780076</v>
      </c>
      <c r="R36" t="str">
        <f t="shared" si="1"/>
        <v>Regular</v>
      </c>
      <c r="S36" t="s">
        <v>74</v>
      </c>
      <c r="T36">
        <v>10</v>
      </c>
    </row>
    <row r="37" spans="1:20">
      <c r="A37" s="1">
        <v>45846</v>
      </c>
      <c r="B37">
        <v>2</v>
      </c>
      <c r="C37" t="s">
        <v>77</v>
      </c>
      <c r="D37" t="s">
        <v>70</v>
      </c>
      <c r="E37" s="6">
        <v>5001.0428000000002</v>
      </c>
      <c r="F37" s="6">
        <v>5053.5321999999996</v>
      </c>
      <c r="G37" s="6">
        <v>58.677799999999998</v>
      </c>
      <c r="H37" s="6">
        <v>5001.0419000000002</v>
      </c>
      <c r="I37" s="6">
        <v>5053.5307000000003</v>
      </c>
      <c r="J37" s="6">
        <v>58.676000000000002</v>
      </c>
      <c r="K37" s="2">
        <v>-1.2</v>
      </c>
      <c r="L37" s="2">
        <v>-3.2</v>
      </c>
      <c r="M37" s="2">
        <v>-0.3</v>
      </c>
      <c r="N37" s="2">
        <v>-0.9</v>
      </c>
      <c r="O37" s="2">
        <v>-1.5</v>
      </c>
      <c r="P37" s="2">
        <v>-1.8</v>
      </c>
      <c r="Q37" s="2">
        <f t="shared" si="0"/>
        <v>1.7492855684535902</v>
      </c>
      <c r="R37" t="str">
        <f t="shared" si="1"/>
        <v>Regular</v>
      </c>
      <c r="S37" t="s">
        <v>74</v>
      </c>
      <c r="T37">
        <v>10</v>
      </c>
    </row>
    <row r="38" spans="1:20">
      <c r="A38" s="1">
        <v>45846</v>
      </c>
      <c r="B38">
        <v>2</v>
      </c>
      <c r="C38" t="s">
        <v>78</v>
      </c>
      <c r="D38" t="s">
        <v>70</v>
      </c>
      <c r="E38" s="6">
        <v>5005.4017999999996</v>
      </c>
      <c r="F38" s="6">
        <v>5054.5141000000003</v>
      </c>
      <c r="G38" s="6">
        <v>60.181899999999999</v>
      </c>
      <c r="H38" s="6">
        <v>5005.4032999999999</v>
      </c>
      <c r="I38" s="6">
        <v>5054.5122000000001</v>
      </c>
      <c r="J38" s="6">
        <v>60.179600000000001</v>
      </c>
      <c r="K38" s="2">
        <v>-0.2</v>
      </c>
      <c r="L38" s="2">
        <v>-0.7</v>
      </c>
      <c r="M38" s="2">
        <v>0.2</v>
      </c>
      <c r="N38" s="2">
        <v>1.5</v>
      </c>
      <c r="O38" s="2">
        <v>-1.9</v>
      </c>
      <c r="P38" s="2">
        <v>-2.2999999999999998</v>
      </c>
      <c r="Q38" s="2">
        <f t="shared" si="0"/>
        <v>2.4207436873820409</v>
      </c>
      <c r="R38" t="str">
        <f t="shared" si="1"/>
        <v>Regular</v>
      </c>
      <c r="S38" t="s">
        <v>74</v>
      </c>
      <c r="T38">
        <v>10</v>
      </c>
    </row>
    <row r="39" spans="1:20">
      <c r="A39" s="1">
        <v>45846</v>
      </c>
      <c r="B39">
        <v>2</v>
      </c>
      <c r="C39" t="s">
        <v>80</v>
      </c>
      <c r="D39" t="s">
        <v>70</v>
      </c>
      <c r="E39" s="6">
        <v>5005.4050999999999</v>
      </c>
      <c r="F39" s="6">
        <v>5054.5766999999996</v>
      </c>
      <c r="G39" s="6">
        <v>58.646999999999998</v>
      </c>
      <c r="H39" s="6">
        <v>5005.4075999999995</v>
      </c>
      <c r="I39" s="6">
        <v>5054.5748999999996</v>
      </c>
      <c r="J39" s="6">
        <v>58.644500000000001</v>
      </c>
      <c r="K39" s="2">
        <v>-0.1</v>
      </c>
      <c r="L39" s="2">
        <v>0.5</v>
      </c>
      <c r="M39" s="2">
        <v>0.1</v>
      </c>
      <c r="N39" s="2">
        <v>2.5</v>
      </c>
      <c r="O39" s="2">
        <v>-1.8</v>
      </c>
      <c r="P39" s="2">
        <v>-2.5</v>
      </c>
      <c r="Q39" s="2">
        <f t="shared" si="0"/>
        <v>3.0805843601498726</v>
      </c>
      <c r="R39" t="str">
        <f t="shared" si="1"/>
        <v>Regular</v>
      </c>
      <c r="S39" t="s">
        <v>74</v>
      </c>
      <c r="T39">
        <v>10</v>
      </c>
    </row>
    <row r="40" spans="1:20">
      <c r="A40" s="1">
        <v>45846</v>
      </c>
      <c r="B40">
        <v>2</v>
      </c>
      <c r="C40" t="s">
        <v>81</v>
      </c>
      <c r="D40" t="s">
        <v>70</v>
      </c>
      <c r="E40" s="6">
        <v>5005.8755000000001</v>
      </c>
      <c r="F40" s="6">
        <v>5063.3173999999999</v>
      </c>
      <c r="G40" s="6">
        <v>60.481099999999998</v>
      </c>
      <c r="H40" s="6">
        <v>5005.8761000000004</v>
      </c>
      <c r="I40" s="6">
        <v>5063.3164999999999</v>
      </c>
      <c r="J40" s="6">
        <v>60.480200000000004</v>
      </c>
      <c r="K40" s="2">
        <v>-0.2</v>
      </c>
      <c r="L40" s="2">
        <v>0.2</v>
      </c>
      <c r="M40" s="2">
        <v>0.2</v>
      </c>
      <c r="N40" s="2">
        <v>0.6</v>
      </c>
      <c r="O40" s="2">
        <v>-0.9</v>
      </c>
      <c r="P40" s="2">
        <v>-0.9</v>
      </c>
      <c r="Q40" s="2">
        <f t="shared" si="0"/>
        <v>1.0816653826391966</v>
      </c>
      <c r="R40" t="str">
        <f t="shared" si="1"/>
        <v>Regular</v>
      </c>
      <c r="S40" t="s">
        <v>74</v>
      </c>
      <c r="T40">
        <v>10</v>
      </c>
    </row>
    <row r="41" spans="1:20">
      <c r="A41" s="1">
        <v>45846</v>
      </c>
      <c r="B41">
        <v>2</v>
      </c>
      <c r="C41" t="s">
        <v>82</v>
      </c>
      <c r="D41" t="s">
        <v>70</v>
      </c>
      <c r="E41" s="6">
        <v>5005.8838999999998</v>
      </c>
      <c r="F41" s="6">
        <v>5063.7007999999996</v>
      </c>
      <c r="G41" s="6">
        <v>59.329300000000003</v>
      </c>
      <c r="H41" s="6">
        <v>5005.8825999999999</v>
      </c>
      <c r="I41" s="6">
        <v>5063.6992</v>
      </c>
      <c r="J41" s="6">
        <v>59.328600000000002</v>
      </c>
      <c r="K41" s="2">
        <v>0.1</v>
      </c>
      <c r="L41" s="2">
        <v>0.7</v>
      </c>
      <c r="M41" s="2">
        <v>0.1</v>
      </c>
      <c r="N41" s="2">
        <v>-1.3</v>
      </c>
      <c r="O41" s="2">
        <v>-1.6</v>
      </c>
      <c r="P41" s="2">
        <v>-0.7</v>
      </c>
      <c r="Q41" s="2">
        <f t="shared" si="0"/>
        <v>2.0615528128088303</v>
      </c>
      <c r="R41" t="str">
        <f t="shared" si="1"/>
        <v>Regular</v>
      </c>
      <c r="S41" t="s">
        <v>74</v>
      </c>
      <c r="T41">
        <v>10</v>
      </c>
    </row>
    <row r="42" spans="1:20">
      <c r="A42" s="1">
        <v>45846</v>
      </c>
      <c r="B42">
        <v>2</v>
      </c>
      <c r="C42" t="s">
        <v>83</v>
      </c>
      <c r="D42" t="s">
        <v>84</v>
      </c>
      <c r="E42" s="6">
        <v>5055.3705</v>
      </c>
      <c r="F42" s="6">
        <v>5037.6908000000003</v>
      </c>
      <c r="G42" s="6">
        <v>55.834499999999998</v>
      </c>
      <c r="H42" s="6">
        <v>5055.3683000000001</v>
      </c>
      <c r="I42" s="6">
        <v>5037.6908999999996</v>
      </c>
      <c r="J42" s="6">
        <v>55.835099999999997</v>
      </c>
      <c r="K42" s="2">
        <v>-2.2000000000000002</v>
      </c>
      <c r="L42" s="2">
        <v>0.1</v>
      </c>
      <c r="M42" s="2">
        <v>0.6</v>
      </c>
      <c r="N42" s="2">
        <v>-2.2000000000000002</v>
      </c>
      <c r="O42" s="2">
        <v>0.1</v>
      </c>
      <c r="P42" s="2">
        <v>0.6</v>
      </c>
      <c r="Q42" s="2">
        <f t="shared" si="0"/>
        <v>2.2022715545545242</v>
      </c>
      <c r="R42" t="str">
        <f t="shared" si="1"/>
        <v>Regular</v>
      </c>
      <c r="S42" t="s">
        <v>74</v>
      </c>
      <c r="T42">
        <v>10</v>
      </c>
    </row>
    <row r="43" spans="1:20">
      <c r="A43" s="1">
        <v>45846</v>
      </c>
      <c r="B43">
        <v>2</v>
      </c>
      <c r="C43" t="s">
        <v>85</v>
      </c>
      <c r="D43" t="s">
        <v>84</v>
      </c>
      <c r="E43" s="6">
        <v>5055.3611000000001</v>
      </c>
      <c r="F43" s="6">
        <v>5037.652</v>
      </c>
      <c r="G43" s="6">
        <v>53.920200000000001</v>
      </c>
      <c r="H43" s="6">
        <v>5055.3600999999999</v>
      </c>
      <c r="I43" s="6">
        <v>5037.6512000000002</v>
      </c>
      <c r="J43" s="6">
        <v>53.921500000000002</v>
      </c>
      <c r="K43" s="2">
        <v>-1.2</v>
      </c>
      <c r="L43" s="2">
        <v>-0.3</v>
      </c>
      <c r="M43" s="2">
        <v>0.9</v>
      </c>
      <c r="N43" s="2">
        <v>-1</v>
      </c>
      <c r="O43" s="2">
        <v>-0.8</v>
      </c>
      <c r="P43" s="2">
        <v>1.3</v>
      </c>
      <c r="Q43" s="2">
        <f t="shared" si="0"/>
        <v>1.2806248474865698</v>
      </c>
      <c r="R43" t="str">
        <f t="shared" si="1"/>
        <v>Regular</v>
      </c>
      <c r="S43" t="s">
        <v>74</v>
      </c>
      <c r="T43">
        <v>10</v>
      </c>
    </row>
    <row r="44" spans="1:20">
      <c r="A44" s="1">
        <v>45846</v>
      </c>
      <c r="B44">
        <v>2</v>
      </c>
      <c r="C44" t="s">
        <v>86</v>
      </c>
      <c r="D44" t="s">
        <v>84</v>
      </c>
      <c r="E44" s="6">
        <v>5053.1266999999998</v>
      </c>
      <c r="F44" s="6">
        <v>5028.5694000000003</v>
      </c>
      <c r="G44" s="6">
        <v>55.876899999999999</v>
      </c>
      <c r="H44" s="6">
        <v>5053.1256000000003</v>
      </c>
      <c r="I44" s="6">
        <v>5028.5708999999997</v>
      </c>
      <c r="J44" s="6">
        <v>55.877200000000002</v>
      </c>
      <c r="K44" s="2">
        <v>-0.3</v>
      </c>
      <c r="L44" s="2">
        <v>0.7</v>
      </c>
      <c r="M44" s="2">
        <v>0.3</v>
      </c>
      <c r="N44" s="2">
        <v>-1.1000000000000001</v>
      </c>
      <c r="O44" s="2">
        <v>1.5</v>
      </c>
      <c r="P44" s="2">
        <v>0.3</v>
      </c>
      <c r="Q44" s="2">
        <f t="shared" si="0"/>
        <v>1.8601075237738274</v>
      </c>
      <c r="R44" t="str">
        <f t="shared" si="1"/>
        <v>Regular</v>
      </c>
      <c r="S44" t="s">
        <v>74</v>
      </c>
      <c r="T44">
        <v>10</v>
      </c>
    </row>
    <row r="45" spans="1:20">
      <c r="A45" s="1">
        <v>45846</v>
      </c>
      <c r="B45">
        <v>2</v>
      </c>
      <c r="C45" t="s">
        <v>87</v>
      </c>
      <c r="D45" t="s">
        <v>84</v>
      </c>
      <c r="E45" s="6">
        <v>5053.1229999999996</v>
      </c>
      <c r="F45" s="6">
        <v>5028.5785999999998</v>
      </c>
      <c r="G45" s="6">
        <v>54.159100000000002</v>
      </c>
      <c r="H45" s="6">
        <v>5053.1215000000002</v>
      </c>
      <c r="I45" s="6">
        <v>5028.5798000000004</v>
      </c>
      <c r="J45" s="6">
        <v>54.159700000000001</v>
      </c>
      <c r="K45" s="2">
        <v>-1.6</v>
      </c>
      <c r="L45" s="2">
        <v>0.3</v>
      </c>
      <c r="M45" s="2">
        <v>0</v>
      </c>
      <c r="N45" s="2">
        <v>-1.5</v>
      </c>
      <c r="O45" s="2">
        <v>1.2</v>
      </c>
      <c r="P45" s="2">
        <v>0.6</v>
      </c>
      <c r="Q45" s="2">
        <f t="shared" si="0"/>
        <v>1.9209372712298547</v>
      </c>
      <c r="R45" t="str">
        <f t="shared" si="1"/>
        <v>Regular</v>
      </c>
      <c r="S45" t="s">
        <v>74</v>
      </c>
      <c r="T45">
        <v>10</v>
      </c>
    </row>
    <row r="46" spans="1:20">
      <c r="A46" s="1">
        <v>45846</v>
      </c>
      <c r="B46">
        <v>2</v>
      </c>
      <c r="C46" t="s">
        <v>88</v>
      </c>
      <c r="D46" t="s">
        <v>89</v>
      </c>
      <c r="E46" s="6">
        <v>5051.1406999999999</v>
      </c>
      <c r="F46" s="6">
        <v>5062.3236999999999</v>
      </c>
      <c r="G46" s="6">
        <v>63.001399999999997</v>
      </c>
      <c r="H46" s="6">
        <v>5051.1406999999999</v>
      </c>
      <c r="I46" s="6">
        <v>5062.3239999999996</v>
      </c>
      <c r="J46" s="6">
        <v>63.000100000000003</v>
      </c>
      <c r="K46" s="2">
        <v>-0.1</v>
      </c>
      <c r="L46" s="2">
        <v>-0.5</v>
      </c>
      <c r="M46" s="2">
        <v>-0.9</v>
      </c>
      <c r="N46" s="2">
        <v>0</v>
      </c>
      <c r="O46" s="2">
        <v>0.3</v>
      </c>
      <c r="P46" s="2">
        <v>-1.3</v>
      </c>
      <c r="Q46" s="2">
        <f t="shared" si="0"/>
        <v>0.3</v>
      </c>
      <c r="R46" t="str">
        <f t="shared" si="1"/>
        <v>Regular</v>
      </c>
      <c r="S46" t="s">
        <v>74</v>
      </c>
      <c r="T46">
        <v>10</v>
      </c>
    </row>
    <row r="47" spans="1:20">
      <c r="A47" s="1">
        <v>45846</v>
      </c>
      <c r="B47">
        <v>2</v>
      </c>
      <c r="C47" t="s">
        <v>90</v>
      </c>
      <c r="D47" t="s">
        <v>89</v>
      </c>
      <c r="E47" s="6">
        <v>5051.0086000000001</v>
      </c>
      <c r="F47" s="6">
        <v>5062.4333999999999</v>
      </c>
      <c r="G47" s="6">
        <v>56.898000000000003</v>
      </c>
      <c r="H47" s="6">
        <v>5051.0078999999996</v>
      </c>
      <c r="I47" s="6">
        <v>5062.4323999999997</v>
      </c>
      <c r="J47" s="6">
        <v>56.896599999999999</v>
      </c>
      <c r="K47" s="2">
        <v>-0.1</v>
      </c>
      <c r="L47" s="2">
        <v>-0.4</v>
      </c>
      <c r="M47" s="2">
        <v>-0.9</v>
      </c>
      <c r="N47" s="2">
        <v>-0.7</v>
      </c>
      <c r="O47" s="2">
        <v>-1</v>
      </c>
      <c r="P47" s="2">
        <v>-1.4</v>
      </c>
      <c r="Q47" s="2">
        <f t="shared" si="0"/>
        <v>1.2206555615733703</v>
      </c>
      <c r="R47" t="str">
        <f t="shared" si="1"/>
        <v>Regular</v>
      </c>
      <c r="S47" t="s">
        <v>74</v>
      </c>
      <c r="T47">
        <v>10</v>
      </c>
    </row>
    <row r="48" spans="1:20">
      <c r="A48" s="1">
        <v>45846</v>
      </c>
      <c r="B48">
        <v>2</v>
      </c>
      <c r="C48" t="s">
        <v>91</v>
      </c>
      <c r="D48" t="s">
        <v>89</v>
      </c>
      <c r="E48" s="6">
        <v>5058.5258999999996</v>
      </c>
      <c r="F48" s="6">
        <v>5053.1760000000004</v>
      </c>
      <c r="G48" s="6">
        <v>63.525199999999998</v>
      </c>
      <c r="H48" s="6">
        <v>5058.5273999999999</v>
      </c>
      <c r="I48" s="6">
        <v>5053.1767</v>
      </c>
      <c r="J48" s="6">
        <v>63.524700000000003</v>
      </c>
      <c r="K48" s="2">
        <v>2.1</v>
      </c>
      <c r="L48" s="2">
        <v>1</v>
      </c>
      <c r="M48" s="2">
        <v>-1</v>
      </c>
      <c r="N48" s="2">
        <v>1.5</v>
      </c>
      <c r="O48" s="2">
        <v>0.7</v>
      </c>
      <c r="P48" s="2">
        <v>-0.5</v>
      </c>
      <c r="Q48" s="2">
        <f t="shared" si="0"/>
        <v>1.6552945357246849</v>
      </c>
      <c r="R48" t="str">
        <f t="shared" si="1"/>
        <v>Regular</v>
      </c>
      <c r="S48" t="s">
        <v>74</v>
      </c>
      <c r="T48">
        <v>10</v>
      </c>
    </row>
    <row r="49" spans="1:20">
      <c r="A49" s="1">
        <v>45846</v>
      </c>
      <c r="B49">
        <v>2</v>
      </c>
      <c r="C49" t="s">
        <v>92</v>
      </c>
      <c r="D49" t="s">
        <v>89</v>
      </c>
      <c r="E49" s="6">
        <v>5060.2732999999998</v>
      </c>
      <c r="F49" s="6">
        <v>5059.0944</v>
      </c>
      <c r="G49" s="6">
        <v>58.7943</v>
      </c>
      <c r="H49" s="6">
        <v>5060.2728999999999</v>
      </c>
      <c r="I49" s="6">
        <v>5059.0946999999996</v>
      </c>
      <c r="J49" s="6">
        <v>58.792900000000003</v>
      </c>
      <c r="K49" s="2">
        <v>-0.7</v>
      </c>
      <c r="L49" s="2">
        <v>0.6</v>
      </c>
      <c r="M49" s="2">
        <v>-1.1000000000000001</v>
      </c>
      <c r="N49" s="2">
        <v>-0.4</v>
      </c>
      <c r="O49" s="2">
        <v>0.3</v>
      </c>
      <c r="P49" s="2">
        <v>-1.4</v>
      </c>
      <c r="Q49" s="2">
        <f t="shared" si="0"/>
        <v>0.5</v>
      </c>
      <c r="R49" t="str">
        <f t="shared" si="1"/>
        <v>Regular</v>
      </c>
      <c r="S49" t="s">
        <v>74</v>
      </c>
      <c r="T49">
        <v>10</v>
      </c>
    </row>
    <row r="50" spans="1:20">
      <c r="A50" s="1">
        <v>45874</v>
      </c>
      <c r="B50">
        <v>3</v>
      </c>
      <c r="C50" t="s">
        <v>69</v>
      </c>
      <c r="D50" t="s">
        <v>70</v>
      </c>
      <c r="E50" s="6">
        <v>4990.9656999999997</v>
      </c>
      <c r="F50" s="6">
        <v>5053.7449999999999</v>
      </c>
      <c r="G50" s="6">
        <v>60.553600000000003</v>
      </c>
      <c r="H50" s="6">
        <v>4990.9651999999996</v>
      </c>
      <c r="I50" s="6">
        <v>5053.7425999999996</v>
      </c>
      <c r="J50" s="6">
        <v>60.552</v>
      </c>
      <c r="K50" s="2">
        <v>0.5</v>
      </c>
      <c r="L50" s="2">
        <v>-0.5</v>
      </c>
      <c r="M50" s="2">
        <v>-0.1</v>
      </c>
      <c r="N50" s="2">
        <v>-0.5</v>
      </c>
      <c r="O50" s="2">
        <v>-2.4</v>
      </c>
      <c r="P50" s="2">
        <v>-1.6</v>
      </c>
      <c r="Q50" s="2">
        <f t="shared" si="0"/>
        <v>2.4515301344262523</v>
      </c>
      <c r="R50" t="str">
        <f t="shared" si="1"/>
        <v>Regular</v>
      </c>
      <c r="S50" t="s">
        <v>74</v>
      </c>
      <c r="T50">
        <v>11</v>
      </c>
    </row>
    <row r="51" spans="1:20">
      <c r="A51" s="1">
        <v>45874</v>
      </c>
      <c r="B51">
        <v>3</v>
      </c>
      <c r="C51" t="s">
        <v>75</v>
      </c>
      <c r="D51" t="s">
        <v>70</v>
      </c>
      <c r="E51" s="6">
        <v>4990.9760999999999</v>
      </c>
      <c r="F51" s="6">
        <v>5053.7455</v>
      </c>
      <c r="G51" s="6">
        <v>59.095199999999998</v>
      </c>
      <c r="H51" s="6">
        <v>4990.9763999999996</v>
      </c>
      <c r="I51" s="6">
        <v>5053.7437</v>
      </c>
      <c r="J51" s="6">
        <v>59.094999999999999</v>
      </c>
      <c r="K51" s="2">
        <v>0.5</v>
      </c>
      <c r="L51" s="2">
        <v>-0.8</v>
      </c>
      <c r="M51" s="2">
        <v>0</v>
      </c>
      <c r="N51" s="2">
        <v>0.3</v>
      </c>
      <c r="O51" s="2">
        <v>-1.8</v>
      </c>
      <c r="P51" s="2">
        <v>-0.2</v>
      </c>
      <c r="Q51" s="2">
        <f t="shared" si="0"/>
        <v>1.8248287590894658</v>
      </c>
      <c r="R51" t="str">
        <f t="shared" si="1"/>
        <v>Regular</v>
      </c>
      <c r="S51" t="s">
        <v>74</v>
      </c>
      <c r="T51">
        <v>11</v>
      </c>
    </row>
    <row r="52" spans="1:20">
      <c r="A52" s="1">
        <v>45874</v>
      </c>
      <c r="B52">
        <v>3</v>
      </c>
      <c r="C52" t="s">
        <v>76</v>
      </c>
      <c r="D52" t="s">
        <v>70</v>
      </c>
      <c r="E52" s="6">
        <v>5001.0812999999998</v>
      </c>
      <c r="F52" s="6">
        <v>5053.5291999999999</v>
      </c>
      <c r="G52" s="6">
        <v>60.621899999999997</v>
      </c>
      <c r="H52" s="6">
        <v>5001.0814</v>
      </c>
      <c r="I52" s="6">
        <v>5053.5236999999997</v>
      </c>
      <c r="J52" s="6">
        <v>60.620699999999999</v>
      </c>
      <c r="K52" s="2">
        <v>1.3</v>
      </c>
      <c r="L52" s="2">
        <v>-1</v>
      </c>
      <c r="M52" s="2">
        <v>-0.1</v>
      </c>
      <c r="N52" s="2">
        <v>0.1</v>
      </c>
      <c r="O52" s="2">
        <v>-5.5</v>
      </c>
      <c r="P52" s="2">
        <v>-1.2</v>
      </c>
      <c r="Q52" s="2">
        <f t="shared" si="0"/>
        <v>5.5009090157900271</v>
      </c>
      <c r="R52" t="str">
        <f t="shared" si="1"/>
        <v>Regular</v>
      </c>
      <c r="S52" t="s">
        <v>74</v>
      </c>
      <c r="T52">
        <v>11</v>
      </c>
    </row>
    <row r="53" spans="1:20">
      <c r="A53" s="1">
        <v>45874</v>
      </c>
      <c r="B53">
        <v>3</v>
      </c>
      <c r="C53" t="s">
        <v>77</v>
      </c>
      <c r="D53" t="s">
        <v>70</v>
      </c>
      <c r="E53" s="6">
        <v>5001.0428000000002</v>
      </c>
      <c r="F53" s="6">
        <v>5053.5321999999996</v>
      </c>
      <c r="G53" s="6">
        <v>58.677799999999998</v>
      </c>
      <c r="H53" s="6">
        <v>5001.0432000000001</v>
      </c>
      <c r="I53" s="6">
        <v>5053.5282999999999</v>
      </c>
      <c r="J53" s="6">
        <v>58.675699999999999</v>
      </c>
      <c r="K53" s="2">
        <v>1.3</v>
      </c>
      <c r="L53" s="2">
        <v>-2.4</v>
      </c>
      <c r="M53" s="2">
        <v>-0.3</v>
      </c>
      <c r="N53" s="2">
        <v>0.4</v>
      </c>
      <c r="O53" s="2">
        <v>-3.9</v>
      </c>
      <c r="P53" s="2">
        <v>-2.1</v>
      </c>
      <c r="Q53" s="2">
        <f t="shared" si="0"/>
        <v>3.9204591567825315</v>
      </c>
      <c r="R53" t="str">
        <f t="shared" si="1"/>
        <v>Regular</v>
      </c>
      <c r="S53" t="s">
        <v>74</v>
      </c>
      <c r="T53">
        <v>11</v>
      </c>
    </row>
    <row r="54" spans="1:20">
      <c r="A54" s="1">
        <v>45874</v>
      </c>
      <c r="B54">
        <v>3</v>
      </c>
      <c r="C54" t="s">
        <v>78</v>
      </c>
      <c r="D54" t="s">
        <v>70</v>
      </c>
      <c r="E54" s="6">
        <v>5005.4017999999996</v>
      </c>
      <c r="F54" s="6">
        <v>5054.5141000000003</v>
      </c>
      <c r="G54" s="6">
        <v>60.181899999999999</v>
      </c>
      <c r="H54" s="6">
        <v>5005.4034000000001</v>
      </c>
      <c r="I54" s="6">
        <v>5054.5099</v>
      </c>
      <c r="J54" s="6">
        <v>60.179000000000002</v>
      </c>
      <c r="K54" s="2">
        <v>0.1</v>
      </c>
      <c r="L54" s="2">
        <v>-2.2999999999999998</v>
      </c>
      <c r="M54" s="2">
        <v>-0.6</v>
      </c>
      <c r="N54" s="2">
        <v>1.6</v>
      </c>
      <c r="O54" s="2">
        <v>-4.2</v>
      </c>
      <c r="P54" s="2">
        <v>-2.9</v>
      </c>
      <c r="Q54" s="2">
        <f t="shared" si="0"/>
        <v>4.4944410108488464</v>
      </c>
      <c r="R54" t="str">
        <f t="shared" si="1"/>
        <v>Regular</v>
      </c>
      <c r="S54" t="s">
        <v>74</v>
      </c>
      <c r="T54">
        <v>11</v>
      </c>
    </row>
    <row r="55" spans="1:20">
      <c r="A55" s="1">
        <v>45874</v>
      </c>
      <c r="B55">
        <v>3</v>
      </c>
      <c r="C55" t="s">
        <v>80</v>
      </c>
      <c r="D55" t="s">
        <v>70</v>
      </c>
      <c r="E55" s="6">
        <v>5005.4050999999999</v>
      </c>
      <c r="F55" s="6">
        <v>5054.5766999999996</v>
      </c>
      <c r="G55" s="6">
        <v>58.646999999999998</v>
      </c>
      <c r="H55" s="6">
        <v>5005.4072999999999</v>
      </c>
      <c r="I55" s="6">
        <v>5054.5724</v>
      </c>
      <c r="J55" s="6">
        <v>58.643999999999998</v>
      </c>
      <c r="K55" s="2">
        <v>-0.3</v>
      </c>
      <c r="L55" s="2">
        <v>-2.5</v>
      </c>
      <c r="M55" s="2">
        <v>-0.5</v>
      </c>
      <c r="N55" s="2">
        <v>2.2000000000000002</v>
      </c>
      <c r="O55" s="2">
        <v>-4.3</v>
      </c>
      <c r="P55" s="2">
        <v>-3</v>
      </c>
      <c r="Q55" s="2">
        <f t="shared" si="0"/>
        <v>4.8301138702933288</v>
      </c>
      <c r="R55" t="str">
        <f t="shared" si="1"/>
        <v>Regular</v>
      </c>
      <c r="S55" t="s">
        <v>74</v>
      </c>
      <c r="T55">
        <v>11</v>
      </c>
    </row>
    <row r="56" spans="1:20">
      <c r="A56" s="1">
        <v>45874</v>
      </c>
      <c r="B56">
        <v>3</v>
      </c>
      <c r="C56" t="s">
        <v>81</v>
      </c>
      <c r="D56" t="s">
        <v>70</v>
      </c>
      <c r="E56" s="6">
        <v>5005.8755000000001</v>
      </c>
      <c r="F56" s="6">
        <v>5063.3173999999999</v>
      </c>
      <c r="G56" s="6">
        <v>60.481099999999998</v>
      </c>
      <c r="H56" s="6">
        <v>5005.8757999999998</v>
      </c>
      <c r="I56" s="6">
        <v>5063.3155999999999</v>
      </c>
      <c r="J56" s="6">
        <v>60.4801</v>
      </c>
      <c r="K56" s="2">
        <v>-0.3</v>
      </c>
      <c r="L56" s="2">
        <v>-0.9</v>
      </c>
      <c r="M56" s="2">
        <v>-0.1</v>
      </c>
      <c r="N56" s="2">
        <v>0.3</v>
      </c>
      <c r="O56" s="2">
        <v>-1.8</v>
      </c>
      <c r="P56" s="2">
        <v>-1</v>
      </c>
      <c r="Q56" s="2">
        <f t="shared" si="0"/>
        <v>1.8248287590894658</v>
      </c>
      <c r="R56" t="str">
        <f t="shared" si="1"/>
        <v>Regular</v>
      </c>
      <c r="S56" t="s">
        <v>74</v>
      </c>
      <c r="T56">
        <v>11</v>
      </c>
    </row>
    <row r="57" spans="1:20">
      <c r="A57" s="1">
        <v>45874</v>
      </c>
      <c r="B57">
        <v>3</v>
      </c>
      <c r="C57" t="s">
        <v>82</v>
      </c>
      <c r="D57" t="s">
        <v>70</v>
      </c>
      <c r="E57" s="6">
        <v>5005.8838999999998</v>
      </c>
      <c r="F57" s="6">
        <v>5063.7007999999996</v>
      </c>
      <c r="G57" s="6">
        <v>59.329300000000003</v>
      </c>
      <c r="H57" s="6">
        <v>5005.8827000000001</v>
      </c>
      <c r="I57" s="6">
        <v>5063.6994000000004</v>
      </c>
      <c r="J57" s="6">
        <v>59.328400000000002</v>
      </c>
      <c r="K57" s="2">
        <v>0.1</v>
      </c>
      <c r="L57" s="2">
        <v>0.2</v>
      </c>
      <c r="M57" s="2">
        <v>-0.2</v>
      </c>
      <c r="N57" s="2">
        <v>-1.2</v>
      </c>
      <c r="O57" s="2">
        <v>-1.4</v>
      </c>
      <c r="P57" s="2">
        <v>-0.9</v>
      </c>
      <c r="Q57" s="2">
        <f t="shared" si="0"/>
        <v>1.8439088914585773</v>
      </c>
      <c r="R57" t="str">
        <f t="shared" si="1"/>
        <v>Regular</v>
      </c>
      <c r="S57" t="s">
        <v>74</v>
      </c>
      <c r="T57">
        <v>11</v>
      </c>
    </row>
    <row r="58" spans="1:20">
      <c r="A58" s="1">
        <v>45874</v>
      </c>
      <c r="B58">
        <v>3</v>
      </c>
      <c r="C58" t="s">
        <v>83</v>
      </c>
      <c r="D58" t="s">
        <v>84</v>
      </c>
      <c r="E58" s="6">
        <v>5055.3705</v>
      </c>
      <c r="F58" s="6">
        <v>5037.6908000000003</v>
      </c>
      <c r="G58" s="6">
        <v>55.834499999999998</v>
      </c>
      <c r="H58" s="6">
        <v>5055.3688000000002</v>
      </c>
      <c r="I58" s="6">
        <v>5037.6908999999996</v>
      </c>
      <c r="J58" s="6">
        <v>55.835500000000003</v>
      </c>
      <c r="K58" s="2">
        <v>0.5</v>
      </c>
      <c r="L58" s="2">
        <v>0</v>
      </c>
      <c r="M58" s="2">
        <v>0.4</v>
      </c>
      <c r="N58" s="2">
        <v>-1.7</v>
      </c>
      <c r="O58" s="2">
        <v>0.1</v>
      </c>
      <c r="P58" s="2">
        <v>1</v>
      </c>
      <c r="Q58" s="2">
        <f t="shared" si="0"/>
        <v>1.70293863659264</v>
      </c>
      <c r="R58" t="str">
        <f t="shared" si="1"/>
        <v>Regular</v>
      </c>
      <c r="S58" t="s">
        <v>74</v>
      </c>
      <c r="T58">
        <v>11</v>
      </c>
    </row>
    <row r="59" spans="1:20">
      <c r="A59" s="1">
        <v>45874</v>
      </c>
      <c r="B59">
        <v>3</v>
      </c>
      <c r="C59" t="s">
        <v>85</v>
      </c>
      <c r="D59" t="s">
        <v>84</v>
      </c>
      <c r="E59" s="6">
        <v>5055.3611000000001</v>
      </c>
      <c r="F59" s="6">
        <v>5037.652</v>
      </c>
      <c r="G59" s="6">
        <v>53.920200000000001</v>
      </c>
      <c r="H59" s="6">
        <v>5055.3608000000004</v>
      </c>
      <c r="I59" s="6">
        <v>5037.6511</v>
      </c>
      <c r="J59" s="6">
        <v>53.921900000000001</v>
      </c>
      <c r="K59" s="2">
        <v>0.7</v>
      </c>
      <c r="L59" s="2">
        <v>-0.1</v>
      </c>
      <c r="M59" s="2">
        <v>0.4</v>
      </c>
      <c r="N59" s="2">
        <v>-0.3</v>
      </c>
      <c r="O59" s="2">
        <v>-0.9</v>
      </c>
      <c r="P59" s="2">
        <v>1.7</v>
      </c>
      <c r="Q59" s="2">
        <f t="shared" si="0"/>
        <v>0.94868329805051377</v>
      </c>
      <c r="R59" t="str">
        <f t="shared" si="1"/>
        <v>Regular</v>
      </c>
      <c r="S59" t="s">
        <v>74</v>
      </c>
      <c r="T59">
        <v>11</v>
      </c>
    </row>
    <row r="60" spans="1:20">
      <c r="A60" s="1">
        <v>45874</v>
      </c>
      <c r="B60">
        <v>3</v>
      </c>
      <c r="C60" t="s">
        <v>86</v>
      </c>
      <c r="D60" t="s">
        <v>84</v>
      </c>
      <c r="E60" s="6">
        <v>5053.1266999999998</v>
      </c>
      <c r="F60" s="6">
        <v>5028.5694000000003</v>
      </c>
      <c r="G60" s="6">
        <v>55.876899999999999</v>
      </c>
      <c r="H60" s="6">
        <v>5053.1256999999996</v>
      </c>
      <c r="I60" s="6">
        <v>5028.5712999999996</v>
      </c>
      <c r="J60" s="6">
        <v>55.877600000000001</v>
      </c>
      <c r="K60" s="2">
        <v>0.1</v>
      </c>
      <c r="L60" s="2">
        <v>0.4</v>
      </c>
      <c r="M60" s="2">
        <v>0.4</v>
      </c>
      <c r="N60" s="2">
        <v>-1</v>
      </c>
      <c r="O60" s="2">
        <v>1.9</v>
      </c>
      <c r="P60" s="2">
        <v>0.7</v>
      </c>
      <c r="Q60" s="2">
        <f t="shared" si="0"/>
        <v>2.1470910553583886</v>
      </c>
      <c r="R60" t="str">
        <f t="shared" si="1"/>
        <v>Regular</v>
      </c>
      <c r="S60" t="s">
        <v>74</v>
      </c>
      <c r="T60">
        <v>11</v>
      </c>
    </row>
    <row r="61" spans="1:20">
      <c r="A61" s="1">
        <v>45874</v>
      </c>
      <c r="B61">
        <v>3</v>
      </c>
      <c r="C61" t="s">
        <v>87</v>
      </c>
      <c r="D61" t="s">
        <v>84</v>
      </c>
      <c r="E61" s="6">
        <v>5053.1229999999996</v>
      </c>
      <c r="F61" s="6">
        <v>5028.5785999999998</v>
      </c>
      <c r="G61" s="6">
        <v>54.159100000000002</v>
      </c>
      <c r="H61" s="6">
        <v>5053.1219000000001</v>
      </c>
      <c r="I61" s="6">
        <v>5028.5798000000004</v>
      </c>
      <c r="J61" s="6">
        <v>54.16</v>
      </c>
      <c r="K61" s="2">
        <v>0.4</v>
      </c>
      <c r="L61" s="2">
        <v>0</v>
      </c>
      <c r="M61" s="2">
        <v>0.3</v>
      </c>
      <c r="N61" s="2">
        <v>-1.1000000000000001</v>
      </c>
      <c r="O61" s="2">
        <v>1.2</v>
      </c>
      <c r="P61" s="2">
        <v>0.9</v>
      </c>
      <c r="Q61" s="2">
        <f t="shared" si="0"/>
        <v>1.6278820596099708</v>
      </c>
      <c r="R61" t="str">
        <f t="shared" si="1"/>
        <v>Regular</v>
      </c>
      <c r="S61" t="s">
        <v>74</v>
      </c>
      <c r="T61">
        <v>11</v>
      </c>
    </row>
    <row r="62" spans="1:20">
      <c r="A62" s="1">
        <v>45874</v>
      </c>
      <c r="B62">
        <v>3</v>
      </c>
      <c r="C62" t="s">
        <v>88</v>
      </c>
      <c r="D62" t="s">
        <v>89</v>
      </c>
      <c r="E62" s="6">
        <v>5051.1406999999999</v>
      </c>
      <c r="F62" s="6">
        <v>5062.3236999999999</v>
      </c>
      <c r="G62" s="6">
        <v>63.001399999999997</v>
      </c>
      <c r="H62" s="6">
        <v>5051.1419999999998</v>
      </c>
      <c r="I62" s="6">
        <v>5062.3234000000002</v>
      </c>
      <c r="J62" s="6">
        <v>63.000599999999999</v>
      </c>
      <c r="K62" s="2">
        <v>1.3</v>
      </c>
      <c r="L62" s="2">
        <v>-0.6</v>
      </c>
      <c r="M62" s="2">
        <v>0.5</v>
      </c>
      <c r="N62" s="2">
        <v>1.3</v>
      </c>
      <c r="O62" s="2">
        <v>-0.3</v>
      </c>
      <c r="P62" s="2">
        <v>-0.8</v>
      </c>
      <c r="Q62" s="2">
        <f t="shared" si="0"/>
        <v>1.3341664064126335</v>
      </c>
      <c r="R62" t="str">
        <f t="shared" si="1"/>
        <v>Regular</v>
      </c>
      <c r="S62" t="s">
        <v>74</v>
      </c>
      <c r="T62">
        <v>11</v>
      </c>
    </row>
    <row r="63" spans="1:20">
      <c r="A63" s="1">
        <v>45874</v>
      </c>
      <c r="B63">
        <v>3</v>
      </c>
      <c r="C63" t="s">
        <v>90</v>
      </c>
      <c r="D63" t="s">
        <v>89</v>
      </c>
      <c r="E63" s="6">
        <v>5051.0086000000001</v>
      </c>
      <c r="F63" s="6">
        <v>5062.4333999999999</v>
      </c>
      <c r="G63" s="6">
        <v>56.898000000000003</v>
      </c>
      <c r="H63" s="6">
        <v>5051.0070999999998</v>
      </c>
      <c r="I63" s="6">
        <v>5062.4323000000004</v>
      </c>
      <c r="J63" s="6">
        <v>56.896999999999998</v>
      </c>
      <c r="K63" s="2">
        <v>-0.8</v>
      </c>
      <c r="L63" s="2">
        <v>-0.1</v>
      </c>
      <c r="M63" s="2">
        <v>0.4</v>
      </c>
      <c r="N63" s="2">
        <v>-1.5</v>
      </c>
      <c r="O63" s="2">
        <v>-1.1000000000000001</v>
      </c>
      <c r="P63" s="2">
        <v>-1</v>
      </c>
      <c r="Q63" s="2">
        <f t="shared" si="0"/>
        <v>1.8601075237738274</v>
      </c>
      <c r="R63" t="str">
        <f t="shared" si="1"/>
        <v>Regular</v>
      </c>
      <c r="S63" t="s">
        <v>74</v>
      </c>
      <c r="T63">
        <v>11</v>
      </c>
    </row>
    <row r="64" spans="1:20">
      <c r="A64" s="1">
        <v>45874</v>
      </c>
      <c r="B64">
        <v>3</v>
      </c>
      <c r="C64" t="s">
        <v>91</v>
      </c>
      <c r="D64" t="s">
        <v>89</v>
      </c>
      <c r="E64" s="6">
        <v>5058.5258999999996</v>
      </c>
      <c r="F64" s="6">
        <v>5053.1760000000004</v>
      </c>
      <c r="G64" s="6">
        <v>63.525199999999998</v>
      </c>
      <c r="H64" s="6">
        <v>5058.5277999999998</v>
      </c>
      <c r="I64" s="6">
        <v>5053.1755000000003</v>
      </c>
      <c r="J64" s="6">
        <v>63.524700000000003</v>
      </c>
      <c r="K64" s="2">
        <v>0.4</v>
      </c>
      <c r="L64" s="2">
        <v>-1.2</v>
      </c>
      <c r="M64" s="2">
        <v>0</v>
      </c>
      <c r="N64" s="2">
        <v>1.9</v>
      </c>
      <c r="O64" s="2">
        <v>-0.5</v>
      </c>
      <c r="P64" s="2">
        <v>-0.5</v>
      </c>
      <c r="Q64" s="2">
        <f t="shared" si="0"/>
        <v>1.96468827043885</v>
      </c>
      <c r="R64" t="str">
        <f t="shared" si="1"/>
        <v>Regular</v>
      </c>
      <c r="S64" t="s">
        <v>74</v>
      </c>
      <c r="T64">
        <v>11</v>
      </c>
    </row>
    <row r="65" spans="1:20">
      <c r="A65" s="1">
        <v>45874</v>
      </c>
      <c r="B65">
        <v>3</v>
      </c>
      <c r="C65" t="s">
        <v>92</v>
      </c>
      <c r="D65" t="s">
        <v>89</v>
      </c>
      <c r="E65" s="6">
        <v>5060.2732999999998</v>
      </c>
      <c r="F65" s="6">
        <v>5059.0944</v>
      </c>
      <c r="G65" s="6">
        <v>58.7943</v>
      </c>
      <c r="H65" s="6">
        <v>5060.2737999999999</v>
      </c>
      <c r="I65" s="6">
        <v>5059.0944</v>
      </c>
      <c r="J65" s="6">
        <v>58.793199999999999</v>
      </c>
      <c r="K65" s="2">
        <v>0.9</v>
      </c>
      <c r="L65" s="2">
        <v>-0.3</v>
      </c>
      <c r="M65" s="2">
        <v>0.3</v>
      </c>
      <c r="N65" s="2">
        <v>0.5</v>
      </c>
      <c r="O65" s="2">
        <v>0</v>
      </c>
      <c r="P65" s="2">
        <v>-1.1000000000000001</v>
      </c>
      <c r="Q65" s="2">
        <f t="shared" si="0"/>
        <v>0.5</v>
      </c>
      <c r="R65" t="str">
        <f t="shared" si="1"/>
        <v>Regular</v>
      </c>
      <c r="S65" t="s">
        <v>74</v>
      </c>
      <c r="T65">
        <v>11</v>
      </c>
    </row>
    <row r="66" spans="1:20">
      <c r="A66" s="1">
        <v>45903</v>
      </c>
      <c r="B66">
        <v>4</v>
      </c>
      <c r="C66" t="s">
        <v>69</v>
      </c>
      <c r="D66" t="s">
        <v>70</v>
      </c>
      <c r="E66" s="6">
        <v>4990.9656999999997</v>
      </c>
      <c r="F66" s="6">
        <v>5053.7449999999999</v>
      </c>
      <c r="G66" s="6">
        <v>60.553600000000003</v>
      </c>
      <c r="H66" s="6">
        <v>4990.9651999999996</v>
      </c>
      <c r="I66" s="6">
        <v>5053.7439000000004</v>
      </c>
      <c r="J66" s="6">
        <v>60.552</v>
      </c>
      <c r="K66" s="2">
        <v>0</v>
      </c>
      <c r="L66" s="2">
        <v>1.3</v>
      </c>
      <c r="M66" s="2">
        <v>0</v>
      </c>
      <c r="N66" s="2">
        <v>-0.5</v>
      </c>
      <c r="O66" s="2">
        <v>-1.1000000000000001</v>
      </c>
      <c r="P66" s="2">
        <v>-1.6</v>
      </c>
      <c r="Q66" s="2">
        <f t="shared" ref="Q66:Q129" si="2">IF(COUNT(N66:O66)&lt;2,"",SQRT(N66^2+O66^2))</f>
        <v>1.2083045973594573</v>
      </c>
      <c r="R66" t="str">
        <f t="shared" ref="R66:R129" si="3">IF(COUNT(H66:P66)=0,"Sem leitura",IF(ISNUMBER(SEARCH("Escavação",D66)),IF(OR(Q66&gt;=40,ABS(P66)&gt;=15),"Alarme",IF(OR(Q66&gt;=IF(OR(ISNUMBER(SEARCH("Alçado AB",D66)),ISNUMBER(SEARCH("Alçado CD",D66)),ISNUMBER(SEARCH("Alçado BF",D66)),ISNUMBER(SEARCH("Alçado PQ",D66))),20,30),ABS(P66)&gt;=10),"Alerta","Regular")),IF(OR(Q66&gt;=25,ABS(P66)&gt;=20),"Alarme",IF(OR(Q66&gt;=15,ABS(P66)&gt;=10),"Alerta","Regular"))))</f>
        <v>Regular</v>
      </c>
      <c r="S66" t="s">
        <v>74</v>
      </c>
      <c r="T66">
        <v>12</v>
      </c>
    </row>
    <row r="67" spans="1:20">
      <c r="A67" s="1">
        <v>45903</v>
      </c>
      <c r="B67">
        <v>4</v>
      </c>
      <c r="C67" t="s">
        <v>75</v>
      </c>
      <c r="D67" t="s">
        <v>70</v>
      </c>
      <c r="E67" s="6">
        <v>4990.9760999999999</v>
      </c>
      <c r="F67" s="6">
        <v>5053.7455</v>
      </c>
      <c r="G67" s="6">
        <v>59.095199999999998</v>
      </c>
      <c r="H67" s="6">
        <v>4990.9768000000004</v>
      </c>
      <c r="I67" s="6">
        <v>5053.7426999999998</v>
      </c>
      <c r="J67" s="6">
        <v>59.095100000000002</v>
      </c>
      <c r="K67" s="2">
        <v>0.4</v>
      </c>
      <c r="L67" s="2">
        <v>-1</v>
      </c>
      <c r="M67" s="2">
        <v>0.1</v>
      </c>
      <c r="N67" s="2">
        <v>0.7</v>
      </c>
      <c r="O67" s="2">
        <v>-2.8</v>
      </c>
      <c r="P67" s="2">
        <v>-0.1</v>
      </c>
      <c r="Q67" s="2">
        <f t="shared" si="2"/>
        <v>2.8861739379323619</v>
      </c>
      <c r="R67" t="str">
        <f t="shared" si="3"/>
        <v>Regular</v>
      </c>
      <c r="S67" t="s">
        <v>74</v>
      </c>
      <c r="T67">
        <v>12</v>
      </c>
    </row>
    <row r="68" spans="1:20">
      <c r="A68" s="1">
        <v>45903</v>
      </c>
      <c r="B68">
        <v>4</v>
      </c>
      <c r="C68" t="s">
        <v>76</v>
      </c>
      <c r="D68" t="s">
        <v>70</v>
      </c>
      <c r="E68" s="6">
        <v>5001.0812999999998</v>
      </c>
      <c r="F68" s="6">
        <v>5053.5291999999999</v>
      </c>
      <c r="G68" s="6">
        <v>60.621899999999997</v>
      </c>
      <c r="H68" s="6">
        <v>5001.0823</v>
      </c>
      <c r="I68" s="6">
        <v>5053.5216</v>
      </c>
      <c r="J68" s="6">
        <v>60.620600000000003</v>
      </c>
      <c r="K68" s="2">
        <v>0.9</v>
      </c>
      <c r="L68" s="2">
        <v>-2.1</v>
      </c>
      <c r="M68" s="2">
        <v>-0.1</v>
      </c>
      <c r="N68" s="2">
        <v>1</v>
      </c>
      <c r="O68" s="2">
        <v>-7.6</v>
      </c>
      <c r="P68" s="2">
        <v>-1.3</v>
      </c>
      <c r="Q68" s="2">
        <f t="shared" si="2"/>
        <v>7.6655071586947203</v>
      </c>
      <c r="R68" t="str">
        <f t="shared" si="3"/>
        <v>Regular</v>
      </c>
      <c r="S68" t="s">
        <v>74</v>
      </c>
      <c r="T68">
        <v>12</v>
      </c>
    </row>
    <row r="69" spans="1:20">
      <c r="A69" s="1">
        <v>45903</v>
      </c>
      <c r="B69">
        <v>4</v>
      </c>
      <c r="C69" t="s">
        <v>77</v>
      </c>
      <c r="D69" t="s">
        <v>70</v>
      </c>
      <c r="E69" s="6">
        <v>5001.0428000000002</v>
      </c>
      <c r="F69" s="6">
        <v>5053.5321999999996</v>
      </c>
      <c r="G69" s="6">
        <v>58.677799999999998</v>
      </c>
      <c r="H69" s="6">
        <v>5001.0429999999997</v>
      </c>
      <c r="I69" s="6">
        <v>5053.5253000000002</v>
      </c>
      <c r="J69" s="6">
        <v>58.6753</v>
      </c>
      <c r="K69" s="2">
        <v>-0.2</v>
      </c>
      <c r="L69" s="2">
        <v>-3</v>
      </c>
      <c r="M69" s="2">
        <v>-0.4</v>
      </c>
      <c r="N69" s="2">
        <v>0.2</v>
      </c>
      <c r="O69" s="2">
        <v>-6.9</v>
      </c>
      <c r="P69" s="2">
        <v>-2.5</v>
      </c>
      <c r="Q69" s="2">
        <f t="shared" si="2"/>
        <v>6.9028979421689272</v>
      </c>
      <c r="R69" t="str">
        <f t="shared" si="3"/>
        <v>Regular</v>
      </c>
      <c r="S69" t="s">
        <v>74</v>
      </c>
      <c r="T69">
        <v>12</v>
      </c>
    </row>
    <row r="70" spans="1:20">
      <c r="A70" s="1">
        <v>45903</v>
      </c>
      <c r="B70">
        <v>4</v>
      </c>
      <c r="C70" t="s">
        <v>78</v>
      </c>
      <c r="D70" t="s">
        <v>70</v>
      </c>
      <c r="E70" s="6">
        <v>5005.4017999999996</v>
      </c>
      <c r="F70" s="6">
        <v>5054.5141000000003</v>
      </c>
      <c r="G70" s="6">
        <v>60.181899999999999</v>
      </c>
      <c r="H70" s="6">
        <v>5005.4050999999999</v>
      </c>
      <c r="I70" s="6">
        <v>5054.5088999999998</v>
      </c>
      <c r="J70" s="6">
        <v>60.178400000000003</v>
      </c>
      <c r="K70" s="2">
        <v>1.7</v>
      </c>
      <c r="L70" s="2">
        <v>-1</v>
      </c>
      <c r="M70" s="2">
        <v>-0.6</v>
      </c>
      <c r="N70" s="2">
        <v>3.3</v>
      </c>
      <c r="O70" s="2">
        <v>-5.2</v>
      </c>
      <c r="P70" s="2">
        <v>-3.5</v>
      </c>
      <c r="Q70" s="2">
        <f t="shared" si="2"/>
        <v>6.1587336360651284</v>
      </c>
      <c r="R70" t="str">
        <f t="shared" si="3"/>
        <v>Regular</v>
      </c>
      <c r="S70" t="s">
        <v>74</v>
      </c>
      <c r="T70">
        <v>12</v>
      </c>
    </row>
    <row r="71" spans="1:20">
      <c r="A71" s="1">
        <v>45903</v>
      </c>
      <c r="B71">
        <v>4</v>
      </c>
      <c r="C71" t="s">
        <v>80</v>
      </c>
      <c r="D71" t="s">
        <v>70</v>
      </c>
      <c r="E71" s="6">
        <v>5005.4050999999999</v>
      </c>
      <c r="F71" s="6">
        <v>5054.5766999999996</v>
      </c>
      <c r="G71" s="6">
        <v>58.646999999999998</v>
      </c>
      <c r="H71" s="6">
        <v>5005.4092000000001</v>
      </c>
      <c r="I71" s="6">
        <v>5054.5726000000004</v>
      </c>
      <c r="J71" s="6">
        <v>58.643500000000003</v>
      </c>
      <c r="K71" s="2">
        <v>1.9</v>
      </c>
      <c r="L71" s="2">
        <v>0.2</v>
      </c>
      <c r="M71" s="2">
        <v>-0.5</v>
      </c>
      <c r="N71" s="2">
        <v>4.0999999999999996</v>
      </c>
      <c r="O71" s="2">
        <v>-4.0999999999999996</v>
      </c>
      <c r="P71" s="2">
        <v>-3.5</v>
      </c>
      <c r="Q71" s="2">
        <f t="shared" si="2"/>
        <v>5.7982756057296898</v>
      </c>
      <c r="R71" t="str">
        <f t="shared" si="3"/>
        <v>Regular</v>
      </c>
      <c r="S71" t="s">
        <v>74</v>
      </c>
      <c r="T71">
        <v>12</v>
      </c>
    </row>
    <row r="72" spans="1:20">
      <c r="A72" s="1">
        <v>45903</v>
      </c>
      <c r="B72">
        <v>4</v>
      </c>
      <c r="C72" t="s">
        <v>81</v>
      </c>
      <c r="D72" t="s">
        <v>70</v>
      </c>
      <c r="E72" s="6">
        <v>5005.8755000000001</v>
      </c>
      <c r="F72" s="6">
        <v>5063.3173999999999</v>
      </c>
      <c r="G72" s="6">
        <v>60.481099999999998</v>
      </c>
      <c r="H72" s="6">
        <v>5005.8761999999997</v>
      </c>
      <c r="I72" s="6">
        <v>5063.3154000000004</v>
      </c>
      <c r="J72" s="6">
        <v>60.48</v>
      </c>
      <c r="K72" s="2">
        <v>0.4</v>
      </c>
      <c r="L72" s="2">
        <v>-0.2</v>
      </c>
      <c r="M72" s="2">
        <v>-0.1</v>
      </c>
      <c r="N72" s="2">
        <v>0.7</v>
      </c>
      <c r="O72" s="2">
        <v>-2</v>
      </c>
      <c r="P72" s="2">
        <v>-1.1000000000000001</v>
      </c>
      <c r="Q72" s="2">
        <f t="shared" si="2"/>
        <v>2.118962010041709</v>
      </c>
      <c r="R72" t="str">
        <f t="shared" si="3"/>
        <v>Regular</v>
      </c>
      <c r="S72" t="s">
        <v>74</v>
      </c>
      <c r="T72">
        <v>12</v>
      </c>
    </row>
    <row r="73" spans="1:20">
      <c r="A73" s="1">
        <v>45903</v>
      </c>
      <c r="B73">
        <v>4</v>
      </c>
      <c r="C73" t="s">
        <v>82</v>
      </c>
      <c r="D73" t="s">
        <v>70</v>
      </c>
      <c r="E73" s="6">
        <v>5005.8838999999998</v>
      </c>
      <c r="F73" s="6">
        <v>5063.7007999999996</v>
      </c>
      <c r="G73" s="6">
        <v>59.329300000000003</v>
      </c>
      <c r="H73" s="6">
        <v>5005.8834999999999</v>
      </c>
      <c r="I73" s="6">
        <v>5063.6986999999999</v>
      </c>
      <c r="J73" s="6">
        <v>59.328899999999997</v>
      </c>
      <c r="K73" s="2">
        <v>0.8</v>
      </c>
      <c r="L73" s="2">
        <v>-0.7</v>
      </c>
      <c r="M73" s="2">
        <v>0.5</v>
      </c>
      <c r="N73" s="2">
        <v>-0.4</v>
      </c>
      <c r="O73" s="2">
        <v>-2.1</v>
      </c>
      <c r="P73" s="2">
        <v>-0.4</v>
      </c>
      <c r="Q73" s="2">
        <f t="shared" si="2"/>
        <v>2.1377558326431951</v>
      </c>
      <c r="R73" t="str">
        <f t="shared" si="3"/>
        <v>Regular</v>
      </c>
      <c r="S73" t="s">
        <v>74</v>
      </c>
      <c r="T73">
        <v>12</v>
      </c>
    </row>
    <row r="74" spans="1:20">
      <c r="A74" s="1">
        <v>45903</v>
      </c>
      <c r="B74">
        <v>4</v>
      </c>
      <c r="C74" t="s">
        <v>83</v>
      </c>
      <c r="D74" t="s">
        <v>84</v>
      </c>
      <c r="E74" s="6">
        <v>5055.3705</v>
      </c>
      <c r="F74" s="6">
        <v>5037.6908000000003</v>
      </c>
      <c r="G74" s="6">
        <v>55.834499999999998</v>
      </c>
      <c r="H74" s="6">
        <v>5055.3683000000001</v>
      </c>
      <c r="I74" s="6">
        <v>5037.6917000000003</v>
      </c>
      <c r="J74" s="6">
        <v>55.835500000000003</v>
      </c>
      <c r="K74" s="2">
        <v>-0.5</v>
      </c>
      <c r="L74" s="2">
        <v>0.8</v>
      </c>
      <c r="M74" s="2">
        <v>0</v>
      </c>
      <c r="N74" s="2">
        <v>-2.2000000000000002</v>
      </c>
      <c r="O74" s="2">
        <v>0.9</v>
      </c>
      <c r="P74" s="2">
        <v>1</v>
      </c>
      <c r="Q74" s="2">
        <f t="shared" si="2"/>
        <v>2.3769728648009427</v>
      </c>
      <c r="R74" t="str">
        <f t="shared" si="3"/>
        <v>Regular</v>
      </c>
      <c r="S74" t="s">
        <v>74</v>
      </c>
      <c r="T74">
        <v>12</v>
      </c>
    </row>
    <row r="75" spans="1:20">
      <c r="A75" s="1">
        <v>45903</v>
      </c>
      <c r="B75">
        <v>4</v>
      </c>
      <c r="C75" t="s">
        <v>85</v>
      </c>
      <c r="D75" t="s">
        <v>84</v>
      </c>
      <c r="E75" s="6">
        <v>5055.3611000000001</v>
      </c>
      <c r="F75" s="6">
        <v>5037.652</v>
      </c>
      <c r="G75" s="6">
        <v>53.920200000000001</v>
      </c>
      <c r="H75" s="6">
        <v>5055.3603999999996</v>
      </c>
      <c r="I75" s="6">
        <v>5037.6505999999999</v>
      </c>
      <c r="J75" s="6">
        <v>53.922499999999999</v>
      </c>
      <c r="K75" s="2">
        <v>-0.4</v>
      </c>
      <c r="L75" s="2">
        <v>-0.5</v>
      </c>
      <c r="M75" s="2">
        <v>0.6</v>
      </c>
      <c r="N75" s="2">
        <v>-0.7</v>
      </c>
      <c r="O75" s="2">
        <v>-1.4</v>
      </c>
      <c r="P75" s="2">
        <v>2.2999999999999998</v>
      </c>
      <c r="Q75" s="2">
        <f t="shared" si="2"/>
        <v>1.5652475842498528</v>
      </c>
      <c r="R75" t="str">
        <f t="shared" si="3"/>
        <v>Regular</v>
      </c>
      <c r="S75" t="s">
        <v>74</v>
      </c>
      <c r="T75">
        <v>12</v>
      </c>
    </row>
    <row r="76" spans="1:20">
      <c r="A76" s="1">
        <v>45903</v>
      </c>
      <c r="B76">
        <v>4</v>
      </c>
      <c r="C76" t="s">
        <v>86</v>
      </c>
      <c r="D76" t="s">
        <v>84</v>
      </c>
      <c r="E76" s="6">
        <v>5053.1266999999998</v>
      </c>
      <c r="F76" s="6">
        <v>5028.5694000000003</v>
      </c>
      <c r="G76" s="6">
        <v>55.876899999999999</v>
      </c>
      <c r="H76" s="6">
        <v>5053.1252999999997</v>
      </c>
      <c r="I76" s="6">
        <v>5028.5712999999996</v>
      </c>
      <c r="J76" s="6">
        <v>55.877800000000001</v>
      </c>
      <c r="K76" s="2">
        <v>-0.4</v>
      </c>
      <c r="L76" s="2">
        <v>0</v>
      </c>
      <c r="M76" s="2">
        <v>0.2</v>
      </c>
      <c r="N76" s="2">
        <v>-1.4</v>
      </c>
      <c r="O76" s="2">
        <v>1.9</v>
      </c>
      <c r="P76" s="2">
        <v>0.9</v>
      </c>
      <c r="Q76" s="2">
        <f t="shared" si="2"/>
        <v>2.3600847442411892</v>
      </c>
      <c r="R76" t="str">
        <f t="shared" si="3"/>
        <v>Regular</v>
      </c>
      <c r="S76" t="s">
        <v>74</v>
      </c>
      <c r="T76">
        <v>12</v>
      </c>
    </row>
    <row r="77" spans="1:20">
      <c r="A77" s="1">
        <v>45903</v>
      </c>
      <c r="B77">
        <v>4</v>
      </c>
      <c r="C77" t="s">
        <v>87</v>
      </c>
      <c r="D77" t="s">
        <v>84</v>
      </c>
      <c r="E77" s="6">
        <v>5053.1229999999996</v>
      </c>
      <c r="F77" s="6">
        <v>5028.5785999999998</v>
      </c>
      <c r="G77" s="6">
        <v>54.159100000000002</v>
      </c>
      <c r="H77" s="6">
        <v>5053.1214</v>
      </c>
      <c r="I77" s="6">
        <v>5028.5798000000004</v>
      </c>
      <c r="J77" s="6">
        <v>54.1601</v>
      </c>
      <c r="K77" s="2">
        <v>-0.5</v>
      </c>
      <c r="L77" s="2">
        <v>0</v>
      </c>
      <c r="M77" s="2">
        <v>0.1</v>
      </c>
      <c r="N77" s="2">
        <v>-1.6</v>
      </c>
      <c r="O77" s="2">
        <v>1.2</v>
      </c>
      <c r="P77" s="2">
        <v>1</v>
      </c>
      <c r="Q77" s="2">
        <f t="shared" si="2"/>
        <v>2</v>
      </c>
      <c r="R77" t="str">
        <f t="shared" si="3"/>
        <v>Regular</v>
      </c>
      <c r="S77" t="s">
        <v>74</v>
      </c>
      <c r="T77">
        <v>12</v>
      </c>
    </row>
    <row r="78" spans="1:20">
      <c r="A78" s="1">
        <v>45903</v>
      </c>
      <c r="B78">
        <v>4</v>
      </c>
      <c r="C78" t="s">
        <v>88</v>
      </c>
      <c r="D78" t="s">
        <v>89</v>
      </c>
      <c r="E78" s="6">
        <v>5051.1406999999999</v>
      </c>
      <c r="F78" s="6">
        <v>5062.3236999999999</v>
      </c>
      <c r="G78" s="6">
        <v>63.001399999999997</v>
      </c>
      <c r="H78" s="6">
        <v>5051.1409999999996</v>
      </c>
      <c r="I78" s="6">
        <v>5062.3229000000001</v>
      </c>
      <c r="J78" s="6">
        <v>63.001199999999997</v>
      </c>
      <c r="K78" s="2">
        <v>-1</v>
      </c>
      <c r="L78" s="2">
        <v>-0.5</v>
      </c>
      <c r="M78" s="2">
        <v>0.6</v>
      </c>
      <c r="N78" s="2">
        <v>0.3</v>
      </c>
      <c r="O78" s="2">
        <v>-0.8</v>
      </c>
      <c r="P78" s="2">
        <v>-0.2</v>
      </c>
      <c r="Q78" s="2">
        <f t="shared" si="2"/>
        <v>0.85440037453175322</v>
      </c>
      <c r="R78" t="str">
        <f t="shared" si="3"/>
        <v>Regular</v>
      </c>
      <c r="S78" t="s">
        <v>74</v>
      </c>
      <c r="T78">
        <v>12</v>
      </c>
    </row>
    <row r="79" spans="1:20">
      <c r="A79" s="1">
        <v>45903</v>
      </c>
      <c r="B79">
        <v>4</v>
      </c>
      <c r="C79" t="s">
        <v>90</v>
      </c>
      <c r="D79" t="s">
        <v>89</v>
      </c>
      <c r="E79" s="6">
        <v>5051.0086000000001</v>
      </c>
      <c r="F79" s="6">
        <v>5062.4333999999999</v>
      </c>
      <c r="G79" s="6">
        <v>56.898000000000003</v>
      </c>
      <c r="H79" s="6">
        <v>5051.0075999999999</v>
      </c>
      <c r="I79" s="6">
        <v>5062.433</v>
      </c>
      <c r="J79" s="6">
        <v>56.897100000000002</v>
      </c>
      <c r="K79" s="2">
        <v>0.5</v>
      </c>
      <c r="L79" s="2">
        <v>0.7</v>
      </c>
      <c r="M79" s="2">
        <v>0.1</v>
      </c>
      <c r="N79" s="2">
        <v>-1</v>
      </c>
      <c r="O79" s="2">
        <v>-0.4</v>
      </c>
      <c r="P79" s="2">
        <v>-0.9</v>
      </c>
      <c r="Q79" s="2">
        <f t="shared" si="2"/>
        <v>1.077032961426901</v>
      </c>
      <c r="R79" t="str">
        <f t="shared" si="3"/>
        <v>Regular</v>
      </c>
      <c r="S79" t="s">
        <v>74</v>
      </c>
      <c r="T79">
        <v>12</v>
      </c>
    </row>
    <row r="80" spans="1:20">
      <c r="A80" s="1">
        <v>45903</v>
      </c>
      <c r="B80">
        <v>4</v>
      </c>
      <c r="C80" t="s">
        <v>91</v>
      </c>
      <c r="D80" t="s">
        <v>89</v>
      </c>
      <c r="E80" s="6">
        <v>5058.5258999999996</v>
      </c>
      <c r="F80" s="6">
        <v>5053.1760000000004</v>
      </c>
      <c r="G80" s="6">
        <v>63.525199999999998</v>
      </c>
      <c r="H80" s="6">
        <v>5058.5279</v>
      </c>
      <c r="I80" s="6">
        <v>5053.1758</v>
      </c>
      <c r="J80" s="6">
        <v>63.525100000000002</v>
      </c>
      <c r="K80" s="2">
        <v>0.1</v>
      </c>
      <c r="L80" s="2">
        <v>0.3</v>
      </c>
      <c r="M80" s="2">
        <v>0.4</v>
      </c>
      <c r="N80" s="2">
        <v>2</v>
      </c>
      <c r="O80" s="2">
        <v>-0.2</v>
      </c>
      <c r="P80" s="2">
        <v>-0.1</v>
      </c>
      <c r="Q80" s="2">
        <f t="shared" si="2"/>
        <v>2.0099751242241779</v>
      </c>
      <c r="R80" t="str">
        <f t="shared" si="3"/>
        <v>Regular</v>
      </c>
      <c r="S80" t="s">
        <v>74</v>
      </c>
      <c r="T80">
        <v>12</v>
      </c>
    </row>
    <row r="81" spans="1:20">
      <c r="A81" s="1">
        <v>45903</v>
      </c>
      <c r="B81">
        <v>4</v>
      </c>
      <c r="C81" t="s">
        <v>92</v>
      </c>
      <c r="D81" t="s">
        <v>89</v>
      </c>
      <c r="E81" s="6">
        <v>5060.2732999999998</v>
      </c>
      <c r="F81" s="6">
        <v>5059.0944</v>
      </c>
      <c r="G81" s="6">
        <v>58.7943</v>
      </c>
      <c r="H81" s="6">
        <v>5060.2731999999996</v>
      </c>
      <c r="I81" s="6">
        <v>5059.0944</v>
      </c>
      <c r="J81" s="6">
        <v>58.7928</v>
      </c>
      <c r="K81" s="2">
        <v>-0.6</v>
      </c>
      <c r="L81" s="2">
        <v>0</v>
      </c>
      <c r="M81" s="2">
        <v>-0.4</v>
      </c>
      <c r="N81" s="2">
        <v>-0.1</v>
      </c>
      <c r="O81" s="2">
        <v>0</v>
      </c>
      <c r="P81" s="2">
        <v>-1.5</v>
      </c>
      <c r="Q81" s="2">
        <f t="shared" si="2"/>
        <v>0.1</v>
      </c>
      <c r="R81" t="str">
        <f t="shared" si="3"/>
        <v>Regular</v>
      </c>
      <c r="S81" t="s">
        <v>74</v>
      </c>
      <c r="T81">
        <v>12</v>
      </c>
    </row>
    <row r="82" spans="1:20">
      <c r="A82" s="1">
        <v>45930</v>
      </c>
      <c r="B82">
        <v>5</v>
      </c>
      <c r="C82" t="s">
        <v>88</v>
      </c>
      <c r="D82" t="s">
        <v>89</v>
      </c>
      <c r="E82" s="6">
        <v>5051.1406999999999</v>
      </c>
      <c r="F82" s="6">
        <v>5062.3236999999999</v>
      </c>
      <c r="G82" s="6">
        <v>63.001399999999997</v>
      </c>
      <c r="H82" s="6">
        <v>5051.1418999999996</v>
      </c>
      <c r="I82" s="6">
        <v>5062.3236999999999</v>
      </c>
      <c r="J82" s="6">
        <v>63.002099999999999</v>
      </c>
      <c r="K82" s="2">
        <v>0.9</v>
      </c>
      <c r="L82" s="2">
        <v>0.8</v>
      </c>
      <c r="M82" s="2">
        <v>0.9</v>
      </c>
      <c r="N82" s="2">
        <v>1.2</v>
      </c>
      <c r="O82" s="2">
        <v>0</v>
      </c>
      <c r="P82" s="2">
        <v>0.7</v>
      </c>
      <c r="Q82" s="2">
        <f t="shared" si="2"/>
        <v>1.2</v>
      </c>
      <c r="R82" t="str">
        <f t="shared" si="3"/>
        <v>Regular</v>
      </c>
      <c r="S82" t="s">
        <v>115</v>
      </c>
      <c r="T82">
        <v>14</v>
      </c>
    </row>
    <row r="83" spans="1:20">
      <c r="A83" s="1">
        <v>45930</v>
      </c>
      <c r="B83">
        <v>5</v>
      </c>
      <c r="C83" t="s">
        <v>90</v>
      </c>
      <c r="D83" t="s">
        <v>89</v>
      </c>
      <c r="E83" s="6">
        <v>5051.0086000000001</v>
      </c>
      <c r="F83" s="6">
        <v>5062.4333999999999</v>
      </c>
      <c r="G83" s="6">
        <v>56.898000000000003</v>
      </c>
      <c r="H83" s="6">
        <v>5051.0087000000003</v>
      </c>
      <c r="I83" s="6">
        <v>5062.4335000000001</v>
      </c>
      <c r="J83" s="6">
        <v>56.897799999999997</v>
      </c>
      <c r="K83" s="2">
        <v>1.1000000000000001</v>
      </c>
      <c r="L83" s="2">
        <v>0.5</v>
      </c>
      <c r="M83" s="2">
        <v>0.7</v>
      </c>
      <c r="N83" s="2">
        <v>0.1</v>
      </c>
      <c r="O83" s="2">
        <v>0.1</v>
      </c>
      <c r="P83" s="2">
        <v>-0.2</v>
      </c>
      <c r="Q83" s="2">
        <f t="shared" si="2"/>
        <v>0.14142135623730953</v>
      </c>
      <c r="R83" t="str">
        <f t="shared" si="3"/>
        <v>Regular</v>
      </c>
      <c r="S83" t="s">
        <v>115</v>
      </c>
      <c r="T83">
        <v>14</v>
      </c>
    </row>
    <row r="84" spans="1:20">
      <c r="A84" s="1">
        <v>45930</v>
      </c>
      <c r="B84">
        <v>5</v>
      </c>
      <c r="C84" t="s">
        <v>91</v>
      </c>
      <c r="D84" t="s">
        <v>89</v>
      </c>
      <c r="E84" s="6">
        <v>5058.5258999999996</v>
      </c>
      <c r="F84" s="6">
        <v>5053.1760000000004</v>
      </c>
      <c r="G84" s="6">
        <v>63.525199999999998</v>
      </c>
      <c r="H84" s="6">
        <v>5058.5255999999999</v>
      </c>
      <c r="I84" s="6">
        <v>5053.1760000000004</v>
      </c>
      <c r="J84" s="6">
        <v>63.524999999999999</v>
      </c>
      <c r="K84" s="2">
        <v>-2.2999999999999998</v>
      </c>
      <c r="L84" s="2">
        <v>0.2</v>
      </c>
      <c r="M84" s="2">
        <v>-0.1</v>
      </c>
      <c r="N84" s="2">
        <v>-0.3</v>
      </c>
      <c r="O84" s="2">
        <v>0</v>
      </c>
      <c r="P84" s="2">
        <v>-0.2</v>
      </c>
      <c r="Q84" s="2">
        <f t="shared" si="2"/>
        <v>0.3</v>
      </c>
      <c r="R84" t="str">
        <f t="shared" si="3"/>
        <v>Regular</v>
      </c>
      <c r="S84" t="s">
        <v>115</v>
      </c>
      <c r="T84">
        <v>14</v>
      </c>
    </row>
    <row r="85" spans="1:20">
      <c r="A85" s="1">
        <v>45930</v>
      </c>
      <c r="B85">
        <v>5</v>
      </c>
      <c r="C85" t="s">
        <v>92</v>
      </c>
      <c r="D85" t="s">
        <v>89</v>
      </c>
      <c r="E85" s="6">
        <v>5060.2732999999998</v>
      </c>
      <c r="F85" s="6">
        <v>5059.0944</v>
      </c>
      <c r="G85" s="6">
        <v>58.7943</v>
      </c>
      <c r="H85" s="6">
        <v>5060.2721000000001</v>
      </c>
      <c r="I85" s="6">
        <v>5059.0945000000002</v>
      </c>
      <c r="J85" s="6">
        <v>58.793599999999998</v>
      </c>
      <c r="K85" s="2">
        <v>-1.1000000000000001</v>
      </c>
      <c r="L85" s="2">
        <v>0.1</v>
      </c>
      <c r="M85" s="2">
        <v>0.8</v>
      </c>
      <c r="N85" s="2">
        <v>-1.2</v>
      </c>
      <c r="O85" s="2">
        <v>0.1</v>
      </c>
      <c r="P85" s="2">
        <v>-0.7</v>
      </c>
      <c r="Q85" s="2">
        <f t="shared" si="2"/>
        <v>1.2041594578792296</v>
      </c>
      <c r="R85" t="str">
        <f t="shared" si="3"/>
        <v>Regular</v>
      </c>
      <c r="S85" t="s">
        <v>115</v>
      </c>
      <c r="T85">
        <v>14</v>
      </c>
    </row>
    <row r="86" spans="1:20">
      <c r="A86" s="1">
        <v>45930</v>
      </c>
      <c r="B86">
        <v>5</v>
      </c>
      <c r="C86" t="s">
        <v>69</v>
      </c>
      <c r="D86" t="s">
        <v>70</v>
      </c>
      <c r="E86" s="6">
        <v>4990.9656999999997</v>
      </c>
      <c r="F86" s="6">
        <v>5053.7449999999999</v>
      </c>
      <c r="G86" s="6">
        <v>60.553600000000003</v>
      </c>
      <c r="H86" s="6">
        <v>4990.9660999999996</v>
      </c>
      <c r="I86" s="6">
        <v>5053.7397000000001</v>
      </c>
      <c r="J86" s="6">
        <v>60.553699999999999</v>
      </c>
      <c r="K86" s="2">
        <v>0.9</v>
      </c>
      <c r="L86" s="2">
        <v>-4.2</v>
      </c>
      <c r="M86" s="2">
        <v>1.7</v>
      </c>
      <c r="N86" s="2">
        <v>0.4</v>
      </c>
      <c r="O86" s="2">
        <v>-5.3</v>
      </c>
      <c r="P86" s="2">
        <v>0.1</v>
      </c>
      <c r="Q86" s="2">
        <f t="shared" si="2"/>
        <v>5.315072906367325</v>
      </c>
      <c r="R86" t="str">
        <f t="shared" si="3"/>
        <v>Regular</v>
      </c>
      <c r="S86" t="s">
        <v>115</v>
      </c>
      <c r="T86">
        <v>14</v>
      </c>
    </row>
    <row r="87" spans="1:20">
      <c r="A87" s="1">
        <v>45930</v>
      </c>
      <c r="B87">
        <v>5</v>
      </c>
      <c r="C87" t="s">
        <v>75</v>
      </c>
      <c r="D87" t="s">
        <v>70</v>
      </c>
      <c r="E87" s="6">
        <v>4990.9760999999999</v>
      </c>
      <c r="F87" s="6">
        <v>5053.7455</v>
      </c>
      <c r="G87" s="6">
        <v>59.095199999999998</v>
      </c>
      <c r="H87" s="6">
        <v>4990.9758000000002</v>
      </c>
      <c r="I87" s="6">
        <v>5053.7408999999998</v>
      </c>
      <c r="J87" s="6">
        <v>59.096800000000002</v>
      </c>
      <c r="K87" s="2">
        <v>-1</v>
      </c>
      <c r="L87" s="2">
        <v>-1.8</v>
      </c>
      <c r="M87" s="2">
        <v>1.7</v>
      </c>
      <c r="N87" s="2">
        <v>-0.3</v>
      </c>
      <c r="O87" s="2">
        <v>-4.5999999999999996</v>
      </c>
      <c r="P87" s="2">
        <v>1.6</v>
      </c>
      <c r="Q87" s="2">
        <f t="shared" si="2"/>
        <v>4.6097722286464435</v>
      </c>
      <c r="R87" t="str">
        <f t="shared" si="3"/>
        <v>Regular</v>
      </c>
      <c r="S87" t="s">
        <v>115</v>
      </c>
      <c r="T87">
        <v>14</v>
      </c>
    </row>
    <row r="88" spans="1:20">
      <c r="A88" s="1">
        <v>45930</v>
      </c>
      <c r="B88">
        <v>5</v>
      </c>
      <c r="C88" t="s">
        <v>76</v>
      </c>
      <c r="D88" t="s">
        <v>70</v>
      </c>
      <c r="E88" s="6">
        <v>5001.0812999999998</v>
      </c>
      <c r="F88" s="6">
        <v>5053.5291999999999</v>
      </c>
      <c r="G88" s="6">
        <v>60.621899999999997</v>
      </c>
      <c r="H88" s="6">
        <v>5001.0839999999998</v>
      </c>
      <c r="I88" s="6">
        <v>5053.5185000000001</v>
      </c>
      <c r="J88" s="6">
        <v>60.6205</v>
      </c>
      <c r="K88" s="2">
        <v>1.7</v>
      </c>
      <c r="L88" s="2">
        <v>-3.1</v>
      </c>
      <c r="M88" s="2">
        <v>-0.1</v>
      </c>
      <c r="N88" s="2">
        <v>2.7</v>
      </c>
      <c r="O88" s="2">
        <v>-10.7</v>
      </c>
      <c r="P88" s="2">
        <v>-1.4</v>
      </c>
      <c r="Q88" s="2">
        <f t="shared" si="2"/>
        <v>11.035397591387452</v>
      </c>
      <c r="R88" t="str">
        <f t="shared" si="3"/>
        <v>Regular</v>
      </c>
      <c r="S88" t="s">
        <v>115</v>
      </c>
      <c r="T88">
        <v>14</v>
      </c>
    </row>
    <row r="89" spans="1:20">
      <c r="A89" s="1">
        <v>45930</v>
      </c>
      <c r="B89">
        <v>5</v>
      </c>
      <c r="C89" t="s">
        <v>77</v>
      </c>
      <c r="D89" t="s">
        <v>70</v>
      </c>
      <c r="E89" s="6">
        <v>5001.0428000000002</v>
      </c>
      <c r="F89" s="6">
        <v>5053.5321999999996</v>
      </c>
      <c r="G89" s="6">
        <v>58.677799999999998</v>
      </c>
      <c r="H89" s="6">
        <v>5001.0461999999998</v>
      </c>
      <c r="I89" s="6">
        <v>5053.5240999999996</v>
      </c>
      <c r="J89" s="6">
        <v>58.675400000000003</v>
      </c>
      <c r="K89" s="2">
        <v>3.2</v>
      </c>
      <c r="L89" s="2">
        <v>-1.2</v>
      </c>
      <c r="M89" s="2">
        <v>0.1</v>
      </c>
      <c r="N89" s="2">
        <v>3.4</v>
      </c>
      <c r="O89" s="2">
        <v>-8.1</v>
      </c>
      <c r="P89" s="2">
        <v>-2.4</v>
      </c>
      <c r="Q89" s="2">
        <f t="shared" si="2"/>
        <v>8.7846456957580248</v>
      </c>
      <c r="R89" t="str">
        <f t="shared" si="3"/>
        <v>Regular</v>
      </c>
      <c r="S89" t="s">
        <v>115</v>
      </c>
      <c r="T89">
        <v>14</v>
      </c>
    </row>
    <row r="90" spans="1:20">
      <c r="A90" s="1">
        <v>45930</v>
      </c>
      <c r="B90">
        <v>5</v>
      </c>
      <c r="C90" t="s">
        <v>78</v>
      </c>
      <c r="D90" t="s">
        <v>70</v>
      </c>
      <c r="E90" s="6">
        <v>5005.4017999999996</v>
      </c>
      <c r="F90" s="6">
        <v>5054.5141000000003</v>
      </c>
      <c r="G90" s="6">
        <v>60.181899999999999</v>
      </c>
      <c r="H90" s="6">
        <v>5005.4071000000004</v>
      </c>
      <c r="I90" s="6">
        <v>5054.5084999999999</v>
      </c>
      <c r="J90" s="6">
        <v>60.177199999999999</v>
      </c>
      <c r="K90" s="2">
        <v>2</v>
      </c>
      <c r="L90" s="2">
        <v>-0.4</v>
      </c>
      <c r="M90" s="2">
        <v>-1.2</v>
      </c>
      <c r="N90" s="2">
        <v>5.3</v>
      </c>
      <c r="O90" s="2">
        <v>-5.6</v>
      </c>
      <c r="P90" s="2">
        <v>-4.7</v>
      </c>
      <c r="Q90" s="2">
        <f t="shared" si="2"/>
        <v>7.7103826104804938</v>
      </c>
      <c r="R90" t="str">
        <f t="shared" si="3"/>
        <v>Regular</v>
      </c>
      <c r="S90" t="s">
        <v>115</v>
      </c>
      <c r="T90">
        <v>14</v>
      </c>
    </row>
    <row r="91" spans="1:20">
      <c r="A91" s="1">
        <v>45930</v>
      </c>
      <c r="B91">
        <v>5</v>
      </c>
      <c r="C91" t="s">
        <v>80</v>
      </c>
      <c r="D91" t="s">
        <v>70</v>
      </c>
      <c r="E91" s="6">
        <v>5005.4050999999999</v>
      </c>
      <c r="F91" s="6">
        <v>5054.5766999999996</v>
      </c>
      <c r="G91" s="6">
        <v>58.646999999999998</v>
      </c>
      <c r="H91" s="6">
        <v>5005.4123</v>
      </c>
      <c r="I91" s="6">
        <v>5054.5690999999997</v>
      </c>
      <c r="J91" s="6">
        <v>58.642699999999998</v>
      </c>
      <c r="K91" s="2">
        <v>3.1</v>
      </c>
      <c r="L91" s="2">
        <v>-3.5</v>
      </c>
      <c r="M91" s="2">
        <v>-0.8</v>
      </c>
      <c r="N91" s="2">
        <v>7.2</v>
      </c>
      <c r="O91" s="2">
        <v>-7.6</v>
      </c>
      <c r="P91" s="2">
        <v>-4.3</v>
      </c>
      <c r="Q91" s="2">
        <f t="shared" si="2"/>
        <v>10.469001862641921</v>
      </c>
      <c r="R91" t="str">
        <f t="shared" si="3"/>
        <v>Regular</v>
      </c>
      <c r="S91" t="s">
        <v>115</v>
      </c>
      <c r="T91">
        <v>14</v>
      </c>
    </row>
    <row r="92" spans="1:20">
      <c r="A92" s="1">
        <v>45930</v>
      </c>
      <c r="B92">
        <v>5</v>
      </c>
      <c r="C92" t="s">
        <v>81</v>
      </c>
      <c r="D92" t="s">
        <v>70</v>
      </c>
      <c r="E92" s="6">
        <v>5005.8755000000001</v>
      </c>
      <c r="F92" s="6">
        <v>5063.3173999999999</v>
      </c>
      <c r="G92" s="6">
        <v>60.481099999999998</v>
      </c>
      <c r="H92" s="6">
        <v>5005.8756000000003</v>
      </c>
      <c r="I92" s="6">
        <v>5063.3140999999996</v>
      </c>
      <c r="J92" s="6">
        <v>60.480499999999999</v>
      </c>
      <c r="K92" s="2">
        <v>-0.6</v>
      </c>
      <c r="L92" s="2">
        <v>-1.3</v>
      </c>
      <c r="M92" s="2">
        <v>0.5</v>
      </c>
      <c r="N92" s="2">
        <v>0.1</v>
      </c>
      <c r="O92" s="2">
        <v>-3.3</v>
      </c>
      <c r="P92" s="2">
        <v>-0.6</v>
      </c>
      <c r="Q92" s="2">
        <f t="shared" si="2"/>
        <v>3.3015148038438356</v>
      </c>
      <c r="R92" t="str">
        <f t="shared" si="3"/>
        <v>Regular</v>
      </c>
      <c r="S92" t="s">
        <v>115</v>
      </c>
      <c r="T92">
        <v>14</v>
      </c>
    </row>
    <row r="93" spans="1:20">
      <c r="A93" s="1">
        <v>45930</v>
      </c>
      <c r="B93">
        <v>5</v>
      </c>
      <c r="C93" t="s">
        <v>82</v>
      </c>
      <c r="D93" t="s">
        <v>70</v>
      </c>
      <c r="E93" s="6">
        <v>5005.8838999999998</v>
      </c>
      <c r="F93" s="6">
        <v>5063.7007999999996</v>
      </c>
      <c r="G93" s="6">
        <v>59.329300000000003</v>
      </c>
      <c r="H93" s="6">
        <v>5005.8846999999996</v>
      </c>
      <c r="I93" s="6">
        <v>5063.6988000000001</v>
      </c>
      <c r="J93" s="6">
        <v>59.3292</v>
      </c>
      <c r="K93" s="2">
        <v>1.2</v>
      </c>
      <c r="L93" s="2">
        <v>0.1</v>
      </c>
      <c r="M93" s="2">
        <v>0.3</v>
      </c>
      <c r="N93" s="2">
        <v>0.8</v>
      </c>
      <c r="O93" s="2">
        <v>-2</v>
      </c>
      <c r="P93" s="2">
        <v>-0.1</v>
      </c>
      <c r="Q93" s="2">
        <f t="shared" si="2"/>
        <v>2.1540659228538019</v>
      </c>
      <c r="R93" t="str">
        <f t="shared" si="3"/>
        <v>Regular</v>
      </c>
      <c r="S93" t="s">
        <v>115</v>
      </c>
      <c r="T93">
        <v>14</v>
      </c>
    </row>
    <row r="94" spans="1:20">
      <c r="A94" s="1">
        <v>45930</v>
      </c>
      <c r="B94">
        <v>0</v>
      </c>
      <c r="C94" t="s">
        <v>127</v>
      </c>
      <c r="D94" t="s">
        <v>128</v>
      </c>
      <c r="E94" s="6">
        <v>4974.3924999999999</v>
      </c>
      <c r="F94" s="6">
        <v>5039.5325999999995</v>
      </c>
      <c r="G94" s="6">
        <v>53.556800000000003</v>
      </c>
      <c r="H94" s="6">
        <v>4974.3924999999999</v>
      </c>
      <c r="I94" s="6">
        <v>5039.5325999999995</v>
      </c>
      <c r="J94" s="6">
        <v>53.556800000000003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f t="shared" si="2"/>
        <v>0</v>
      </c>
      <c r="R94" t="str">
        <f t="shared" si="3"/>
        <v>Regular</v>
      </c>
      <c r="S94" t="s">
        <v>115</v>
      </c>
      <c r="T94">
        <v>38</v>
      </c>
    </row>
    <row r="95" spans="1:20">
      <c r="A95" s="1">
        <v>45930</v>
      </c>
      <c r="B95">
        <v>0</v>
      </c>
      <c r="C95" t="s">
        <v>129</v>
      </c>
      <c r="D95" t="s">
        <v>130</v>
      </c>
      <c r="E95" s="6">
        <v>4981.8689000000004</v>
      </c>
      <c r="F95" s="6">
        <v>5046.9902000000002</v>
      </c>
      <c r="G95" s="6">
        <v>53.966500000000003</v>
      </c>
      <c r="H95" s="6">
        <v>4981.8689000000004</v>
      </c>
      <c r="I95" s="6">
        <v>5046.9902000000002</v>
      </c>
      <c r="J95" s="6">
        <v>53.966500000000003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f t="shared" si="2"/>
        <v>0</v>
      </c>
      <c r="R95" t="str">
        <f t="shared" si="3"/>
        <v>Regular</v>
      </c>
      <c r="S95" t="s">
        <v>115</v>
      </c>
      <c r="T95">
        <v>38</v>
      </c>
    </row>
    <row r="96" spans="1:20">
      <c r="A96" s="1">
        <v>45930</v>
      </c>
      <c r="B96">
        <v>0</v>
      </c>
      <c r="C96" t="s">
        <v>131</v>
      </c>
      <c r="D96" t="s">
        <v>130</v>
      </c>
      <c r="E96" s="6">
        <v>4993.0258000000003</v>
      </c>
      <c r="F96" s="6">
        <v>5045.3909000000003</v>
      </c>
      <c r="G96" s="6">
        <v>53.905200000000001</v>
      </c>
      <c r="H96" s="6">
        <v>4993.0258000000003</v>
      </c>
      <c r="I96" s="6">
        <v>5045.3909000000003</v>
      </c>
      <c r="J96" s="6">
        <v>53.905200000000001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f t="shared" si="2"/>
        <v>0</v>
      </c>
      <c r="R96" t="str">
        <f t="shared" si="3"/>
        <v>Regular</v>
      </c>
      <c r="S96" t="s">
        <v>115</v>
      </c>
      <c r="T96">
        <v>38</v>
      </c>
    </row>
    <row r="97" spans="1:20">
      <c r="A97" s="1">
        <v>45930</v>
      </c>
      <c r="B97">
        <v>0</v>
      </c>
      <c r="C97" t="s">
        <v>132</v>
      </c>
      <c r="D97" t="s">
        <v>130</v>
      </c>
      <c r="E97" s="6">
        <v>5002.4090999999999</v>
      </c>
      <c r="F97" s="6">
        <v>5044.0244000000002</v>
      </c>
      <c r="G97" s="6">
        <v>53.889200000000002</v>
      </c>
      <c r="H97" s="6">
        <v>5002.4090999999999</v>
      </c>
      <c r="I97" s="6">
        <v>5044.0244000000002</v>
      </c>
      <c r="J97" s="6">
        <v>53.889200000000002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f t="shared" si="2"/>
        <v>0</v>
      </c>
      <c r="R97" t="str">
        <f t="shared" si="3"/>
        <v>Regular</v>
      </c>
      <c r="S97" t="s">
        <v>115</v>
      </c>
      <c r="T97">
        <v>38</v>
      </c>
    </row>
    <row r="98" spans="1:20">
      <c r="A98" s="1">
        <v>45930</v>
      </c>
      <c r="B98">
        <v>0</v>
      </c>
      <c r="C98" t="s">
        <v>137</v>
      </c>
      <c r="D98" t="s">
        <v>138</v>
      </c>
      <c r="E98" s="6">
        <v>5046.1882999999998</v>
      </c>
      <c r="F98" s="6">
        <v>5033.5622999999996</v>
      </c>
      <c r="G98" s="6">
        <v>48.999099999999999</v>
      </c>
      <c r="H98" s="6">
        <v>5046.1882999999998</v>
      </c>
      <c r="I98" s="6">
        <v>5033.5622999999996</v>
      </c>
      <c r="J98" s="6">
        <v>48.999099999999999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f t="shared" si="2"/>
        <v>0</v>
      </c>
      <c r="R98" t="str">
        <f t="shared" si="3"/>
        <v>Regular</v>
      </c>
      <c r="S98" t="s">
        <v>115</v>
      </c>
      <c r="T98">
        <v>38</v>
      </c>
    </row>
    <row r="99" spans="1:20">
      <c r="A99" s="1">
        <v>45930</v>
      </c>
      <c r="B99">
        <v>5</v>
      </c>
      <c r="C99" t="s">
        <v>83</v>
      </c>
      <c r="D99" t="s">
        <v>84</v>
      </c>
      <c r="E99" s="6">
        <v>5055.3705</v>
      </c>
      <c r="F99" s="6">
        <v>5037.6908000000003</v>
      </c>
      <c r="G99" s="6">
        <v>55.834499999999998</v>
      </c>
      <c r="H99" s="6">
        <v>5055.3681999999999</v>
      </c>
      <c r="I99" s="6">
        <v>5037.692</v>
      </c>
      <c r="J99" s="6">
        <v>55.836399999999998</v>
      </c>
      <c r="K99" s="2">
        <v>-0.1</v>
      </c>
      <c r="L99" s="2">
        <v>0.3</v>
      </c>
      <c r="M99" s="2">
        <v>0.9</v>
      </c>
      <c r="N99" s="2">
        <v>-2.2999999999999998</v>
      </c>
      <c r="O99" s="2">
        <v>1.2</v>
      </c>
      <c r="P99" s="2">
        <v>1.9</v>
      </c>
      <c r="Q99" s="2">
        <f t="shared" si="2"/>
        <v>2.5942243542145693</v>
      </c>
      <c r="R99" t="str">
        <f t="shared" si="3"/>
        <v>Regular</v>
      </c>
      <c r="S99" t="s">
        <v>115</v>
      </c>
      <c r="T99">
        <v>14</v>
      </c>
    </row>
    <row r="100" spans="1:20">
      <c r="A100" s="1">
        <v>45930</v>
      </c>
      <c r="B100">
        <v>5</v>
      </c>
      <c r="C100" t="s">
        <v>85</v>
      </c>
      <c r="D100" t="s">
        <v>84</v>
      </c>
      <c r="E100" s="6">
        <v>5055.3611000000001</v>
      </c>
      <c r="F100" s="6">
        <v>5037.652</v>
      </c>
      <c r="G100" s="6">
        <v>53.920200000000001</v>
      </c>
      <c r="H100" s="6">
        <v>5055.3599000000004</v>
      </c>
      <c r="I100" s="6">
        <v>5037.6504000000004</v>
      </c>
      <c r="J100" s="6">
        <v>53.922499999999999</v>
      </c>
      <c r="K100" s="2">
        <v>-0.5</v>
      </c>
      <c r="L100" s="2">
        <v>-0.2</v>
      </c>
      <c r="M100" s="2">
        <v>0</v>
      </c>
      <c r="N100" s="2">
        <v>-1.2</v>
      </c>
      <c r="O100" s="2">
        <v>-1.6</v>
      </c>
      <c r="P100" s="2">
        <v>2.2999999999999998</v>
      </c>
      <c r="Q100" s="2">
        <f t="shared" si="2"/>
        <v>2</v>
      </c>
      <c r="R100" t="str">
        <f t="shared" si="3"/>
        <v>Regular</v>
      </c>
      <c r="S100" t="s">
        <v>115</v>
      </c>
      <c r="T100">
        <v>14</v>
      </c>
    </row>
    <row r="101" spans="1:20">
      <c r="A101" s="1">
        <v>45930</v>
      </c>
      <c r="B101">
        <v>5</v>
      </c>
      <c r="C101" t="s">
        <v>86</v>
      </c>
      <c r="D101" t="s">
        <v>84</v>
      </c>
      <c r="E101" s="6">
        <v>5053.1266999999998</v>
      </c>
      <c r="F101" s="6">
        <v>5028.5694000000003</v>
      </c>
      <c r="G101" s="6">
        <v>55.876899999999999</v>
      </c>
      <c r="H101" s="6">
        <v>5053.1244999999999</v>
      </c>
      <c r="I101" s="6">
        <v>5028.5721999999996</v>
      </c>
      <c r="J101" s="6">
        <v>55.878300000000003</v>
      </c>
      <c r="K101" s="2">
        <v>-0.8</v>
      </c>
      <c r="L101" s="2">
        <v>0.9</v>
      </c>
      <c r="M101" s="2">
        <v>0.5</v>
      </c>
      <c r="N101" s="2">
        <v>-2.2000000000000002</v>
      </c>
      <c r="O101" s="2">
        <v>2.8</v>
      </c>
      <c r="P101" s="2">
        <v>1.4</v>
      </c>
      <c r="Q101" s="2">
        <f t="shared" si="2"/>
        <v>3.5608987629529709</v>
      </c>
      <c r="R101" t="str">
        <f t="shared" si="3"/>
        <v>Regular</v>
      </c>
      <c r="S101" t="s">
        <v>115</v>
      </c>
      <c r="T101">
        <v>14</v>
      </c>
    </row>
    <row r="102" spans="1:20">
      <c r="A102" s="1">
        <v>45930</v>
      </c>
      <c r="B102">
        <v>5</v>
      </c>
      <c r="C102" t="s">
        <v>87</v>
      </c>
      <c r="D102" t="s">
        <v>84</v>
      </c>
      <c r="E102" s="6">
        <v>5053.1229999999996</v>
      </c>
      <c r="F102" s="6">
        <v>5028.5785999999998</v>
      </c>
      <c r="G102" s="6">
        <v>54.159100000000002</v>
      </c>
      <c r="H102" s="6">
        <v>5053.1211000000003</v>
      </c>
      <c r="I102" s="6">
        <v>5028.5798999999997</v>
      </c>
      <c r="J102" s="6">
        <v>54.160499999999999</v>
      </c>
      <c r="K102" s="2">
        <v>-0.3</v>
      </c>
      <c r="L102" s="2">
        <v>0.1</v>
      </c>
      <c r="M102" s="2">
        <v>0.4</v>
      </c>
      <c r="N102" s="2">
        <v>-1.9</v>
      </c>
      <c r="O102" s="2">
        <v>1.3</v>
      </c>
      <c r="P102" s="2">
        <v>1.4</v>
      </c>
      <c r="Q102" s="2">
        <f t="shared" si="2"/>
        <v>2.3021728866442674</v>
      </c>
      <c r="R102" t="str">
        <f t="shared" si="3"/>
        <v>Regular</v>
      </c>
      <c r="S102" t="s">
        <v>115</v>
      </c>
      <c r="T102">
        <v>14</v>
      </c>
    </row>
    <row r="103" spans="1:20">
      <c r="A103" s="1">
        <v>45936</v>
      </c>
      <c r="B103">
        <v>6</v>
      </c>
      <c r="C103" t="s">
        <v>88</v>
      </c>
      <c r="D103" t="s">
        <v>89</v>
      </c>
      <c r="E103" s="6">
        <v>5051.1406999999999</v>
      </c>
      <c r="F103" s="6">
        <v>5062.3236999999999</v>
      </c>
      <c r="G103" s="6">
        <v>63.001399999999997</v>
      </c>
      <c r="H103" s="6">
        <v>5051.1422000000002</v>
      </c>
      <c r="I103" s="6">
        <v>5062.3249999999998</v>
      </c>
      <c r="J103" s="6">
        <v>63.000799999999998</v>
      </c>
      <c r="K103" s="2">
        <v>0.3</v>
      </c>
      <c r="L103" s="2">
        <v>1.3</v>
      </c>
      <c r="M103" s="2">
        <v>-1.3</v>
      </c>
      <c r="N103" s="2">
        <v>1.5</v>
      </c>
      <c r="O103" s="2">
        <v>1.3</v>
      </c>
      <c r="P103" s="2">
        <v>-0.6</v>
      </c>
      <c r="Q103" s="2">
        <f t="shared" si="2"/>
        <v>1.9849433241279208</v>
      </c>
      <c r="R103" t="str">
        <f t="shared" si="3"/>
        <v>Regular</v>
      </c>
      <c r="S103" t="s">
        <v>115</v>
      </c>
      <c r="T103">
        <v>15</v>
      </c>
    </row>
    <row r="104" spans="1:20">
      <c r="A104" s="1">
        <v>45936</v>
      </c>
      <c r="B104">
        <v>6</v>
      </c>
      <c r="C104" t="s">
        <v>90</v>
      </c>
      <c r="D104" t="s">
        <v>89</v>
      </c>
      <c r="E104" s="6">
        <v>5051.0086000000001</v>
      </c>
      <c r="F104" s="6">
        <v>5062.4333999999999</v>
      </c>
      <c r="G104" s="6">
        <v>56.898000000000003</v>
      </c>
      <c r="H104" s="6">
        <v>5051.009</v>
      </c>
      <c r="I104" s="6">
        <v>5062.4344000000001</v>
      </c>
      <c r="J104" s="6">
        <v>56.898299999999999</v>
      </c>
      <c r="K104" s="2">
        <v>0.3</v>
      </c>
      <c r="L104" s="2">
        <v>0.9</v>
      </c>
      <c r="M104" s="2">
        <v>0.5</v>
      </c>
      <c r="N104" s="2">
        <v>0.4</v>
      </c>
      <c r="O104" s="2">
        <v>1</v>
      </c>
      <c r="P104" s="2">
        <v>0.3</v>
      </c>
      <c r="Q104" s="2">
        <f t="shared" si="2"/>
        <v>1.077032961426901</v>
      </c>
      <c r="R104" t="str">
        <f t="shared" si="3"/>
        <v>Regular</v>
      </c>
      <c r="S104" t="s">
        <v>115</v>
      </c>
      <c r="T104">
        <v>15</v>
      </c>
    </row>
    <row r="105" spans="1:20">
      <c r="A105" s="1">
        <v>45936</v>
      </c>
      <c r="B105">
        <v>6</v>
      </c>
      <c r="C105" t="s">
        <v>91</v>
      </c>
      <c r="D105" t="s">
        <v>89</v>
      </c>
      <c r="E105" s="6">
        <v>5058.5258999999996</v>
      </c>
      <c r="F105" s="6">
        <v>5053.1760000000004</v>
      </c>
      <c r="G105" s="6">
        <v>63.525199999999998</v>
      </c>
      <c r="H105" s="6">
        <v>5058.5263999999997</v>
      </c>
      <c r="I105" s="6">
        <v>5053.1760999999997</v>
      </c>
      <c r="J105" s="6">
        <v>63.524700000000003</v>
      </c>
      <c r="K105" s="2">
        <v>0.8</v>
      </c>
      <c r="L105" s="2">
        <v>0.1</v>
      </c>
      <c r="M105" s="2">
        <v>-0.3</v>
      </c>
      <c r="N105" s="2">
        <v>0.5</v>
      </c>
      <c r="O105" s="2">
        <v>0.1</v>
      </c>
      <c r="P105" s="2">
        <v>-0.5</v>
      </c>
      <c r="Q105" s="2">
        <f t="shared" si="2"/>
        <v>0.50990195135927852</v>
      </c>
      <c r="R105" t="str">
        <f t="shared" si="3"/>
        <v>Regular</v>
      </c>
      <c r="S105" t="s">
        <v>115</v>
      </c>
      <c r="T105">
        <v>15</v>
      </c>
    </row>
    <row r="106" spans="1:20">
      <c r="A106" s="1">
        <v>45936</v>
      </c>
      <c r="B106">
        <v>6</v>
      </c>
      <c r="C106" t="s">
        <v>92</v>
      </c>
      <c r="D106" t="s">
        <v>89</v>
      </c>
      <c r="E106" s="6">
        <v>5060.2732999999998</v>
      </c>
      <c r="F106" s="6">
        <v>5059.0944</v>
      </c>
      <c r="G106" s="6">
        <v>58.7943</v>
      </c>
      <c r="H106" s="6">
        <v>5060.2734</v>
      </c>
      <c r="I106" s="6">
        <v>5059.0937999999996</v>
      </c>
      <c r="J106" s="6">
        <v>58.791800000000002</v>
      </c>
      <c r="K106" s="2">
        <v>1.3</v>
      </c>
      <c r="L106" s="2">
        <v>-0.7</v>
      </c>
      <c r="M106" s="2">
        <v>-1.8</v>
      </c>
      <c r="N106" s="2">
        <v>0.1</v>
      </c>
      <c r="O106" s="2">
        <v>-0.6</v>
      </c>
      <c r="P106" s="2">
        <v>-2.5</v>
      </c>
      <c r="Q106" s="2">
        <f t="shared" si="2"/>
        <v>0.60827625302982191</v>
      </c>
      <c r="R106" t="str">
        <f t="shared" si="3"/>
        <v>Regular</v>
      </c>
      <c r="S106" t="s">
        <v>115</v>
      </c>
      <c r="T106">
        <v>15</v>
      </c>
    </row>
    <row r="107" spans="1:20">
      <c r="A107" s="1">
        <v>45936</v>
      </c>
      <c r="B107">
        <v>6</v>
      </c>
      <c r="C107" t="s">
        <v>69</v>
      </c>
      <c r="D107" t="s">
        <v>70</v>
      </c>
      <c r="E107" s="6">
        <v>4990.9656999999997</v>
      </c>
      <c r="F107" s="6">
        <v>5053.7449999999999</v>
      </c>
      <c r="G107" s="6">
        <v>60.553600000000003</v>
      </c>
      <c r="H107" s="6">
        <v>4990.9660000000003</v>
      </c>
      <c r="I107" s="6">
        <v>5053.7395999999999</v>
      </c>
      <c r="J107" s="6">
        <v>60.5533</v>
      </c>
      <c r="K107" s="2">
        <v>-0.1</v>
      </c>
      <c r="L107" s="2">
        <v>-0.1</v>
      </c>
      <c r="M107" s="2">
        <v>-0.4</v>
      </c>
      <c r="N107" s="2">
        <v>0.3</v>
      </c>
      <c r="O107" s="2">
        <v>-5.4</v>
      </c>
      <c r="P107" s="2">
        <v>-0.3</v>
      </c>
      <c r="Q107" s="2">
        <f t="shared" si="2"/>
        <v>5.4083269131959844</v>
      </c>
      <c r="R107" t="str">
        <f t="shared" si="3"/>
        <v>Regular</v>
      </c>
      <c r="S107" t="s">
        <v>115</v>
      </c>
      <c r="T107">
        <v>15</v>
      </c>
    </row>
    <row r="108" spans="1:20">
      <c r="A108" s="1">
        <v>45936</v>
      </c>
      <c r="B108">
        <v>6</v>
      </c>
      <c r="C108" t="s">
        <v>75</v>
      </c>
      <c r="D108" t="s">
        <v>70</v>
      </c>
      <c r="E108" s="6">
        <v>4990.9760999999999</v>
      </c>
      <c r="F108" s="6">
        <v>5053.7455</v>
      </c>
      <c r="G108" s="6">
        <v>59.095199999999998</v>
      </c>
      <c r="H108" s="6">
        <v>4990.9753000000001</v>
      </c>
      <c r="I108" s="6">
        <v>5053.7417999999998</v>
      </c>
      <c r="J108" s="6">
        <v>59.097299999999997</v>
      </c>
      <c r="K108" s="2">
        <v>-0.5</v>
      </c>
      <c r="L108" s="2">
        <v>0.9</v>
      </c>
      <c r="M108" s="2">
        <v>0.5</v>
      </c>
      <c r="N108" s="2">
        <v>-0.8</v>
      </c>
      <c r="O108" s="2">
        <v>-3.7</v>
      </c>
      <c r="P108" s="2">
        <v>2.1</v>
      </c>
      <c r="Q108" s="2">
        <f t="shared" si="2"/>
        <v>3.7854986461495401</v>
      </c>
      <c r="R108" t="str">
        <f t="shared" si="3"/>
        <v>Regular</v>
      </c>
      <c r="S108" t="s">
        <v>115</v>
      </c>
      <c r="T108">
        <v>15</v>
      </c>
    </row>
    <row r="109" spans="1:20">
      <c r="A109" s="1">
        <v>45936</v>
      </c>
      <c r="B109">
        <v>6</v>
      </c>
      <c r="C109" t="s">
        <v>76</v>
      </c>
      <c r="D109" t="s">
        <v>70</v>
      </c>
      <c r="E109" s="6">
        <v>5001.0812999999998</v>
      </c>
      <c r="F109" s="6">
        <v>5053.5291999999999</v>
      </c>
      <c r="G109" s="6">
        <v>60.621899999999997</v>
      </c>
      <c r="H109" s="6">
        <v>5001.0838999999996</v>
      </c>
      <c r="I109" s="6">
        <v>5053.5191999999997</v>
      </c>
      <c r="J109" s="6">
        <v>60.619500000000002</v>
      </c>
      <c r="K109" s="2">
        <v>-0.1</v>
      </c>
      <c r="L109" s="2">
        <v>0.7</v>
      </c>
      <c r="M109" s="2">
        <v>-1</v>
      </c>
      <c r="N109" s="2">
        <v>2.6</v>
      </c>
      <c r="O109" s="2">
        <v>-10</v>
      </c>
      <c r="P109" s="2">
        <v>-2.4</v>
      </c>
      <c r="Q109" s="2">
        <f t="shared" si="2"/>
        <v>10.332473082471592</v>
      </c>
      <c r="R109" t="str">
        <f t="shared" si="3"/>
        <v>Regular</v>
      </c>
      <c r="S109" t="s">
        <v>115</v>
      </c>
      <c r="T109">
        <v>15</v>
      </c>
    </row>
    <row r="110" spans="1:20">
      <c r="A110" s="1">
        <v>45936</v>
      </c>
      <c r="B110">
        <v>6</v>
      </c>
      <c r="C110" t="s">
        <v>77</v>
      </c>
      <c r="D110" t="s">
        <v>70</v>
      </c>
      <c r="E110" s="6">
        <v>5001.0428000000002</v>
      </c>
      <c r="F110" s="6">
        <v>5053.5321999999996</v>
      </c>
      <c r="G110" s="6">
        <v>58.677799999999998</v>
      </c>
      <c r="H110" s="6">
        <v>5001.0461999999998</v>
      </c>
      <c r="I110" s="6">
        <v>5053.5249000000003</v>
      </c>
      <c r="J110" s="6">
        <v>58.6753</v>
      </c>
      <c r="K110" s="2">
        <v>0</v>
      </c>
      <c r="L110" s="2">
        <v>0.8</v>
      </c>
      <c r="M110" s="2">
        <v>-0.1</v>
      </c>
      <c r="N110" s="2">
        <v>3.4</v>
      </c>
      <c r="O110" s="2">
        <v>-7.3</v>
      </c>
      <c r="P110" s="2">
        <v>-2.5</v>
      </c>
      <c r="Q110" s="2">
        <f t="shared" si="2"/>
        <v>8.0529497701152959</v>
      </c>
      <c r="R110" t="str">
        <f t="shared" si="3"/>
        <v>Regular</v>
      </c>
      <c r="S110" t="s">
        <v>115</v>
      </c>
      <c r="T110">
        <v>15</v>
      </c>
    </row>
    <row r="111" spans="1:20">
      <c r="A111" s="1">
        <v>45936</v>
      </c>
      <c r="B111">
        <v>6</v>
      </c>
      <c r="C111" t="s">
        <v>78</v>
      </c>
      <c r="D111" t="s">
        <v>70</v>
      </c>
      <c r="E111" s="6">
        <v>5005.4017999999996</v>
      </c>
      <c r="F111" s="6">
        <v>5054.5141000000003</v>
      </c>
      <c r="G111" s="6">
        <v>60.181899999999999</v>
      </c>
      <c r="H111" s="6"/>
      <c r="I111" s="6"/>
      <c r="J111" s="6"/>
      <c r="K111" s="2"/>
      <c r="L111" s="2"/>
      <c r="M111" s="2"/>
      <c r="N111" s="2"/>
      <c r="O111" s="2"/>
      <c r="P111" s="2"/>
      <c r="Q111" s="2" t="str">
        <f t="shared" si="2"/>
        <v/>
      </c>
      <c r="R111" t="str">
        <f t="shared" si="3"/>
        <v>Sem leitura</v>
      </c>
      <c r="S111" t="s">
        <v>115</v>
      </c>
      <c r="T111">
        <v>15</v>
      </c>
    </row>
    <row r="112" spans="1:20">
      <c r="A112" s="1">
        <v>45936</v>
      </c>
      <c r="B112">
        <v>6</v>
      </c>
      <c r="C112" t="s">
        <v>80</v>
      </c>
      <c r="D112" t="s">
        <v>70</v>
      </c>
      <c r="E112" s="6">
        <v>5005.4050999999999</v>
      </c>
      <c r="F112" s="6">
        <v>5054.5766999999996</v>
      </c>
      <c r="G112" s="6">
        <v>58.646999999999998</v>
      </c>
      <c r="H112" s="6"/>
      <c r="I112" s="6"/>
      <c r="J112" s="6"/>
      <c r="K112" s="2"/>
      <c r="L112" s="2"/>
      <c r="M112" s="2"/>
      <c r="N112" s="2"/>
      <c r="O112" s="2"/>
      <c r="P112" s="2"/>
      <c r="Q112" s="2" t="str">
        <f t="shared" si="2"/>
        <v/>
      </c>
      <c r="R112" t="str">
        <f t="shared" si="3"/>
        <v>Sem leitura</v>
      </c>
      <c r="S112" t="s">
        <v>115</v>
      </c>
      <c r="T112">
        <v>15</v>
      </c>
    </row>
    <row r="113" spans="1:20">
      <c r="A113" s="1">
        <v>45936</v>
      </c>
      <c r="B113">
        <v>6</v>
      </c>
      <c r="C113" t="s">
        <v>81</v>
      </c>
      <c r="D113" t="s">
        <v>70</v>
      </c>
      <c r="E113" s="6">
        <v>5005.8755000000001</v>
      </c>
      <c r="F113" s="6">
        <v>5063.3173999999999</v>
      </c>
      <c r="G113" s="6">
        <v>60.481099999999998</v>
      </c>
      <c r="H113" s="6"/>
      <c r="I113" s="6"/>
      <c r="J113" s="6"/>
      <c r="K113" s="2"/>
      <c r="L113" s="2"/>
      <c r="M113" s="2"/>
      <c r="N113" s="2"/>
      <c r="O113" s="2"/>
      <c r="P113" s="2"/>
      <c r="Q113" s="2" t="str">
        <f t="shared" si="2"/>
        <v/>
      </c>
      <c r="R113" t="str">
        <f t="shared" si="3"/>
        <v>Sem leitura</v>
      </c>
      <c r="S113" t="s">
        <v>115</v>
      </c>
      <c r="T113">
        <v>15</v>
      </c>
    </row>
    <row r="114" spans="1:20">
      <c r="A114" s="1">
        <v>45936</v>
      </c>
      <c r="B114">
        <v>6</v>
      </c>
      <c r="C114" t="s">
        <v>82</v>
      </c>
      <c r="D114" t="s">
        <v>70</v>
      </c>
      <c r="E114" s="6">
        <v>5005.8838999999998</v>
      </c>
      <c r="F114" s="6">
        <v>5063.7007999999996</v>
      </c>
      <c r="G114" s="6">
        <v>59.329300000000003</v>
      </c>
      <c r="H114" s="6"/>
      <c r="I114" s="6"/>
      <c r="J114" s="6"/>
      <c r="K114" s="2"/>
      <c r="L114" s="2"/>
      <c r="M114" s="2"/>
      <c r="N114" s="2"/>
      <c r="O114" s="2"/>
      <c r="P114" s="2"/>
      <c r="Q114" s="2" t="str">
        <f t="shared" si="2"/>
        <v/>
      </c>
      <c r="R114" t="str">
        <f t="shared" si="3"/>
        <v>Sem leitura</v>
      </c>
      <c r="S114" t="s">
        <v>115</v>
      </c>
      <c r="T114">
        <v>15</v>
      </c>
    </row>
    <row r="115" spans="1:20">
      <c r="A115" s="1">
        <v>45936</v>
      </c>
      <c r="B115">
        <v>0</v>
      </c>
      <c r="C115" t="s">
        <v>119</v>
      </c>
      <c r="D115" t="s">
        <v>120</v>
      </c>
      <c r="E115" s="6">
        <v>5019.7240000000002</v>
      </c>
      <c r="F115" s="6">
        <v>5017.4448000000002</v>
      </c>
      <c r="G115" s="6">
        <v>48.267099999999999</v>
      </c>
      <c r="H115" s="6">
        <v>5019.7240000000002</v>
      </c>
      <c r="I115" s="6">
        <v>5017.4448000000002</v>
      </c>
      <c r="J115" s="6">
        <v>48.267099999999999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f t="shared" si="2"/>
        <v>0</v>
      </c>
      <c r="R115" t="str">
        <f t="shared" si="3"/>
        <v>Regular</v>
      </c>
      <c r="S115" t="s">
        <v>115</v>
      </c>
      <c r="T115">
        <v>38</v>
      </c>
    </row>
    <row r="116" spans="1:20">
      <c r="A116" s="1">
        <v>45936</v>
      </c>
      <c r="B116">
        <v>1</v>
      </c>
      <c r="C116" t="s">
        <v>119</v>
      </c>
      <c r="D116" t="s">
        <v>120</v>
      </c>
      <c r="E116" s="6">
        <v>5019.7240000000002</v>
      </c>
      <c r="F116" s="6">
        <v>5017.4448000000002</v>
      </c>
      <c r="G116" s="6">
        <v>48.267099999999999</v>
      </c>
      <c r="H116" s="6">
        <v>5019.7240000000002</v>
      </c>
      <c r="I116" s="6">
        <v>5017.4448000000002</v>
      </c>
      <c r="J116" s="6">
        <v>48.267099999999999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f t="shared" si="2"/>
        <v>0</v>
      </c>
      <c r="R116" t="str">
        <f t="shared" si="3"/>
        <v>Regular</v>
      </c>
      <c r="S116" t="s">
        <v>115</v>
      </c>
      <c r="T116">
        <v>39</v>
      </c>
    </row>
    <row r="117" spans="1:20">
      <c r="A117" s="1">
        <v>45936</v>
      </c>
      <c r="B117">
        <v>0</v>
      </c>
      <c r="C117" t="s">
        <v>124</v>
      </c>
      <c r="D117" t="s">
        <v>125</v>
      </c>
      <c r="E117" s="6">
        <v>4986.2775000000001</v>
      </c>
      <c r="F117" s="6">
        <v>5019.8639000000003</v>
      </c>
      <c r="G117" s="6">
        <v>50.872999999999998</v>
      </c>
      <c r="H117" s="6">
        <v>4986.2775000000001</v>
      </c>
      <c r="I117" s="6">
        <v>5019.8639000000003</v>
      </c>
      <c r="J117" s="6">
        <v>50.872999999999998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f t="shared" si="2"/>
        <v>0</v>
      </c>
      <c r="R117" t="str">
        <f t="shared" si="3"/>
        <v>Regular</v>
      </c>
      <c r="S117" t="s">
        <v>115</v>
      </c>
      <c r="T117">
        <v>38</v>
      </c>
    </row>
    <row r="118" spans="1:20">
      <c r="A118" s="1">
        <v>45936</v>
      </c>
      <c r="B118">
        <v>1</v>
      </c>
      <c r="C118" t="s">
        <v>124</v>
      </c>
      <c r="D118" t="s">
        <v>125</v>
      </c>
      <c r="E118" s="6">
        <v>4986.2775000000001</v>
      </c>
      <c r="F118" s="6">
        <v>5019.8639000000003</v>
      </c>
      <c r="G118" s="6">
        <v>50.872999999999998</v>
      </c>
      <c r="H118" s="6">
        <v>4986.2775000000001</v>
      </c>
      <c r="I118" s="6">
        <v>5019.8639000000003</v>
      </c>
      <c r="J118" s="6">
        <v>50.872999999999998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f t="shared" si="2"/>
        <v>0</v>
      </c>
      <c r="R118" t="str">
        <f t="shared" si="3"/>
        <v>Regular</v>
      </c>
      <c r="S118" t="s">
        <v>115</v>
      </c>
      <c r="T118">
        <v>39</v>
      </c>
    </row>
    <row r="119" spans="1:20">
      <c r="A119" s="1">
        <v>45936</v>
      </c>
      <c r="B119">
        <v>0</v>
      </c>
      <c r="C119" t="s">
        <v>126</v>
      </c>
      <c r="D119" t="s">
        <v>125</v>
      </c>
      <c r="E119" s="6">
        <v>4977.5057999999999</v>
      </c>
      <c r="F119" s="6">
        <v>5027.6043</v>
      </c>
      <c r="G119" s="6">
        <v>52.208399999999997</v>
      </c>
      <c r="H119" s="6">
        <v>4977.5057999999999</v>
      </c>
      <c r="I119" s="6">
        <v>5027.6043</v>
      </c>
      <c r="J119" s="6">
        <v>52.208399999999997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f t="shared" si="2"/>
        <v>0</v>
      </c>
      <c r="R119" t="str">
        <f t="shared" si="3"/>
        <v>Regular</v>
      </c>
      <c r="S119" t="s">
        <v>115</v>
      </c>
      <c r="T119">
        <v>38</v>
      </c>
    </row>
    <row r="120" spans="1:20">
      <c r="A120" s="1">
        <v>45936</v>
      </c>
      <c r="B120">
        <v>1</v>
      </c>
      <c r="C120" t="s">
        <v>126</v>
      </c>
      <c r="D120" t="s">
        <v>125</v>
      </c>
      <c r="E120" s="6">
        <v>4977.5057999999999</v>
      </c>
      <c r="F120" s="6">
        <v>5027.6043</v>
      </c>
      <c r="G120" s="6">
        <v>52.208399999999997</v>
      </c>
      <c r="H120" s="6">
        <v>4977.5057999999999</v>
      </c>
      <c r="I120" s="6">
        <v>5027.6043</v>
      </c>
      <c r="J120" s="6">
        <v>52.208399999999997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f t="shared" si="2"/>
        <v>0</v>
      </c>
      <c r="R120" t="str">
        <f t="shared" si="3"/>
        <v>Regular</v>
      </c>
      <c r="S120" t="s">
        <v>115</v>
      </c>
      <c r="T120">
        <v>39</v>
      </c>
    </row>
    <row r="121" spans="1:20">
      <c r="A121" s="1">
        <v>45936</v>
      </c>
      <c r="B121">
        <v>0</v>
      </c>
      <c r="C121" t="s">
        <v>122</v>
      </c>
      <c r="D121" t="s">
        <v>123</v>
      </c>
      <c r="E121" s="6">
        <v>4982.3819999999996</v>
      </c>
      <c r="F121" s="6">
        <v>5027.9636</v>
      </c>
      <c r="G121" s="6">
        <v>48.275500000000001</v>
      </c>
      <c r="H121" s="6">
        <v>4982.3819999999996</v>
      </c>
      <c r="I121" s="6">
        <v>5027.9636</v>
      </c>
      <c r="J121" s="6">
        <v>48.275500000000001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f t="shared" si="2"/>
        <v>0</v>
      </c>
      <c r="R121" t="str">
        <f t="shared" si="3"/>
        <v>Regular</v>
      </c>
      <c r="S121" t="s">
        <v>115</v>
      </c>
      <c r="T121">
        <v>38</v>
      </c>
    </row>
    <row r="122" spans="1:20">
      <c r="A122" s="1">
        <v>45936</v>
      </c>
      <c r="B122">
        <v>1</v>
      </c>
      <c r="C122" t="s">
        <v>122</v>
      </c>
      <c r="D122" t="s">
        <v>123</v>
      </c>
      <c r="E122" s="6">
        <v>4982.3819999999996</v>
      </c>
      <c r="F122" s="6">
        <v>5027.9636</v>
      </c>
      <c r="G122" s="6">
        <v>48.275500000000001</v>
      </c>
      <c r="H122" s="6">
        <v>4982.3819999999996</v>
      </c>
      <c r="I122" s="6">
        <v>5027.9636</v>
      </c>
      <c r="J122" s="6">
        <v>48.275500000000001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f t="shared" si="2"/>
        <v>0</v>
      </c>
      <c r="R122" t="str">
        <f t="shared" si="3"/>
        <v>Regular</v>
      </c>
      <c r="S122" t="s">
        <v>115</v>
      </c>
      <c r="T122">
        <v>39</v>
      </c>
    </row>
    <row r="123" spans="1:20">
      <c r="A123" s="1">
        <v>45936</v>
      </c>
      <c r="B123">
        <v>1</v>
      </c>
      <c r="C123" t="s">
        <v>127</v>
      </c>
      <c r="D123" t="s">
        <v>128</v>
      </c>
      <c r="E123" s="6">
        <v>4974.3924999999999</v>
      </c>
      <c r="F123" s="6">
        <v>5039.5325999999995</v>
      </c>
      <c r="G123" s="6">
        <v>53.556800000000003</v>
      </c>
      <c r="H123" s="6">
        <v>4974.3927999999996</v>
      </c>
      <c r="I123" s="6">
        <v>5039.5334999999995</v>
      </c>
      <c r="J123" s="6">
        <v>53.556800000000003</v>
      </c>
      <c r="K123" s="2">
        <v>0.3</v>
      </c>
      <c r="L123" s="2">
        <v>0.9</v>
      </c>
      <c r="M123" s="2">
        <v>0</v>
      </c>
      <c r="N123" s="2">
        <v>0.3</v>
      </c>
      <c r="O123" s="2">
        <v>0.9</v>
      </c>
      <c r="P123" s="2">
        <v>0</v>
      </c>
      <c r="Q123" s="2">
        <f t="shared" si="2"/>
        <v>0.94868329805051377</v>
      </c>
      <c r="R123" t="str">
        <f t="shared" si="3"/>
        <v>Regular</v>
      </c>
      <c r="S123" t="s">
        <v>115</v>
      </c>
      <c r="T123">
        <v>39</v>
      </c>
    </row>
    <row r="124" spans="1:20">
      <c r="A124" s="1">
        <v>45936</v>
      </c>
      <c r="B124">
        <v>1</v>
      </c>
      <c r="C124" t="s">
        <v>129</v>
      </c>
      <c r="D124" t="s">
        <v>130</v>
      </c>
      <c r="E124" s="6">
        <v>4981.8689000000004</v>
      </c>
      <c r="F124" s="6">
        <v>5046.9902000000002</v>
      </c>
      <c r="G124" s="6">
        <v>53.966500000000003</v>
      </c>
      <c r="H124" s="6">
        <v>4981.8707000000004</v>
      </c>
      <c r="I124" s="6">
        <v>5046.9912000000004</v>
      </c>
      <c r="J124" s="6">
        <v>53.9664</v>
      </c>
      <c r="K124" s="2">
        <v>1.8</v>
      </c>
      <c r="L124" s="2">
        <v>1</v>
      </c>
      <c r="M124" s="2">
        <v>-0.1</v>
      </c>
      <c r="N124" s="2">
        <v>1.8</v>
      </c>
      <c r="O124" s="2">
        <v>1</v>
      </c>
      <c r="P124" s="2">
        <v>-0.1</v>
      </c>
      <c r="Q124" s="2">
        <f t="shared" si="2"/>
        <v>2.0591260281974</v>
      </c>
      <c r="R124" t="str">
        <f t="shared" si="3"/>
        <v>Regular</v>
      </c>
      <c r="S124" t="s">
        <v>115</v>
      </c>
      <c r="T124">
        <v>39</v>
      </c>
    </row>
    <row r="125" spans="1:20">
      <c r="A125" s="1">
        <v>45936</v>
      </c>
      <c r="B125">
        <v>1</v>
      </c>
      <c r="C125" t="s">
        <v>131</v>
      </c>
      <c r="D125" t="s">
        <v>130</v>
      </c>
      <c r="E125" s="6">
        <v>4993.0258000000003</v>
      </c>
      <c r="F125" s="6">
        <v>5045.3909000000003</v>
      </c>
      <c r="G125" s="6">
        <v>53.905200000000001</v>
      </c>
      <c r="H125" s="6">
        <v>4993.0264999999999</v>
      </c>
      <c r="I125" s="6">
        <v>5045.3919999999998</v>
      </c>
      <c r="J125" s="6">
        <v>53.905200000000001</v>
      </c>
      <c r="K125" s="2">
        <v>0.7</v>
      </c>
      <c r="L125" s="2">
        <v>1.1000000000000001</v>
      </c>
      <c r="M125" s="2">
        <v>0</v>
      </c>
      <c r="N125" s="2">
        <v>0.7</v>
      </c>
      <c r="O125" s="2">
        <v>1.1000000000000001</v>
      </c>
      <c r="P125" s="2">
        <v>0</v>
      </c>
      <c r="Q125" s="2">
        <f t="shared" si="2"/>
        <v>1.3038404810405297</v>
      </c>
      <c r="R125" t="str">
        <f t="shared" si="3"/>
        <v>Regular</v>
      </c>
      <c r="S125" t="s">
        <v>115</v>
      </c>
      <c r="T125">
        <v>39</v>
      </c>
    </row>
    <row r="126" spans="1:20">
      <c r="A126" s="1">
        <v>45936</v>
      </c>
      <c r="B126">
        <v>1</v>
      </c>
      <c r="C126" t="s">
        <v>132</v>
      </c>
      <c r="D126" t="s">
        <v>130</v>
      </c>
      <c r="E126" s="6">
        <v>5002.4090999999999</v>
      </c>
      <c r="F126" s="6">
        <v>5044.0244000000002</v>
      </c>
      <c r="G126" s="6">
        <v>53.889200000000002</v>
      </c>
      <c r="H126" s="6">
        <v>5002.4090999999999</v>
      </c>
      <c r="I126" s="6">
        <v>5044.0240999999996</v>
      </c>
      <c r="J126" s="6">
        <v>53.8889</v>
      </c>
      <c r="K126" s="2">
        <v>0</v>
      </c>
      <c r="L126" s="2">
        <v>-0.3</v>
      </c>
      <c r="M126" s="2">
        <v>-0.3</v>
      </c>
      <c r="N126" s="2">
        <v>0</v>
      </c>
      <c r="O126" s="2">
        <v>-0.3</v>
      </c>
      <c r="P126" s="2">
        <v>-0.3</v>
      </c>
      <c r="Q126" s="2">
        <f t="shared" si="2"/>
        <v>0.3</v>
      </c>
      <c r="R126" t="str">
        <f t="shared" si="3"/>
        <v>Regular</v>
      </c>
      <c r="S126" t="s">
        <v>115</v>
      </c>
      <c r="T126">
        <v>39</v>
      </c>
    </row>
    <row r="127" spans="1:20">
      <c r="A127" s="1">
        <v>45936</v>
      </c>
      <c r="B127">
        <v>0</v>
      </c>
      <c r="C127" t="s">
        <v>133</v>
      </c>
      <c r="D127" t="s">
        <v>134</v>
      </c>
      <c r="E127" s="6">
        <v>5012.8994000000002</v>
      </c>
      <c r="F127" s="6">
        <v>5060.6997000000001</v>
      </c>
      <c r="G127" s="6">
        <v>52.496299999999998</v>
      </c>
      <c r="H127" s="6">
        <v>5012.8994000000002</v>
      </c>
      <c r="I127" s="6">
        <v>5060.6997000000001</v>
      </c>
      <c r="J127" s="6">
        <v>52.496299999999998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f t="shared" si="2"/>
        <v>0</v>
      </c>
      <c r="R127" t="str">
        <f t="shared" si="3"/>
        <v>Regular</v>
      </c>
      <c r="S127" t="s">
        <v>115</v>
      </c>
      <c r="T127">
        <v>38</v>
      </c>
    </row>
    <row r="128" spans="1:20">
      <c r="A128" s="1">
        <v>45936</v>
      </c>
      <c r="B128">
        <v>1</v>
      </c>
      <c r="C128" t="s">
        <v>133</v>
      </c>
      <c r="D128" t="s">
        <v>134</v>
      </c>
      <c r="E128" s="6">
        <v>5012.8994000000002</v>
      </c>
      <c r="F128" s="6">
        <v>5060.6997000000001</v>
      </c>
      <c r="G128" s="6">
        <v>52.496299999999998</v>
      </c>
      <c r="H128" s="6">
        <v>5012.8994000000002</v>
      </c>
      <c r="I128" s="6">
        <v>5060.6997000000001</v>
      </c>
      <c r="J128" s="6">
        <v>52.496299999999998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f t="shared" si="2"/>
        <v>0</v>
      </c>
      <c r="R128" t="str">
        <f t="shared" si="3"/>
        <v>Regular</v>
      </c>
      <c r="S128" t="s">
        <v>115</v>
      </c>
      <c r="T128">
        <v>39</v>
      </c>
    </row>
    <row r="129" spans="1:20">
      <c r="A129" s="1">
        <v>45936</v>
      </c>
      <c r="B129">
        <v>0</v>
      </c>
      <c r="C129" t="s">
        <v>135</v>
      </c>
      <c r="D129" t="s">
        <v>136</v>
      </c>
      <c r="E129" s="6">
        <v>5026.7076999999999</v>
      </c>
      <c r="F129" s="6">
        <v>5072.3888999999999</v>
      </c>
      <c r="G129" s="6">
        <v>53.761400000000002</v>
      </c>
      <c r="H129" s="6">
        <v>5026.7076999999999</v>
      </c>
      <c r="I129" s="6">
        <v>5072.3888999999999</v>
      </c>
      <c r="J129" s="6">
        <v>53.761400000000002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f t="shared" si="2"/>
        <v>0</v>
      </c>
      <c r="R129" t="str">
        <f t="shared" si="3"/>
        <v>Regular</v>
      </c>
      <c r="S129" t="s">
        <v>115</v>
      </c>
      <c r="T129">
        <v>38</v>
      </c>
    </row>
    <row r="130" spans="1:20">
      <c r="A130" s="1">
        <v>45936</v>
      </c>
      <c r="B130">
        <v>1</v>
      </c>
      <c r="C130" t="s">
        <v>135</v>
      </c>
      <c r="D130" t="s">
        <v>136</v>
      </c>
      <c r="E130" s="6">
        <v>5026.7076999999999</v>
      </c>
      <c r="F130" s="6">
        <v>5072.3888999999999</v>
      </c>
      <c r="G130" s="6">
        <v>53.761400000000002</v>
      </c>
      <c r="H130" s="6">
        <v>5026.7076999999999</v>
      </c>
      <c r="I130" s="6">
        <v>5072.3888999999999</v>
      </c>
      <c r="J130" s="6">
        <v>53.761400000000002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f t="shared" ref="Q130:Q193" si="4">IF(COUNT(N130:O130)&lt;2,"",SQRT(N130^2+O130^2))</f>
        <v>0</v>
      </c>
      <c r="R130" t="str">
        <f t="shared" ref="R130:R193" si="5">IF(COUNT(H130:P130)=0,"Sem leitura",IF(ISNUMBER(SEARCH("Escavação",D130)),IF(OR(Q130&gt;=40,ABS(P130)&gt;=15),"Alarme",IF(OR(Q130&gt;=IF(OR(ISNUMBER(SEARCH("Alçado AB",D130)),ISNUMBER(SEARCH("Alçado CD",D130)),ISNUMBER(SEARCH("Alçado BF",D130)),ISNUMBER(SEARCH("Alçado PQ",D130))),20,30),ABS(P130)&gt;=10),"Alerta","Regular")),IF(OR(Q130&gt;=25,ABS(P130)&gt;=20),"Alarme",IF(OR(Q130&gt;=15,ABS(P130)&gt;=10),"Alerta","Regular"))))</f>
        <v>Regular</v>
      </c>
      <c r="S130" t="s">
        <v>115</v>
      </c>
      <c r="T130">
        <v>39</v>
      </c>
    </row>
    <row r="131" spans="1:20">
      <c r="A131" s="1">
        <v>45936</v>
      </c>
      <c r="B131">
        <v>1</v>
      </c>
      <c r="C131" t="s">
        <v>137</v>
      </c>
      <c r="D131" t="s">
        <v>138</v>
      </c>
      <c r="E131" s="6">
        <v>5046.1882999999998</v>
      </c>
      <c r="F131" s="6">
        <v>5033.5622999999996</v>
      </c>
      <c r="G131" s="6">
        <v>48.999099999999999</v>
      </c>
      <c r="H131" s="6">
        <v>5046.1884</v>
      </c>
      <c r="I131" s="6">
        <v>5033.5628999999999</v>
      </c>
      <c r="J131" s="6">
        <v>48.998199999999997</v>
      </c>
      <c r="K131" s="2">
        <v>0.1</v>
      </c>
      <c r="L131" s="2">
        <v>0.6</v>
      </c>
      <c r="M131" s="2">
        <v>-0.9</v>
      </c>
      <c r="N131" s="2">
        <v>0.1</v>
      </c>
      <c r="O131" s="2">
        <v>0.6</v>
      </c>
      <c r="P131" s="2">
        <v>-0.9</v>
      </c>
      <c r="Q131" s="2">
        <f t="shared" si="4"/>
        <v>0.60827625302982191</v>
      </c>
      <c r="R131" t="str">
        <f t="shared" si="5"/>
        <v>Regular</v>
      </c>
      <c r="S131" t="s">
        <v>115</v>
      </c>
      <c r="T131">
        <v>39</v>
      </c>
    </row>
    <row r="132" spans="1:20">
      <c r="A132" s="1">
        <v>45936</v>
      </c>
      <c r="B132">
        <v>6</v>
      </c>
      <c r="C132" t="s">
        <v>83</v>
      </c>
      <c r="D132" t="s">
        <v>84</v>
      </c>
      <c r="E132" s="6">
        <v>5055.3705</v>
      </c>
      <c r="F132" s="6">
        <v>5037.6908000000003</v>
      </c>
      <c r="G132" s="6">
        <v>55.834499999999998</v>
      </c>
      <c r="H132" s="6">
        <v>5055.3689000000004</v>
      </c>
      <c r="I132" s="6">
        <v>5037.6908000000003</v>
      </c>
      <c r="J132" s="6">
        <v>55.835500000000003</v>
      </c>
      <c r="K132" s="2">
        <v>0.7</v>
      </c>
      <c r="L132" s="2">
        <v>-1.2</v>
      </c>
      <c r="M132" s="2">
        <v>-0.9</v>
      </c>
      <c r="N132" s="2">
        <v>-1.6</v>
      </c>
      <c r="O132" s="2">
        <v>0</v>
      </c>
      <c r="P132" s="2">
        <v>1</v>
      </c>
      <c r="Q132" s="2">
        <f t="shared" si="4"/>
        <v>1.6</v>
      </c>
      <c r="R132" t="str">
        <f t="shared" si="5"/>
        <v>Regular</v>
      </c>
      <c r="S132" t="s">
        <v>115</v>
      </c>
      <c r="T132">
        <v>15</v>
      </c>
    </row>
    <row r="133" spans="1:20">
      <c r="A133" s="1">
        <v>45936</v>
      </c>
      <c r="B133">
        <v>6</v>
      </c>
      <c r="C133" t="s">
        <v>85</v>
      </c>
      <c r="D133" t="s">
        <v>84</v>
      </c>
      <c r="E133" s="6">
        <v>5055.3611000000001</v>
      </c>
      <c r="F133" s="6">
        <v>5037.652</v>
      </c>
      <c r="G133" s="6">
        <v>53.920200000000001</v>
      </c>
      <c r="H133" s="6">
        <v>5055.3606</v>
      </c>
      <c r="I133" s="6">
        <v>5037.6490000000003</v>
      </c>
      <c r="J133" s="6">
        <v>53.921599999999998</v>
      </c>
      <c r="K133" s="2">
        <v>0.7</v>
      </c>
      <c r="L133" s="2">
        <v>-1.4</v>
      </c>
      <c r="M133" s="2">
        <v>-0.9</v>
      </c>
      <c r="N133" s="2">
        <v>-0.5</v>
      </c>
      <c r="O133" s="2">
        <v>-3</v>
      </c>
      <c r="P133" s="2">
        <v>1.4</v>
      </c>
      <c r="Q133" s="2">
        <f t="shared" si="4"/>
        <v>3.0413812651491097</v>
      </c>
      <c r="R133" t="str">
        <f t="shared" si="5"/>
        <v>Regular</v>
      </c>
      <c r="S133" t="s">
        <v>115</v>
      </c>
      <c r="T133">
        <v>15</v>
      </c>
    </row>
    <row r="134" spans="1:20">
      <c r="A134" s="1">
        <v>45936</v>
      </c>
      <c r="B134">
        <v>6</v>
      </c>
      <c r="C134" t="s">
        <v>86</v>
      </c>
      <c r="D134" t="s">
        <v>84</v>
      </c>
      <c r="E134" s="6">
        <v>5053.1266999999998</v>
      </c>
      <c r="F134" s="6">
        <v>5028.5694000000003</v>
      </c>
      <c r="G134" s="6">
        <v>55.876899999999999</v>
      </c>
      <c r="H134" s="6">
        <v>5053.1251000000002</v>
      </c>
      <c r="I134" s="6">
        <v>5028.5704999999998</v>
      </c>
      <c r="J134" s="6">
        <v>55.877200000000002</v>
      </c>
      <c r="K134" s="2">
        <v>0.6</v>
      </c>
      <c r="L134" s="2">
        <v>-1.7</v>
      </c>
      <c r="M134" s="2">
        <v>-1.1000000000000001</v>
      </c>
      <c r="N134" s="2">
        <v>-1.6</v>
      </c>
      <c r="O134" s="2">
        <v>1.1000000000000001</v>
      </c>
      <c r="P134" s="2">
        <v>0.3</v>
      </c>
      <c r="Q134" s="2">
        <f t="shared" si="4"/>
        <v>1.94164878389476</v>
      </c>
      <c r="R134" t="str">
        <f t="shared" si="5"/>
        <v>Regular</v>
      </c>
      <c r="S134" t="s">
        <v>115</v>
      </c>
      <c r="T134">
        <v>15</v>
      </c>
    </row>
    <row r="135" spans="1:20">
      <c r="A135" s="1">
        <v>45936</v>
      </c>
      <c r="B135">
        <v>6</v>
      </c>
      <c r="C135" t="s">
        <v>87</v>
      </c>
      <c r="D135" t="s">
        <v>84</v>
      </c>
      <c r="E135" s="6">
        <v>5053.1229999999996</v>
      </c>
      <c r="F135" s="6">
        <v>5028.5785999999998</v>
      </c>
      <c r="G135" s="6">
        <v>54.159100000000002</v>
      </c>
      <c r="H135" s="6">
        <v>5053.1217999999999</v>
      </c>
      <c r="I135" s="6">
        <v>5028.5770000000002</v>
      </c>
      <c r="J135" s="6">
        <v>54.159700000000001</v>
      </c>
      <c r="K135" s="2">
        <v>0.7</v>
      </c>
      <c r="L135" s="2">
        <v>-2.9</v>
      </c>
      <c r="M135" s="2">
        <v>-0.8</v>
      </c>
      <c r="N135" s="2">
        <v>-1.2</v>
      </c>
      <c r="O135" s="2">
        <v>-1.6</v>
      </c>
      <c r="P135" s="2">
        <v>0.6</v>
      </c>
      <c r="Q135" s="2">
        <f t="shared" si="4"/>
        <v>2</v>
      </c>
      <c r="R135" t="str">
        <f t="shared" si="5"/>
        <v>Regular</v>
      </c>
      <c r="S135" t="s">
        <v>115</v>
      </c>
      <c r="T135">
        <v>15</v>
      </c>
    </row>
    <row r="136" spans="1:20">
      <c r="A136" s="1">
        <v>45944</v>
      </c>
      <c r="B136">
        <v>7</v>
      </c>
      <c r="C136" t="s">
        <v>88</v>
      </c>
      <c r="D136" t="s">
        <v>89</v>
      </c>
      <c r="E136" s="6">
        <v>5051.1406999999999</v>
      </c>
      <c r="F136" s="6">
        <v>5062.3236999999999</v>
      </c>
      <c r="G136" s="6">
        <v>63.001399999999997</v>
      </c>
      <c r="H136" s="6">
        <v>5051.1417000000001</v>
      </c>
      <c r="I136" s="6">
        <v>5062.3239000000003</v>
      </c>
      <c r="J136" s="6">
        <v>62.999400000000001</v>
      </c>
      <c r="K136" s="2">
        <v>-0.5</v>
      </c>
      <c r="L136" s="2">
        <v>-1.1000000000000001</v>
      </c>
      <c r="M136" s="2">
        <v>-1.4</v>
      </c>
      <c r="N136" s="2">
        <v>1</v>
      </c>
      <c r="O136" s="2">
        <v>0.2</v>
      </c>
      <c r="P136" s="2">
        <v>-2</v>
      </c>
      <c r="Q136" s="2">
        <f t="shared" si="4"/>
        <v>1.019803902718557</v>
      </c>
      <c r="R136" t="str">
        <f t="shared" si="5"/>
        <v>Regular</v>
      </c>
      <c r="S136" t="s">
        <v>115</v>
      </c>
      <c r="T136">
        <v>16</v>
      </c>
    </row>
    <row r="137" spans="1:20">
      <c r="A137" s="1">
        <v>45944</v>
      </c>
      <c r="B137">
        <v>7</v>
      </c>
      <c r="C137" t="s">
        <v>90</v>
      </c>
      <c r="D137" t="s">
        <v>89</v>
      </c>
      <c r="E137" s="6">
        <v>5051.0086000000001</v>
      </c>
      <c r="F137" s="6">
        <v>5062.4333999999999</v>
      </c>
      <c r="G137" s="6">
        <v>56.898000000000003</v>
      </c>
      <c r="H137" s="6">
        <v>5051.009</v>
      </c>
      <c r="I137" s="6">
        <v>5062.4341000000004</v>
      </c>
      <c r="J137" s="6">
        <v>56.897300000000001</v>
      </c>
      <c r="K137" s="2">
        <v>0</v>
      </c>
      <c r="L137" s="2">
        <v>-0.3</v>
      </c>
      <c r="M137" s="2">
        <v>-1</v>
      </c>
      <c r="N137" s="2">
        <v>0.4</v>
      </c>
      <c r="O137" s="2">
        <v>0.7</v>
      </c>
      <c r="P137" s="2">
        <v>-0.7</v>
      </c>
      <c r="Q137" s="2">
        <f t="shared" si="4"/>
        <v>0.80622577482985491</v>
      </c>
      <c r="R137" t="str">
        <f t="shared" si="5"/>
        <v>Regular</v>
      </c>
      <c r="S137" t="s">
        <v>115</v>
      </c>
      <c r="T137">
        <v>16</v>
      </c>
    </row>
    <row r="138" spans="1:20">
      <c r="A138" s="1">
        <v>45944</v>
      </c>
      <c r="B138">
        <v>7</v>
      </c>
      <c r="C138" t="s">
        <v>91</v>
      </c>
      <c r="D138" t="s">
        <v>89</v>
      </c>
      <c r="E138" s="6">
        <v>5058.5258999999996</v>
      </c>
      <c r="F138" s="6">
        <v>5053.1760000000004</v>
      </c>
      <c r="G138" s="6">
        <v>63.525199999999998</v>
      </c>
      <c r="H138" s="6">
        <v>5058.5263000000004</v>
      </c>
      <c r="I138" s="6">
        <v>5053.1759000000002</v>
      </c>
      <c r="J138" s="6">
        <v>63.524700000000003</v>
      </c>
      <c r="K138" s="2">
        <v>-0.1</v>
      </c>
      <c r="L138" s="2">
        <v>-0.2</v>
      </c>
      <c r="M138" s="2">
        <v>0</v>
      </c>
      <c r="N138" s="2">
        <v>0.4</v>
      </c>
      <c r="O138" s="2">
        <v>-0.1</v>
      </c>
      <c r="P138" s="2">
        <v>-0.5</v>
      </c>
      <c r="Q138" s="2">
        <f t="shared" si="4"/>
        <v>0.41231056256176613</v>
      </c>
      <c r="R138" t="str">
        <f t="shared" si="5"/>
        <v>Regular</v>
      </c>
      <c r="S138" t="s">
        <v>115</v>
      </c>
      <c r="T138">
        <v>16</v>
      </c>
    </row>
    <row r="139" spans="1:20">
      <c r="A139" s="1">
        <v>45944</v>
      </c>
      <c r="B139">
        <v>7</v>
      </c>
      <c r="C139" t="s">
        <v>92</v>
      </c>
      <c r="D139" t="s">
        <v>89</v>
      </c>
      <c r="E139" s="6">
        <v>5060.2732999999998</v>
      </c>
      <c r="F139" s="6">
        <v>5059.0944</v>
      </c>
      <c r="G139" s="6">
        <v>58.7943</v>
      </c>
      <c r="H139" s="6">
        <v>5060.2725</v>
      </c>
      <c r="I139" s="6">
        <v>5059.0934999999999</v>
      </c>
      <c r="J139" s="6">
        <v>58.792000000000002</v>
      </c>
      <c r="K139" s="2">
        <v>-0.9</v>
      </c>
      <c r="L139" s="2">
        <v>-0.3</v>
      </c>
      <c r="M139" s="2">
        <v>0.2</v>
      </c>
      <c r="N139" s="2">
        <v>-0.8</v>
      </c>
      <c r="O139" s="2">
        <v>-0.9</v>
      </c>
      <c r="P139" s="2">
        <v>-2.2999999999999998</v>
      </c>
      <c r="Q139" s="2">
        <f t="shared" si="4"/>
        <v>1.2041594578792296</v>
      </c>
      <c r="R139" t="str">
        <f t="shared" si="5"/>
        <v>Regular</v>
      </c>
      <c r="S139" t="s">
        <v>115</v>
      </c>
      <c r="T139">
        <v>16</v>
      </c>
    </row>
    <row r="140" spans="1:20">
      <c r="A140" s="1">
        <v>45944</v>
      </c>
      <c r="B140">
        <v>7</v>
      </c>
      <c r="C140" t="s">
        <v>69</v>
      </c>
      <c r="D140" t="s">
        <v>70</v>
      </c>
      <c r="E140" s="6">
        <v>4990.9656999999997</v>
      </c>
      <c r="F140" s="6">
        <v>5053.7449999999999</v>
      </c>
      <c r="G140" s="6">
        <v>60.553600000000003</v>
      </c>
      <c r="H140" s="6">
        <v>4990.9659000000001</v>
      </c>
      <c r="I140" s="6">
        <v>5053.7367999999997</v>
      </c>
      <c r="J140" s="6">
        <v>60.551699999999997</v>
      </c>
      <c r="K140" s="2">
        <v>-0.1</v>
      </c>
      <c r="L140" s="2">
        <v>-2.8</v>
      </c>
      <c r="M140" s="2">
        <v>-1.6</v>
      </c>
      <c r="N140" s="2">
        <v>0.2</v>
      </c>
      <c r="O140" s="2">
        <v>-8.1999999999999993</v>
      </c>
      <c r="P140" s="2">
        <v>-1.9</v>
      </c>
      <c r="Q140" s="2">
        <f t="shared" si="4"/>
        <v>8.2024386617639511</v>
      </c>
      <c r="R140" t="str">
        <f t="shared" si="5"/>
        <v>Regular</v>
      </c>
      <c r="S140" t="s">
        <v>115</v>
      </c>
      <c r="T140">
        <v>16</v>
      </c>
    </row>
    <row r="141" spans="1:20">
      <c r="A141" s="1">
        <v>45944</v>
      </c>
      <c r="B141">
        <v>7</v>
      </c>
      <c r="C141" t="s">
        <v>75</v>
      </c>
      <c r="D141" t="s">
        <v>70</v>
      </c>
      <c r="E141" s="6">
        <v>4990.9760999999999</v>
      </c>
      <c r="F141" s="6">
        <v>5053.7455</v>
      </c>
      <c r="G141" s="6">
        <v>59.095199999999998</v>
      </c>
      <c r="H141" s="6">
        <v>4990.9751999999999</v>
      </c>
      <c r="I141" s="6">
        <v>5053.7383</v>
      </c>
      <c r="J141" s="6">
        <v>59.095799999999997</v>
      </c>
      <c r="K141" s="2">
        <v>-0.1</v>
      </c>
      <c r="L141" s="2">
        <v>-3.5</v>
      </c>
      <c r="M141" s="2">
        <v>-1.5</v>
      </c>
      <c r="N141" s="2">
        <v>-0.9</v>
      </c>
      <c r="O141" s="2">
        <v>-7.2</v>
      </c>
      <c r="P141" s="2">
        <v>0.6</v>
      </c>
      <c r="Q141" s="2">
        <f t="shared" si="4"/>
        <v>7.2560319734686951</v>
      </c>
      <c r="R141" t="str">
        <f t="shared" si="5"/>
        <v>Regular</v>
      </c>
      <c r="S141" t="s">
        <v>115</v>
      </c>
      <c r="T141">
        <v>16</v>
      </c>
    </row>
    <row r="142" spans="1:20">
      <c r="A142" s="1">
        <v>45944</v>
      </c>
      <c r="B142">
        <v>7</v>
      </c>
      <c r="C142" t="s">
        <v>76</v>
      </c>
      <c r="D142" t="s">
        <v>70</v>
      </c>
      <c r="E142" s="6">
        <v>5001.0812999999998</v>
      </c>
      <c r="F142" s="6">
        <v>5053.5291999999999</v>
      </c>
      <c r="G142" s="6">
        <v>60.621899999999997</v>
      </c>
      <c r="H142" s="6">
        <v>5001.0843000000004</v>
      </c>
      <c r="I142" s="6">
        <v>5053.5167000000001</v>
      </c>
      <c r="J142" s="6">
        <v>60.618499999999997</v>
      </c>
      <c r="K142" s="2">
        <v>0.4</v>
      </c>
      <c r="L142" s="2">
        <v>-2.5</v>
      </c>
      <c r="M142" s="2">
        <v>-1</v>
      </c>
      <c r="N142" s="2">
        <v>3</v>
      </c>
      <c r="O142" s="2">
        <v>-12.5</v>
      </c>
      <c r="P142" s="2">
        <v>-3.4</v>
      </c>
      <c r="Q142" s="2">
        <f t="shared" si="4"/>
        <v>12.854960132182441</v>
      </c>
      <c r="R142" t="str">
        <f t="shared" si="5"/>
        <v>Regular</v>
      </c>
      <c r="S142" t="s">
        <v>115</v>
      </c>
      <c r="T142">
        <v>16</v>
      </c>
    </row>
    <row r="143" spans="1:20">
      <c r="A143" s="1">
        <v>45944</v>
      </c>
      <c r="B143">
        <v>7</v>
      </c>
      <c r="C143" t="s">
        <v>77</v>
      </c>
      <c r="D143" t="s">
        <v>70</v>
      </c>
      <c r="E143" s="6">
        <v>5001.0428000000002</v>
      </c>
      <c r="F143" s="6">
        <v>5053.5321999999996</v>
      </c>
      <c r="G143" s="6">
        <v>58.677799999999998</v>
      </c>
      <c r="H143" s="6">
        <v>5001.0460000000003</v>
      </c>
      <c r="I143" s="6">
        <v>5053.5207</v>
      </c>
      <c r="J143" s="6">
        <v>58.673299999999998</v>
      </c>
      <c r="K143" s="2">
        <v>-0.2</v>
      </c>
      <c r="L143" s="2">
        <v>-4.2</v>
      </c>
      <c r="M143" s="2">
        <v>-2</v>
      </c>
      <c r="N143" s="2">
        <v>3.2</v>
      </c>
      <c r="O143" s="2">
        <v>-11.5</v>
      </c>
      <c r="P143" s="2">
        <v>-4.5</v>
      </c>
      <c r="Q143" s="2">
        <f t="shared" si="4"/>
        <v>11.936917525056458</v>
      </c>
      <c r="R143" t="str">
        <f t="shared" si="5"/>
        <v>Regular</v>
      </c>
      <c r="S143" t="s">
        <v>115</v>
      </c>
      <c r="T143">
        <v>16</v>
      </c>
    </row>
    <row r="144" spans="1:20">
      <c r="A144" s="1">
        <v>45944</v>
      </c>
      <c r="B144">
        <v>7</v>
      </c>
      <c r="C144" t="s">
        <v>78</v>
      </c>
      <c r="D144" t="s">
        <v>70</v>
      </c>
      <c r="E144" s="6">
        <v>5005.4017999999996</v>
      </c>
      <c r="F144" s="6">
        <v>5054.5141000000003</v>
      </c>
      <c r="G144" s="6">
        <v>60.181899999999999</v>
      </c>
      <c r="H144" s="6"/>
      <c r="I144" s="6"/>
      <c r="J144" s="6"/>
      <c r="K144" s="2"/>
      <c r="L144" s="2"/>
      <c r="M144" s="2"/>
      <c r="N144" s="2"/>
      <c r="O144" s="2"/>
      <c r="P144" s="2"/>
      <c r="Q144" s="2" t="str">
        <f t="shared" si="4"/>
        <v/>
      </c>
      <c r="R144" t="str">
        <f t="shared" si="5"/>
        <v>Sem leitura</v>
      </c>
      <c r="S144" t="s">
        <v>115</v>
      </c>
      <c r="T144">
        <v>16</v>
      </c>
    </row>
    <row r="145" spans="1:20">
      <c r="A145" s="1">
        <v>45944</v>
      </c>
      <c r="B145">
        <v>7</v>
      </c>
      <c r="C145" t="s">
        <v>80</v>
      </c>
      <c r="D145" t="s">
        <v>70</v>
      </c>
      <c r="E145" s="6">
        <v>5005.4050999999999</v>
      </c>
      <c r="F145" s="6">
        <v>5054.5766999999996</v>
      </c>
      <c r="G145" s="6">
        <v>58.646999999999998</v>
      </c>
      <c r="H145" s="6"/>
      <c r="I145" s="6"/>
      <c r="J145" s="6"/>
      <c r="K145" s="2"/>
      <c r="L145" s="2"/>
      <c r="M145" s="2"/>
      <c r="N145" s="2"/>
      <c r="O145" s="2"/>
      <c r="P145" s="2"/>
      <c r="Q145" s="2" t="str">
        <f t="shared" si="4"/>
        <v/>
      </c>
      <c r="R145" t="str">
        <f t="shared" si="5"/>
        <v>Sem leitura</v>
      </c>
      <c r="S145" t="s">
        <v>115</v>
      </c>
      <c r="T145">
        <v>16</v>
      </c>
    </row>
    <row r="146" spans="1:20">
      <c r="A146" s="1">
        <v>45944</v>
      </c>
      <c r="B146">
        <v>7</v>
      </c>
      <c r="C146" t="s">
        <v>81</v>
      </c>
      <c r="D146" t="s">
        <v>70</v>
      </c>
      <c r="E146" s="6">
        <v>5005.8755000000001</v>
      </c>
      <c r="F146" s="6">
        <v>5063.3173999999999</v>
      </c>
      <c r="G146" s="6">
        <v>60.481099999999998</v>
      </c>
      <c r="H146" s="6"/>
      <c r="I146" s="6"/>
      <c r="J146" s="6"/>
      <c r="K146" s="2"/>
      <c r="L146" s="2"/>
      <c r="M146" s="2"/>
      <c r="N146" s="2"/>
      <c r="O146" s="2"/>
      <c r="P146" s="2"/>
      <c r="Q146" s="2" t="str">
        <f t="shared" si="4"/>
        <v/>
      </c>
      <c r="R146" t="str">
        <f t="shared" si="5"/>
        <v>Sem leitura</v>
      </c>
      <c r="S146" t="s">
        <v>115</v>
      </c>
      <c r="T146">
        <v>16</v>
      </c>
    </row>
    <row r="147" spans="1:20">
      <c r="A147" s="1">
        <v>45944</v>
      </c>
      <c r="B147">
        <v>7</v>
      </c>
      <c r="C147" t="s">
        <v>82</v>
      </c>
      <c r="D147" t="s">
        <v>70</v>
      </c>
      <c r="E147" s="6">
        <v>5005.8838999999998</v>
      </c>
      <c r="F147" s="6">
        <v>5063.7007999999996</v>
      </c>
      <c r="G147" s="6">
        <v>59.329300000000003</v>
      </c>
      <c r="H147" s="6"/>
      <c r="I147" s="6"/>
      <c r="J147" s="6"/>
      <c r="K147" s="2"/>
      <c r="L147" s="2"/>
      <c r="M147" s="2"/>
      <c r="N147" s="2"/>
      <c r="O147" s="2"/>
      <c r="P147" s="2"/>
      <c r="Q147" s="2" t="str">
        <f t="shared" si="4"/>
        <v/>
      </c>
      <c r="R147" t="str">
        <f t="shared" si="5"/>
        <v>Sem leitura</v>
      </c>
      <c r="S147" t="s">
        <v>115</v>
      </c>
      <c r="T147">
        <v>16</v>
      </c>
    </row>
    <row r="148" spans="1:20">
      <c r="A148" s="1">
        <v>45944</v>
      </c>
      <c r="B148">
        <v>2</v>
      </c>
      <c r="C148" t="s">
        <v>119</v>
      </c>
      <c r="D148" t="s">
        <v>120</v>
      </c>
      <c r="E148" s="6">
        <v>5019.7240000000002</v>
      </c>
      <c r="F148" s="6">
        <v>5017.4448000000002</v>
      </c>
      <c r="G148" s="6">
        <v>48.267099999999999</v>
      </c>
      <c r="H148" s="6"/>
      <c r="I148" s="6"/>
      <c r="J148" s="6"/>
      <c r="K148" s="2"/>
      <c r="L148" s="2"/>
      <c r="M148" s="2"/>
      <c r="N148" s="2"/>
      <c r="O148" s="2"/>
      <c r="P148" s="2"/>
      <c r="Q148" s="2" t="str">
        <f t="shared" si="4"/>
        <v/>
      </c>
      <c r="R148" t="str">
        <f t="shared" si="5"/>
        <v>Sem leitura</v>
      </c>
      <c r="S148" t="s">
        <v>115</v>
      </c>
      <c r="T148">
        <v>40</v>
      </c>
    </row>
    <row r="149" spans="1:20">
      <c r="A149" s="1">
        <v>45944</v>
      </c>
      <c r="B149">
        <v>2</v>
      </c>
      <c r="C149" t="s">
        <v>124</v>
      </c>
      <c r="D149" t="s">
        <v>125</v>
      </c>
      <c r="E149" s="6">
        <v>4986.2775000000001</v>
      </c>
      <c r="F149" s="6">
        <v>5019.8639000000003</v>
      </c>
      <c r="G149" s="6">
        <v>50.872999999999998</v>
      </c>
      <c r="H149" s="6">
        <v>4986.2788</v>
      </c>
      <c r="I149" s="6">
        <v>5019.8618999999999</v>
      </c>
      <c r="J149" s="6">
        <v>50.872599999999998</v>
      </c>
      <c r="K149" s="2">
        <v>1.3</v>
      </c>
      <c r="L149" s="2">
        <v>-2</v>
      </c>
      <c r="M149" s="2">
        <v>-0.4</v>
      </c>
      <c r="N149" s="2">
        <v>1.3</v>
      </c>
      <c r="O149" s="2">
        <v>-2</v>
      </c>
      <c r="P149" s="2">
        <v>-0.4</v>
      </c>
      <c r="Q149" s="2">
        <f t="shared" si="4"/>
        <v>2.3853720883753127</v>
      </c>
      <c r="R149" t="str">
        <f t="shared" si="5"/>
        <v>Regular</v>
      </c>
      <c r="S149" t="s">
        <v>115</v>
      </c>
      <c r="T149">
        <v>40</v>
      </c>
    </row>
    <row r="150" spans="1:20">
      <c r="A150" s="1">
        <v>45944</v>
      </c>
      <c r="B150">
        <v>2</v>
      </c>
      <c r="C150" t="s">
        <v>126</v>
      </c>
      <c r="D150" t="s">
        <v>125</v>
      </c>
      <c r="E150" s="6">
        <v>4977.5057999999999</v>
      </c>
      <c r="F150" s="6">
        <v>5027.6043</v>
      </c>
      <c r="G150" s="6">
        <v>52.208399999999997</v>
      </c>
      <c r="H150" s="6">
        <v>4977.5061999999998</v>
      </c>
      <c r="I150" s="6">
        <v>5027.6014999999998</v>
      </c>
      <c r="J150" s="6">
        <v>52.207900000000002</v>
      </c>
      <c r="K150" s="2">
        <v>0.4</v>
      </c>
      <c r="L150" s="2">
        <v>-2.8</v>
      </c>
      <c r="M150" s="2">
        <v>-0.5</v>
      </c>
      <c r="N150" s="2">
        <v>0.4</v>
      </c>
      <c r="O150" s="2">
        <v>-2.8</v>
      </c>
      <c r="P150" s="2">
        <v>-0.5</v>
      </c>
      <c r="Q150" s="2">
        <f t="shared" si="4"/>
        <v>2.8284271247461898</v>
      </c>
      <c r="R150" t="str">
        <f t="shared" si="5"/>
        <v>Regular</v>
      </c>
      <c r="S150" t="s">
        <v>115</v>
      </c>
      <c r="T150">
        <v>40</v>
      </c>
    </row>
    <row r="151" spans="1:20">
      <c r="A151" s="1">
        <v>45944</v>
      </c>
      <c r="B151">
        <v>2</v>
      </c>
      <c r="C151" t="s">
        <v>122</v>
      </c>
      <c r="D151" t="s">
        <v>123</v>
      </c>
      <c r="E151" s="6">
        <v>4982.3819999999996</v>
      </c>
      <c r="F151" s="6">
        <v>5027.9636</v>
      </c>
      <c r="G151" s="6">
        <v>48.275500000000001</v>
      </c>
      <c r="H151" s="6">
        <v>4982.3832000000002</v>
      </c>
      <c r="I151" s="6">
        <v>5027.9610000000002</v>
      </c>
      <c r="J151" s="6">
        <v>48.275700000000001</v>
      </c>
      <c r="K151" s="2">
        <v>1.2</v>
      </c>
      <c r="L151" s="2">
        <v>-2.6</v>
      </c>
      <c r="M151" s="2">
        <v>0.2</v>
      </c>
      <c r="N151" s="2">
        <v>1.2</v>
      </c>
      <c r="O151" s="2">
        <v>-2.6</v>
      </c>
      <c r="P151" s="2">
        <v>0.2</v>
      </c>
      <c r="Q151" s="2">
        <f t="shared" si="4"/>
        <v>2.8635642126552709</v>
      </c>
      <c r="R151" t="str">
        <f t="shared" si="5"/>
        <v>Regular</v>
      </c>
      <c r="S151" t="s">
        <v>115</v>
      </c>
      <c r="T151">
        <v>40</v>
      </c>
    </row>
    <row r="152" spans="1:20">
      <c r="A152" s="1">
        <v>45944</v>
      </c>
      <c r="B152">
        <v>2</v>
      </c>
      <c r="C152" t="s">
        <v>127</v>
      </c>
      <c r="D152" t="s">
        <v>128</v>
      </c>
      <c r="E152" s="6">
        <v>4974.3924999999999</v>
      </c>
      <c r="F152" s="6">
        <v>5039.5325999999995</v>
      </c>
      <c r="G152" s="6">
        <v>53.556800000000003</v>
      </c>
      <c r="H152" s="6">
        <v>4974.3927000000003</v>
      </c>
      <c r="I152" s="6">
        <v>5039.5338000000002</v>
      </c>
      <c r="J152" s="6">
        <v>53.557099999999998</v>
      </c>
      <c r="K152" s="2">
        <v>-0.1</v>
      </c>
      <c r="L152" s="2">
        <v>0.3</v>
      </c>
      <c r="M152" s="2">
        <v>0.3</v>
      </c>
      <c r="N152" s="2">
        <v>0.2</v>
      </c>
      <c r="O152" s="2">
        <v>1.2</v>
      </c>
      <c r="P152" s="2">
        <v>0.3</v>
      </c>
      <c r="Q152" s="2">
        <f t="shared" si="4"/>
        <v>1.2165525060596438</v>
      </c>
      <c r="R152" t="str">
        <f t="shared" si="5"/>
        <v>Regular</v>
      </c>
      <c r="S152" t="s">
        <v>115</v>
      </c>
      <c r="T152">
        <v>40</v>
      </c>
    </row>
    <row r="153" spans="1:20">
      <c r="A153" s="1">
        <v>45944</v>
      </c>
      <c r="B153">
        <v>2</v>
      </c>
      <c r="C153" t="s">
        <v>129</v>
      </c>
      <c r="D153" t="s">
        <v>130</v>
      </c>
      <c r="E153" s="6">
        <v>4981.8689000000004</v>
      </c>
      <c r="F153" s="6">
        <v>5046.9902000000002</v>
      </c>
      <c r="G153" s="6">
        <v>53.966500000000003</v>
      </c>
      <c r="H153" s="6">
        <v>4981.8710000000001</v>
      </c>
      <c r="I153" s="6">
        <v>5046.9904999999999</v>
      </c>
      <c r="J153" s="6">
        <v>53.966000000000001</v>
      </c>
      <c r="K153" s="2">
        <v>0.3</v>
      </c>
      <c r="L153" s="2">
        <v>-0.7</v>
      </c>
      <c r="M153" s="2">
        <v>-0.4</v>
      </c>
      <c r="N153" s="2">
        <v>2.1</v>
      </c>
      <c r="O153" s="2">
        <v>0.3</v>
      </c>
      <c r="P153" s="2">
        <v>-0.5</v>
      </c>
      <c r="Q153" s="2">
        <f t="shared" si="4"/>
        <v>2.1213203435596424</v>
      </c>
      <c r="R153" t="str">
        <f t="shared" si="5"/>
        <v>Regular</v>
      </c>
      <c r="S153" t="s">
        <v>115</v>
      </c>
      <c r="T153">
        <v>40</v>
      </c>
    </row>
    <row r="154" spans="1:20">
      <c r="A154" s="1">
        <v>45944</v>
      </c>
      <c r="B154">
        <v>2</v>
      </c>
      <c r="C154" t="s">
        <v>131</v>
      </c>
      <c r="D154" t="s">
        <v>130</v>
      </c>
      <c r="E154" s="6">
        <v>4993.0258000000003</v>
      </c>
      <c r="F154" s="6">
        <v>5045.3909000000003</v>
      </c>
      <c r="G154" s="6">
        <v>53.905200000000001</v>
      </c>
      <c r="H154" s="6">
        <v>4993.0275000000001</v>
      </c>
      <c r="I154" s="6">
        <v>5045.3901999999998</v>
      </c>
      <c r="J154" s="6">
        <v>53.904699999999998</v>
      </c>
      <c r="K154" s="2">
        <v>1</v>
      </c>
      <c r="L154" s="2">
        <v>-1.8</v>
      </c>
      <c r="M154" s="2">
        <v>-0.5</v>
      </c>
      <c r="N154" s="2">
        <v>1.7</v>
      </c>
      <c r="O154" s="2">
        <v>-0.7</v>
      </c>
      <c r="P154" s="2">
        <v>-0.5</v>
      </c>
      <c r="Q154" s="2">
        <f t="shared" si="4"/>
        <v>1.8384776310850235</v>
      </c>
      <c r="R154" t="str">
        <f t="shared" si="5"/>
        <v>Regular</v>
      </c>
      <c r="S154" t="s">
        <v>115</v>
      </c>
      <c r="T154">
        <v>40</v>
      </c>
    </row>
    <row r="155" spans="1:20">
      <c r="A155" s="1">
        <v>45944</v>
      </c>
      <c r="B155">
        <v>2</v>
      </c>
      <c r="C155" t="s">
        <v>132</v>
      </c>
      <c r="D155" t="s">
        <v>130</v>
      </c>
      <c r="E155" s="6">
        <v>5002.4090999999999</v>
      </c>
      <c r="F155" s="6">
        <v>5044.0244000000002</v>
      </c>
      <c r="G155" s="6">
        <v>53.889200000000002</v>
      </c>
      <c r="H155" s="6">
        <v>5002.4093000000003</v>
      </c>
      <c r="I155" s="6">
        <v>5044.0225</v>
      </c>
      <c r="J155" s="6">
        <v>53.888800000000003</v>
      </c>
      <c r="K155" s="2">
        <v>0.2</v>
      </c>
      <c r="L155" s="2">
        <v>-1.6</v>
      </c>
      <c r="M155" s="2">
        <v>-0.1</v>
      </c>
      <c r="N155" s="2">
        <v>0.2</v>
      </c>
      <c r="O155" s="2">
        <v>-1.9</v>
      </c>
      <c r="P155" s="2">
        <v>-0.4</v>
      </c>
      <c r="Q155" s="2">
        <f t="shared" si="4"/>
        <v>1.9104973174542801</v>
      </c>
      <c r="R155" t="str">
        <f t="shared" si="5"/>
        <v>Regular</v>
      </c>
      <c r="S155" t="s">
        <v>115</v>
      </c>
      <c r="T155">
        <v>40</v>
      </c>
    </row>
    <row r="156" spans="1:20">
      <c r="A156" s="1">
        <v>45944</v>
      </c>
      <c r="B156">
        <v>0</v>
      </c>
      <c r="C156" t="s">
        <v>139</v>
      </c>
      <c r="D156" t="s">
        <v>134</v>
      </c>
      <c r="E156" s="6">
        <v>5010.7592999999997</v>
      </c>
      <c r="F156" s="6">
        <v>5050.9463999999998</v>
      </c>
      <c r="G156" s="6">
        <v>52.517400000000002</v>
      </c>
      <c r="H156" s="6">
        <v>5010.7592999999997</v>
      </c>
      <c r="I156" s="6">
        <v>5050.9463999999998</v>
      </c>
      <c r="J156" s="6">
        <v>52.517400000000002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f t="shared" si="4"/>
        <v>0</v>
      </c>
      <c r="R156" t="str">
        <f t="shared" si="5"/>
        <v>Regular</v>
      </c>
      <c r="S156" t="s">
        <v>115</v>
      </c>
      <c r="T156">
        <v>38</v>
      </c>
    </row>
    <row r="157" spans="1:20">
      <c r="A157" s="1">
        <v>45944</v>
      </c>
      <c r="B157">
        <v>2</v>
      </c>
      <c r="C157" t="s">
        <v>139</v>
      </c>
      <c r="D157" t="s">
        <v>134</v>
      </c>
      <c r="E157" s="6">
        <v>5010.7592999999997</v>
      </c>
      <c r="F157" s="6">
        <v>5050.9463999999998</v>
      </c>
      <c r="G157" s="6">
        <v>52.517400000000002</v>
      </c>
      <c r="H157" s="6">
        <v>5010.7592999999997</v>
      </c>
      <c r="I157" s="6">
        <v>5050.9463999999998</v>
      </c>
      <c r="J157" s="6">
        <v>52.517400000000002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f t="shared" si="4"/>
        <v>0</v>
      </c>
      <c r="R157" t="str">
        <f t="shared" si="5"/>
        <v>Regular</v>
      </c>
      <c r="S157" t="s">
        <v>115</v>
      </c>
      <c r="T157">
        <v>40</v>
      </c>
    </row>
    <row r="158" spans="1:20">
      <c r="A158" s="1">
        <v>45944</v>
      </c>
      <c r="B158">
        <v>2</v>
      </c>
      <c r="C158" t="s">
        <v>133</v>
      </c>
      <c r="D158" t="s">
        <v>134</v>
      </c>
      <c r="E158" s="6">
        <v>5012.8994000000002</v>
      </c>
      <c r="F158" s="6">
        <v>5060.6997000000001</v>
      </c>
      <c r="G158" s="6">
        <v>52.496299999999998</v>
      </c>
      <c r="H158" s="6">
        <v>5012.8978999999999</v>
      </c>
      <c r="I158" s="6">
        <v>5060.6998999999996</v>
      </c>
      <c r="J158" s="6">
        <v>52.496299999999998</v>
      </c>
      <c r="K158" s="2">
        <v>-1.5</v>
      </c>
      <c r="L158" s="2">
        <v>0.2</v>
      </c>
      <c r="M158" s="2">
        <v>0</v>
      </c>
      <c r="N158" s="2">
        <v>-1.5</v>
      </c>
      <c r="O158" s="2">
        <v>0.2</v>
      </c>
      <c r="P158" s="2">
        <v>0</v>
      </c>
      <c r="Q158" s="2">
        <f t="shared" si="4"/>
        <v>1.5132745950421556</v>
      </c>
      <c r="R158" t="str">
        <f t="shared" si="5"/>
        <v>Regular</v>
      </c>
      <c r="S158" t="s">
        <v>115</v>
      </c>
      <c r="T158">
        <v>40</v>
      </c>
    </row>
    <row r="159" spans="1:20">
      <c r="A159" s="1">
        <v>45944</v>
      </c>
      <c r="B159">
        <v>2</v>
      </c>
      <c r="C159" t="s">
        <v>135</v>
      </c>
      <c r="D159" t="s">
        <v>136</v>
      </c>
      <c r="E159" s="6">
        <v>5026.7076999999999</v>
      </c>
      <c r="F159" s="6">
        <v>5072.3888999999999</v>
      </c>
      <c r="G159" s="6">
        <v>53.761400000000002</v>
      </c>
      <c r="H159" s="6">
        <v>5026.7061000000003</v>
      </c>
      <c r="I159" s="6">
        <v>5072.3888999999999</v>
      </c>
      <c r="J159" s="6">
        <v>53.761499999999998</v>
      </c>
      <c r="K159" s="2">
        <v>-1.6</v>
      </c>
      <c r="L159" s="2">
        <v>0</v>
      </c>
      <c r="M159" s="2">
        <v>0.1</v>
      </c>
      <c r="N159" s="2">
        <v>-1.6</v>
      </c>
      <c r="O159" s="2">
        <v>0</v>
      </c>
      <c r="P159" s="2">
        <v>0.1</v>
      </c>
      <c r="Q159" s="2">
        <f t="shared" si="4"/>
        <v>1.6</v>
      </c>
      <c r="R159" t="str">
        <f t="shared" si="5"/>
        <v>Regular</v>
      </c>
      <c r="S159" t="s">
        <v>115</v>
      </c>
      <c r="T159">
        <v>40</v>
      </c>
    </row>
    <row r="160" spans="1:20">
      <c r="A160" s="1">
        <v>45944</v>
      </c>
      <c r="B160">
        <v>2</v>
      </c>
      <c r="C160" t="s">
        <v>137</v>
      </c>
      <c r="D160" t="s">
        <v>138</v>
      </c>
      <c r="E160" s="6">
        <v>5046.1882999999998</v>
      </c>
      <c r="F160" s="6">
        <v>5033.5622999999996</v>
      </c>
      <c r="G160" s="6">
        <v>48.999099999999999</v>
      </c>
      <c r="H160" s="6">
        <v>5046.1827999999996</v>
      </c>
      <c r="I160" s="6">
        <v>5033.5612000000001</v>
      </c>
      <c r="J160" s="6">
        <v>48.998800000000003</v>
      </c>
      <c r="K160" s="2">
        <v>-5.6</v>
      </c>
      <c r="L160" s="2">
        <v>-1.7</v>
      </c>
      <c r="M160" s="2">
        <v>0.6</v>
      </c>
      <c r="N160" s="2">
        <v>-5.5</v>
      </c>
      <c r="O160" s="2">
        <v>-1.1000000000000001</v>
      </c>
      <c r="P160" s="2">
        <v>-0.3</v>
      </c>
      <c r="Q160" s="2">
        <f t="shared" si="4"/>
        <v>5.6089214649520631</v>
      </c>
      <c r="R160" t="str">
        <f t="shared" si="5"/>
        <v>Regular</v>
      </c>
      <c r="S160" t="s">
        <v>115</v>
      </c>
      <c r="T160">
        <v>40</v>
      </c>
    </row>
    <row r="161" spans="1:20">
      <c r="A161" s="1">
        <v>45944</v>
      </c>
      <c r="B161">
        <v>7</v>
      </c>
      <c r="C161" t="s">
        <v>83</v>
      </c>
      <c r="D161" t="s">
        <v>84</v>
      </c>
      <c r="E161" s="6">
        <v>5055.3705</v>
      </c>
      <c r="F161" s="6">
        <v>5037.6908000000003</v>
      </c>
      <c r="G161" s="6">
        <v>55.834499999999998</v>
      </c>
      <c r="H161" s="6">
        <v>5055.3684000000003</v>
      </c>
      <c r="I161" s="6">
        <v>5037.6904000000004</v>
      </c>
      <c r="J161" s="6">
        <v>55.8354</v>
      </c>
      <c r="K161" s="2">
        <v>-0.5</v>
      </c>
      <c r="L161" s="2">
        <v>-0.4</v>
      </c>
      <c r="M161" s="2">
        <v>-0.1</v>
      </c>
      <c r="N161" s="2">
        <v>-2.1</v>
      </c>
      <c r="O161" s="2">
        <v>-0.4</v>
      </c>
      <c r="P161" s="2">
        <v>0.9</v>
      </c>
      <c r="Q161" s="2">
        <f t="shared" si="4"/>
        <v>2.1377558326431951</v>
      </c>
      <c r="R161" t="str">
        <f t="shared" si="5"/>
        <v>Regular</v>
      </c>
      <c r="S161" t="s">
        <v>115</v>
      </c>
      <c r="T161">
        <v>16</v>
      </c>
    </row>
    <row r="162" spans="1:20">
      <c r="A162" s="1">
        <v>45944</v>
      </c>
      <c r="B162">
        <v>7</v>
      </c>
      <c r="C162" t="s">
        <v>85</v>
      </c>
      <c r="D162" t="s">
        <v>84</v>
      </c>
      <c r="E162" s="6">
        <v>5055.3611000000001</v>
      </c>
      <c r="F162" s="6">
        <v>5037.652</v>
      </c>
      <c r="G162" s="6">
        <v>53.920200000000001</v>
      </c>
      <c r="H162" s="6">
        <v>5055.3599999999997</v>
      </c>
      <c r="I162" s="6">
        <v>5037.6493</v>
      </c>
      <c r="J162" s="6">
        <v>53.921399999999998</v>
      </c>
      <c r="K162" s="2">
        <v>-0.6</v>
      </c>
      <c r="L162" s="2">
        <v>0.3</v>
      </c>
      <c r="M162" s="2">
        <v>-0.2</v>
      </c>
      <c r="N162" s="2">
        <v>-1.1000000000000001</v>
      </c>
      <c r="O162" s="2">
        <v>-2.7</v>
      </c>
      <c r="P162" s="2">
        <v>1.2</v>
      </c>
      <c r="Q162" s="2">
        <f t="shared" si="4"/>
        <v>2.9154759474226504</v>
      </c>
      <c r="R162" t="str">
        <f t="shared" si="5"/>
        <v>Regular</v>
      </c>
      <c r="S162" t="s">
        <v>115</v>
      </c>
      <c r="T162">
        <v>16</v>
      </c>
    </row>
    <row r="163" spans="1:20">
      <c r="A163" s="1">
        <v>45944</v>
      </c>
      <c r="B163">
        <v>7</v>
      </c>
      <c r="C163" t="s">
        <v>86</v>
      </c>
      <c r="D163" t="s">
        <v>84</v>
      </c>
      <c r="E163" s="6">
        <v>5053.1266999999998</v>
      </c>
      <c r="F163" s="6">
        <v>5028.5694000000003</v>
      </c>
      <c r="G163" s="6">
        <v>55.876899999999999</v>
      </c>
      <c r="H163" s="6">
        <v>5053.1246000000001</v>
      </c>
      <c r="I163" s="6">
        <v>5028.5694999999996</v>
      </c>
      <c r="J163" s="6">
        <v>55.877699999999997</v>
      </c>
      <c r="K163" s="2">
        <v>-0.5</v>
      </c>
      <c r="L163" s="2">
        <v>-1</v>
      </c>
      <c r="M163" s="2">
        <v>0.5</v>
      </c>
      <c r="N163" s="2">
        <v>-2.1</v>
      </c>
      <c r="O163" s="2">
        <v>0.1</v>
      </c>
      <c r="P163" s="2">
        <v>0.8</v>
      </c>
      <c r="Q163" s="2">
        <f t="shared" si="4"/>
        <v>2.1023796041628637</v>
      </c>
      <c r="R163" t="str">
        <f t="shared" si="5"/>
        <v>Regular</v>
      </c>
      <c r="S163" t="s">
        <v>115</v>
      </c>
      <c r="T163">
        <v>16</v>
      </c>
    </row>
    <row r="164" spans="1:20">
      <c r="A164" s="1">
        <v>45944</v>
      </c>
      <c r="B164">
        <v>7</v>
      </c>
      <c r="C164" t="s">
        <v>87</v>
      </c>
      <c r="D164" t="s">
        <v>84</v>
      </c>
      <c r="E164" s="6">
        <v>5053.1229999999996</v>
      </c>
      <c r="F164" s="6">
        <v>5028.5785999999998</v>
      </c>
      <c r="G164" s="6">
        <v>54.159100000000002</v>
      </c>
      <c r="H164" s="6">
        <v>5053.1214</v>
      </c>
      <c r="I164" s="6">
        <v>5028.5765000000001</v>
      </c>
      <c r="J164" s="6">
        <v>54.159799999999997</v>
      </c>
      <c r="K164" s="2">
        <v>-0.4</v>
      </c>
      <c r="L164" s="2">
        <v>-0.5</v>
      </c>
      <c r="M164" s="2">
        <v>0.1</v>
      </c>
      <c r="N164" s="2">
        <v>-1.6</v>
      </c>
      <c r="O164" s="2">
        <v>-2.1</v>
      </c>
      <c r="P164" s="2">
        <v>0.7</v>
      </c>
      <c r="Q164" s="2">
        <f t="shared" si="4"/>
        <v>2.6400757564888173</v>
      </c>
      <c r="R164" t="str">
        <f t="shared" si="5"/>
        <v>Regular</v>
      </c>
      <c r="S164" t="s">
        <v>115</v>
      </c>
      <c r="T164">
        <v>16</v>
      </c>
    </row>
    <row r="165" spans="1:20">
      <c r="A165" s="1">
        <v>45950</v>
      </c>
      <c r="B165">
        <v>8</v>
      </c>
      <c r="C165" t="s">
        <v>88</v>
      </c>
      <c r="D165" t="s">
        <v>89</v>
      </c>
      <c r="E165" s="6">
        <v>5051.1406999999999</v>
      </c>
      <c r="F165" s="6">
        <v>5062.3236999999999</v>
      </c>
      <c r="G165" s="6">
        <v>63.001399999999997</v>
      </c>
      <c r="H165" s="6">
        <v>5051.1413000000002</v>
      </c>
      <c r="I165" s="6">
        <v>5062.3239000000003</v>
      </c>
      <c r="J165" s="6">
        <v>62.999299999999998</v>
      </c>
      <c r="K165" s="2">
        <v>-0.4</v>
      </c>
      <c r="L165" s="2">
        <v>0</v>
      </c>
      <c r="M165" s="2">
        <v>-0.1</v>
      </c>
      <c r="N165" s="2">
        <v>0.6</v>
      </c>
      <c r="O165" s="2">
        <v>0.2</v>
      </c>
      <c r="P165" s="2">
        <v>-2.1</v>
      </c>
      <c r="Q165" s="2">
        <f t="shared" si="4"/>
        <v>0.63245553203367588</v>
      </c>
      <c r="R165" t="str">
        <f t="shared" si="5"/>
        <v>Regular</v>
      </c>
      <c r="S165" t="s">
        <v>115</v>
      </c>
      <c r="T165">
        <v>17</v>
      </c>
    </row>
    <row r="166" spans="1:20">
      <c r="A166" s="1">
        <v>45950</v>
      </c>
      <c r="B166">
        <v>8</v>
      </c>
      <c r="C166" t="s">
        <v>90</v>
      </c>
      <c r="D166" t="s">
        <v>89</v>
      </c>
      <c r="E166" s="6">
        <v>5051.0086000000001</v>
      </c>
      <c r="F166" s="6">
        <v>5062.4333999999999</v>
      </c>
      <c r="G166" s="6">
        <v>56.898000000000003</v>
      </c>
      <c r="H166" s="6">
        <v>5051.0084999999999</v>
      </c>
      <c r="I166" s="6">
        <v>5062.4333999999999</v>
      </c>
      <c r="J166" s="6">
        <v>56.897500000000001</v>
      </c>
      <c r="K166" s="2">
        <v>-0.5</v>
      </c>
      <c r="L166" s="2">
        <v>-0.7</v>
      </c>
      <c r="M166" s="2">
        <v>0.2</v>
      </c>
      <c r="N166" s="2">
        <v>-0.1</v>
      </c>
      <c r="O166" s="2">
        <v>0</v>
      </c>
      <c r="P166" s="2">
        <v>-0.5</v>
      </c>
      <c r="Q166" s="2">
        <f t="shared" si="4"/>
        <v>0.1</v>
      </c>
      <c r="R166" t="str">
        <f t="shared" si="5"/>
        <v>Regular</v>
      </c>
      <c r="S166" t="s">
        <v>115</v>
      </c>
      <c r="T166">
        <v>17</v>
      </c>
    </row>
    <row r="167" spans="1:20">
      <c r="A167" s="1">
        <v>45950</v>
      </c>
      <c r="B167">
        <v>8</v>
      </c>
      <c r="C167" t="s">
        <v>91</v>
      </c>
      <c r="D167" t="s">
        <v>89</v>
      </c>
      <c r="E167" s="6">
        <v>5058.5258999999996</v>
      </c>
      <c r="F167" s="6">
        <v>5053.1760000000004</v>
      </c>
      <c r="G167" s="6">
        <v>63.525199999999998</v>
      </c>
      <c r="H167" s="6">
        <v>5058.5245999999997</v>
      </c>
      <c r="I167" s="6">
        <v>5053.1754000000001</v>
      </c>
      <c r="J167" s="6">
        <v>63.524900000000002</v>
      </c>
      <c r="K167" s="2">
        <v>-1.7</v>
      </c>
      <c r="L167" s="2">
        <v>-0.5</v>
      </c>
      <c r="M167" s="2">
        <v>0.2</v>
      </c>
      <c r="N167" s="2">
        <v>-1.3</v>
      </c>
      <c r="O167" s="2">
        <v>-0.6</v>
      </c>
      <c r="P167" s="2">
        <v>-0.3</v>
      </c>
      <c r="Q167" s="2">
        <f t="shared" si="4"/>
        <v>1.4317821063276355</v>
      </c>
      <c r="R167" t="str">
        <f t="shared" si="5"/>
        <v>Regular</v>
      </c>
      <c r="S167" t="s">
        <v>115</v>
      </c>
      <c r="T167">
        <v>17</v>
      </c>
    </row>
    <row r="168" spans="1:20">
      <c r="A168" s="1">
        <v>45950</v>
      </c>
      <c r="B168">
        <v>8</v>
      </c>
      <c r="C168" t="s">
        <v>92</v>
      </c>
      <c r="D168" t="s">
        <v>89</v>
      </c>
      <c r="E168" s="6">
        <v>5060.2732999999998</v>
      </c>
      <c r="F168" s="6">
        <v>5059.0944</v>
      </c>
      <c r="G168" s="6">
        <v>58.7943</v>
      </c>
      <c r="H168" s="6">
        <v>5060.2725</v>
      </c>
      <c r="I168" s="6">
        <v>5059.0924999999997</v>
      </c>
      <c r="J168" s="6">
        <v>58.791899999999998</v>
      </c>
      <c r="K168" s="2">
        <v>0</v>
      </c>
      <c r="L168" s="2">
        <v>-1</v>
      </c>
      <c r="M168" s="2">
        <v>-0.1</v>
      </c>
      <c r="N168" s="2">
        <v>-0.8</v>
      </c>
      <c r="O168" s="2">
        <v>-1.9</v>
      </c>
      <c r="P168" s="2">
        <v>-2.4</v>
      </c>
      <c r="Q168" s="2">
        <f t="shared" si="4"/>
        <v>2.0615528128088303</v>
      </c>
      <c r="R168" t="str">
        <f t="shared" si="5"/>
        <v>Regular</v>
      </c>
      <c r="S168" t="s">
        <v>115</v>
      </c>
      <c r="T168">
        <v>17</v>
      </c>
    </row>
    <row r="169" spans="1:20">
      <c r="A169" s="1">
        <v>45950</v>
      </c>
      <c r="B169">
        <v>8</v>
      </c>
      <c r="C169" t="s">
        <v>69</v>
      </c>
      <c r="D169" t="s">
        <v>70</v>
      </c>
      <c r="E169" s="6">
        <v>4990.9656999999997</v>
      </c>
      <c r="F169" s="6">
        <v>5053.7449999999999</v>
      </c>
      <c r="G169" s="6">
        <v>60.553600000000003</v>
      </c>
      <c r="H169" s="6">
        <v>4990.9660000000003</v>
      </c>
      <c r="I169" s="6">
        <v>5053.7362000000003</v>
      </c>
      <c r="J169" s="6">
        <v>60.551699999999997</v>
      </c>
      <c r="K169" s="2">
        <v>0.1</v>
      </c>
      <c r="L169" s="2">
        <v>-0.6</v>
      </c>
      <c r="M169" s="2">
        <v>0</v>
      </c>
      <c r="N169" s="2">
        <v>0.3</v>
      </c>
      <c r="O169" s="2">
        <v>-8.8000000000000007</v>
      </c>
      <c r="P169" s="2">
        <v>-1.9</v>
      </c>
      <c r="Q169" s="2">
        <f t="shared" si="4"/>
        <v>8.8051121514720077</v>
      </c>
      <c r="R169" t="str">
        <f t="shared" si="5"/>
        <v>Regular</v>
      </c>
      <c r="S169" t="s">
        <v>115</v>
      </c>
      <c r="T169">
        <v>17</v>
      </c>
    </row>
    <row r="170" spans="1:20">
      <c r="A170" s="1">
        <v>45950</v>
      </c>
      <c r="B170">
        <v>8</v>
      </c>
      <c r="C170" t="s">
        <v>75</v>
      </c>
      <c r="D170" t="s">
        <v>70</v>
      </c>
      <c r="E170" s="6">
        <v>4990.9760999999999</v>
      </c>
      <c r="F170" s="6">
        <v>5053.7455</v>
      </c>
      <c r="G170" s="6">
        <v>59.095199999999998</v>
      </c>
      <c r="H170" s="6">
        <v>4990.9759999999997</v>
      </c>
      <c r="I170" s="6">
        <v>5053.7365</v>
      </c>
      <c r="J170" s="6">
        <v>59.0946</v>
      </c>
      <c r="K170" s="2">
        <v>0.8</v>
      </c>
      <c r="L170" s="2">
        <v>-1.8</v>
      </c>
      <c r="M170" s="2">
        <v>-1.2</v>
      </c>
      <c r="N170" s="2">
        <v>-0.1</v>
      </c>
      <c r="O170" s="2">
        <v>-9</v>
      </c>
      <c r="P170" s="2">
        <v>-0.6</v>
      </c>
      <c r="Q170" s="2">
        <f t="shared" si="4"/>
        <v>9.0005555384098379</v>
      </c>
      <c r="R170" t="str">
        <f t="shared" si="5"/>
        <v>Regular</v>
      </c>
      <c r="S170" t="s">
        <v>115</v>
      </c>
      <c r="T170">
        <v>17</v>
      </c>
    </row>
    <row r="171" spans="1:20">
      <c r="A171" s="1">
        <v>45950</v>
      </c>
      <c r="B171">
        <v>8</v>
      </c>
      <c r="C171" t="s">
        <v>76</v>
      </c>
      <c r="D171" t="s">
        <v>70</v>
      </c>
      <c r="E171" s="6">
        <v>5001.0812999999998</v>
      </c>
      <c r="F171" s="6">
        <v>5053.5291999999999</v>
      </c>
      <c r="G171" s="6">
        <v>60.621899999999997</v>
      </c>
      <c r="H171" s="6">
        <v>5001.0852000000004</v>
      </c>
      <c r="I171" s="6">
        <v>5053.5140000000001</v>
      </c>
      <c r="J171" s="6">
        <v>60.617600000000003</v>
      </c>
      <c r="K171" s="2">
        <v>0.9</v>
      </c>
      <c r="L171" s="2">
        <v>-2.7</v>
      </c>
      <c r="M171" s="2">
        <v>-0.9</v>
      </c>
      <c r="N171" s="2">
        <v>3.9</v>
      </c>
      <c r="O171" s="2">
        <v>-15.2</v>
      </c>
      <c r="P171" s="2">
        <v>-4.3</v>
      </c>
      <c r="Q171" s="2">
        <f t="shared" si="4"/>
        <v>15.692354826475215</v>
      </c>
      <c r="R171" t="str">
        <f t="shared" si="5"/>
        <v>Alerta</v>
      </c>
      <c r="S171" t="s">
        <v>115</v>
      </c>
      <c r="T171">
        <v>17</v>
      </c>
    </row>
    <row r="172" spans="1:20">
      <c r="A172" s="1">
        <v>45950</v>
      </c>
      <c r="B172">
        <v>8</v>
      </c>
      <c r="C172" t="s">
        <v>77</v>
      </c>
      <c r="D172" t="s">
        <v>70</v>
      </c>
      <c r="E172" s="6">
        <v>5001.0428000000002</v>
      </c>
      <c r="F172" s="6">
        <v>5053.5321999999996</v>
      </c>
      <c r="G172" s="6">
        <v>58.677799999999998</v>
      </c>
      <c r="H172" s="6">
        <v>5001.0470999999998</v>
      </c>
      <c r="I172" s="6">
        <v>5053.5189</v>
      </c>
      <c r="J172" s="6">
        <v>58.672499999999999</v>
      </c>
      <c r="K172" s="2">
        <v>1.1000000000000001</v>
      </c>
      <c r="L172" s="2">
        <v>-1.8</v>
      </c>
      <c r="M172" s="2">
        <v>-0.8</v>
      </c>
      <c r="N172" s="2">
        <v>4.3</v>
      </c>
      <c r="O172" s="2">
        <v>-13.3</v>
      </c>
      <c r="P172" s="2">
        <v>-5.3</v>
      </c>
      <c r="Q172" s="2">
        <f t="shared" si="4"/>
        <v>13.977839604173459</v>
      </c>
      <c r="R172" t="str">
        <f t="shared" si="5"/>
        <v>Regular</v>
      </c>
      <c r="S172" t="s">
        <v>115</v>
      </c>
      <c r="T172">
        <v>17</v>
      </c>
    </row>
    <row r="173" spans="1:20">
      <c r="A173" s="1">
        <v>45950</v>
      </c>
      <c r="B173">
        <v>8</v>
      </c>
      <c r="C173" t="s">
        <v>78</v>
      </c>
      <c r="D173" t="s">
        <v>70</v>
      </c>
      <c r="E173" s="6">
        <v>5005.4017999999996</v>
      </c>
      <c r="F173" s="6">
        <v>5054.5141000000003</v>
      </c>
      <c r="G173" s="6">
        <v>60.181899999999999</v>
      </c>
      <c r="H173" s="6">
        <v>0</v>
      </c>
      <c r="I173" s="6">
        <v>0</v>
      </c>
      <c r="J173" s="6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f t="shared" si="4"/>
        <v>0</v>
      </c>
      <c r="R173" t="str">
        <f t="shared" si="5"/>
        <v>Regular</v>
      </c>
      <c r="S173" t="s">
        <v>115</v>
      </c>
      <c r="T173">
        <v>17</v>
      </c>
    </row>
    <row r="174" spans="1:20">
      <c r="A174" s="1">
        <v>45950</v>
      </c>
      <c r="B174">
        <v>0</v>
      </c>
      <c r="C174" t="s">
        <v>114</v>
      </c>
      <c r="D174" t="s">
        <v>70</v>
      </c>
      <c r="E174" s="6">
        <v>5005.4053999999996</v>
      </c>
      <c r="F174" s="6">
        <v>5054.1601000000001</v>
      </c>
      <c r="G174" s="6">
        <v>59.572699999999998</v>
      </c>
      <c r="H174" s="6">
        <v>5005.4053999999996</v>
      </c>
      <c r="I174" s="6">
        <v>5054.1601000000001</v>
      </c>
      <c r="J174" s="6">
        <v>59.572699999999998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f t="shared" si="4"/>
        <v>0</v>
      </c>
      <c r="R174" t="str">
        <f t="shared" si="5"/>
        <v>Regular</v>
      </c>
      <c r="S174" t="s">
        <v>115</v>
      </c>
      <c r="T174">
        <v>9</v>
      </c>
    </row>
    <row r="175" spans="1:20">
      <c r="A175" s="1">
        <v>45950</v>
      </c>
      <c r="B175">
        <v>8</v>
      </c>
      <c r="C175" t="s">
        <v>114</v>
      </c>
      <c r="D175" t="s">
        <v>70</v>
      </c>
      <c r="E175" s="6">
        <v>5005.4053999999996</v>
      </c>
      <c r="F175" s="6">
        <v>5054.1601000000001</v>
      </c>
      <c r="G175" s="6">
        <v>59.572699999999998</v>
      </c>
      <c r="H175" s="6">
        <v>5005.4053999999996</v>
      </c>
      <c r="I175" s="6">
        <v>5054.1601000000001</v>
      </c>
      <c r="J175" s="6">
        <v>59.572699999999998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f t="shared" si="4"/>
        <v>0</v>
      </c>
      <c r="R175" t="str">
        <f t="shared" si="5"/>
        <v>Regular</v>
      </c>
      <c r="S175" t="s">
        <v>115</v>
      </c>
      <c r="T175">
        <v>17</v>
      </c>
    </row>
    <row r="176" spans="1:20">
      <c r="A176" s="1">
        <v>45950</v>
      </c>
      <c r="B176">
        <v>8</v>
      </c>
      <c r="C176" t="s">
        <v>80</v>
      </c>
      <c r="D176" t="s">
        <v>70</v>
      </c>
      <c r="E176" s="6">
        <v>5005.4050999999999</v>
      </c>
      <c r="F176" s="6">
        <v>5054.5766999999996</v>
      </c>
      <c r="G176" s="6">
        <v>58.646999999999998</v>
      </c>
      <c r="H176" s="6">
        <v>0</v>
      </c>
      <c r="I176" s="6">
        <v>0</v>
      </c>
      <c r="J176" s="6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f t="shared" si="4"/>
        <v>0</v>
      </c>
      <c r="R176" t="str">
        <f t="shared" si="5"/>
        <v>Regular</v>
      </c>
      <c r="S176" t="s">
        <v>115</v>
      </c>
      <c r="T176">
        <v>17</v>
      </c>
    </row>
    <row r="177" spans="1:20">
      <c r="A177" s="1">
        <v>45950</v>
      </c>
      <c r="B177">
        <v>0</v>
      </c>
      <c r="C177" t="s">
        <v>116</v>
      </c>
      <c r="D177" t="s">
        <v>70</v>
      </c>
      <c r="E177" s="6">
        <v>5005.4237999999996</v>
      </c>
      <c r="F177" s="6">
        <v>5054.4835999999996</v>
      </c>
      <c r="G177" s="6">
        <v>58.357300000000002</v>
      </c>
      <c r="H177" s="6">
        <v>5005.4237999999996</v>
      </c>
      <c r="I177" s="6">
        <v>5054.4835999999996</v>
      </c>
      <c r="J177" s="6">
        <v>58.357300000000002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f t="shared" si="4"/>
        <v>0</v>
      </c>
      <c r="R177" t="str">
        <f t="shared" si="5"/>
        <v>Regular</v>
      </c>
      <c r="S177" t="s">
        <v>115</v>
      </c>
      <c r="T177">
        <v>9</v>
      </c>
    </row>
    <row r="178" spans="1:20">
      <c r="A178" s="1">
        <v>45950</v>
      </c>
      <c r="B178">
        <v>8</v>
      </c>
      <c r="C178" t="s">
        <v>116</v>
      </c>
      <c r="D178" t="s">
        <v>70</v>
      </c>
      <c r="E178" s="6">
        <v>5005.4237999999996</v>
      </c>
      <c r="F178" s="6">
        <v>5054.4835999999996</v>
      </c>
      <c r="G178" s="6">
        <v>58.357300000000002</v>
      </c>
      <c r="H178" s="6">
        <v>5005.4237999999996</v>
      </c>
      <c r="I178" s="6">
        <v>5054.4835999999996</v>
      </c>
      <c r="J178" s="6">
        <v>58.357300000000002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f t="shared" si="4"/>
        <v>0</v>
      </c>
      <c r="R178" t="str">
        <f t="shared" si="5"/>
        <v>Regular</v>
      </c>
      <c r="S178" t="s">
        <v>115</v>
      </c>
      <c r="T178">
        <v>17</v>
      </c>
    </row>
    <row r="179" spans="1:20">
      <c r="A179" s="1">
        <v>45950</v>
      </c>
      <c r="B179">
        <v>8</v>
      </c>
      <c r="C179" t="s">
        <v>81</v>
      </c>
      <c r="D179" t="s">
        <v>70</v>
      </c>
      <c r="E179" s="6">
        <v>5005.8755000000001</v>
      </c>
      <c r="F179" s="6">
        <v>5063.3173999999999</v>
      </c>
      <c r="G179" s="6">
        <v>60.481099999999998</v>
      </c>
      <c r="H179" s="6">
        <v>0</v>
      </c>
      <c r="I179" s="6">
        <v>0</v>
      </c>
      <c r="J179" s="6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f t="shared" si="4"/>
        <v>0</v>
      </c>
      <c r="R179" t="str">
        <f t="shared" si="5"/>
        <v>Regular</v>
      </c>
      <c r="S179" t="s">
        <v>115</v>
      </c>
      <c r="T179">
        <v>17</v>
      </c>
    </row>
    <row r="180" spans="1:20">
      <c r="A180" s="1">
        <v>45950</v>
      </c>
      <c r="B180">
        <v>0</v>
      </c>
      <c r="C180" t="s">
        <v>117</v>
      </c>
      <c r="D180" t="s">
        <v>70</v>
      </c>
      <c r="E180" s="6">
        <v>5005.9258</v>
      </c>
      <c r="F180" s="6">
        <v>5064.1066000000001</v>
      </c>
      <c r="G180" s="6">
        <v>60.544499999999999</v>
      </c>
      <c r="H180" s="6">
        <v>5005.9258</v>
      </c>
      <c r="I180" s="6">
        <v>5064.1066000000001</v>
      </c>
      <c r="J180" s="6">
        <v>60.544499999999999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f t="shared" si="4"/>
        <v>0</v>
      </c>
      <c r="R180" t="str">
        <f t="shared" si="5"/>
        <v>Regular</v>
      </c>
      <c r="S180" t="s">
        <v>115</v>
      </c>
      <c r="T180">
        <v>9</v>
      </c>
    </row>
    <row r="181" spans="1:20">
      <c r="A181" s="1">
        <v>45950</v>
      </c>
      <c r="B181">
        <v>8</v>
      </c>
      <c r="C181" t="s">
        <v>117</v>
      </c>
      <c r="D181" t="s">
        <v>70</v>
      </c>
      <c r="E181" s="6">
        <v>5005.9258</v>
      </c>
      <c r="F181" s="6">
        <v>5064.1066000000001</v>
      </c>
      <c r="G181" s="6">
        <v>60.544499999999999</v>
      </c>
      <c r="H181" s="6">
        <v>5005.9258</v>
      </c>
      <c r="I181" s="6">
        <v>5064.1066000000001</v>
      </c>
      <c r="J181" s="6">
        <v>60.544499999999999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f t="shared" si="4"/>
        <v>0</v>
      </c>
      <c r="R181" t="str">
        <f t="shared" si="5"/>
        <v>Regular</v>
      </c>
      <c r="S181" t="s">
        <v>115</v>
      </c>
      <c r="T181">
        <v>17</v>
      </c>
    </row>
    <row r="182" spans="1:20">
      <c r="A182" s="1">
        <v>45950</v>
      </c>
      <c r="B182">
        <v>8</v>
      </c>
      <c r="C182" t="s">
        <v>82</v>
      </c>
      <c r="D182" t="s">
        <v>70</v>
      </c>
      <c r="E182" s="6">
        <v>5005.8838999999998</v>
      </c>
      <c r="F182" s="6">
        <v>5063.7007999999996</v>
      </c>
      <c r="G182" s="6">
        <v>59.329300000000003</v>
      </c>
      <c r="H182" s="6">
        <v>0</v>
      </c>
      <c r="I182" s="6">
        <v>0</v>
      </c>
      <c r="J182" s="6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f t="shared" si="4"/>
        <v>0</v>
      </c>
      <c r="R182" t="str">
        <f t="shared" si="5"/>
        <v>Regular</v>
      </c>
      <c r="S182" t="s">
        <v>115</v>
      </c>
      <c r="T182">
        <v>17</v>
      </c>
    </row>
    <row r="183" spans="1:20">
      <c r="A183" s="1">
        <v>45950</v>
      </c>
      <c r="B183">
        <v>0</v>
      </c>
      <c r="C183" t="s">
        <v>118</v>
      </c>
      <c r="D183" t="s">
        <v>70</v>
      </c>
      <c r="E183" s="6">
        <v>5005.8734999999997</v>
      </c>
      <c r="F183" s="6">
        <v>5063.2722999999996</v>
      </c>
      <c r="G183" s="6">
        <v>58.732500000000002</v>
      </c>
      <c r="H183" s="6">
        <v>5005.8734999999997</v>
      </c>
      <c r="I183" s="6">
        <v>5063.2722999999996</v>
      </c>
      <c r="J183" s="6">
        <v>58.732500000000002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f t="shared" si="4"/>
        <v>0</v>
      </c>
      <c r="R183" t="str">
        <f t="shared" si="5"/>
        <v>Regular</v>
      </c>
      <c r="S183" t="s">
        <v>115</v>
      </c>
      <c r="T183">
        <v>9</v>
      </c>
    </row>
    <row r="184" spans="1:20">
      <c r="A184" s="1">
        <v>45950</v>
      </c>
      <c r="B184">
        <v>8</v>
      </c>
      <c r="C184" t="s">
        <v>118</v>
      </c>
      <c r="D184" t="s">
        <v>70</v>
      </c>
      <c r="E184" s="6">
        <v>5005.8734999999997</v>
      </c>
      <c r="F184" s="6">
        <v>5063.2722999999996</v>
      </c>
      <c r="G184" s="6">
        <v>58.732500000000002</v>
      </c>
      <c r="H184" s="6">
        <v>5005.8734999999997</v>
      </c>
      <c r="I184" s="6">
        <v>5063.2722999999996</v>
      </c>
      <c r="J184" s="6">
        <v>58.732500000000002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f t="shared" si="4"/>
        <v>0</v>
      </c>
      <c r="R184" t="str">
        <f t="shared" si="5"/>
        <v>Regular</v>
      </c>
      <c r="S184" t="s">
        <v>115</v>
      </c>
      <c r="T184">
        <v>17</v>
      </c>
    </row>
    <row r="185" spans="1:20">
      <c r="A185" s="1">
        <v>45950</v>
      </c>
      <c r="B185">
        <v>3</v>
      </c>
      <c r="C185" t="s">
        <v>119</v>
      </c>
      <c r="D185" t="s">
        <v>120</v>
      </c>
      <c r="E185" s="6">
        <v>5019.7240000000002</v>
      </c>
      <c r="F185" s="6">
        <v>5017.4448000000002</v>
      </c>
      <c r="G185" s="6">
        <v>48.267099999999999</v>
      </c>
      <c r="H185" s="6"/>
      <c r="I185" s="6"/>
      <c r="J185" s="6"/>
      <c r="K185" s="2"/>
      <c r="L185" s="2"/>
      <c r="M185" s="2"/>
      <c r="N185" s="2"/>
      <c r="O185" s="2"/>
      <c r="P185" s="2"/>
      <c r="Q185" s="2" t="str">
        <f t="shared" si="4"/>
        <v/>
      </c>
      <c r="R185" t="str">
        <f t="shared" si="5"/>
        <v>Sem leitura</v>
      </c>
      <c r="S185" t="s">
        <v>115</v>
      </c>
      <c r="T185">
        <v>41</v>
      </c>
    </row>
    <row r="186" spans="1:20">
      <c r="A186" s="1">
        <v>45950</v>
      </c>
      <c r="B186">
        <v>3</v>
      </c>
      <c r="C186" t="s">
        <v>124</v>
      </c>
      <c r="D186" t="s">
        <v>125</v>
      </c>
      <c r="E186" s="6">
        <v>4986.2775000000001</v>
      </c>
      <c r="F186" s="6">
        <v>5019.8639000000003</v>
      </c>
      <c r="G186" s="6">
        <v>50.872999999999998</v>
      </c>
      <c r="H186" s="6">
        <v>4986.2789000000002</v>
      </c>
      <c r="I186" s="6">
        <v>5019.8624</v>
      </c>
      <c r="J186" s="6">
        <v>50.872799999999998</v>
      </c>
      <c r="K186" s="2">
        <v>0.1</v>
      </c>
      <c r="L186" s="2">
        <v>0.5</v>
      </c>
      <c r="M186" s="2">
        <v>0.2</v>
      </c>
      <c r="N186" s="2">
        <v>1.4</v>
      </c>
      <c r="O186" s="2">
        <v>-1.5</v>
      </c>
      <c r="P186" s="2">
        <v>-0.2</v>
      </c>
      <c r="Q186" s="2">
        <f t="shared" si="4"/>
        <v>2.0518284528683193</v>
      </c>
      <c r="R186" t="str">
        <f t="shared" si="5"/>
        <v>Regular</v>
      </c>
      <c r="S186" t="s">
        <v>115</v>
      </c>
      <c r="T186">
        <v>41</v>
      </c>
    </row>
    <row r="187" spans="1:20">
      <c r="A187" s="1">
        <v>45950</v>
      </c>
      <c r="B187">
        <v>3</v>
      </c>
      <c r="C187" t="s">
        <v>126</v>
      </c>
      <c r="D187" t="s">
        <v>125</v>
      </c>
      <c r="E187" s="6">
        <v>4977.5057999999999</v>
      </c>
      <c r="F187" s="6">
        <v>5027.6043</v>
      </c>
      <c r="G187" s="6">
        <v>52.208399999999997</v>
      </c>
      <c r="H187" s="6">
        <v>4977.5063</v>
      </c>
      <c r="I187" s="6">
        <v>5027.6016</v>
      </c>
      <c r="J187" s="6">
        <v>52.208300000000001</v>
      </c>
      <c r="K187" s="2">
        <v>0.1</v>
      </c>
      <c r="L187" s="2">
        <v>0.1</v>
      </c>
      <c r="M187" s="2">
        <v>0.4</v>
      </c>
      <c r="N187" s="2">
        <v>0.5</v>
      </c>
      <c r="O187" s="2">
        <v>-2.7</v>
      </c>
      <c r="P187" s="2">
        <v>-0.1</v>
      </c>
      <c r="Q187" s="2">
        <f t="shared" si="4"/>
        <v>2.7459060435491964</v>
      </c>
      <c r="R187" t="str">
        <f t="shared" si="5"/>
        <v>Regular</v>
      </c>
      <c r="S187" t="s">
        <v>115</v>
      </c>
      <c r="T187">
        <v>41</v>
      </c>
    </row>
    <row r="188" spans="1:20">
      <c r="A188" s="1">
        <v>45950</v>
      </c>
      <c r="B188">
        <v>3</v>
      </c>
      <c r="C188" t="s">
        <v>122</v>
      </c>
      <c r="D188" t="s">
        <v>123</v>
      </c>
      <c r="E188" s="6">
        <v>4982.3819999999996</v>
      </c>
      <c r="F188" s="6">
        <v>5027.9636</v>
      </c>
      <c r="G188" s="6">
        <v>48.275500000000001</v>
      </c>
      <c r="H188" s="6">
        <v>4982.3855000000003</v>
      </c>
      <c r="I188" s="6">
        <v>5027.9624000000003</v>
      </c>
      <c r="J188" s="6">
        <v>48.276299999999999</v>
      </c>
      <c r="K188" s="2">
        <v>2.2999999999999998</v>
      </c>
      <c r="L188" s="2">
        <v>1.4</v>
      </c>
      <c r="M188" s="2">
        <v>0.6</v>
      </c>
      <c r="N188" s="2">
        <v>3.5</v>
      </c>
      <c r="O188" s="2">
        <v>-1.2</v>
      </c>
      <c r="P188" s="2">
        <v>0.8</v>
      </c>
      <c r="Q188" s="2">
        <f t="shared" si="4"/>
        <v>3.6999999999999997</v>
      </c>
      <c r="R188" t="str">
        <f t="shared" si="5"/>
        <v>Regular</v>
      </c>
      <c r="S188" t="s">
        <v>115</v>
      </c>
      <c r="T188">
        <v>41</v>
      </c>
    </row>
    <row r="189" spans="1:20">
      <c r="A189" s="1">
        <v>45950</v>
      </c>
      <c r="B189">
        <v>3</v>
      </c>
      <c r="C189" t="s">
        <v>127</v>
      </c>
      <c r="D189" t="s">
        <v>128</v>
      </c>
      <c r="E189" s="6">
        <v>4974.3924999999999</v>
      </c>
      <c r="F189" s="6">
        <v>5039.5325999999995</v>
      </c>
      <c r="G189" s="6">
        <v>53.556800000000003</v>
      </c>
      <c r="H189" s="6">
        <v>4974.393</v>
      </c>
      <c r="I189" s="6">
        <v>5039.5335999999998</v>
      </c>
      <c r="J189" s="6">
        <v>53.557200000000002</v>
      </c>
      <c r="K189" s="2">
        <v>0.3</v>
      </c>
      <c r="L189" s="2">
        <v>-0.2</v>
      </c>
      <c r="M189" s="2">
        <v>0.1</v>
      </c>
      <c r="N189" s="2">
        <v>0.5</v>
      </c>
      <c r="O189" s="2">
        <v>1</v>
      </c>
      <c r="P189" s="2">
        <v>0.4</v>
      </c>
      <c r="Q189" s="2">
        <f t="shared" si="4"/>
        <v>1.1180339887498949</v>
      </c>
      <c r="R189" t="str">
        <f t="shared" si="5"/>
        <v>Regular</v>
      </c>
      <c r="S189" t="s">
        <v>115</v>
      </c>
      <c r="T189">
        <v>41</v>
      </c>
    </row>
    <row r="190" spans="1:20">
      <c r="A190" s="1">
        <v>45950</v>
      </c>
      <c r="B190">
        <v>0</v>
      </c>
      <c r="C190" t="s">
        <v>140</v>
      </c>
      <c r="D190" t="s">
        <v>128</v>
      </c>
      <c r="E190" s="6">
        <v>4976.0573000000004</v>
      </c>
      <c r="F190" s="6">
        <v>5040.5965999999999</v>
      </c>
      <c r="G190" s="6">
        <v>48.214799999999997</v>
      </c>
      <c r="H190" s="6">
        <v>4976.0573000000004</v>
      </c>
      <c r="I190" s="6">
        <v>5040.5965999999999</v>
      </c>
      <c r="J190" s="6">
        <v>48.214799999999997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f t="shared" si="4"/>
        <v>0</v>
      </c>
      <c r="R190" t="str">
        <f t="shared" si="5"/>
        <v>Regular</v>
      </c>
      <c r="S190" t="s">
        <v>115</v>
      </c>
      <c r="T190">
        <v>38</v>
      </c>
    </row>
    <row r="191" spans="1:20">
      <c r="A191" s="1">
        <v>45950</v>
      </c>
      <c r="B191">
        <v>3</v>
      </c>
      <c r="C191" t="s">
        <v>140</v>
      </c>
      <c r="D191" t="s">
        <v>128</v>
      </c>
      <c r="E191" s="6">
        <v>4976.0573000000004</v>
      </c>
      <c r="F191" s="6">
        <v>5040.5965999999999</v>
      </c>
      <c r="G191" s="6">
        <v>48.214799999999997</v>
      </c>
      <c r="H191" s="6">
        <v>4976.0573000000004</v>
      </c>
      <c r="I191" s="6">
        <v>5040.5965999999999</v>
      </c>
      <c r="J191" s="6">
        <v>48.214799999999997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f t="shared" si="4"/>
        <v>0</v>
      </c>
      <c r="R191" t="str">
        <f t="shared" si="5"/>
        <v>Regular</v>
      </c>
      <c r="S191" t="s">
        <v>115</v>
      </c>
      <c r="T191">
        <v>41</v>
      </c>
    </row>
    <row r="192" spans="1:20">
      <c r="A192" s="1">
        <v>45950</v>
      </c>
      <c r="B192">
        <v>3</v>
      </c>
      <c r="C192" t="s">
        <v>129</v>
      </c>
      <c r="D192" t="s">
        <v>130</v>
      </c>
      <c r="E192" s="6">
        <v>4981.8689000000004</v>
      </c>
      <c r="F192" s="6">
        <v>5046.9902000000002</v>
      </c>
      <c r="G192" s="6">
        <v>53.966500000000003</v>
      </c>
      <c r="H192" s="6">
        <v>4981.8721999999998</v>
      </c>
      <c r="I192" s="6">
        <v>5046.9890999999998</v>
      </c>
      <c r="J192" s="6">
        <v>53.9666</v>
      </c>
      <c r="K192" s="2">
        <v>1.2</v>
      </c>
      <c r="L192" s="2">
        <v>-1.4</v>
      </c>
      <c r="M192" s="2">
        <v>0.6</v>
      </c>
      <c r="N192" s="2">
        <v>3.3</v>
      </c>
      <c r="O192" s="2">
        <v>-1.1000000000000001</v>
      </c>
      <c r="P192" s="2">
        <v>0.1</v>
      </c>
      <c r="Q192" s="2">
        <f t="shared" si="4"/>
        <v>3.4785054261852171</v>
      </c>
      <c r="R192" t="str">
        <f t="shared" si="5"/>
        <v>Regular</v>
      </c>
      <c r="S192" t="s">
        <v>115</v>
      </c>
      <c r="T192">
        <v>41</v>
      </c>
    </row>
    <row r="193" spans="1:20">
      <c r="A193" s="1">
        <v>45950</v>
      </c>
      <c r="B193">
        <v>3</v>
      </c>
      <c r="C193" t="s">
        <v>131</v>
      </c>
      <c r="D193" t="s">
        <v>130</v>
      </c>
      <c r="E193" s="6">
        <v>4993.0258000000003</v>
      </c>
      <c r="F193" s="6">
        <v>5045.3909000000003</v>
      </c>
      <c r="G193" s="6">
        <v>53.905200000000001</v>
      </c>
      <c r="H193" s="6">
        <v>4993.0282999999999</v>
      </c>
      <c r="I193" s="6">
        <v>5045.3881000000001</v>
      </c>
      <c r="J193" s="6">
        <v>53.904600000000002</v>
      </c>
      <c r="K193" s="2">
        <v>0.8</v>
      </c>
      <c r="L193" s="2">
        <v>-2.1</v>
      </c>
      <c r="M193" s="2">
        <v>-0.1</v>
      </c>
      <c r="N193" s="2">
        <v>2.5</v>
      </c>
      <c r="O193" s="2">
        <v>-2.8</v>
      </c>
      <c r="P193" s="2">
        <v>-0.6</v>
      </c>
      <c r="Q193" s="2">
        <f t="shared" si="4"/>
        <v>3.753664875824692</v>
      </c>
      <c r="R193" t="str">
        <f t="shared" si="5"/>
        <v>Regular</v>
      </c>
      <c r="S193" t="s">
        <v>115</v>
      </c>
      <c r="T193">
        <v>41</v>
      </c>
    </row>
    <row r="194" spans="1:20">
      <c r="A194" s="1">
        <v>45950</v>
      </c>
      <c r="B194">
        <v>3</v>
      </c>
      <c r="C194" t="s">
        <v>132</v>
      </c>
      <c r="D194" t="s">
        <v>130</v>
      </c>
      <c r="E194" s="6">
        <v>5002.4090999999999</v>
      </c>
      <c r="F194" s="6">
        <v>5044.0244000000002</v>
      </c>
      <c r="G194" s="6">
        <v>53.889200000000002</v>
      </c>
      <c r="H194" s="6">
        <v>5002.4106000000002</v>
      </c>
      <c r="I194" s="6">
        <v>5044.0195000000003</v>
      </c>
      <c r="J194" s="6">
        <v>53.889600000000002</v>
      </c>
      <c r="K194" s="2">
        <v>1.3</v>
      </c>
      <c r="L194" s="2">
        <v>-3</v>
      </c>
      <c r="M194" s="2">
        <v>0.8</v>
      </c>
      <c r="N194" s="2">
        <v>1.5</v>
      </c>
      <c r="O194" s="2">
        <v>-4.9000000000000004</v>
      </c>
      <c r="P194" s="2">
        <v>0.4</v>
      </c>
      <c r="Q194" s="2">
        <f t="shared" ref="Q194:Q257" si="6">IF(COUNT(N194:O194)&lt;2,"",SQRT(N194^2+O194^2))</f>
        <v>5.1244511901275835</v>
      </c>
      <c r="R194" t="str">
        <f t="shared" ref="R194:R257" si="7">IF(COUNT(H194:P194)=0,"Sem leitura",IF(ISNUMBER(SEARCH("Escavação",D194)),IF(OR(Q194&gt;=40,ABS(P194)&gt;=15),"Alarme",IF(OR(Q194&gt;=IF(OR(ISNUMBER(SEARCH("Alçado AB",D194)),ISNUMBER(SEARCH("Alçado CD",D194)),ISNUMBER(SEARCH("Alçado BF",D194)),ISNUMBER(SEARCH("Alçado PQ",D194))),20,30),ABS(P194)&gt;=10),"Alerta","Regular")),IF(OR(Q194&gt;=25,ABS(P194)&gt;=20),"Alarme",IF(OR(Q194&gt;=15,ABS(P194)&gt;=10),"Alerta","Regular"))))</f>
        <v>Regular</v>
      </c>
      <c r="S194" t="s">
        <v>115</v>
      </c>
      <c r="T194">
        <v>41</v>
      </c>
    </row>
    <row r="195" spans="1:20">
      <c r="A195" s="1">
        <v>45950</v>
      </c>
      <c r="B195">
        <v>0</v>
      </c>
      <c r="C195" t="s">
        <v>141</v>
      </c>
      <c r="D195" t="s">
        <v>130</v>
      </c>
      <c r="E195" s="6">
        <v>4987.9621999999999</v>
      </c>
      <c r="F195" s="6">
        <v>5045.3176000000003</v>
      </c>
      <c r="G195" s="6">
        <v>47.637599999999999</v>
      </c>
      <c r="H195" s="6">
        <v>4987.9621999999999</v>
      </c>
      <c r="I195" s="6">
        <v>5045.3176000000003</v>
      </c>
      <c r="J195" s="6">
        <v>47.637599999999999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f t="shared" si="6"/>
        <v>0</v>
      </c>
      <c r="R195" t="str">
        <f t="shared" si="7"/>
        <v>Regular</v>
      </c>
      <c r="S195" t="s">
        <v>115</v>
      </c>
      <c r="T195">
        <v>38</v>
      </c>
    </row>
    <row r="196" spans="1:20">
      <c r="A196" s="1">
        <v>45950</v>
      </c>
      <c r="B196">
        <v>3</v>
      </c>
      <c r="C196" t="s">
        <v>141</v>
      </c>
      <c r="D196" t="s">
        <v>130</v>
      </c>
      <c r="E196" s="6">
        <v>4987.9621999999999</v>
      </c>
      <c r="F196" s="6">
        <v>5045.3176000000003</v>
      </c>
      <c r="G196" s="6">
        <v>47.637599999999999</v>
      </c>
      <c r="H196" s="6">
        <v>4987.9621999999999</v>
      </c>
      <c r="I196" s="6">
        <v>5045.3176000000003</v>
      </c>
      <c r="J196" s="6">
        <v>47.637599999999999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f t="shared" si="6"/>
        <v>0</v>
      </c>
      <c r="R196" t="str">
        <f t="shared" si="7"/>
        <v>Regular</v>
      </c>
      <c r="S196" t="s">
        <v>115</v>
      </c>
      <c r="T196">
        <v>41</v>
      </c>
    </row>
    <row r="197" spans="1:20">
      <c r="A197" s="1">
        <v>45950</v>
      </c>
      <c r="B197">
        <v>0</v>
      </c>
      <c r="C197" t="s">
        <v>142</v>
      </c>
      <c r="D197" t="s">
        <v>130</v>
      </c>
      <c r="E197" s="6">
        <v>5002.5304999999998</v>
      </c>
      <c r="F197" s="6">
        <v>5043.4611000000004</v>
      </c>
      <c r="G197" s="6">
        <v>47.537100000000002</v>
      </c>
      <c r="H197" s="6">
        <v>5002.5304999999998</v>
      </c>
      <c r="I197" s="6">
        <v>5043.4611000000004</v>
      </c>
      <c r="J197" s="6">
        <v>47.537100000000002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f t="shared" si="6"/>
        <v>0</v>
      </c>
      <c r="R197" t="str">
        <f t="shared" si="7"/>
        <v>Regular</v>
      </c>
      <c r="S197" t="s">
        <v>115</v>
      </c>
      <c r="T197">
        <v>38</v>
      </c>
    </row>
    <row r="198" spans="1:20">
      <c r="A198" s="1">
        <v>45950</v>
      </c>
      <c r="B198">
        <v>3</v>
      </c>
      <c r="C198" t="s">
        <v>142</v>
      </c>
      <c r="D198" t="s">
        <v>130</v>
      </c>
      <c r="E198" s="6">
        <v>5002.5304999999998</v>
      </c>
      <c r="F198" s="6">
        <v>5043.4611000000004</v>
      </c>
      <c r="G198" s="6">
        <v>47.537100000000002</v>
      </c>
      <c r="H198" s="6">
        <v>5002.5304999999998</v>
      </c>
      <c r="I198" s="6">
        <v>5043.4611000000004</v>
      </c>
      <c r="J198" s="6">
        <v>47.537100000000002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f t="shared" si="6"/>
        <v>0</v>
      </c>
      <c r="R198" t="str">
        <f t="shared" si="7"/>
        <v>Regular</v>
      </c>
      <c r="S198" t="s">
        <v>115</v>
      </c>
      <c r="T198">
        <v>41</v>
      </c>
    </row>
    <row r="199" spans="1:20">
      <c r="A199" s="1">
        <v>45950</v>
      </c>
      <c r="B199">
        <v>3</v>
      </c>
      <c r="C199" t="s">
        <v>139</v>
      </c>
      <c r="D199" t="s">
        <v>134</v>
      </c>
      <c r="E199" s="6">
        <v>5010.7592999999997</v>
      </c>
      <c r="F199" s="6">
        <v>5050.9463999999998</v>
      </c>
      <c r="G199" s="6">
        <v>52.517400000000002</v>
      </c>
      <c r="H199" s="6">
        <v>5010.7595000000001</v>
      </c>
      <c r="I199" s="6">
        <v>5050.9435000000003</v>
      </c>
      <c r="J199" s="6">
        <v>52.5182</v>
      </c>
      <c r="K199" s="2">
        <v>0.2</v>
      </c>
      <c r="L199" s="2">
        <v>-2.9</v>
      </c>
      <c r="M199" s="2">
        <v>0.8</v>
      </c>
      <c r="N199" s="2">
        <v>0.2</v>
      </c>
      <c r="O199" s="2">
        <v>-2.9</v>
      </c>
      <c r="P199" s="2">
        <v>0.8</v>
      </c>
      <c r="Q199" s="2">
        <f t="shared" si="6"/>
        <v>2.9068883707497264</v>
      </c>
      <c r="R199" t="str">
        <f t="shared" si="7"/>
        <v>Regular</v>
      </c>
      <c r="S199" t="s">
        <v>115</v>
      </c>
      <c r="T199">
        <v>41</v>
      </c>
    </row>
    <row r="200" spans="1:20">
      <c r="A200" s="1">
        <v>45950</v>
      </c>
      <c r="B200">
        <v>3</v>
      </c>
      <c r="C200" t="s">
        <v>133</v>
      </c>
      <c r="D200" t="s">
        <v>134</v>
      </c>
      <c r="E200" s="6">
        <v>5012.8994000000002</v>
      </c>
      <c r="F200" s="6">
        <v>5060.6997000000001</v>
      </c>
      <c r="G200" s="6">
        <v>52.496299999999998</v>
      </c>
      <c r="H200" s="6">
        <v>5012.8984</v>
      </c>
      <c r="I200" s="6">
        <v>5060.6992</v>
      </c>
      <c r="J200" s="6">
        <v>52.496699999999997</v>
      </c>
      <c r="K200" s="2">
        <v>0.5</v>
      </c>
      <c r="L200" s="2">
        <v>-0.7</v>
      </c>
      <c r="M200" s="2">
        <v>0.4</v>
      </c>
      <c r="N200" s="2">
        <v>-1</v>
      </c>
      <c r="O200" s="2">
        <v>-0.5</v>
      </c>
      <c r="P200" s="2">
        <v>0.4</v>
      </c>
      <c r="Q200" s="2">
        <f t="shared" si="6"/>
        <v>1.1180339887498949</v>
      </c>
      <c r="R200" t="str">
        <f t="shared" si="7"/>
        <v>Regular</v>
      </c>
      <c r="S200" t="s">
        <v>115</v>
      </c>
      <c r="T200">
        <v>41</v>
      </c>
    </row>
    <row r="201" spans="1:20">
      <c r="A201" s="1">
        <v>45950</v>
      </c>
      <c r="B201">
        <v>3</v>
      </c>
      <c r="C201" t="s">
        <v>135</v>
      </c>
      <c r="D201" t="s">
        <v>136</v>
      </c>
      <c r="E201" s="6">
        <v>5026.7076999999999</v>
      </c>
      <c r="F201" s="6">
        <v>5072.3888999999999</v>
      </c>
      <c r="G201" s="6">
        <v>53.761400000000002</v>
      </c>
      <c r="H201" s="6">
        <v>5026.7074000000002</v>
      </c>
      <c r="I201" s="6">
        <v>5072.3867</v>
      </c>
      <c r="J201" s="6">
        <v>53.761699999999998</v>
      </c>
      <c r="K201" s="2">
        <v>1.3</v>
      </c>
      <c r="L201" s="2">
        <v>-2.2000000000000002</v>
      </c>
      <c r="M201" s="2">
        <v>0.2</v>
      </c>
      <c r="N201" s="2">
        <v>-0.3</v>
      </c>
      <c r="O201" s="2">
        <v>-2.2000000000000002</v>
      </c>
      <c r="P201" s="2">
        <v>0.3</v>
      </c>
      <c r="Q201" s="2">
        <f t="shared" si="6"/>
        <v>2.220360331117452</v>
      </c>
      <c r="R201" t="str">
        <f t="shared" si="7"/>
        <v>Regular</v>
      </c>
      <c r="S201" t="s">
        <v>115</v>
      </c>
      <c r="T201">
        <v>41</v>
      </c>
    </row>
    <row r="202" spans="1:20">
      <c r="A202" s="1">
        <v>45950</v>
      </c>
      <c r="B202">
        <v>0</v>
      </c>
      <c r="C202" t="s">
        <v>143</v>
      </c>
      <c r="D202" t="s">
        <v>136</v>
      </c>
      <c r="E202" s="6">
        <v>5027.4714000000004</v>
      </c>
      <c r="F202" s="6">
        <v>5072.2404999999999</v>
      </c>
      <c r="G202" s="6">
        <v>51.143700000000003</v>
      </c>
      <c r="H202" s="6">
        <v>5027.4714000000004</v>
      </c>
      <c r="I202" s="6">
        <v>5072.2404999999999</v>
      </c>
      <c r="J202" s="6">
        <v>51.143700000000003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f t="shared" si="6"/>
        <v>0</v>
      </c>
      <c r="R202" t="str">
        <f t="shared" si="7"/>
        <v>Regular</v>
      </c>
      <c r="S202" t="s">
        <v>115</v>
      </c>
      <c r="T202">
        <v>38</v>
      </c>
    </row>
    <row r="203" spans="1:20">
      <c r="A203" s="1">
        <v>45950</v>
      </c>
      <c r="B203">
        <v>3</v>
      </c>
      <c r="C203" t="s">
        <v>143</v>
      </c>
      <c r="D203" t="s">
        <v>136</v>
      </c>
      <c r="E203" s="6">
        <v>5027.4714000000004</v>
      </c>
      <c r="F203" s="6">
        <v>5072.2404999999999</v>
      </c>
      <c r="G203" s="6">
        <v>51.143700000000003</v>
      </c>
      <c r="H203" s="6">
        <v>5027.4714000000004</v>
      </c>
      <c r="I203" s="6">
        <v>5072.2404999999999</v>
      </c>
      <c r="J203" s="6">
        <v>51.143700000000003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f t="shared" si="6"/>
        <v>0</v>
      </c>
      <c r="R203" t="str">
        <f t="shared" si="7"/>
        <v>Regular</v>
      </c>
      <c r="S203" t="s">
        <v>115</v>
      </c>
      <c r="T203">
        <v>41</v>
      </c>
    </row>
    <row r="204" spans="1:20">
      <c r="A204" s="1">
        <v>45950</v>
      </c>
      <c r="B204">
        <v>0</v>
      </c>
      <c r="C204" t="s">
        <v>144</v>
      </c>
      <c r="D204" t="s">
        <v>145</v>
      </c>
      <c r="E204" s="6">
        <v>5041.9629000000004</v>
      </c>
      <c r="F204" s="6">
        <v>5043.3289999999997</v>
      </c>
      <c r="G204" s="6">
        <v>52.0655</v>
      </c>
      <c r="H204" s="6">
        <v>5041.9629000000004</v>
      </c>
      <c r="I204" s="6">
        <v>5043.3289999999997</v>
      </c>
      <c r="J204" s="6">
        <v>52.0655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f t="shared" si="6"/>
        <v>0</v>
      </c>
      <c r="R204" t="str">
        <f t="shared" si="7"/>
        <v>Regular</v>
      </c>
      <c r="S204" t="s">
        <v>115</v>
      </c>
      <c r="T204">
        <v>38</v>
      </c>
    </row>
    <row r="205" spans="1:20">
      <c r="A205" s="1">
        <v>45950</v>
      </c>
      <c r="B205">
        <v>3</v>
      </c>
      <c r="C205" t="s">
        <v>144</v>
      </c>
      <c r="D205" t="s">
        <v>145</v>
      </c>
      <c r="E205" s="6">
        <v>5041.9629000000004</v>
      </c>
      <c r="F205" s="6">
        <v>5043.3289999999997</v>
      </c>
      <c r="G205" s="6">
        <v>52.0655</v>
      </c>
      <c r="H205" s="6">
        <v>5041.9629000000004</v>
      </c>
      <c r="I205" s="6">
        <v>5043.3289999999997</v>
      </c>
      <c r="J205" s="6">
        <v>52.0655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f t="shared" si="6"/>
        <v>0</v>
      </c>
      <c r="R205" t="str">
        <f t="shared" si="7"/>
        <v>Regular</v>
      </c>
      <c r="S205" t="s">
        <v>115</v>
      </c>
      <c r="T205">
        <v>41</v>
      </c>
    </row>
    <row r="206" spans="1:20">
      <c r="A206" s="1">
        <v>45950</v>
      </c>
      <c r="B206">
        <v>3</v>
      </c>
      <c r="C206" t="s">
        <v>137</v>
      </c>
      <c r="D206" t="s">
        <v>138</v>
      </c>
      <c r="E206" s="6">
        <v>5046.1882999999998</v>
      </c>
      <c r="F206" s="6">
        <v>5033.5622999999996</v>
      </c>
      <c r="G206" s="6">
        <v>48.999099999999999</v>
      </c>
      <c r="H206" s="6">
        <v>5046.1814000000004</v>
      </c>
      <c r="I206" s="6">
        <v>5033.5613000000003</v>
      </c>
      <c r="J206" s="6">
        <v>48.999099999999999</v>
      </c>
      <c r="K206" s="2">
        <v>-1.4</v>
      </c>
      <c r="L206" s="2">
        <v>0.1</v>
      </c>
      <c r="M206" s="2">
        <v>0.3</v>
      </c>
      <c r="N206" s="2">
        <v>-6.9</v>
      </c>
      <c r="O206" s="2">
        <v>-1</v>
      </c>
      <c r="P206" s="2">
        <v>0</v>
      </c>
      <c r="Q206" s="2">
        <f t="shared" si="6"/>
        <v>6.9720872054213441</v>
      </c>
      <c r="R206" t="str">
        <f t="shared" si="7"/>
        <v>Regular</v>
      </c>
      <c r="S206" t="s">
        <v>115</v>
      </c>
      <c r="T206">
        <v>41</v>
      </c>
    </row>
    <row r="207" spans="1:20">
      <c r="A207" s="1">
        <v>45950</v>
      </c>
      <c r="B207">
        <v>8</v>
      </c>
      <c r="C207" t="s">
        <v>83</v>
      </c>
      <c r="D207" t="s">
        <v>84</v>
      </c>
      <c r="E207" s="6">
        <v>5055.3705</v>
      </c>
      <c r="F207" s="6">
        <v>5037.6908000000003</v>
      </c>
      <c r="G207" s="6">
        <v>55.834499999999998</v>
      </c>
      <c r="H207" s="6">
        <v>5055.3681999999999</v>
      </c>
      <c r="I207" s="6">
        <v>5037.6895999999997</v>
      </c>
      <c r="J207" s="6">
        <v>55.835299999999997</v>
      </c>
      <c r="K207" s="2">
        <v>-0.2</v>
      </c>
      <c r="L207" s="2">
        <v>-0.8</v>
      </c>
      <c r="M207" s="2">
        <v>-0.1</v>
      </c>
      <c r="N207" s="2">
        <v>-2.2999999999999998</v>
      </c>
      <c r="O207" s="2">
        <v>-1.2</v>
      </c>
      <c r="P207" s="2">
        <v>0.8</v>
      </c>
      <c r="Q207" s="2">
        <f t="shared" si="6"/>
        <v>2.5942243542145693</v>
      </c>
      <c r="R207" t="str">
        <f t="shared" si="7"/>
        <v>Regular</v>
      </c>
      <c r="S207" t="s">
        <v>115</v>
      </c>
      <c r="T207">
        <v>17</v>
      </c>
    </row>
    <row r="208" spans="1:20">
      <c r="A208" s="1">
        <v>45950</v>
      </c>
      <c r="B208">
        <v>8</v>
      </c>
      <c r="C208" t="s">
        <v>85</v>
      </c>
      <c r="D208" t="s">
        <v>84</v>
      </c>
      <c r="E208" s="6">
        <v>5055.3611000000001</v>
      </c>
      <c r="F208" s="6">
        <v>5037.652</v>
      </c>
      <c r="G208" s="6">
        <v>53.920200000000001</v>
      </c>
      <c r="H208" s="6">
        <v>5055.3599000000004</v>
      </c>
      <c r="I208" s="6">
        <v>5037.6481999999996</v>
      </c>
      <c r="J208" s="6">
        <v>53.921599999999998</v>
      </c>
      <c r="K208" s="2">
        <v>-0.1</v>
      </c>
      <c r="L208" s="2">
        <v>-1.1000000000000001</v>
      </c>
      <c r="M208" s="2">
        <v>0.2</v>
      </c>
      <c r="N208" s="2">
        <v>-1.2</v>
      </c>
      <c r="O208" s="2">
        <v>-3.8</v>
      </c>
      <c r="P208" s="2">
        <v>1.4</v>
      </c>
      <c r="Q208" s="2">
        <f t="shared" si="6"/>
        <v>3.9849717690342548</v>
      </c>
      <c r="R208" t="str">
        <f t="shared" si="7"/>
        <v>Regular</v>
      </c>
      <c r="S208" t="s">
        <v>115</v>
      </c>
      <c r="T208">
        <v>17</v>
      </c>
    </row>
    <row r="209" spans="1:20">
      <c r="A209" s="1">
        <v>45950</v>
      </c>
      <c r="B209">
        <v>8</v>
      </c>
      <c r="C209" t="s">
        <v>86</v>
      </c>
      <c r="D209" t="s">
        <v>84</v>
      </c>
      <c r="E209" s="6">
        <v>5053.1266999999998</v>
      </c>
      <c r="F209" s="6">
        <v>5028.5694000000003</v>
      </c>
      <c r="G209" s="6">
        <v>55.876899999999999</v>
      </c>
      <c r="H209" s="6">
        <v>5053.1242000000002</v>
      </c>
      <c r="I209" s="6">
        <v>5028.5695999999998</v>
      </c>
      <c r="J209" s="6">
        <v>55.877499999999998</v>
      </c>
      <c r="K209" s="2">
        <v>-0.4</v>
      </c>
      <c r="L209" s="2">
        <v>0.1</v>
      </c>
      <c r="M209" s="2">
        <v>-0.2</v>
      </c>
      <c r="N209" s="2">
        <v>-2.5</v>
      </c>
      <c r="O209" s="2">
        <v>0.2</v>
      </c>
      <c r="P209" s="2">
        <v>0.6</v>
      </c>
      <c r="Q209" s="2">
        <f t="shared" si="6"/>
        <v>2.5079872407968904</v>
      </c>
      <c r="R209" t="str">
        <f t="shared" si="7"/>
        <v>Regular</v>
      </c>
      <c r="S209" t="s">
        <v>115</v>
      </c>
      <c r="T209">
        <v>17</v>
      </c>
    </row>
    <row r="210" spans="1:20">
      <c r="A210" s="1">
        <v>45950</v>
      </c>
      <c r="B210">
        <v>8</v>
      </c>
      <c r="C210" t="s">
        <v>87</v>
      </c>
      <c r="D210" t="s">
        <v>84</v>
      </c>
      <c r="E210" s="6">
        <v>5053.1229999999996</v>
      </c>
      <c r="F210" s="6">
        <v>5028.5785999999998</v>
      </c>
      <c r="G210" s="6">
        <v>54.159100000000002</v>
      </c>
      <c r="H210" s="6">
        <v>5053.1211999999996</v>
      </c>
      <c r="I210" s="6">
        <v>5028.5758999999998</v>
      </c>
      <c r="J210" s="6">
        <v>54.159799999999997</v>
      </c>
      <c r="K210" s="2">
        <v>-0.2</v>
      </c>
      <c r="L210" s="2">
        <v>-0.6</v>
      </c>
      <c r="M210" s="2">
        <v>0</v>
      </c>
      <c r="N210" s="2">
        <v>-1.8</v>
      </c>
      <c r="O210" s="2">
        <v>-2.7</v>
      </c>
      <c r="P210" s="2">
        <v>0.7</v>
      </c>
      <c r="Q210" s="2">
        <f t="shared" si="6"/>
        <v>3.2449961479175906</v>
      </c>
      <c r="R210" t="str">
        <f t="shared" si="7"/>
        <v>Regular</v>
      </c>
      <c r="S210" t="s">
        <v>115</v>
      </c>
      <c r="T210">
        <v>17</v>
      </c>
    </row>
    <row r="211" spans="1:20">
      <c r="A211" s="1">
        <v>45961</v>
      </c>
      <c r="B211">
        <v>9</v>
      </c>
      <c r="C211" t="s">
        <v>88</v>
      </c>
      <c r="D211" t="s">
        <v>89</v>
      </c>
      <c r="E211" s="6">
        <v>5051.1406999999999</v>
      </c>
      <c r="F211" s="6">
        <v>5062.3236999999999</v>
      </c>
      <c r="G211" s="6">
        <v>63.001399999999997</v>
      </c>
      <c r="H211" s="6">
        <v>5051.1396999999997</v>
      </c>
      <c r="I211" s="6">
        <v>5062.3213999999998</v>
      </c>
      <c r="J211" s="6">
        <v>62.999200000000002</v>
      </c>
      <c r="K211" s="2">
        <v>-1.6</v>
      </c>
      <c r="L211" s="2">
        <v>-2.5</v>
      </c>
      <c r="M211" s="2">
        <v>-0.1</v>
      </c>
      <c r="N211" s="2">
        <v>-1</v>
      </c>
      <c r="O211" s="2">
        <v>-2.2999999999999998</v>
      </c>
      <c r="P211" s="2">
        <v>-2.2000000000000002</v>
      </c>
      <c r="Q211" s="2">
        <f t="shared" si="6"/>
        <v>2.5079872407968904</v>
      </c>
      <c r="R211" t="str">
        <f t="shared" si="7"/>
        <v>Regular</v>
      </c>
      <c r="S211" t="s">
        <v>115</v>
      </c>
      <c r="T211">
        <v>18</v>
      </c>
    </row>
    <row r="212" spans="1:20">
      <c r="A212" s="1">
        <v>45961</v>
      </c>
      <c r="B212">
        <v>9</v>
      </c>
      <c r="C212" t="s">
        <v>90</v>
      </c>
      <c r="D212" t="s">
        <v>89</v>
      </c>
      <c r="E212" s="6">
        <v>5051.0086000000001</v>
      </c>
      <c r="F212" s="6">
        <v>5062.4333999999999</v>
      </c>
      <c r="G212" s="6">
        <v>56.898000000000003</v>
      </c>
      <c r="H212" s="6">
        <v>5051.0069000000003</v>
      </c>
      <c r="I212" s="6">
        <v>5062.4315999999999</v>
      </c>
      <c r="J212" s="6">
        <v>56.897500000000001</v>
      </c>
      <c r="K212" s="2">
        <v>-1.6</v>
      </c>
      <c r="L212" s="2">
        <v>-1.8</v>
      </c>
      <c r="M212" s="2">
        <v>0</v>
      </c>
      <c r="N212" s="2">
        <v>-1.7</v>
      </c>
      <c r="O212" s="2">
        <v>-1.8</v>
      </c>
      <c r="P212" s="2">
        <v>-0.5</v>
      </c>
      <c r="Q212" s="2">
        <f t="shared" si="6"/>
        <v>2.4758836806279896</v>
      </c>
      <c r="R212" t="str">
        <f t="shared" si="7"/>
        <v>Regular</v>
      </c>
      <c r="S212" t="s">
        <v>115</v>
      </c>
      <c r="T212">
        <v>18</v>
      </c>
    </row>
    <row r="213" spans="1:20">
      <c r="A213" s="1">
        <v>45961</v>
      </c>
      <c r="B213">
        <v>9</v>
      </c>
      <c r="C213" t="s">
        <v>91</v>
      </c>
      <c r="D213" t="s">
        <v>89</v>
      </c>
      <c r="E213" s="6">
        <v>5058.5258999999996</v>
      </c>
      <c r="F213" s="6">
        <v>5053.1760000000004</v>
      </c>
      <c r="G213" s="6">
        <v>63.525199999999998</v>
      </c>
      <c r="H213" s="6">
        <v>5058.5237999999999</v>
      </c>
      <c r="I213" s="6">
        <v>5053.1749</v>
      </c>
      <c r="J213" s="6">
        <v>63.524700000000003</v>
      </c>
      <c r="K213" s="2">
        <v>-0.8</v>
      </c>
      <c r="L213" s="2">
        <v>-0.5</v>
      </c>
      <c r="M213" s="2">
        <v>-0.2</v>
      </c>
      <c r="N213" s="2">
        <v>-2.1</v>
      </c>
      <c r="O213" s="2">
        <v>-1.1000000000000001</v>
      </c>
      <c r="P213" s="2">
        <v>-0.5</v>
      </c>
      <c r="Q213" s="2">
        <f t="shared" si="6"/>
        <v>2.3706539182259396</v>
      </c>
      <c r="R213" t="str">
        <f t="shared" si="7"/>
        <v>Regular</v>
      </c>
      <c r="S213" t="s">
        <v>115</v>
      </c>
      <c r="T213">
        <v>18</v>
      </c>
    </row>
    <row r="214" spans="1:20">
      <c r="A214" s="1">
        <v>45961</v>
      </c>
      <c r="B214">
        <v>9</v>
      </c>
      <c r="C214" t="s">
        <v>92</v>
      </c>
      <c r="D214" t="s">
        <v>89</v>
      </c>
      <c r="E214" s="6">
        <v>5060.2732999999998</v>
      </c>
      <c r="F214" s="6">
        <v>5059.0944</v>
      </c>
      <c r="G214" s="6">
        <v>58.7943</v>
      </c>
      <c r="H214" s="6">
        <v>5060.2694000000001</v>
      </c>
      <c r="I214" s="6">
        <v>5059.0937000000004</v>
      </c>
      <c r="J214" s="6">
        <v>58.791200000000003</v>
      </c>
      <c r="K214" s="2">
        <v>-3.1</v>
      </c>
      <c r="L214" s="2">
        <v>1.2</v>
      </c>
      <c r="M214" s="2">
        <v>-0.7</v>
      </c>
      <c r="N214" s="2">
        <v>-3.9</v>
      </c>
      <c r="O214" s="2">
        <v>-0.7</v>
      </c>
      <c r="P214" s="2">
        <v>-3.1</v>
      </c>
      <c r="Q214" s="2">
        <f t="shared" si="6"/>
        <v>3.9623225512317899</v>
      </c>
      <c r="R214" t="str">
        <f t="shared" si="7"/>
        <v>Regular</v>
      </c>
      <c r="S214" t="s">
        <v>115</v>
      </c>
      <c r="T214">
        <v>18</v>
      </c>
    </row>
    <row r="215" spans="1:20">
      <c r="A215" s="1">
        <v>45961</v>
      </c>
      <c r="B215">
        <v>9</v>
      </c>
      <c r="C215" t="s">
        <v>69</v>
      </c>
      <c r="D215" t="s">
        <v>70</v>
      </c>
      <c r="E215" s="6">
        <v>4990.9656999999997</v>
      </c>
      <c r="F215" s="6">
        <v>5053.7449999999999</v>
      </c>
      <c r="G215" s="6">
        <v>60.553600000000003</v>
      </c>
      <c r="H215" s="6">
        <v>4990.9684999999999</v>
      </c>
      <c r="I215" s="6">
        <v>5053.7311</v>
      </c>
      <c r="J215" s="6">
        <v>60.551299999999998</v>
      </c>
      <c r="K215" s="2">
        <v>2.5</v>
      </c>
      <c r="L215" s="2">
        <v>-5.0999999999999996</v>
      </c>
      <c r="M215" s="2">
        <v>-0.4</v>
      </c>
      <c r="N215" s="2">
        <v>2.8</v>
      </c>
      <c r="O215" s="2">
        <v>-13.9</v>
      </c>
      <c r="P215" s="2">
        <v>-2.2999999999999998</v>
      </c>
      <c r="Q215" s="2">
        <f t="shared" si="6"/>
        <v>14.179210133149168</v>
      </c>
      <c r="R215" t="str">
        <f t="shared" si="7"/>
        <v>Regular</v>
      </c>
      <c r="S215" t="s">
        <v>115</v>
      </c>
      <c r="T215">
        <v>18</v>
      </c>
    </row>
    <row r="216" spans="1:20">
      <c r="A216" s="1">
        <v>45961</v>
      </c>
      <c r="B216">
        <v>9</v>
      </c>
      <c r="C216" t="s">
        <v>75</v>
      </c>
      <c r="D216" t="s">
        <v>70</v>
      </c>
      <c r="E216" s="6">
        <v>4990.9760999999999</v>
      </c>
      <c r="F216" s="6">
        <v>5053.7455</v>
      </c>
      <c r="G216" s="6">
        <v>59.095199999999998</v>
      </c>
      <c r="H216" s="6">
        <v>4990.9776000000002</v>
      </c>
      <c r="I216" s="6">
        <v>5053.732</v>
      </c>
      <c r="J216" s="6">
        <v>59.094299999999997</v>
      </c>
      <c r="K216" s="2">
        <v>1.6</v>
      </c>
      <c r="L216" s="2">
        <v>-4.5</v>
      </c>
      <c r="M216" s="2">
        <v>-0.3</v>
      </c>
      <c r="N216" s="2">
        <v>1.5</v>
      </c>
      <c r="O216" s="2">
        <v>-13.5</v>
      </c>
      <c r="P216" s="2">
        <v>-0.9</v>
      </c>
      <c r="Q216" s="2">
        <f t="shared" si="6"/>
        <v>13.583077707206124</v>
      </c>
      <c r="R216" t="str">
        <f t="shared" si="7"/>
        <v>Regular</v>
      </c>
      <c r="S216" t="s">
        <v>115</v>
      </c>
      <c r="T216">
        <v>18</v>
      </c>
    </row>
    <row r="217" spans="1:20">
      <c r="A217" s="1">
        <v>45961</v>
      </c>
      <c r="B217">
        <v>9</v>
      </c>
      <c r="C217" t="s">
        <v>76</v>
      </c>
      <c r="D217" t="s">
        <v>70</v>
      </c>
      <c r="E217" s="6">
        <v>5001.0812999999998</v>
      </c>
      <c r="F217" s="6">
        <v>5053.5291999999999</v>
      </c>
      <c r="G217" s="6">
        <v>60.621899999999997</v>
      </c>
      <c r="H217" s="6">
        <v>5001.0857999999998</v>
      </c>
      <c r="I217" s="6">
        <v>5053.5114999999996</v>
      </c>
      <c r="J217" s="6">
        <v>60.616599999999998</v>
      </c>
      <c r="K217" s="2">
        <v>0.6</v>
      </c>
      <c r="L217" s="2">
        <v>-2.5</v>
      </c>
      <c r="M217" s="2">
        <v>-1</v>
      </c>
      <c r="N217" s="2">
        <v>4.5</v>
      </c>
      <c r="O217" s="2">
        <v>-17.7</v>
      </c>
      <c r="P217" s="2">
        <v>-5.3</v>
      </c>
      <c r="Q217" s="2">
        <f t="shared" si="6"/>
        <v>18.263077506269308</v>
      </c>
      <c r="R217" t="str">
        <f t="shared" si="7"/>
        <v>Alerta</v>
      </c>
      <c r="S217" t="s">
        <v>115</v>
      </c>
      <c r="T217">
        <v>18</v>
      </c>
    </row>
    <row r="218" spans="1:20">
      <c r="A218" s="1">
        <v>45961</v>
      </c>
      <c r="B218">
        <v>9</v>
      </c>
      <c r="C218" t="s">
        <v>77</v>
      </c>
      <c r="D218" t="s">
        <v>70</v>
      </c>
      <c r="E218" s="6">
        <v>5001.0428000000002</v>
      </c>
      <c r="F218" s="6">
        <v>5053.5321999999996</v>
      </c>
      <c r="G218" s="6">
        <v>58.677799999999998</v>
      </c>
      <c r="H218" s="6">
        <v>5001.0478000000003</v>
      </c>
      <c r="I218" s="6">
        <v>5053.5159999999996</v>
      </c>
      <c r="J218" s="6">
        <v>58.671799999999998</v>
      </c>
      <c r="K218" s="2">
        <v>0.7</v>
      </c>
      <c r="L218" s="2">
        <v>-2.9</v>
      </c>
      <c r="M218" s="2">
        <v>-0.7</v>
      </c>
      <c r="N218" s="2">
        <v>5</v>
      </c>
      <c r="O218" s="2">
        <v>-16.2</v>
      </c>
      <c r="P218" s="2">
        <v>-6</v>
      </c>
      <c r="Q218" s="2">
        <f t="shared" si="6"/>
        <v>16.954055562018191</v>
      </c>
      <c r="R218" t="str">
        <f t="shared" si="7"/>
        <v>Alerta</v>
      </c>
      <c r="S218" t="s">
        <v>115</v>
      </c>
      <c r="T218">
        <v>18</v>
      </c>
    </row>
    <row r="219" spans="1:20">
      <c r="A219" s="1">
        <v>45961</v>
      </c>
      <c r="B219">
        <v>9</v>
      </c>
      <c r="C219" t="s">
        <v>78</v>
      </c>
      <c r="D219" t="s">
        <v>70</v>
      </c>
      <c r="E219" s="6">
        <v>5005.4017999999996</v>
      </c>
      <c r="F219" s="6">
        <v>5054.5141000000003</v>
      </c>
      <c r="G219" s="6">
        <v>60.181899999999999</v>
      </c>
      <c r="H219" s="6"/>
      <c r="I219" s="6"/>
      <c r="J219" s="6"/>
      <c r="K219" s="2"/>
      <c r="L219" s="2"/>
      <c r="M219" s="2"/>
      <c r="N219" s="2"/>
      <c r="O219" s="2"/>
      <c r="P219" s="2"/>
      <c r="Q219" s="2" t="str">
        <f t="shared" si="6"/>
        <v/>
      </c>
      <c r="R219" t="str">
        <f t="shared" si="7"/>
        <v>Sem leitura</v>
      </c>
      <c r="S219" t="s">
        <v>115</v>
      </c>
      <c r="T219">
        <v>18</v>
      </c>
    </row>
    <row r="220" spans="1:20">
      <c r="A220" s="1">
        <v>45961</v>
      </c>
      <c r="B220">
        <v>9</v>
      </c>
      <c r="C220" t="s">
        <v>114</v>
      </c>
      <c r="D220" t="s">
        <v>70</v>
      </c>
      <c r="E220" s="6">
        <v>5005.4053999999996</v>
      </c>
      <c r="F220" s="6">
        <v>5054.1601000000001</v>
      </c>
      <c r="G220" s="6">
        <v>59.572699999999998</v>
      </c>
      <c r="H220" s="6">
        <v>5005.4084999999995</v>
      </c>
      <c r="I220" s="6">
        <v>5054.1576999999997</v>
      </c>
      <c r="J220" s="6">
        <v>59.571800000000003</v>
      </c>
      <c r="K220" s="2">
        <v>3.1</v>
      </c>
      <c r="L220" s="2">
        <v>-2.4</v>
      </c>
      <c r="M220" s="2">
        <v>-0.9</v>
      </c>
      <c r="N220" s="2">
        <v>3.1</v>
      </c>
      <c r="O220" s="2">
        <v>-2.4</v>
      </c>
      <c r="P220" s="2">
        <v>-0.9</v>
      </c>
      <c r="Q220" s="2">
        <f t="shared" si="6"/>
        <v>3.920459156782532</v>
      </c>
      <c r="R220" t="str">
        <f t="shared" si="7"/>
        <v>Regular</v>
      </c>
      <c r="S220" t="s">
        <v>115</v>
      </c>
      <c r="T220">
        <v>18</v>
      </c>
    </row>
    <row r="221" spans="1:20">
      <c r="A221" s="1">
        <v>45961</v>
      </c>
      <c r="B221">
        <v>9</v>
      </c>
      <c r="C221" t="s">
        <v>80</v>
      </c>
      <c r="D221" t="s">
        <v>70</v>
      </c>
      <c r="E221" s="6">
        <v>5005.4050999999999</v>
      </c>
      <c r="F221" s="6">
        <v>5054.5766999999996</v>
      </c>
      <c r="G221" s="6">
        <v>58.646999999999998</v>
      </c>
      <c r="H221" s="6"/>
      <c r="I221" s="6"/>
      <c r="J221" s="6"/>
      <c r="K221" s="2"/>
      <c r="L221" s="2"/>
      <c r="M221" s="2"/>
      <c r="N221" s="2"/>
      <c r="O221" s="2"/>
      <c r="P221" s="2"/>
      <c r="Q221" s="2" t="str">
        <f t="shared" si="6"/>
        <v/>
      </c>
      <c r="R221" t="str">
        <f t="shared" si="7"/>
        <v>Sem leitura</v>
      </c>
      <c r="S221" t="s">
        <v>115</v>
      </c>
      <c r="T221">
        <v>18</v>
      </c>
    </row>
    <row r="222" spans="1:20">
      <c r="A222" s="1">
        <v>45961</v>
      </c>
      <c r="B222">
        <v>9</v>
      </c>
      <c r="C222" t="s">
        <v>116</v>
      </c>
      <c r="D222" t="s">
        <v>70</v>
      </c>
      <c r="E222" s="6">
        <v>5005.4237999999996</v>
      </c>
      <c r="F222" s="6">
        <v>5054.4835999999996</v>
      </c>
      <c r="G222" s="6">
        <v>58.357300000000002</v>
      </c>
      <c r="H222" s="6">
        <v>5005.4278000000004</v>
      </c>
      <c r="I222" s="6">
        <v>5054.4811</v>
      </c>
      <c r="J222" s="6">
        <v>58.356900000000003</v>
      </c>
      <c r="K222" s="2">
        <v>4</v>
      </c>
      <c r="L222" s="2">
        <v>-2.5</v>
      </c>
      <c r="M222" s="2">
        <v>-0.4</v>
      </c>
      <c r="N222" s="2">
        <v>4</v>
      </c>
      <c r="O222" s="2">
        <v>-2.5</v>
      </c>
      <c r="P222" s="2">
        <v>-0.4</v>
      </c>
      <c r="Q222" s="2">
        <f t="shared" si="6"/>
        <v>4.7169905660283016</v>
      </c>
      <c r="R222" t="str">
        <f t="shared" si="7"/>
        <v>Regular</v>
      </c>
      <c r="S222" t="s">
        <v>115</v>
      </c>
      <c r="T222">
        <v>18</v>
      </c>
    </row>
    <row r="223" spans="1:20">
      <c r="A223" s="1">
        <v>45961</v>
      </c>
      <c r="B223">
        <v>9</v>
      </c>
      <c r="C223" t="s">
        <v>81</v>
      </c>
      <c r="D223" t="s">
        <v>70</v>
      </c>
      <c r="E223" s="6">
        <v>5005.8755000000001</v>
      </c>
      <c r="F223" s="6">
        <v>5063.3173999999999</v>
      </c>
      <c r="G223" s="6">
        <v>60.481099999999998</v>
      </c>
      <c r="H223" s="6"/>
      <c r="I223" s="6"/>
      <c r="J223" s="6"/>
      <c r="K223" s="2"/>
      <c r="L223" s="2"/>
      <c r="M223" s="2"/>
      <c r="N223" s="2"/>
      <c r="O223" s="2"/>
      <c r="P223" s="2"/>
      <c r="Q223" s="2" t="str">
        <f t="shared" si="6"/>
        <v/>
      </c>
      <c r="R223" t="str">
        <f t="shared" si="7"/>
        <v>Sem leitura</v>
      </c>
      <c r="S223" t="s">
        <v>115</v>
      </c>
      <c r="T223">
        <v>18</v>
      </c>
    </row>
    <row r="224" spans="1:20">
      <c r="A224" s="1">
        <v>45961</v>
      </c>
      <c r="B224">
        <v>9</v>
      </c>
      <c r="C224" t="s">
        <v>117</v>
      </c>
      <c r="D224" t="s">
        <v>70</v>
      </c>
      <c r="E224" s="6">
        <v>5005.9258</v>
      </c>
      <c r="F224" s="6">
        <v>5064.1066000000001</v>
      </c>
      <c r="G224" s="6">
        <v>60.544499999999999</v>
      </c>
      <c r="H224" s="6">
        <v>5005.9279999999999</v>
      </c>
      <c r="I224" s="6">
        <v>5064.1045000000004</v>
      </c>
      <c r="J224" s="6">
        <v>60.542999999999999</v>
      </c>
      <c r="K224" s="2">
        <v>2.2000000000000002</v>
      </c>
      <c r="L224" s="2">
        <v>-2.1</v>
      </c>
      <c r="M224" s="2">
        <v>-1.5</v>
      </c>
      <c r="N224" s="2">
        <v>2.2000000000000002</v>
      </c>
      <c r="O224" s="2">
        <v>-2.1</v>
      </c>
      <c r="P224" s="2">
        <v>-1.5</v>
      </c>
      <c r="Q224" s="2">
        <f t="shared" si="6"/>
        <v>3.0413812651491097</v>
      </c>
      <c r="R224" t="str">
        <f t="shared" si="7"/>
        <v>Regular</v>
      </c>
      <c r="S224" t="s">
        <v>115</v>
      </c>
      <c r="T224">
        <v>18</v>
      </c>
    </row>
    <row r="225" spans="1:20">
      <c r="A225" s="1">
        <v>45961</v>
      </c>
      <c r="B225">
        <v>9</v>
      </c>
      <c r="C225" t="s">
        <v>82</v>
      </c>
      <c r="D225" t="s">
        <v>70</v>
      </c>
      <c r="E225" s="6">
        <v>5005.8838999999998</v>
      </c>
      <c r="F225" s="6">
        <v>5063.7007999999996</v>
      </c>
      <c r="G225" s="6">
        <v>59.329300000000003</v>
      </c>
      <c r="H225" s="6"/>
      <c r="I225" s="6"/>
      <c r="J225" s="6"/>
      <c r="K225" s="2"/>
      <c r="L225" s="2"/>
      <c r="M225" s="2"/>
      <c r="N225" s="2"/>
      <c r="O225" s="2"/>
      <c r="P225" s="2"/>
      <c r="Q225" s="2" t="str">
        <f t="shared" si="6"/>
        <v/>
      </c>
      <c r="R225" t="str">
        <f t="shared" si="7"/>
        <v>Sem leitura</v>
      </c>
      <c r="S225" t="s">
        <v>115</v>
      </c>
      <c r="T225">
        <v>18</v>
      </c>
    </row>
    <row r="226" spans="1:20">
      <c r="A226" s="1">
        <v>45961</v>
      </c>
      <c r="B226">
        <v>9</v>
      </c>
      <c r="C226" t="s">
        <v>118</v>
      </c>
      <c r="D226" t="s">
        <v>70</v>
      </c>
      <c r="E226" s="6">
        <v>5005.8734999999997</v>
      </c>
      <c r="F226" s="6">
        <v>5063.2722999999996</v>
      </c>
      <c r="G226" s="6">
        <v>58.732500000000002</v>
      </c>
      <c r="H226" s="6">
        <v>5005.8748999999998</v>
      </c>
      <c r="I226" s="6">
        <v>5063.2700999999997</v>
      </c>
      <c r="J226" s="6">
        <v>58.7316</v>
      </c>
      <c r="K226" s="2">
        <v>1.4</v>
      </c>
      <c r="L226" s="2">
        <v>-2.2000000000000002</v>
      </c>
      <c r="M226" s="2">
        <v>-0.9</v>
      </c>
      <c r="N226" s="2">
        <v>1.4</v>
      </c>
      <c r="O226" s="2">
        <v>-2.2000000000000002</v>
      </c>
      <c r="P226" s="2">
        <v>-0.9</v>
      </c>
      <c r="Q226" s="2">
        <f t="shared" si="6"/>
        <v>2.6076809620810595</v>
      </c>
      <c r="R226" t="str">
        <f t="shared" si="7"/>
        <v>Regular</v>
      </c>
      <c r="S226" t="s">
        <v>115</v>
      </c>
      <c r="T226">
        <v>18</v>
      </c>
    </row>
    <row r="227" spans="1:20">
      <c r="A227" s="1">
        <v>45961</v>
      </c>
      <c r="B227">
        <v>4</v>
      </c>
      <c r="C227" t="s">
        <v>119</v>
      </c>
      <c r="D227" t="s">
        <v>120</v>
      </c>
      <c r="E227" s="6">
        <v>5019.7240000000002</v>
      </c>
      <c r="F227" s="6">
        <v>5017.4448000000002</v>
      </c>
      <c r="G227" s="6">
        <v>48.267099999999999</v>
      </c>
      <c r="H227" s="6"/>
      <c r="I227" s="6"/>
      <c r="J227" s="6"/>
      <c r="K227" s="2"/>
      <c r="L227" s="2"/>
      <c r="M227" s="2"/>
      <c r="N227" s="2"/>
      <c r="O227" s="2"/>
      <c r="P227" s="2"/>
      <c r="Q227" s="2" t="str">
        <f t="shared" si="6"/>
        <v/>
      </c>
      <c r="R227" t="str">
        <f t="shared" si="7"/>
        <v>Sem leitura</v>
      </c>
      <c r="S227" t="s">
        <v>115</v>
      </c>
      <c r="T227">
        <v>42</v>
      </c>
    </row>
    <row r="228" spans="1:20">
      <c r="A228" s="1">
        <v>45961</v>
      </c>
      <c r="B228">
        <v>4</v>
      </c>
      <c r="C228" t="s">
        <v>124</v>
      </c>
      <c r="D228" t="s">
        <v>125</v>
      </c>
      <c r="E228" s="6">
        <v>4986.2775000000001</v>
      </c>
      <c r="F228" s="6">
        <v>5019.8639000000003</v>
      </c>
      <c r="G228" s="6">
        <v>50.872999999999998</v>
      </c>
      <c r="H228" s="6">
        <v>4986.2794000000004</v>
      </c>
      <c r="I228" s="6">
        <v>5019.8621999999996</v>
      </c>
      <c r="J228" s="6">
        <v>50.872900000000001</v>
      </c>
      <c r="K228" s="2">
        <v>0.5</v>
      </c>
      <c r="L228" s="2">
        <v>-0.2</v>
      </c>
      <c r="M228" s="2">
        <v>0.1</v>
      </c>
      <c r="N228" s="2">
        <v>1.9</v>
      </c>
      <c r="O228" s="2">
        <v>-1.7</v>
      </c>
      <c r="P228" s="2">
        <v>-0.1</v>
      </c>
      <c r="Q228" s="2">
        <f t="shared" si="6"/>
        <v>2.5495097567963922</v>
      </c>
      <c r="R228" t="str">
        <f t="shared" si="7"/>
        <v>Regular</v>
      </c>
      <c r="S228" t="s">
        <v>115</v>
      </c>
      <c r="T228">
        <v>42</v>
      </c>
    </row>
    <row r="229" spans="1:20">
      <c r="A229" s="1">
        <v>45961</v>
      </c>
      <c r="B229">
        <v>4</v>
      </c>
      <c r="C229" t="s">
        <v>126</v>
      </c>
      <c r="D229" t="s">
        <v>125</v>
      </c>
      <c r="E229" s="6">
        <v>4977.5057999999999</v>
      </c>
      <c r="F229" s="6">
        <v>5027.6043</v>
      </c>
      <c r="G229" s="6">
        <v>52.208399999999997</v>
      </c>
      <c r="H229" s="6">
        <v>4977.5063</v>
      </c>
      <c r="I229" s="6">
        <v>5027.6016</v>
      </c>
      <c r="J229" s="6">
        <v>52.208199999999998</v>
      </c>
      <c r="K229" s="2">
        <v>0</v>
      </c>
      <c r="L229" s="2">
        <v>0</v>
      </c>
      <c r="M229" s="2">
        <v>-0.1</v>
      </c>
      <c r="N229" s="2">
        <v>0.5</v>
      </c>
      <c r="O229" s="2">
        <v>-2.7</v>
      </c>
      <c r="P229" s="2">
        <v>-0.2</v>
      </c>
      <c r="Q229" s="2">
        <f t="shared" si="6"/>
        <v>2.7459060435491964</v>
      </c>
      <c r="R229" t="str">
        <f t="shared" si="7"/>
        <v>Regular</v>
      </c>
      <c r="S229" t="s">
        <v>115</v>
      </c>
      <c r="T229">
        <v>42</v>
      </c>
    </row>
    <row r="230" spans="1:20">
      <c r="A230" s="1">
        <v>45961</v>
      </c>
      <c r="B230">
        <v>4</v>
      </c>
      <c r="C230" t="s">
        <v>122</v>
      </c>
      <c r="D230" t="s">
        <v>123</v>
      </c>
      <c r="E230" s="6">
        <v>4982.3819999999996</v>
      </c>
      <c r="F230" s="6">
        <v>5027.9636</v>
      </c>
      <c r="G230" s="6">
        <v>48.275500000000001</v>
      </c>
      <c r="H230" s="6">
        <v>4982.3847999999998</v>
      </c>
      <c r="I230" s="6">
        <v>5027.9620000000004</v>
      </c>
      <c r="J230" s="6">
        <v>48.276499999999999</v>
      </c>
      <c r="K230" s="2">
        <v>-0.7</v>
      </c>
      <c r="L230" s="2">
        <v>-0.4</v>
      </c>
      <c r="M230" s="2">
        <v>0.2</v>
      </c>
      <c r="N230" s="2">
        <v>2.8</v>
      </c>
      <c r="O230" s="2">
        <v>-1.6</v>
      </c>
      <c r="P230" s="2">
        <v>1</v>
      </c>
      <c r="Q230" s="2">
        <f t="shared" si="6"/>
        <v>3.2249030993194197</v>
      </c>
      <c r="R230" t="str">
        <f t="shared" si="7"/>
        <v>Regular</v>
      </c>
      <c r="S230" t="s">
        <v>115</v>
      </c>
      <c r="T230">
        <v>42</v>
      </c>
    </row>
    <row r="231" spans="1:20">
      <c r="A231" s="1">
        <v>45961</v>
      </c>
      <c r="B231">
        <v>4</v>
      </c>
      <c r="C231" t="s">
        <v>127</v>
      </c>
      <c r="D231" t="s">
        <v>128</v>
      </c>
      <c r="E231" s="6">
        <v>4974.3924999999999</v>
      </c>
      <c r="F231" s="6">
        <v>5039.5325999999995</v>
      </c>
      <c r="G231" s="6">
        <v>53.556800000000003</v>
      </c>
      <c r="H231" s="6">
        <v>4974.3941999999997</v>
      </c>
      <c r="I231" s="6">
        <v>5039.5324000000001</v>
      </c>
      <c r="J231" s="6">
        <v>53.557499999999997</v>
      </c>
      <c r="K231" s="2">
        <v>1.2</v>
      </c>
      <c r="L231" s="2">
        <v>-1.2</v>
      </c>
      <c r="M231" s="2">
        <v>0.3</v>
      </c>
      <c r="N231" s="2">
        <v>1.7</v>
      </c>
      <c r="O231" s="2">
        <v>-0.2</v>
      </c>
      <c r="P231" s="2">
        <v>0.7</v>
      </c>
      <c r="Q231" s="2">
        <f t="shared" si="6"/>
        <v>1.7117242768623688</v>
      </c>
      <c r="R231" t="str">
        <f t="shared" si="7"/>
        <v>Regular</v>
      </c>
      <c r="S231" t="s">
        <v>115</v>
      </c>
      <c r="T231">
        <v>42</v>
      </c>
    </row>
    <row r="232" spans="1:20">
      <c r="A232" s="1">
        <v>45961</v>
      </c>
      <c r="B232">
        <v>4</v>
      </c>
      <c r="C232" t="s">
        <v>140</v>
      </c>
      <c r="D232" t="s">
        <v>128</v>
      </c>
      <c r="E232" s="6">
        <v>4976.0573000000004</v>
      </c>
      <c r="F232" s="6">
        <v>5040.5965999999999</v>
      </c>
      <c r="G232" s="6">
        <v>48.214799999999997</v>
      </c>
      <c r="H232" s="6">
        <v>4976.0573000000004</v>
      </c>
      <c r="I232" s="6">
        <v>5040.5951999999997</v>
      </c>
      <c r="J232" s="6">
        <v>48.2149</v>
      </c>
      <c r="K232" s="2">
        <v>0</v>
      </c>
      <c r="L232" s="2">
        <v>-1.4</v>
      </c>
      <c r="M232" s="2">
        <v>0.1</v>
      </c>
      <c r="N232" s="2">
        <v>0</v>
      </c>
      <c r="O232" s="2">
        <v>-1.4</v>
      </c>
      <c r="P232" s="2">
        <v>0.1</v>
      </c>
      <c r="Q232" s="2">
        <f t="shared" si="6"/>
        <v>1.4</v>
      </c>
      <c r="R232" t="str">
        <f t="shared" si="7"/>
        <v>Regular</v>
      </c>
      <c r="S232" t="s">
        <v>115</v>
      </c>
      <c r="T232">
        <v>42</v>
      </c>
    </row>
    <row r="233" spans="1:20">
      <c r="A233" s="1">
        <v>45961</v>
      </c>
      <c r="B233">
        <v>4</v>
      </c>
      <c r="C233" t="s">
        <v>129</v>
      </c>
      <c r="D233" t="s">
        <v>130</v>
      </c>
      <c r="E233" s="6">
        <v>4981.8689000000004</v>
      </c>
      <c r="F233" s="6">
        <v>5046.9902000000002</v>
      </c>
      <c r="G233" s="6">
        <v>53.966500000000003</v>
      </c>
      <c r="H233" s="6">
        <v>4981.8765999999996</v>
      </c>
      <c r="I233" s="6">
        <v>5046.9832999999999</v>
      </c>
      <c r="J233" s="6">
        <v>53.966999999999999</v>
      </c>
      <c r="K233" s="2">
        <v>4.4000000000000004</v>
      </c>
      <c r="L233" s="2">
        <v>-5.8</v>
      </c>
      <c r="M233" s="2">
        <v>0.4</v>
      </c>
      <c r="N233" s="2">
        <v>7.7</v>
      </c>
      <c r="O233" s="2">
        <v>-6.9</v>
      </c>
      <c r="P233" s="2">
        <v>0.5</v>
      </c>
      <c r="Q233" s="2">
        <f t="shared" si="6"/>
        <v>10.339245620450265</v>
      </c>
      <c r="R233" t="str">
        <f t="shared" si="7"/>
        <v>Regular</v>
      </c>
      <c r="S233" t="s">
        <v>115</v>
      </c>
      <c r="T233">
        <v>42</v>
      </c>
    </row>
    <row r="234" spans="1:20">
      <c r="A234" s="1">
        <v>45961</v>
      </c>
      <c r="B234">
        <v>4</v>
      </c>
      <c r="C234" t="s">
        <v>131</v>
      </c>
      <c r="D234" t="s">
        <v>130</v>
      </c>
      <c r="E234" s="6">
        <v>4993.0258000000003</v>
      </c>
      <c r="F234" s="6">
        <v>5045.3909000000003</v>
      </c>
      <c r="G234" s="6">
        <v>53.905200000000001</v>
      </c>
      <c r="H234" s="6">
        <v>4993.0304999999998</v>
      </c>
      <c r="I234" s="6">
        <v>5045.3847999999998</v>
      </c>
      <c r="J234" s="6">
        <v>53.904400000000003</v>
      </c>
      <c r="K234" s="2">
        <v>2.2000000000000002</v>
      </c>
      <c r="L234" s="2">
        <v>-3.3</v>
      </c>
      <c r="M234" s="2">
        <v>-0.2</v>
      </c>
      <c r="N234" s="2">
        <v>4.7</v>
      </c>
      <c r="O234" s="2">
        <v>-6.1</v>
      </c>
      <c r="P234" s="2">
        <v>-0.8</v>
      </c>
      <c r="Q234" s="2">
        <f t="shared" si="6"/>
        <v>7.7006493232713824</v>
      </c>
      <c r="R234" t="str">
        <f t="shared" si="7"/>
        <v>Regular</v>
      </c>
      <c r="S234" t="s">
        <v>115</v>
      </c>
      <c r="T234">
        <v>42</v>
      </c>
    </row>
    <row r="235" spans="1:20">
      <c r="A235" s="1">
        <v>45961</v>
      </c>
      <c r="B235">
        <v>4</v>
      </c>
      <c r="C235" t="s">
        <v>132</v>
      </c>
      <c r="D235" t="s">
        <v>130</v>
      </c>
      <c r="E235" s="6">
        <v>5002.4090999999999</v>
      </c>
      <c r="F235" s="6">
        <v>5044.0244000000002</v>
      </c>
      <c r="G235" s="6">
        <v>53.889200000000002</v>
      </c>
      <c r="H235" s="6">
        <v>5002.4123</v>
      </c>
      <c r="I235" s="6">
        <v>5044.0146000000004</v>
      </c>
      <c r="J235" s="6">
        <v>53.89</v>
      </c>
      <c r="K235" s="2">
        <v>1.7</v>
      </c>
      <c r="L235" s="2">
        <v>-4.9000000000000004</v>
      </c>
      <c r="M235" s="2">
        <v>0.4</v>
      </c>
      <c r="N235" s="2">
        <v>3.2</v>
      </c>
      <c r="O235" s="2">
        <v>-9.8000000000000007</v>
      </c>
      <c r="P235" s="2">
        <v>0.8</v>
      </c>
      <c r="Q235" s="2">
        <f t="shared" si="6"/>
        <v>10.3092191750879</v>
      </c>
      <c r="R235" t="str">
        <f t="shared" si="7"/>
        <v>Regular</v>
      </c>
      <c r="S235" t="s">
        <v>115</v>
      </c>
      <c r="T235">
        <v>42</v>
      </c>
    </row>
    <row r="236" spans="1:20">
      <c r="A236" s="1">
        <v>45961</v>
      </c>
      <c r="B236">
        <v>4</v>
      </c>
      <c r="C236" t="s">
        <v>141</v>
      </c>
      <c r="D236" t="s">
        <v>130</v>
      </c>
      <c r="E236" s="6">
        <v>4987.9621999999999</v>
      </c>
      <c r="F236" s="6">
        <v>5045.3176000000003</v>
      </c>
      <c r="G236" s="6">
        <v>47.637599999999999</v>
      </c>
      <c r="H236" s="6">
        <v>4987.9647000000004</v>
      </c>
      <c r="I236" s="6">
        <v>5045.3136000000004</v>
      </c>
      <c r="J236" s="6">
        <v>47.637900000000002</v>
      </c>
      <c r="K236" s="2">
        <v>2.5</v>
      </c>
      <c r="L236" s="2">
        <v>-4</v>
      </c>
      <c r="M236" s="2">
        <v>0.3</v>
      </c>
      <c r="N236" s="2">
        <v>2.5</v>
      </c>
      <c r="O236" s="2">
        <v>-4</v>
      </c>
      <c r="P236" s="2">
        <v>0.3</v>
      </c>
      <c r="Q236" s="2">
        <f t="shared" si="6"/>
        <v>4.7169905660283016</v>
      </c>
      <c r="R236" t="str">
        <f t="shared" si="7"/>
        <v>Regular</v>
      </c>
      <c r="S236" t="s">
        <v>115</v>
      </c>
      <c r="T236">
        <v>42</v>
      </c>
    </row>
    <row r="237" spans="1:20">
      <c r="A237" s="1">
        <v>45961</v>
      </c>
      <c r="B237">
        <v>4</v>
      </c>
      <c r="C237" t="s">
        <v>142</v>
      </c>
      <c r="D237" t="s">
        <v>130</v>
      </c>
      <c r="E237" s="6">
        <v>5002.5304999999998</v>
      </c>
      <c r="F237" s="6">
        <v>5043.4611000000004</v>
      </c>
      <c r="G237" s="6">
        <v>47.537100000000002</v>
      </c>
      <c r="H237" s="6">
        <v>5002.5328</v>
      </c>
      <c r="I237" s="6">
        <v>5043.4571999999998</v>
      </c>
      <c r="J237" s="6">
        <v>47.537300000000002</v>
      </c>
      <c r="K237" s="2">
        <v>2.2999999999999998</v>
      </c>
      <c r="L237" s="2">
        <v>-3.9</v>
      </c>
      <c r="M237" s="2">
        <v>0.2</v>
      </c>
      <c r="N237" s="2">
        <v>2.2999999999999998</v>
      </c>
      <c r="O237" s="2">
        <v>-3.9</v>
      </c>
      <c r="P237" s="2">
        <v>0.2</v>
      </c>
      <c r="Q237" s="2">
        <f t="shared" si="6"/>
        <v>4.5276925690687087</v>
      </c>
      <c r="R237" t="str">
        <f t="shared" si="7"/>
        <v>Regular</v>
      </c>
      <c r="S237" t="s">
        <v>115</v>
      </c>
      <c r="T237">
        <v>42</v>
      </c>
    </row>
    <row r="238" spans="1:20">
      <c r="A238" s="1">
        <v>45961</v>
      </c>
      <c r="B238">
        <v>4</v>
      </c>
      <c r="C238" t="s">
        <v>139</v>
      </c>
      <c r="D238" t="s">
        <v>134</v>
      </c>
      <c r="E238" s="6">
        <v>5010.7592999999997</v>
      </c>
      <c r="F238" s="6">
        <v>5050.9463999999998</v>
      </c>
      <c r="G238" s="6">
        <v>52.517400000000002</v>
      </c>
      <c r="H238" s="6">
        <v>5010.7583000000004</v>
      </c>
      <c r="I238" s="6">
        <v>5050.9400999999998</v>
      </c>
      <c r="J238" s="6">
        <v>52.518900000000002</v>
      </c>
      <c r="K238" s="2">
        <v>-1.2</v>
      </c>
      <c r="L238" s="2">
        <v>-3.4</v>
      </c>
      <c r="M238" s="2">
        <v>0.7</v>
      </c>
      <c r="N238" s="2">
        <v>-1</v>
      </c>
      <c r="O238" s="2">
        <v>-6.3</v>
      </c>
      <c r="P238" s="2">
        <v>1.5</v>
      </c>
      <c r="Q238" s="2">
        <f t="shared" si="6"/>
        <v>6.3788713735268248</v>
      </c>
      <c r="R238" t="str">
        <f t="shared" si="7"/>
        <v>Regular</v>
      </c>
      <c r="S238" t="s">
        <v>115</v>
      </c>
      <c r="T238">
        <v>42</v>
      </c>
    </row>
    <row r="239" spans="1:20">
      <c r="A239" s="1">
        <v>45961</v>
      </c>
      <c r="B239">
        <v>4</v>
      </c>
      <c r="C239" t="s">
        <v>133</v>
      </c>
      <c r="D239" t="s">
        <v>134</v>
      </c>
      <c r="E239" s="6">
        <v>5012.8994000000002</v>
      </c>
      <c r="F239" s="6">
        <v>5060.6997000000001</v>
      </c>
      <c r="G239" s="6">
        <v>52.496299999999998</v>
      </c>
      <c r="H239" s="6">
        <v>5012.8991999999998</v>
      </c>
      <c r="I239" s="6">
        <v>5060.6934000000001</v>
      </c>
      <c r="J239" s="6">
        <v>52.497199999999999</v>
      </c>
      <c r="K239" s="2">
        <v>0.8</v>
      </c>
      <c r="L239" s="2">
        <v>-5.8</v>
      </c>
      <c r="M239" s="2">
        <v>0.5</v>
      </c>
      <c r="N239" s="2">
        <v>-0.2</v>
      </c>
      <c r="O239" s="2">
        <v>-6.3</v>
      </c>
      <c r="P239" s="2">
        <v>0.9</v>
      </c>
      <c r="Q239" s="2">
        <f t="shared" si="6"/>
        <v>6.3031738037277698</v>
      </c>
      <c r="R239" t="str">
        <f t="shared" si="7"/>
        <v>Regular</v>
      </c>
      <c r="S239" t="s">
        <v>115</v>
      </c>
      <c r="T239">
        <v>42</v>
      </c>
    </row>
    <row r="240" spans="1:20">
      <c r="A240" s="1">
        <v>45961</v>
      </c>
      <c r="B240">
        <v>4</v>
      </c>
      <c r="C240" t="s">
        <v>135</v>
      </c>
      <c r="D240" t="s">
        <v>136</v>
      </c>
      <c r="E240" s="6">
        <v>5026.7076999999999</v>
      </c>
      <c r="F240" s="6">
        <v>5072.3888999999999</v>
      </c>
      <c r="G240" s="6">
        <v>53.761400000000002</v>
      </c>
      <c r="H240" s="6">
        <v>5026.7057999999997</v>
      </c>
      <c r="I240" s="6">
        <v>5072.3837999999996</v>
      </c>
      <c r="J240" s="6">
        <v>53.761699999999998</v>
      </c>
      <c r="K240" s="2">
        <v>-1.6</v>
      </c>
      <c r="L240" s="2">
        <v>-2.9</v>
      </c>
      <c r="M240" s="2">
        <v>0</v>
      </c>
      <c r="N240" s="2">
        <v>-1.9</v>
      </c>
      <c r="O240" s="2">
        <v>-5.0999999999999996</v>
      </c>
      <c r="P240" s="2">
        <v>0.3</v>
      </c>
      <c r="Q240" s="2">
        <f t="shared" si="6"/>
        <v>5.4424259296751112</v>
      </c>
      <c r="R240" t="str">
        <f t="shared" si="7"/>
        <v>Regular</v>
      </c>
      <c r="S240" t="s">
        <v>115</v>
      </c>
      <c r="T240">
        <v>42</v>
      </c>
    </row>
    <row r="241" spans="1:20">
      <c r="A241" s="1">
        <v>45961</v>
      </c>
      <c r="B241">
        <v>4</v>
      </c>
      <c r="C241" t="s">
        <v>143</v>
      </c>
      <c r="D241" t="s">
        <v>136</v>
      </c>
      <c r="E241" s="6">
        <v>5027.4714000000004</v>
      </c>
      <c r="F241" s="6">
        <v>5072.2404999999999</v>
      </c>
      <c r="G241" s="6">
        <v>51.143700000000003</v>
      </c>
      <c r="H241" s="6">
        <v>5027.4703</v>
      </c>
      <c r="I241" s="6">
        <v>5072.2367000000004</v>
      </c>
      <c r="J241" s="6">
        <v>51.143999999999998</v>
      </c>
      <c r="K241" s="2">
        <v>-1.1000000000000001</v>
      </c>
      <c r="L241" s="2">
        <v>-3.8</v>
      </c>
      <c r="M241" s="2">
        <v>0.3</v>
      </c>
      <c r="N241" s="2">
        <v>-1.1000000000000001</v>
      </c>
      <c r="O241" s="2">
        <v>-3.8</v>
      </c>
      <c r="P241" s="2">
        <v>0.3</v>
      </c>
      <c r="Q241" s="2">
        <f t="shared" si="6"/>
        <v>3.9560080889704965</v>
      </c>
      <c r="R241" t="str">
        <f t="shared" si="7"/>
        <v>Regular</v>
      </c>
      <c r="S241" t="s">
        <v>115</v>
      </c>
      <c r="T241">
        <v>42</v>
      </c>
    </row>
    <row r="242" spans="1:20">
      <c r="A242" s="1">
        <v>45961</v>
      </c>
      <c r="B242">
        <v>4</v>
      </c>
      <c r="C242" t="s">
        <v>144</v>
      </c>
      <c r="D242" t="s">
        <v>145</v>
      </c>
      <c r="E242" s="6">
        <v>5041.9629000000004</v>
      </c>
      <c r="F242" s="6">
        <v>5043.3289999999997</v>
      </c>
      <c r="G242" s="6">
        <v>52.0655</v>
      </c>
      <c r="H242" s="6">
        <v>5041.9619000000002</v>
      </c>
      <c r="I242" s="6">
        <v>5043.3269</v>
      </c>
      <c r="J242" s="6">
        <v>52.0655</v>
      </c>
      <c r="K242" s="2">
        <v>-1</v>
      </c>
      <c r="L242" s="2">
        <v>-2.1</v>
      </c>
      <c r="M242" s="2">
        <v>0</v>
      </c>
      <c r="N242" s="2">
        <v>-1</v>
      </c>
      <c r="O242" s="2">
        <v>-2.1</v>
      </c>
      <c r="P242" s="2">
        <v>0</v>
      </c>
      <c r="Q242" s="2">
        <f t="shared" si="6"/>
        <v>2.3259406699226015</v>
      </c>
      <c r="R242" t="str">
        <f t="shared" si="7"/>
        <v>Regular</v>
      </c>
      <c r="S242" t="s">
        <v>115</v>
      </c>
      <c r="T242">
        <v>42</v>
      </c>
    </row>
    <row r="243" spans="1:20">
      <c r="A243" s="1">
        <v>45961</v>
      </c>
      <c r="B243">
        <v>4</v>
      </c>
      <c r="C243" t="s">
        <v>137</v>
      </c>
      <c r="D243" t="s">
        <v>138</v>
      </c>
      <c r="E243" s="6">
        <v>5046.1882999999998</v>
      </c>
      <c r="F243" s="6">
        <v>5033.5622999999996</v>
      </c>
      <c r="G243" s="6">
        <v>48.999099999999999</v>
      </c>
      <c r="H243" s="6">
        <v>5046.1783999999998</v>
      </c>
      <c r="I243" s="6">
        <v>5033.5614999999998</v>
      </c>
      <c r="J243" s="6">
        <v>48.9985</v>
      </c>
      <c r="K243" s="2">
        <v>-3</v>
      </c>
      <c r="L243" s="2">
        <v>0.2</v>
      </c>
      <c r="M243" s="2">
        <v>-0.6</v>
      </c>
      <c r="N243" s="2">
        <v>-9.9</v>
      </c>
      <c r="O243" s="2">
        <v>-0.8</v>
      </c>
      <c r="P243" s="2">
        <v>-0.6</v>
      </c>
      <c r="Q243" s="2">
        <f t="shared" si="6"/>
        <v>9.932270636667127</v>
      </c>
      <c r="R243" t="str">
        <f t="shared" si="7"/>
        <v>Regular</v>
      </c>
      <c r="S243" t="s">
        <v>115</v>
      </c>
      <c r="T243">
        <v>42</v>
      </c>
    </row>
    <row r="244" spans="1:20">
      <c r="A244" s="1">
        <v>45961</v>
      </c>
      <c r="B244">
        <v>9</v>
      </c>
      <c r="C244" t="s">
        <v>83</v>
      </c>
      <c r="D244" t="s">
        <v>84</v>
      </c>
      <c r="E244" s="6">
        <v>5055.3705</v>
      </c>
      <c r="F244" s="6">
        <v>5037.6908000000003</v>
      </c>
      <c r="G244" s="6">
        <v>55.834499999999998</v>
      </c>
      <c r="H244" s="6">
        <v>5055.3657999999996</v>
      </c>
      <c r="I244" s="6">
        <v>5037.6912000000002</v>
      </c>
      <c r="J244" s="6">
        <v>55.835000000000001</v>
      </c>
      <c r="K244" s="2">
        <v>-2.4</v>
      </c>
      <c r="L244" s="2">
        <v>1.6</v>
      </c>
      <c r="M244" s="2">
        <v>-0.3</v>
      </c>
      <c r="N244" s="2">
        <v>-4.7</v>
      </c>
      <c r="O244" s="2">
        <v>0.4</v>
      </c>
      <c r="P244" s="2">
        <v>0.5</v>
      </c>
      <c r="Q244" s="2">
        <f t="shared" si="6"/>
        <v>4.7169905660283025</v>
      </c>
      <c r="R244" t="str">
        <f t="shared" si="7"/>
        <v>Regular</v>
      </c>
      <c r="S244" t="s">
        <v>115</v>
      </c>
      <c r="T244">
        <v>18</v>
      </c>
    </row>
    <row r="245" spans="1:20">
      <c r="A245" s="1">
        <v>45961</v>
      </c>
      <c r="B245">
        <v>9</v>
      </c>
      <c r="C245" t="s">
        <v>85</v>
      </c>
      <c r="D245" t="s">
        <v>84</v>
      </c>
      <c r="E245" s="6">
        <v>5055.3611000000001</v>
      </c>
      <c r="F245" s="6">
        <v>5037.652</v>
      </c>
      <c r="G245" s="6">
        <v>53.920200000000001</v>
      </c>
      <c r="H245" s="6">
        <v>5055.3573999999999</v>
      </c>
      <c r="I245" s="6">
        <v>5037.6487999999999</v>
      </c>
      <c r="J245" s="6">
        <v>53.921100000000003</v>
      </c>
      <c r="K245" s="2">
        <v>-2.5</v>
      </c>
      <c r="L245" s="2">
        <v>0.6</v>
      </c>
      <c r="M245" s="2">
        <v>-0.5</v>
      </c>
      <c r="N245" s="2">
        <v>-3.7</v>
      </c>
      <c r="O245" s="2">
        <v>-3.2</v>
      </c>
      <c r="P245" s="2">
        <v>0.9</v>
      </c>
      <c r="Q245" s="2">
        <f t="shared" si="6"/>
        <v>4.8918299234540035</v>
      </c>
      <c r="R245" t="str">
        <f t="shared" si="7"/>
        <v>Regular</v>
      </c>
      <c r="S245" t="s">
        <v>115</v>
      </c>
      <c r="T245">
        <v>18</v>
      </c>
    </row>
    <row r="246" spans="1:20">
      <c r="A246" s="1">
        <v>45961</v>
      </c>
      <c r="B246">
        <v>9</v>
      </c>
      <c r="C246" t="s">
        <v>86</v>
      </c>
      <c r="D246" t="s">
        <v>84</v>
      </c>
      <c r="E246" s="6">
        <v>5053.1266999999998</v>
      </c>
      <c r="F246" s="6">
        <v>5028.5694000000003</v>
      </c>
      <c r="G246" s="6">
        <v>55.876899999999999</v>
      </c>
      <c r="H246" s="6">
        <v>5053.1225000000004</v>
      </c>
      <c r="I246" s="6">
        <v>5028.5704999999998</v>
      </c>
      <c r="J246" s="6">
        <v>55.877299999999998</v>
      </c>
      <c r="K246" s="2">
        <v>-1.7</v>
      </c>
      <c r="L246" s="2">
        <v>0.9</v>
      </c>
      <c r="M246" s="2">
        <v>-0.2</v>
      </c>
      <c r="N246" s="2">
        <v>-4.2</v>
      </c>
      <c r="O246" s="2">
        <v>1.1000000000000001</v>
      </c>
      <c r="P246" s="2">
        <v>0.4</v>
      </c>
      <c r="Q246" s="2">
        <f t="shared" si="6"/>
        <v>4.3416586692184822</v>
      </c>
      <c r="R246" t="str">
        <f t="shared" si="7"/>
        <v>Regular</v>
      </c>
      <c r="S246" t="s">
        <v>115</v>
      </c>
      <c r="T246">
        <v>18</v>
      </c>
    </row>
    <row r="247" spans="1:20">
      <c r="A247" s="1">
        <v>45961</v>
      </c>
      <c r="B247">
        <v>9</v>
      </c>
      <c r="C247" t="s">
        <v>87</v>
      </c>
      <c r="D247" t="s">
        <v>84</v>
      </c>
      <c r="E247" s="6">
        <v>5053.1229999999996</v>
      </c>
      <c r="F247" s="6">
        <v>5028.5785999999998</v>
      </c>
      <c r="G247" s="6">
        <v>54.159100000000002</v>
      </c>
      <c r="H247" s="6">
        <v>5053.1190999999999</v>
      </c>
      <c r="I247" s="6">
        <v>5028.5771999999997</v>
      </c>
      <c r="J247" s="6">
        <v>54.159599999999998</v>
      </c>
      <c r="K247" s="2">
        <v>-2.1</v>
      </c>
      <c r="L247" s="2">
        <v>1.3</v>
      </c>
      <c r="M247" s="2">
        <v>-0.2</v>
      </c>
      <c r="N247" s="2">
        <v>-3.9</v>
      </c>
      <c r="O247" s="2">
        <v>-1.4</v>
      </c>
      <c r="P247" s="2">
        <v>0.5</v>
      </c>
      <c r="Q247" s="2">
        <f t="shared" si="6"/>
        <v>4.1436698710201325</v>
      </c>
      <c r="R247" t="str">
        <f t="shared" si="7"/>
        <v>Regular</v>
      </c>
      <c r="S247" t="s">
        <v>115</v>
      </c>
      <c r="T247">
        <v>18</v>
      </c>
    </row>
    <row r="248" spans="1:20">
      <c r="A248" s="1">
        <v>46000</v>
      </c>
      <c r="B248">
        <v>0</v>
      </c>
      <c r="C248" t="s">
        <v>149</v>
      </c>
      <c r="D248" t="s">
        <v>120</v>
      </c>
      <c r="E248" s="6">
        <v>5017.3522999999996</v>
      </c>
      <c r="F248" s="6">
        <v>5017.7930999999999</v>
      </c>
      <c r="G248" s="6">
        <v>47.4587</v>
      </c>
      <c r="H248" s="6">
        <v>5017.3522999999996</v>
      </c>
      <c r="I248" s="6">
        <v>5017.7930999999999</v>
      </c>
      <c r="J248" s="6">
        <v>47.4587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f t="shared" si="6"/>
        <v>0</v>
      </c>
      <c r="R248" t="str">
        <f t="shared" si="7"/>
        <v>Regular</v>
      </c>
      <c r="S248" t="s">
        <v>150</v>
      </c>
      <c r="T248">
        <v>40</v>
      </c>
    </row>
    <row r="249" spans="1:20">
      <c r="A249" s="1">
        <v>46000</v>
      </c>
      <c r="B249">
        <v>0</v>
      </c>
      <c r="C249" t="s">
        <v>151</v>
      </c>
      <c r="D249" t="s">
        <v>120</v>
      </c>
      <c r="E249" s="6">
        <v>5017.2749000000003</v>
      </c>
      <c r="F249" s="6">
        <v>5018.2057000000004</v>
      </c>
      <c r="G249" s="6">
        <v>43.061300000000003</v>
      </c>
      <c r="H249" s="6">
        <v>5017.2749000000003</v>
      </c>
      <c r="I249" s="6">
        <v>5018.2057000000004</v>
      </c>
      <c r="J249" s="6">
        <v>43.061300000000003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f t="shared" si="6"/>
        <v>0</v>
      </c>
      <c r="R249" t="str">
        <f t="shared" si="7"/>
        <v>Regular</v>
      </c>
      <c r="S249" t="s">
        <v>150</v>
      </c>
      <c r="T249">
        <v>40</v>
      </c>
    </row>
    <row r="250" spans="1:20">
      <c r="A250" s="1">
        <v>46013</v>
      </c>
      <c r="B250">
        <v>0</v>
      </c>
      <c r="C250" t="s">
        <v>153</v>
      </c>
      <c r="D250" t="s">
        <v>120</v>
      </c>
      <c r="E250" s="6">
        <v>5017.2718999999997</v>
      </c>
      <c r="F250" s="6">
        <v>5018.1959999999999</v>
      </c>
      <c r="G250" s="6">
        <v>43.055799999999998</v>
      </c>
      <c r="H250" s="6">
        <v>5017.2718999999997</v>
      </c>
      <c r="I250" s="6">
        <v>5018.1959999999999</v>
      </c>
      <c r="J250" s="6">
        <v>43.055799999999998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f t="shared" si="6"/>
        <v>0</v>
      </c>
      <c r="R250" t="str">
        <f t="shared" si="7"/>
        <v>Regular</v>
      </c>
      <c r="S250" t="s">
        <v>150</v>
      </c>
      <c r="T250">
        <v>40</v>
      </c>
    </row>
    <row r="251" spans="1:20">
      <c r="A251" s="1">
        <v>45985</v>
      </c>
      <c r="B251">
        <v>0</v>
      </c>
      <c r="C251" t="s">
        <v>154</v>
      </c>
      <c r="D251" t="s">
        <v>123</v>
      </c>
      <c r="E251" s="6">
        <v>4983.0880999999999</v>
      </c>
      <c r="F251" s="6">
        <v>5028.2978000000003</v>
      </c>
      <c r="G251" s="6">
        <v>42.8752</v>
      </c>
      <c r="H251" s="6">
        <v>4983.0880999999999</v>
      </c>
      <c r="I251" s="6">
        <v>5028.2978000000003</v>
      </c>
      <c r="J251" s="6">
        <v>42.8752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f t="shared" si="6"/>
        <v>0</v>
      </c>
      <c r="R251" t="str">
        <f t="shared" si="7"/>
        <v>Regular</v>
      </c>
      <c r="S251" t="s">
        <v>150</v>
      </c>
      <c r="T251">
        <v>40</v>
      </c>
    </row>
    <row r="252" spans="1:20">
      <c r="A252" s="1">
        <v>46013</v>
      </c>
      <c r="B252">
        <v>0</v>
      </c>
      <c r="C252" t="s">
        <v>155</v>
      </c>
      <c r="D252" t="s">
        <v>156</v>
      </c>
      <c r="E252" s="6">
        <v>4980.2689</v>
      </c>
      <c r="F252" s="6">
        <v>5031.7997999999998</v>
      </c>
      <c r="G252" s="6">
        <v>48.331200000000003</v>
      </c>
      <c r="H252" s="6">
        <v>4980.2689</v>
      </c>
      <c r="I252" s="6">
        <v>5031.7997999999998</v>
      </c>
      <c r="J252" s="6">
        <v>48.331200000000003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f t="shared" si="6"/>
        <v>0</v>
      </c>
      <c r="R252" t="str">
        <f t="shared" si="7"/>
        <v>Regular</v>
      </c>
      <c r="S252" t="s">
        <v>150</v>
      </c>
      <c r="T252">
        <v>40</v>
      </c>
    </row>
    <row r="253" spans="1:20">
      <c r="A253" s="1">
        <v>46020</v>
      </c>
      <c r="B253">
        <v>0</v>
      </c>
      <c r="C253" t="s">
        <v>157</v>
      </c>
      <c r="D253" t="s">
        <v>156</v>
      </c>
      <c r="E253" s="6">
        <v>4980.6113999999998</v>
      </c>
      <c r="F253" s="6">
        <v>5031.9393</v>
      </c>
      <c r="G253" s="6">
        <v>42.979900000000001</v>
      </c>
      <c r="H253" s="6">
        <v>4980.6113999999998</v>
      </c>
      <c r="I253" s="6">
        <v>5031.9393</v>
      </c>
      <c r="J253" s="6">
        <v>42.979900000000001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f t="shared" si="6"/>
        <v>0</v>
      </c>
      <c r="R253" t="str">
        <f t="shared" si="7"/>
        <v>Regular</v>
      </c>
      <c r="S253" t="s">
        <v>150</v>
      </c>
      <c r="T253">
        <v>40</v>
      </c>
    </row>
    <row r="254" spans="1:20">
      <c r="A254" s="1">
        <v>46034</v>
      </c>
      <c r="B254">
        <v>0</v>
      </c>
      <c r="C254" t="s">
        <v>158</v>
      </c>
      <c r="D254" t="s">
        <v>156</v>
      </c>
      <c r="E254" s="6">
        <v>4980.5802999999996</v>
      </c>
      <c r="F254" s="6">
        <v>5031.6513999999997</v>
      </c>
      <c r="G254" s="6">
        <v>42.887999999999998</v>
      </c>
      <c r="H254" s="6">
        <v>4980.5802999999996</v>
      </c>
      <c r="I254" s="6">
        <v>5031.6513999999997</v>
      </c>
      <c r="J254" s="6">
        <v>42.887999999999998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f t="shared" si="6"/>
        <v>0</v>
      </c>
      <c r="R254" t="str">
        <f t="shared" si="7"/>
        <v>Regular</v>
      </c>
      <c r="S254" t="s">
        <v>150</v>
      </c>
      <c r="T254">
        <v>40</v>
      </c>
    </row>
    <row r="255" spans="1:20">
      <c r="A255" s="1">
        <v>46000</v>
      </c>
      <c r="B255">
        <v>0</v>
      </c>
      <c r="C255" t="s">
        <v>159</v>
      </c>
      <c r="D255" t="s">
        <v>128</v>
      </c>
      <c r="E255" s="6">
        <v>4976.0536000000002</v>
      </c>
      <c r="F255" s="6">
        <v>5040.1774999999998</v>
      </c>
      <c r="G255" s="6">
        <v>43.505000000000003</v>
      </c>
      <c r="H255" s="6">
        <v>4976.0536000000002</v>
      </c>
      <c r="I255" s="6">
        <v>5040.1774999999998</v>
      </c>
      <c r="J255" s="6">
        <v>43.505000000000003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f t="shared" si="6"/>
        <v>0</v>
      </c>
      <c r="R255" t="str">
        <f t="shared" si="7"/>
        <v>Regular</v>
      </c>
      <c r="S255" t="s">
        <v>150</v>
      </c>
      <c r="T255">
        <v>40</v>
      </c>
    </row>
    <row r="256" spans="1:20">
      <c r="A256" s="1">
        <v>46006</v>
      </c>
      <c r="B256">
        <v>0</v>
      </c>
      <c r="C256" t="s">
        <v>160</v>
      </c>
      <c r="D256" t="s">
        <v>128</v>
      </c>
      <c r="E256" s="6">
        <v>4976.0869000000002</v>
      </c>
      <c r="F256" s="6">
        <v>5040.6423000000004</v>
      </c>
      <c r="G256" s="6">
        <v>43.351300000000002</v>
      </c>
      <c r="H256" s="6">
        <v>4976.0869000000002</v>
      </c>
      <c r="I256" s="6">
        <v>5040.6423000000004</v>
      </c>
      <c r="J256" s="6">
        <v>43.351300000000002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f t="shared" si="6"/>
        <v>0</v>
      </c>
      <c r="R256" t="str">
        <f t="shared" si="7"/>
        <v>Regular</v>
      </c>
      <c r="S256" t="s">
        <v>150</v>
      </c>
      <c r="T256">
        <v>40</v>
      </c>
    </row>
    <row r="257" spans="1:20">
      <c r="A257" s="1">
        <v>46027</v>
      </c>
      <c r="B257">
        <v>0</v>
      </c>
      <c r="C257" t="s">
        <v>161</v>
      </c>
      <c r="D257" t="s">
        <v>130</v>
      </c>
      <c r="E257" s="6">
        <v>4988.3298000000004</v>
      </c>
      <c r="F257" s="6">
        <v>5045.2532000000001</v>
      </c>
      <c r="G257" s="6">
        <v>42.8264</v>
      </c>
      <c r="H257" s="6">
        <v>4988.3298000000004</v>
      </c>
      <c r="I257" s="6">
        <v>5045.2532000000001</v>
      </c>
      <c r="J257" s="6">
        <v>42.8264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f t="shared" si="6"/>
        <v>0</v>
      </c>
      <c r="R257" t="str">
        <f t="shared" si="7"/>
        <v>Regular</v>
      </c>
      <c r="S257" t="s">
        <v>150</v>
      </c>
      <c r="T257">
        <v>40</v>
      </c>
    </row>
    <row r="258" spans="1:20">
      <c r="A258" s="1">
        <v>46027</v>
      </c>
      <c r="B258">
        <v>0</v>
      </c>
      <c r="C258" t="s">
        <v>162</v>
      </c>
      <c r="D258" t="s">
        <v>130</v>
      </c>
      <c r="E258" s="6">
        <v>4998.6503000000002</v>
      </c>
      <c r="F258" s="6">
        <v>5043.7455</v>
      </c>
      <c r="G258" s="6">
        <v>42.848300000000002</v>
      </c>
      <c r="H258" s="6">
        <v>4998.6503000000002</v>
      </c>
      <c r="I258" s="6">
        <v>5043.7455</v>
      </c>
      <c r="J258" s="6">
        <v>42.848300000000002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f t="shared" ref="Q258:Q321" si="8">IF(COUNT(N258:O258)&lt;2,"",SQRT(N258^2+O258^2))</f>
        <v>0</v>
      </c>
      <c r="R258" t="str">
        <f t="shared" ref="R258:R321" si="9">IF(COUNT(H258:P258)=0,"Sem leitura",IF(ISNUMBER(SEARCH("Escavação",D258)),IF(OR(Q258&gt;=40,ABS(P258)&gt;=15),"Alarme",IF(OR(Q258&gt;=IF(OR(ISNUMBER(SEARCH("Alçado AB",D258)),ISNUMBER(SEARCH("Alçado CD",D258)),ISNUMBER(SEARCH("Alçado BF",D258)),ISNUMBER(SEARCH("Alçado PQ",D258))),20,30),ABS(P258)&gt;=10),"Alerta","Regular")),IF(OR(Q258&gt;=25,ABS(P258)&gt;=20),"Alarme",IF(OR(Q258&gt;=15,ABS(P258)&gt;=10),"Alerta","Regular"))))</f>
        <v>Regular</v>
      </c>
      <c r="S258" t="s">
        <v>150</v>
      </c>
      <c r="T258">
        <v>40</v>
      </c>
    </row>
    <row r="259" spans="1:20">
      <c r="A259" s="1">
        <v>45985</v>
      </c>
      <c r="B259">
        <v>0</v>
      </c>
      <c r="C259" t="s">
        <v>163</v>
      </c>
      <c r="D259" t="s">
        <v>134</v>
      </c>
      <c r="E259" s="6">
        <v>5013.4206999999997</v>
      </c>
      <c r="F259" s="6">
        <v>5061.5992999999999</v>
      </c>
      <c r="G259" s="6">
        <v>47.2774</v>
      </c>
      <c r="H259" s="6">
        <v>5013.4206999999997</v>
      </c>
      <c r="I259" s="6">
        <v>5061.5992999999999</v>
      </c>
      <c r="J259" s="6">
        <v>47.2774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f t="shared" si="8"/>
        <v>0</v>
      </c>
      <c r="R259" t="str">
        <f t="shared" si="9"/>
        <v>Regular</v>
      </c>
      <c r="S259" t="s">
        <v>150</v>
      </c>
      <c r="T259">
        <v>40</v>
      </c>
    </row>
    <row r="260" spans="1:20">
      <c r="A260" s="1">
        <v>45993</v>
      </c>
      <c r="B260">
        <v>0</v>
      </c>
      <c r="C260" t="s">
        <v>164</v>
      </c>
      <c r="D260" t="s">
        <v>136</v>
      </c>
      <c r="E260" s="6">
        <v>5026.8990000000003</v>
      </c>
      <c r="F260" s="6">
        <v>5072.0330000000004</v>
      </c>
      <c r="G260" s="6">
        <v>44.739800000000002</v>
      </c>
      <c r="H260" s="6">
        <v>5026.8990000000003</v>
      </c>
      <c r="I260" s="6">
        <v>5072.0330000000004</v>
      </c>
      <c r="J260" s="6">
        <v>44.739800000000002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f t="shared" si="8"/>
        <v>0</v>
      </c>
      <c r="R260" t="str">
        <f t="shared" si="9"/>
        <v>Regular</v>
      </c>
      <c r="S260" t="s">
        <v>150</v>
      </c>
      <c r="T260">
        <v>40</v>
      </c>
    </row>
    <row r="261" spans="1:20">
      <c r="A261" s="1">
        <v>46027</v>
      </c>
      <c r="B261">
        <v>0</v>
      </c>
      <c r="C261" t="s">
        <v>165</v>
      </c>
      <c r="D261" t="s">
        <v>136</v>
      </c>
      <c r="E261" s="6">
        <v>5026.6471000000001</v>
      </c>
      <c r="F261" s="6">
        <v>5071.8581999999997</v>
      </c>
      <c r="G261" s="6">
        <v>41.8752</v>
      </c>
      <c r="H261" s="6">
        <v>5026.6471000000001</v>
      </c>
      <c r="I261" s="6">
        <v>5071.8581999999997</v>
      </c>
      <c r="J261" s="6">
        <v>41.8752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f t="shared" si="8"/>
        <v>0</v>
      </c>
      <c r="R261" t="str">
        <f t="shared" si="9"/>
        <v>Regular</v>
      </c>
      <c r="S261" t="s">
        <v>150</v>
      </c>
      <c r="T261">
        <v>40</v>
      </c>
    </row>
    <row r="262" spans="1:20">
      <c r="A262" s="1">
        <v>45964</v>
      </c>
      <c r="B262">
        <v>0</v>
      </c>
      <c r="C262" t="s">
        <v>166</v>
      </c>
      <c r="D262" t="s">
        <v>167</v>
      </c>
      <c r="E262" s="6">
        <v>5037.8409000000001</v>
      </c>
      <c r="F262" s="6">
        <v>5046.2614999999996</v>
      </c>
      <c r="G262" s="6">
        <v>51.521099999999997</v>
      </c>
      <c r="H262" s="6">
        <v>5037.8409000000001</v>
      </c>
      <c r="I262" s="6">
        <v>5046.2614999999996</v>
      </c>
      <c r="J262" s="6">
        <v>51.521099999999997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f t="shared" si="8"/>
        <v>0</v>
      </c>
      <c r="R262" t="str">
        <f t="shared" si="9"/>
        <v>Regular</v>
      </c>
      <c r="S262" t="s">
        <v>150</v>
      </c>
      <c r="T262">
        <v>40</v>
      </c>
    </row>
    <row r="263" spans="1:20">
      <c r="A263" s="1">
        <v>46006</v>
      </c>
      <c r="B263">
        <v>0</v>
      </c>
      <c r="C263" t="s">
        <v>168</v>
      </c>
      <c r="D263" t="s">
        <v>167</v>
      </c>
      <c r="E263" s="6">
        <v>5037.7052999999996</v>
      </c>
      <c r="F263" s="6">
        <v>5047.0955999999996</v>
      </c>
      <c r="G263" s="6">
        <v>42.919199999999996</v>
      </c>
      <c r="H263" s="6">
        <v>5037.7052999999996</v>
      </c>
      <c r="I263" s="6">
        <v>5047.0955999999996</v>
      </c>
      <c r="J263" s="6">
        <v>42.919199999999996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f t="shared" si="8"/>
        <v>0</v>
      </c>
      <c r="R263" t="str">
        <f t="shared" si="9"/>
        <v>Regular</v>
      </c>
      <c r="S263" t="s">
        <v>150</v>
      </c>
      <c r="T263">
        <v>40</v>
      </c>
    </row>
    <row r="264" spans="1:20">
      <c r="A264" s="1">
        <v>45993</v>
      </c>
      <c r="B264">
        <v>0</v>
      </c>
      <c r="C264" t="s">
        <v>169</v>
      </c>
      <c r="D264" t="s">
        <v>145</v>
      </c>
      <c r="E264" s="6">
        <v>5042.0578999999998</v>
      </c>
      <c r="F264" s="6">
        <v>5042.7259000000004</v>
      </c>
      <c r="G264" s="6">
        <v>42.933700000000002</v>
      </c>
      <c r="H264" s="6">
        <v>5042.0578999999998</v>
      </c>
      <c r="I264" s="6">
        <v>5042.7259000000004</v>
      </c>
      <c r="J264" s="6">
        <v>42.933700000000002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f t="shared" si="8"/>
        <v>0</v>
      </c>
      <c r="R264" t="str">
        <f t="shared" si="9"/>
        <v>Regular</v>
      </c>
      <c r="S264" t="s">
        <v>150</v>
      </c>
      <c r="T264">
        <v>40</v>
      </c>
    </row>
    <row r="265" spans="1:20">
      <c r="A265" s="1">
        <v>45993</v>
      </c>
      <c r="B265">
        <v>0</v>
      </c>
      <c r="C265" t="s">
        <v>170</v>
      </c>
      <c r="D265" t="s">
        <v>138</v>
      </c>
      <c r="E265" s="6">
        <v>5045.8157000000001</v>
      </c>
      <c r="F265" s="6">
        <v>5033.7070000000003</v>
      </c>
      <c r="G265" s="6">
        <v>42.660600000000002</v>
      </c>
      <c r="H265" s="6">
        <v>5045.8157000000001</v>
      </c>
      <c r="I265" s="6">
        <v>5033.7070000000003</v>
      </c>
      <c r="J265" s="6">
        <v>42.660600000000002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f t="shared" si="8"/>
        <v>0</v>
      </c>
      <c r="R265" t="str">
        <f t="shared" si="9"/>
        <v>Regular</v>
      </c>
      <c r="S265" t="s">
        <v>150</v>
      </c>
      <c r="T265">
        <v>40</v>
      </c>
    </row>
    <row r="266" spans="1:20">
      <c r="A266" s="1">
        <v>46006</v>
      </c>
      <c r="B266">
        <v>16</v>
      </c>
      <c r="C266" t="s">
        <v>69</v>
      </c>
      <c r="D266" t="s">
        <v>70</v>
      </c>
      <c r="E266" s="6">
        <v>4990.9656999999997</v>
      </c>
      <c r="F266" s="6">
        <v>5053.7449999999999</v>
      </c>
      <c r="G266" s="6">
        <v>60.553600000000003</v>
      </c>
      <c r="H266" s="6">
        <v>4990.9762000000001</v>
      </c>
      <c r="I266" s="6">
        <v>5053.7191000000003</v>
      </c>
      <c r="J266" s="6">
        <v>60.548999999999999</v>
      </c>
      <c r="K266" s="2">
        <v>0</v>
      </c>
      <c r="L266" s="2">
        <v>-1.8</v>
      </c>
      <c r="M266" s="2">
        <v>-0.5</v>
      </c>
      <c r="N266" s="2">
        <v>10.5</v>
      </c>
      <c r="O266" s="2">
        <v>-25.9</v>
      </c>
      <c r="P266" s="2">
        <v>-4.5999999999999996</v>
      </c>
      <c r="Q266" s="2">
        <f t="shared" si="8"/>
        <v>27.947450688747981</v>
      </c>
      <c r="R266" t="str">
        <f t="shared" si="9"/>
        <v>Alarme</v>
      </c>
      <c r="S266" t="s">
        <v>241</v>
      </c>
      <c r="T266">
        <v>19</v>
      </c>
    </row>
    <row r="267" spans="1:20">
      <c r="A267" s="1">
        <v>46006</v>
      </c>
      <c r="B267">
        <v>16</v>
      </c>
      <c r="C267" t="s">
        <v>75</v>
      </c>
      <c r="D267" t="s">
        <v>70</v>
      </c>
      <c r="E267" s="6">
        <v>4990.9760999999999</v>
      </c>
      <c r="F267" s="6">
        <v>5053.7455</v>
      </c>
      <c r="G267" s="6">
        <v>59.095199999999998</v>
      </c>
      <c r="H267" s="6">
        <v>4990.9858999999997</v>
      </c>
      <c r="I267" s="6">
        <v>5053.7212</v>
      </c>
      <c r="J267" s="6">
        <v>59.092500000000001</v>
      </c>
      <c r="K267" s="2">
        <v>0.7</v>
      </c>
      <c r="L267" s="2">
        <v>-1.2</v>
      </c>
      <c r="M267" s="2">
        <v>0.4</v>
      </c>
      <c r="N267" s="2">
        <v>9.8000000000000007</v>
      </c>
      <c r="O267" s="2">
        <v>-24.3</v>
      </c>
      <c r="P267" s="2">
        <v>-2.7</v>
      </c>
      <c r="Q267" s="2">
        <f t="shared" si="8"/>
        <v>26.201717500957834</v>
      </c>
      <c r="R267" t="str">
        <f t="shared" si="9"/>
        <v>Alarme</v>
      </c>
      <c r="S267" t="s">
        <v>241</v>
      </c>
      <c r="T267">
        <v>19</v>
      </c>
    </row>
    <row r="268" spans="1:20">
      <c r="A268" s="1">
        <v>46006</v>
      </c>
      <c r="B268">
        <v>16</v>
      </c>
      <c r="C268" t="s">
        <v>76</v>
      </c>
      <c r="D268" t="s">
        <v>70</v>
      </c>
      <c r="E268" s="6">
        <v>5001.0812999999998</v>
      </c>
      <c r="F268" s="6">
        <v>5053.5291999999999</v>
      </c>
      <c r="G268" s="6">
        <v>60.621899999999997</v>
      </c>
      <c r="H268" s="6">
        <v>5001.0951999999997</v>
      </c>
      <c r="I268" s="6">
        <v>5053.5011000000004</v>
      </c>
      <c r="J268" s="6">
        <v>60.610999999999997</v>
      </c>
      <c r="K268" s="2">
        <v>0.1</v>
      </c>
      <c r="L268" s="2">
        <v>-1.4</v>
      </c>
      <c r="M268" s="2">
        <v>-0.3</v>
      </c>
      <c r="N268" s="2">
        <v>13.9</v>
      </c>
      <c r="O268" s="2">
        <v>-28.1</v>
      </c>
      <c r="P268" s="2">
        <v>-10.9</v>
      </c>
      <c r="Q268" s="2">
        <f t="shared" si="8"/>
        <v>31.349960127566355</v>
      </c>
      <c r="R268" t="str">
        <f t="shared" si="9"/>
        <v>Alarme</v>
      </c>
      <c r="S268" t="s">
        <v>241</v>
      </c>
      <c r="T268">
        <v>19</v>
      </c>
    </row>
    <row r="269" spans="1:20">
      <c r="A269" s="1">
        <v>46006</v>
      </c>
      <c r="B269">
        <v>16</v>
      </c>
      <c r="C269" t="s">
        <v>77</v>
      </c>
      <c r="D269" t="s">
        <v>70</v>
      </c>
      <c r="E269" s="6">
        <v>5001.0428000000002</v>
      </c>
      <c r="F269" s="6">
        <v>5053.5321999999996</v>
      </c>
      <c r="G269" s="6">
        <v>58.677799999999998</v>
      </c>
      <c r="H269" s="6">
        <v>5001.0572000000002</v>
      </c>
      <c r="I269" s="6">
        <v>5053.5057999999999</v>
      </c>
      <c r="J269" s="6">
        <v>58.6663</v>
      </c>
      <c r="K269" s="2">
        <v>0.2</v>
      </c>
      <c r="L269" s="2">
        <v>-1.1000000000000001</v>
      </c>
      <c r="M269" s="2">
        <v>0</v>
      </c>
      <c r="N269" s="2">
        <v>14.4</v>
      </c>
      <c r="O269" s="2">
        <v>-26.4</v>
      </c>
      <c r="P269" s="2">
        <v>-11.5</v>
      </c>
      <c r="Q269" s="2">
        <f t="shared" si="8"/>
        <v>30.071913806740003</v>
      </c>
      <c r="R269" t="str">
        <f t="shared" si="9"/>
        <v>Alarme</v>
      </c>
      <c r="S269" t="s">
        <v>241</v>
      </c>
      <c r="T269">
        <v>19</v>
      </c>
    </row>
    <row r="270" spans="1:20">
      <c r="A270" s="1">
        <v>46006</v>
      </c>
      <c r="B270">
        <v>16</v>
      </c>
      <c r="C270" t="s">
        <v>78</v>
      </c>
      <c r="D270" t="s">
        <v>70</v>
      </c>
      <c r="E270" s="6">
        <v>5005.4017999999996</v>
      </c>
      <c r="F270" s="6">
        <v>5054.5141000000003</v>
      </c>
      <c r="G270" s="6">
        <v>60.181899999999999</v>
      </c>
      <c r="H270" s="6"/>
      <c r="I270" s="6"/>
      <c r="J270" s="6"/>
      <c r="K270" s="2"/>
      <c r="L270" s="2"/>
      <c r="M270" s="2"/>
      <c r="N270" s="2"/>
      <c r="O270" s="2"/>
      <c r="P270" s="2"/>
      <c r="Q270" s="2" t="str">
        <f t="shared" si="8"/>
        <v/>
      </c>
      <c r="R270" t="str">
        <f t="shared" si="9"/>
        <v>Sem leitura</v>
      </c>
      <c r="S270" t="s">
        <v>241</v>
      </c>
      <c r="T270">
        <v>19</v>
      </c>
    </row>
    <row r="271" spans="1:20">
      <c r="A271" s="1">
        <v>46006</v>
      </c>
      <c r="B271">
        <v>16</v>
      </c>
      <c r="C271" t="s">
        <v>80</v>
      </c>
      <c r="D271" t="s">
        <v>70</v>
      </c>
      <c r="E271" s="6">
        <v>5005.4050999999999</v>
      </c>
      <c r="F271" s="6">
        <v>5054.5766999999996</v>
      </c>
      <c r="G271" s="6">
        <v>58.646999999999998</v>
      </c>
      <c r="H271" s="6"/>
      <c r="I271" s="6"/>
      <c r="J271" s="6"/>
      <c r="K271" s="2"/>
      <c r="L271" s="2"/>
      <c r="M271" s="2"/>
      <c r="N271" s="2"/>
      <c r="O271" s="2"/>
      <c r="P271" s="2"/>
      <c r="Q271" s="2" t="str">
        <f t="shared" si="8"/>
        <v/>
      </c>
      <c r="R271" t="str">
        <f t="shared" si="9"/>
        <v>Sem leitura</v>
      </c>
      <c r="S271" t="s">
        <v>241</v>
      </c>
      <c r="T271">
        <v>19</v>
      </c>
    </row>
    <row r="272" spans="1:20">
      <c r="A272" s="1">
        <v>46006</v>
      </c>
      <c r="B272">
        <v>16</v>
      </c>
      <c r="C272" t="s">
        <v>81</v>
      </c>
      <c r="D272" t="s">
        <v>70</v>
      </c>
      <c r="E272" s="6">
        <v>5005.8755000000001</v>
      </c>
      <c r="F272" s="6">
        <v>5063.3173999999999</v>
      </c>
      <c r="G272" s="6">
        <v>60.481099999999998</v>
      </c>
      <c r="H272" s="6"/>
      <c r="I272" s="6"/>
      <c r="J272" s="6"/>
      <c r="K272" s="2"/>
      <c r="L272" s="2"/>
      <c r="M272" s="2"/>
      <c r="N272" s="2"/>
      <c r="O272" s="2"/>
      <c r="P272" s="2"/>
      <c r="Q272" s="2" t="str">
        <f t="shared" si="8"/>
        <v/>
      </c>
      <c r="R272" t="str">
        <f t="shared" si="9"/>
        <v>Sem leitura</v>
      </c>
      <c r="S272" t="s">
        <v>241</v>
      </c>
      <c r="T272">
        <v>19</v>
      </c>
    </row>
    <row r="273" spans="1:20">
      <c r="A273" s="1">
        <v>46006</v>
      </c>
      <c r="B273">
        <v>16</v>
      </c>
      <c r="C273" t="s">
        <v>82</v>
      </c>
      <c r="D273" t="s">
        <v>70</v>
      </c>
      <c r="E273" s="6">
        <v>5005.8838999999998</v>
      </c>
      <c r="F273" s="6">
        <v>5063.7007999999996</v>
      </c>
      <c r="G273" s="6">
        <v>59.329300000000003</v>
      </c>
      <c r="H273" s="6"/>
      <c r="I273" s="6"/>
      <c r="J273" s="6"/>
      <c r="K273" s="2"/>
      <c r="L273" s="2"/>
      <c r="M273" s="2"/>
      <c r="N273" s="2"/>
      <c r="O273" s="2"/>
      <c r="P273" s="2"/>
      <c r="Q273" s="2" t="str">
        <f t="shared" si="8"/>
        <v/>
      </c>
      <c r="R273" t="str">
        <f t="shared" si="9"/>
        <v>Sem leitura</v>
      </c>
      <c r="S273" t="s">
        <v>241</v>
      </c>
      <c r="T273">
        <v>19</v>
      </c>
    </row>
    <row r="274" spans="1:20">
      <c r="A274" s="1">
        <v>46006</v>
      </c>
      <c r="B274">
        <v>16</v>
      </c>
      <c r="C274" t="s">
        <v>83</v>
      </c>
      <c r="D274" t="s">
        <v>84</v>
      </c>
      <c r="E274" s="6">
        <v>5055.3705</v>
      </c>
      <c r="F274" s="6">
        <v>5037.6908000000003</v>
      </c>
      <c r="G274" s="6">
        <v>55.834499999999998</v>
      </c>
      <c r="H274" s="6">
        <v>5055.3594000000003</v>
      </c>
      <c r="I274" s="6">
        <v>5037.6902</v>
      </c>
      <c r="J274" s="6">
        <v>55.835799999999999</v>
      </c>
      <c r="K274" s="2">
        <v>-1.5</v>
      </c>
      <c r="L274" s="2">
        <v>0.3</v>
      </c>
      <c r="M274" s="2">
        <v>1.9</v>
      </c>
      <c r="N274" s="2">
        <v>-11.1</v>
      </c>
      <c r="O274" s="2">
        <v>-0.6</v>
      </c>
      <c r="P274" s="2">
        <v>1.3</v>
      </c>
      <c r="Q274" s="2">
        <f t="shared" si="8"/>
        <v>11.116204388189342</v>
      </c>
      <c r="R274" t="str">
        <f t="shared" si="9"/>
        <v>Regular</v>
      </c>
      <c r="S274" t="s">
        <v>241</v>
      </c>
      <c r="T274">
        <v>19</v>
      </c>
    </row>
    <row r="275" spans="1:20">
      <c r="A275" s="1">
        <v>46006</v>
      </c>
      <c r="B275">
        <v>16</v>
      </c>
      <c r="C275" t="s">
        <v>85</v>
      </c>
      <c r="D275" t="s">
        <v>84</v>
      </c>
      <c r="E275" s="6">
        <v>5055.3611000000001</v>
      </c>
      <c r="F275" s="6">
        <v>5037.652</v>
      </c>
      <c r="G275" s="6">
        <v>53.920200000000001</v>
      </c>
      <c r="H275" s="6">
        <v>5055.3517000000002</v>
      </c>
      <c r="I275" s="6">
        <v>5037.6481000000003</v>
      </c>
      <c r="J275" s="6">
        <v>53.9223</v>
      </c>
      <c r="K275" s="2">
        <v>-1</v>
      </c>
      <c r="L275" s="2">
        <v>0.1</v>
      </c>
      <c r="M275" s="2">
        <v>2</v>
      </c>
      <c r="N275" s="2">
        <v>-9.4</v>
      </c>
      <c r="O275" s="2">
        <v>-3.9</v>
      </c>
      <c r="P275" s="2">
        <v>2.1</v>
      </c>
      <c r="Q275" s="2">
        <f t="shared" si="8"/>
        <v>10.176934705499491</v>
      </c>
      <c r="R275" t="str">
        <f t="shared" si="9"/>
        <v>Regular</v>
      </c>
      <c r="S275" t="s">
        <v>241</v>
      </c>
      <c r="T275">
        <v>19</v>
      </c>
    </row>
    <row r="276" spans="1:20">
      <c r="A276" s="1">
        <v>46006</v>
      </c>
      <c r="B276">
        <v>16</v>
      </c>
      <c r="C276" t="s">
        <v>86</v>
      </c>
      <c r="D276" t="s">
        <v>84</v>
      </c>
      <c r="E276" s="6">
        <v>5053.1266999999998</v>
      </c>
      <c r="F276" s="6">
        <v>5028.5694000000003</v>
      </c>
      <c r="G276" s="6">
        <v>55.876899999999999</v>
      </c>
      <c r="H276" s="6">
        <v>5053.1165000000001</v>
      </c>
      <c r="I276" s="6">
        <v>5028.57</v>
      </c>
      <c r="J276" s="6">
        <v>55.878300000000003</v>
      </c>
      <c r="K276" s="2">
        <v>-1</v>
      </c>
      <c r="L276" s="2">
        <v>0.4</v>
      </c>
      <c r="M276" s="2">
        <v>2.2000000000000002</v>
      </c>
      <c r="N276" s="2">
        <v>-10.199999999999999</v>
      </c>
      <c r="O276" s="2">
        <v>0.6</v>
      </c>
      <c r="P276" s="2">
        <v>1.4</v>
      </c>
      <c r="Q276" s="2">
        <f t="shared" si="8"/>
        <v>10.217631819555841</v>
      </c>
      <c r="R276" t="str">
        <f t="shared" si="9"/>
        <v>Regular</v>
      </c>
      <c r="S276" t="s">
        <v>241</v>
      </c>
      <c r="T276">
        <v>19</v>
      </c>
    </row>
    <row r="277" spans="1:20">
      <c r="A277" s="1">
        <v>46006</v>
      </c>
      <c r="B277">
        <v>16</v>
      </c>
      <c r="C277" t="s">
        <v>87</v>
      </c>
      <c r="D277" t="s">
        <v>84</v>
      </c>
      <c r="E277" s="6">
        <v>5053.1229999999996</v>
      </c>
      <c r="F277" s="6">
        <v>5028.5785999999998</v>
      </c>
      <c r="G277" s="6">
        <v>54.159100000000002</v>
      </c>
      <c r="H277" s="6">
        <v>5053.1131999999998</v>
      </c>
      <c r="I277" s="6">
        <v>5028.5765000000001</v>
      </c>
      <c r="J277" s="6">
        <v>54.160299999999999</v>
      </c>
      <c r="K277" s="2">
        <v>-1.1000000000000001</v>
      </c>
      <c r="L277" s="2">
        <v>0.2</v>
      </c>
      <c r="M277" s="2">
        <v>1.8</v>
      </c>
      <c r="N277" s="2">
        <v>-9.8000000000000007</v>
      </c>
      <c r="O277" s="2">
        <v>-2.1</v>
      </c>
      <c r="P277" s="2">
        <v>1.2</v>
      </c>
      <c r="Q277" s="2">
        <f t="shared" si="8"/>
        <v>10.022474744293447</v>
      </c>
      <c r="R277" t="str">
        <f t="shared" si="9"/>
        <v>Regular</v>
      </c>
      <c r="S277" t="s">
        <v>241</v>
      </c>
      <c r="T277">
        <v>19</v>
      </c>
    </row>
    <row r="278" spans="1:20">
      <c r="A278" s="1">
        <v>46006</v>
      </c>
      <c r="B278">
        <v>16</v>
      </c>
      <c r="C278" t="s">
        <v>88</v>
      </c>
      <c r="D278" t="s">
        <v>89</v>
      </c>
      <c r="E278" s="6">
        <v>5051.1406999999999</v>
      </c>
      <c r="F278" s="6">
        <v>5062.3236999999999</v>
      </c>
      <c r="G278" s="6">
        <v>63.001399999999997</v>
      </c>
      <c r="H278" s="6">
        <v>5051.1342999999997</v>
      </c>
      <c r="I278" s="6">
        <v>5062.3207000000002</v>
      </c>
      <c r="J278" s="6">
        <v>62.9985</v>
      </c>
      <c r="K278" s="2">
        <v>-1.4</v>
      </c>
      <c r="L278" s="2">
        <v>0.4</v>
      </c>
      <c r="M278" s="2">
        <v>-0.3</v>
      </c>
      <c r="N278" s="2">
        <v>-6.4</v>
      </c>
      <c r="O278" s="2">
        <v>-3</v>
      </c>
      <c r="P278" s="2">
        <v>-2.9</v>
      </c>
      <c r="Q278" s="2">
        <f t="shared" si="8"/>
        <v>7.0682388188289176</v>
      </c>
      <c r="R278" t="str">
        <f t="shared" si="9"/>
        <v>Regular</v>
      </c>
      <c r="S278" t="s">
        <v>241</v>
      </c>
      <c r="T278">
        <v>19</v>
      </c>
    </row>
    <row r="279" spans="1:20">
      <c r="A279" s="1">
        <v>46006</v>
      </c>
      <c r="B279">
        <v>16</v>
      </c>
      <c r="C279" t="s">
        <v>90</v>
      </c>
      <c r="D279" t="s">
        <v>89</v>
      </c>
      <c r="E279" s="6">
        <v>5051.0086000000001</v>
      </c>
      <c r="F279" s="6">
        <v>5062.4333999999999</v>
      </c>
      <c r="G279" s="6">
        <v>56.898000000000003</v>
      </c>
      <c r="H279" s="6">
        <v>5051.0029999999997</v>
      </c>
      <c r="I279" s="6">
        <v>5062.4300999999996</v>
      </c>
      <c r="J279" s="6">
        <v>56.897399999999998</v>
      </c>
      <c r="K279" s="2">
        <v>-2.4</v>
      </c>
      <c r="L279" s="2">
        <v>1</v>
      </c>
      <c r="M279" s="2">
        <v>-0.6</v>
      </c>
      <c r="N279" s="2">
        <v>-5.6</v>
      </c>
      <c r="O279" s="2">
        <v>-3.3</v>
      </c>
      <c r="P279" s="2">
        <v>-0.6</v>
      </c>
      <c r="Q279" s="2">
        <f t="shared" si="8"/>
        <v>6.4999999999999991</v>
      </c>
      <c r="R279" t="str">
        <f t="shared" si="9"/>
        <v>Regular</v>
      </c>
      <c r="S279" t="s">
        <v>241</v>
      </c>
      <c r="T279">
        <v>19</v>
      </c>
    </row>
    <row r="280" spans="1:20">
      <c r="A280" s="1">
        <v>46006</v>
      </c>
      <c r="B280">
        <v>16</v>
      </c>
      <c r="C280" t="s">
        <v>91</v>
      </c>
      <c r="D280" t="s">
        <v>89</v>
      </c>
      <c r="E280" s="6">
        <v>5058.5258999999996</v>
      </c>
      <c r="F280" s="6">
        <v>5053.1760000000004</v>
      </c>
      <c r="G280" s="6">
        <v>63.525199999999998</v>
      </c>
      <c r="H280" s="6">
        <v>5058.5183999999999</v>
      </c>
      <c r="I280" s="6">
        <v>5053.1728999999996</v>
      </c>
      <c r="J280" s="6">
        <v>63.525500000000001</v>
      </c>
      <c r="K280" s="2">
        <v>-1.7</v>
      </c>
      <c r="L280" s="2">
        <v>0.1</v>
      </c>
      <c r="M280" s="2">
        <v>0.4</v>
      </c>
      <c r="N280" s="2">
        <v>-7.5</v>
      </c>
      <c r="O280" s="2">
        <v>-3.1</v>
      </c>
      <c r="P280" s="2">
        <v>0.3</v>
      </c>
      <c r="Q280" s="2">
        <f t="shared" si="8"/>
        <v>8.1154174261093921</v>
      </c>
      <c r="R280" t="str">
        <f t="shared" si="9"/>
        <v>Regular</v>
      </c>
      <c r="S280" t="s">
        <v>241</v>
      </c>
      <c r="T280">
        <v>19</v>
      </c>
    </row>
    <row r="281" spans="1:20">
      <c r="A281" s="1">
        <v>46006</v>
      </c>
      <c r="B281">
        <v>16</v>
      </c>
      <c r="C281" t="s">
        <v>92</v>
      </c>
      <c r="D281" t="s">
        <v>89</v>
      </c>
      <c r="E281" s="6">
        <v>5060.2732999999998</v>
      </c>
      <c r="F281" s="6">
        <v>5059.0944</v>
      </c>
      <c r="G281" s="6">
        <v>58.7943</v>
      </c>
      <c r="H281" s="6">
        <v>5060.2655000000004</v>
      </c>
      <c r="I281" s="6">
        <v>5059.0915000000005</v>
      </c>
      <c r="J281" s="6">
        <v>58.7928</v>
      </c>
      <c r="K281" s="2">
        <v>-1.6</v>
      </c>
      <c r="L281" s="2">
        <v>0.4</v>
      </c>
      <c r="M281" s="2">
        <v>2</v>
      </c>
      <c r="N281" s="2">
        <v>-7.8</v>
      </c>
      <c r="O281" s="2">
        <v>-2.9</v>
      </c>
      <c r="P281" s="2">
        <v>-1.5</v>
      </c>
      <c r="Q281" s="2">
        <f t="shared" si="8"/>
        <v>8.3216584885466194</v>
      </c>
      <c r="R281" t="str">
        <f t="shared" si="9"/>
        <v>Regular</v>
      </c>
      <c r="S281" t="s">
        <v>241</v>
      </c>
      <c r="T281">
        <v>19</v>
      </c>
    </row>
    <row r="282" spans="1:20">
      <c r="A282" s="1">
        <v>46006</v>
      </c>
      <c r="B282">
        <v>16</v>
      </c>
      <c r="C282" t="s">
        <v>114</v>
      </c>
      <c r="D282" t="s">
        <v>70</v>
      </c>
      <c r="E282" s="6">
        <v>5005.4053999999996</v>
      </c>
      <c r="F282" s="6">
        <v>5054.1601000000001</v>
      </c>
      <c r="G282" s="6">
        <v>59.572699999999998</v>
      </c>
      <c r="H282" s="6">
        <v>5005.4170999999997</v>
      </c>
      <c r="I282" s="6">
        <v>5054.1468000000004</v>
      </c>
      <c r="J282" s="6">
        <v>59.5657</v>
      </c>
      <c r="K282" s="2">
        <v>-0.1</v>
      </c>
      <c r="L282" s="2">
        <v>-1.4</v>
      </c>
      <c r="M282" s="2">
        <v>-0.7</v>
      </c>
      <c r="N282" s="2">
        <v>11.7</v>
      </c>
      <c r="O282" s="2">
        <v>-13.3</v>
      </c>
      <c r="P282" s="2">
        <v>-7</v>
      </c>
      <c r="Q282" s="2">
        <f t="shared" si="8"/>
        <v>17.713836399831628</v>
      </c>
      <c r="R282" t="str">
        <f t="shared" si="9"/>
        <v>Alerta</v>
      </c>
      <c r="S282" t="s">
        <v>241</v>
      </c>
      <c r="T282">
        <v>19</v>
      </c>
    </row>
    <row r="283" spans="1:20">
      <c r="A283" s="1">
        <v>46006</v>
      </c>
      <c r="B283">
        <v>16</v>
      </c>
      <c r="C283" t="s">
        <v>116</v>
      </c>
      <c r="D283" t="s">
        <v>70</v>
      </c>
      <c r="E283" s="6">
        <v>5005.4237999999996</v>
      </c>
      <c r="F283" s="6">
        <v>5054.4835999999996</v>
      </c>
      <c r="G283" s="6">
        <v>58.357300000000002</v>
      </c>
      <c r="H283" s="6">
        <v>5005.4351999999999</v>
      </c>
      <c r="I283" s="6">
        <v>5054.4700999999995</v>
      </c>
      <c r="J283" s="6">
        <v>58.3506</v>
      </c>
      <c r="K283" s="2">
        <v>-0.1</v>
      </c>
      <c r="L283" s="2">
        <v>-1.1000000000000001</v>
      </c>
      <c r="M283" s="2">
        <v>-0.6</v>
      </c>
      <c r="N283" s="2">
        <v>11.4</v>
      </c>
      <c r="O283" s="2">
        <v>-13.5</v>
      </c>
      <c r="P283" s="2">
        <v>-6.7</v>
      </c>
      <c r="Q283" s="2">
        <f t="shared" si="8"/>
        <v>17.669465187152667</v>
      </c>
      <c r="R283" t="str">
        <f t="shared" si="9"/>
        <v>Alerta</v>
      </c>
      <c r="S283" t="s">
        <v>241</v>
      </c>
      <c r="T283">
        <v>19</v>
      </c>
    </row>
    <row r="284" spans="1:20">
      <c r="A284" s="1">
        <v>46006</v>
      </c>
      <c r="B284">
        <v>16</v>
      </c>
      <c r="C284" t="s">
        <v>117</v>
      </c>
      <c r="D284" t="s">
        <v>70</v>
      </c>
      <c r="E284" s="6">
        <v>5005.9258</v>
      </c>
      <c r="F284" s="6">
        <v>5064.1066000000001</v>
      </c>
      <c r="G284" s="6">
        <v>60.544499999999999</v>
      </c>
      <c r="H284" s="6">
        <v>5005.9372000000003</v>
      </c>
      <c r="I284" s="6">
        <v>5064.0941999999995</v>
      </c>
      <c r="J284" s="6">
        <v>60.5334</v>
      </c>
      <c r="K284" s="2">
        <v>-0.6</v>
      </c>
      <c r="L284" s="2">
        <v>-1.3</v>
      </c>
      <c r="M284" s="2">
        <v>-1</v>
      </c>
      <c r="N284" s="2">
        <v>11.4</v>
      </c>
      <c r="O284" s="2">
        <v>-12.4</v>
      </c>
      <c r="P284" s="2">
        <v>-11.1</v>
      </c>
      <c r="Q284" s="2">
        <f t="shared" si="8"/>
        <v>16.843990026119108</v>
      </c>
      <c r="R284" t="str">
        <f t="shared" si="9"/>
        <v>Alerta</v>
      </c>
      <c r="S284" t="s">
        <v>241</v>
      </c>
      <c r="T284">
        <v>19</v>
      </c>
    </row>
    <row r="285" spans="1:20">
      <c r="A285" s="1">
        <v>46006</v>
      </c>
      <c r="B285">
        <v>16</v>
      </c>
      <c r="C285" t="s">
        <v>118</v>
      </c>
      <c r="D285" t="s">
        <v>70</v>
      </c>
      <c r="E285" s="6">
        <v>5005.8734999999997</v>
      </c>
      <c r="F285" s="6">
        <v>5063.2722999999996</v>
      </c>
      <c r="G285" s="6">
        <v>58.732500000000002</v>
      </c>
      <c r="H285" s="6">
        <v>5005.8834999999999</v>
      </c>
      <c r="I285" s="6">
        <v>5063.2601999999997</v>
      </c>
      <c r="J285" s="6">
        <v>58.7224</v>
      </c>
      <c r="K285" s="2">
        <v>0.2</v>
      </c>
      <c r="L285" s="2">
        <v>-1.4</v>
      </c>
      <c r="M285" s="2">
        <v>-0.9</v>
      </c>
      <c r="N285" s="2">
        <v>10</v>
      </c>
      <c r="O285" s="2">
        <v>-12.1</v>
      </c>
      <c r="P285" s="2">
        <v>-10.1</v>
      </c>
      <c r="Q285" s="2">
        <f t="shared" si="8"/>
        <v>15.697452022541748</v>
      </c>
      <c r="R285" t="str">
        <f t="shared" si="9"/>
        <v>Alerta</v>
      </c>
      <c r="S285" t="s">
        <v>241</v>
      </c>
      <c r="T285">
        <v>19</v>
      </c>
    </row>
    <row r="286" spans="1:20">
      <c r="A286" s="1">
        <v>46006</v>
      </c>
      <c r="B286">
        <v>11</v>
      </c>
      <c r="C286" t="s">
        <v>119</v>
      </c>
      <c r="D286" t="s">
        <v>120</v>
      </c>
      <c r="E286" s="6">
        <v>5019.7240000000002</v>
      </c>
      <c r="F286" s="6">
        <v>5017.4448000000002</v>
      </c>
      <c r="G286" s="6">
        <v>48.267099999999999</v>
      </c>
      <c r="H286" s="6"/>
      <c r="I286" s="6"/>
      <c r="J286" s="6"/>
      <c r="K286" s="2"/>
      <c r="L286" s="2"/>
      <c r="M286" s="2"/>
      <c r="N286" s="2"/>
      <c r="O286" s="2"/>
      <c r="P286" s="2"/>
      <c r="Q286" s="2" t="str">
        <f t="shared" si="8"/>
        <v/>
      </c>
      <c r="R286" t="str">
        <f t="shared" si="9"/>
        <v>Sem leitura</v>
      </c>
      <c r="S286" t="s">
        <v>241</v>
      </c>
      <c r="T286">
        <v>49</v>
      </c>
    </row>
    <row r="287" spans="1:20">
      <c r="A287" s="1">
        <v>46006</v>
      </c>
      <c r="B287">
        <v>11</v>
      </c>
      <c r="C287" t="s">
        <v>122</v>
      </c>
      <c r="D287" t="s">
        <v>123</v>
      </c>
      <c r="E287" s="6">
        <v>4982.3819999999996</v>
      </c>
      <c r="F287" s="6">
        <v>5027.9636</v>
      </c>
      <c r="G287" s="6">
        <v>48.275500000000001</v>
      </c>
      <c r="H287" s="6">
        <v>4982.4022000000004</v>
      </c>
      <c r="I287" s="6">
        <v>5027.9632000000001</v>
      </c>
      <c r="J287" s="6">
        <v>48.279699999999998</v>
      </c>
      <c r="K287" s="2">
        <v>9.9</v>
      </c>
      <c r="L287" s="2">
        <v>-0.7</v>
      </c>
      <c r="M287" s="2">
        <v>2.5</v>
      </c>
      <c r="N287" s="2">
        <v>20.2</v>
      </c>
      <c r="O287" s="2">
        <v>-0.4</v>
      </c>
      <c r="P287" s="2">
        <v>4.2</v>
      </c>
      <c r="Q287" s="2">
        <f t="shared" si="8"/>
        <v>20.203960007879644</v>
      </c>
      <c r="R287" t="str">
        <f t="shared" si="9"/>
        <v>Alerta</v>
      </c>
      <c r="S287" t="s">
        <v>241</v>
      </c>
      <c r="T287">
        <v>49</v>
      </c>
    </row>
    <row r="288" spans="1:20">
      <c r="A288" s="1">
        <v>46006</v>
      </c>
      <c r="B288">
        <v>11</v>
      </c>
      <c r="C288" t="s">
        <v>124</v>
      </c>
      <c r="D288" t="s">
        <v>125</v>
      </c>
      <c r="E288" s="6">
        <v>4986.2775000000001</v>
      </c>
      <c r="F288" s="6">
        <v>5019.8639000000003</v>
      </c>
      <c r="G288" s="6">
        <v>50.872999999999998</v>
      </c>
      <c r="H288" s="6">
        <v>4986.2816999999995</v>
      </c>
      <c r="I288" s="6">
        <v>5019.8621999999996</v>
      </c>
      <c r="J288" s="6">
        <v>50.873600000000003</v>
      </c>
      <c r="K288" s="2">
        <v>1.1000000000000001</v>
      </c>
      <c r="L288" s="2">
        <v>-1.2</v>
      </c>
      <c r="M288" s="2">
        <v>0.3</v>
      </c>
      <c r="N288" s="2">
        <v>4.2</v>
      </c>
      <c r="O288" s="2">
        <v>-1.7</v>
      </c>
      <c r="P288" s="2">
        <v>0.6</v>
      </c>
      <c r="Q288" s="2">
        <f t="shared" si="8"/>
        <v>4.5310043036836767</v>
      </c>
      <c r="R288" t="str">
        <f t="shared" si="9"/>
        <v>Regular</v>
      </c>
      <c r="S288" t="s">
        <v>241</v>
      </c>
      <c r="T288">
        <v>49</v>
      </c>
    </row>
    <row r="289" spans="1:20">
      <c r="A289" s="1">
        <v>46006</v>
      </c>
      <c r="B289">
        <v>11</v>
      </c>
      <c r="C289" t="s">
        <v>126</v>
      </c>
      <c r="D289" t="s">
        <v>125</v>
      </c>
      <c r="E289" s="6">
        <v>4977.5057999999999</v>
      </c>
      <c r="F289" s="6">
        <v>5027.6043</v>
      </c>
      <c r="G289" s="6">
        <v>52.208399999999997</v>
      </c>
      <c r="H289" s="6">
        <v>4977.5083000000004</v>
      </c>
      <c r="I289" s="6">
        <v>5027.5996999999998</v>
      </c>
      <c r="J289" s="6">
        <v>52.207900000000002</v>
      </c>
      <c r="K289" s="2">
        <v>-0.8</v>
      </c>
      <c r="L289" s="2">
        <v>-1.7</v>
      </c>
      <c r="M289" s="2">
        <v>-0.8</v>
      </c>
      <c r="N289" s="2">
        <v>2.5</v>
      </c>
      <c r="O289" s="2">
        <v>-4.5999999999999996</v>
      </c>
      <c r="P289" s="2">
        <v>-0.5</v>
      </c>
      <c r="Q289" s="2">
        <f t="shared" si="8"/>
        <v>5.2354560450833691</v>
      </c>
      <c r="R289" t="str">
        <f t="shared" si="9"/>
        <v>Regular</v>
      </c>
      <c r="S289" t="s">
        <v>241</v>
      </c>
      <c r="T289">
        <v>49</v>
      </c>
    </row>
    <row r="290" spans="1:20">
      <c r="A290" s="1">
        <v>46006</v>
      </c>
      <c r="B290">
        <v>11</v>
      </c>
      <c r="C290" t="s">
        <v>127</v>
      </c>
      <c r="D290" t="s">
        <v>128</v>
      </c>
      <c r="E290" s="6">
        <v>4974.3924999999999</v>
      </c>
      <c r="F290" s="6">
        <v>5039.5325999999995</v>
      </c>
      <c r="G290" s="6">
        <v>53.556800000000003</v>
      </c>
      <c r="H290" s="6">
        <v>4974.3982999999998</v>
      </c>
      <c r="I290" s="6">
        <v>5039.5325000000003</v>
      </c>
      <c r="J290" s="6">
        <v>53.557600000000001</v>
      </c>
      <c r="K290" s="2">
        <v>1.7</v>
      </c>
      <c r="L290" s="2">
        <v>-0.6</v>
      </c>
      <c r="M290" s="2">
        <v>0.2</v>
      </c>
      <c r="N290" s="2">
        <v>5.8</v>
      </c>
      <c r="O290" s="2">
        <v>-0.1</v>
      </c>
      <c r="P290" s="2">
        <v>0.8</v>
      </c>
      <c r="Q290" s="2">
        <f t="shared" si="8"/>
        <v>5.8008620049092698</v>
      </c>
      <c r="R290" t="str">
        <f t="shared" si="9"/>
        <v>Regular</v>
      </c>
      <c r="S290" t="s">
        <v>241</v>
      </c>
      <c r="T290">
        <v>49</v>
      </c>
    </row>
    <row r="291" spans="1:20">
      <c r="A291" s="1">
        <v>46006</v>
      </c>
      <c r="B291">
        <v>11</v>
      </c>
      <c r="C291" t="s">
        <v>129</v>
      </c>
      <c r="D291" t="s">
        <v>130</v>
      </c>
      <c r="E291" s="6">
        <v>4981.8689000000004</v>
      </c>
      <c r="F291" s="6">
        <v>5046.9902000000002</v>
      </c>
      <c r="G291" s="6">
        <v>53.966500000000003</v>
      </c>
      <c r="H291" s="6">
        <v>4981.8813</v>
      </c>
      <c r="I291" s="6">
        <v>5046.9808000000003</v>
      </c>
      <c r="J291" s="6">
        <v>53.968800000000002</v>
      </c>
      <c r="K291" s="2">
        <v>-0.4</v>
      </c>
      <c r="L291" s="2">
        <v>-0.3</v>
      </c>
      <c r="M291" s="2">
        <v>1.5</v>
      </c>
      <c r="N291" s="2">
        <v>12.4</v>
      </c>
      <c r="O291" s="2">
        <v>-9.4</v>
      </c>
      <c r="P291" s="2">
        <v>2.2999999999999998</v>
      </c>
      <c r="Q291" s="2">
        <f t="shared" si="8"/>
        <v>15.560205654167943</v>
      </c>
      <c r="R291" t="str">
        <f t="shared" si="9"/>
        <v>Regular</v>
      </c>
      <c r="S291" t="s">
        <v>241</v>
      </c>
      <c r="T291">
        <v>49</v>
      </c>
    </row>
    <row r="292" spans="1:20">
      <c r="A292" s="1">
        <v>46006</v>
      </c>
      <c r="B292">
        <v>11</v>
      </c>
      <c r="C292" t="s">
        <v>131</v>
      </c>
      <c r="D292" t="s">
        <v>130</v>
      </c>
      <c r="E292" s="6">
        <v>4993.0258000000003</v>
      </c>
      <c r="F292" s="6">
        <v>5045.3909000000003</v>
      </c>
      <c r="G292" s="6">
        <v>53.905200000000001</v>
      </c>
      <c r="H292" s="6">
        <v>4993.0353999999998</v>
      </c>
      <c r="I292" s="6">
        <v>5045.3787000000002</v>
      </c>
      <c r="J292" s="6">
        <v>53.9056</v>
      </c>
      <c r="K292" s="2">
        <v>0.5</v>
      </c>
      <c r="L292" s="2">
        <v>-0.9</v>
      </c>
      <c r="M292" s="2">
        <v>1.1000000000000001</v>
      </c>
      <c r="N292" s="2">
        <v>9.6</v>
      </c>
      <c r="O292" s="2">
        <v>-12.2</v>
      </c>
      <c r="P292" s="2">
        <v>0.4</v>
      </c>
      <c r="Q292" s="2">
        <f t="shared" si="8"/>
        <v>15.524174696260022</v>
      </c>
      <c r="R292" t="str">
        <f t="shared" si="9"/>
        <v>Regular</v>
      </c>
      <c r="S292" t="s">
        <v>241</v>
      </c>
      <c r="T292">
        <v>49</v>
      </c>
    </row>
    <row r="293" spans="1:20">
      <c r="A293" s="1">
        <v>46006</v>
      </c>
      <c r="B293">
        <v>11</v>
      </c>
      <c r="C293" t="s">
        <v>132</v>
      </c>
      <c r="D293" t="s">
        <v>130</v>
      </c>
      <c r="E293" s="6">
        <v>5002.4090999999999</v>
      </c>
      <c r="F293" s="6">
        <v>5044.0244000000002</v>
      </c>
      <c r="G293" s="6">
        <v>53.889200000000002</v>
      </c>
      <c r="H293" s="6">
        <v>5002.4165999999996</v>
      </c>
      <c r="I293" s="6">
        <v>5044.0038999999997</v>
      </c>
      <c r="J293" s="6">
        <v>53.892299999999999</v>
      </c>
      <c r="K293" s="2">
        <v>0</v>
      </c>
      <c r="L293" s="2">
        <v>-1.1000000000000001</v>
      </c>
      <c r="M293" s="2">
        <v>2.7</v>
      </c>
      <c r="N293" s="2">
        <v>7.5</v>
      </c>
      <c r="O293" s="2">
        <v>-20.5</v>
      </c>
      <c r="P293" s="2">
        <v>3.1</v>
      </c>
      <c r="Q293" s="2">
        <f t="shared" si="8"/>
        <v>21.828879952943073</v>
      </c>
      <c r="R293" t="str">
        <f t="shared" si="9"/>
        <v>Regular</v>
      </c>
      <c r="S293" t="s">
        <v>241</v>
      </c>
      <c r="T293">
        <v>49</v>
      </c>
    </row>
    <row r="294" spans="1:20">
      <c r="A294" s="1">
        <v>46006</v>
      </c>
      <c r="B294">
        <v>11</v>
      </c>
      <c r="C294" t="s">
        <v>133</v>
      </c>
      <c r="D294" t="s">
        <v>134</v>
      </c>
      <c r="E294" s="6">
        <v>5012.8994000000002</v>
      </c>
      <c r="F294" s="6">
        <v>5060.6997000000001</v>
      </c>
      <c r="G294" s="6">
        <v>52.496299999999998</v>
      </c>
      <c r="H294" s="6">
        <v>5012.8959999999997</v>
      </c>
      <c r="I294" s="6">
        <v>5060.6836000000003</v>
      </c>
      <c r="J294" s="6">
        <v>52.500799999999998</v>
      </c>
      <c r="K294" s="2">
        <v>-2.2000000000000002</v>
      </c>
      <c r="L294" s="2">
        <v>-2.5</v>
      </c>
      <c r="M294" s="2">
        <v>1</v>
      </c>
      <c r="N294" s="2">
        <v>-3.4</v>
      </c>
      <c r="O294" s="2">
        <v>-16.100000000000001</v>
      </c>
      <c r="P294" s="2">
        <v>4.5</v>
      </c>
      <c r="Q294" s="2">
        <f t="shared" si="8"/>
        <v>16.455090397806998</v>
      </c>
      <c r="R294" t="str">
        <f t="shared" si="9"/>
        <v>Regular</v>
      </c>
      <c r="S294" t="s">
        <v>241</v>
      </c>
      <c r="T294">
        <v>49</v>
      </c>
    </row>
    <row r="295" spans="1:20">
      <c r="A295" s="1">
        <v>46006</v>
      </c>
      <c r="B295">
        <v>11</v>
      </c>
      <c r="C295" t="s">
        <v>135</v>
      </c>
      <c r="D295" t="s">
        <v>136</v>
      </c>
      <c r="E295" s="6">
        <v>5026.7076999999999</v>
      </c>
      <c r="F295" s="6">
        <v>5072.3888999999999</v>
      </c>
      <c r="G295" s="6">
        <v>53.761400000000002</v>
      </c>
      <c r="H295" s="6">
        <v>5026.7039999999997</v>
      </c>
      <c r="I295" s="6">
        <v>5072.3743000000004</v>
      </c>
      <c r="J295" s="6">
        <v>53.764200000000002</v>
      </c>
      <c r="K295" s="2">
        <v>-2.6</v>
      </c>
      <c r="L295" s="2">
        <v>-1.6</v>
      </c>
      <c r="M295" s="2">
        <v>0.9</v>
      </c>
      <c r="N295" s="2">
        <v>-3.7</v>
      </c>
      <c r="O295" s="2">
        <v>-14.6</v>
      </c>
      <c r="P295" s="2">
        <v>2.8</v>
      </c>
      <c r="Q295" s="2">
        <f t="shared" si="8"/>
        <v>15.06154042586614</v>
      </c>
      <c r="R295" t="str">
        <f t="shared" si="9"/>
        <v>Regular</v>
      </c>
      <c r="S295" t="s">
        <v>241</v>
      </c>
      <c r="T295">
        <v>49</v>
      </c>
    </row>
    <row r="296" spans="1:20">
      <c r="A296" s="1">
        <v>46006</v>
      </c>
      <c r="B296">
        <v>11</v>
      </c>
      <c r="C296" t="s">
        <v>137</v>
      </c>
      <c r="D296" t="s">
        <v>138</v>
      </c>
      <c r="E296" s="6">
        <v>5046.1882999999998</v>
      </c>
      <c r="F296" s="6">
        <v>5033.5622999999996</v>
      </c>
      <c r="G296" s="6">
        <v>48.999099999999999</v>
      </c>
      <c r="H296" s="6">
        <v>5046.1706999999997</v>
      </c>
      <c r="I296" s="6">
        <v>5033.5595999999996</v>
      </c>
      <c r="J296" s="6">
        <v>48.999299999999998</v>
      </c>
      <c r="K296" s="2">
        <v>-1.6</v>
      </c>
      <c r="L296" s="2">
        <v>0.1</v>
      </c>
      <c r="M296" s="2">
        <v>0.7</v>
      </c>
      <c r="N296" s="2">
        <v>-17.600000000000001</v>
      </c>
      <c r="O296" s="2">
        <v>-2.7</v>
      </c>
      <c r="P296" s="2">
        <v>0.2</v>
      </c>
      <c r="Q296" s="2">
        <f t="shared" si="8"/>
        <v>17.805897899291686</v>
      </c>
      <c r="R296" t="str">
        <f t="shared" si="9"/>
        <v>Regular</v>
      </c>
      <c r="S296" t="s">
        <v>241</v>
      </c>
      <c r="T296">
        <v>49</v>
      </c>
    </row>
    <row r="297" spans="1:20">
      <c r="A297" s="1">
        <v>46006</v>
      </c>
      <c r="B297">
        <v>11</v>
      </c>
      <c r="C297" t="s">
        <v>139</v>
      </c>
      <c r="D297" t="s">
        <v>134</v>
      </c>
      <c r="E297" s="6">
        <v>5010.7592999999997</v>
      </c>
      <c r="F297" s="6">
        <v>5050.9463999999998</v>
      </c>
      <c r="G297" s="6">
        <v>52.517400000000002</v>
      </c>
      <c r="H297" s="6">
        <v>5010.7529000000004</v>
      </c>
      <c r="I297" s="6">
        <v>5050.9304000000002</v>
      </c>
      <c r="J297" s="6">
        <v>52.523400000000002</v>
      </c>
      <c r="K297" s="2">
        <v>-1.9</v>
      </c>
      <c r="L297" s="2">
        <v>-2.9</v>
      </c>
      <c r="M297" s="2">
        <v>1.2</v>
      </c>
      <c r="N297" s="2">
        <v>-6.4</v>
      </c>
      <c r="O297" s="2">
        <v>-16</v>
      </c>
      <c r="P297" s="2">
        <v>6</v>
      </c>
      <c r="Q297" s="2">
        <f t="shared" si="8"/>
        <v>17.232527382830416</v>
      </c>
      <c r="R297" t="str">
        <f t="shared" si="9"/>
        <v>Regular</v>
      </c>
      <c r="S297" t="s">
        <v>241</v>
      </c>
      <c r="T297">
        <v>49</v>
      </c>
    </row>
    <row r="298" spans="1:20">
      <c r="A298" s="1">
        <v>46006</v>
      </c>
      <c r="B298">
        <v>11</v>
      </c>
      <c r="C298" t="s">
        <v>140</v>
      </c>
      <c r="D298" t="s">
        <v>128</v>
      </c>
      <c r="E298" s="6">
        <v>4976.0573000000004</v>
      </c>
      <c r="F298" s="6">
        <v>5040.5965999999999</v>
      </c>
      <c r="G298" s="6">
        <v>48.214799999999997</v>
      </c>
      <c r="H298" s="6">
        <v>4976.0663999999997</v>
      </c>
      <c r="I298" s="6">
        <v>5040.5940000000001</v>
      </c>
      <c r="J298" s="6">
        <v>48.216000000000001</v>
      </c>
      <c r="K298" s="2">
        <v>3.5</v>
      </c>
      <c r="L298" s="2">
        <v>1.4</v>
      </c>
      <c r="M298" s="2">
        <v>0.5</v>
      </c>
      <c r="N298" s="2">
        <v>9.1</v>
      </c>
      <c r="O298" s="2">
        <v>-2.6</v>
      </c>
      <c r="P298" s="2">
        <v>1.2</v>
      </c>
      <c r="Q298" s="2">
        <f t="shared" si="8"/>
        <v>9.4641428560646741</v>
      </c>
      <c r="R298" t="str">
        <f t="shared" si="9"/>
        <v>Regular</v>
      </c>
      <c r="S298" t="s">
        <v>241</v>
      </c>
      <c r="T298">
        <v>49</v>
      </c>
    </row>
    <row r="299" spans="1:20">
      <c r="A299" s="1">
        <v>46006</v>
      </c>
      <c r="B299">
        <v>11</v>
      </c>
      <c r="C299" t="s">
        <v>141</v>
      </c>
      <c r="D299" t="s">
        <v>130</v>
      </c>
      <c r="E299" s="6">
        <v>4987.9621999999999</v>
      </c>
      <c r="F299" s="6">
        <v>5045.3176000000003</v>
      </c>
      <c r="G299" s="6">
        <v>47.637599999999999</v>
      </c>
      <c r="H299" s="6">
        <v>4987.9691999999995</v>
      </c>
      <c r="I299" s="6">
        <v>5045.3044</v>
      </c>
      <c r="J299" s="6">
        <v>47.639800000000001</v>
      </c>
      <c r="K299" s="2">
        <v>-1.3</v>
      </c>
      <c r="L299" s="2">
        <v>-0.6</v>
      </c>
      <c r="M299" s="2">
        <v>1.8</v>
      </c>
      <c r="N299" s="2">
        <v>7</v>
      </c>
      <c r="O299" s="2">
        <v>-13.2</v>
      </c>
      <c r="P299" s="2">
        <v>2.2000000000000002</v>
      </c>
      <c r="Q299" s="2">
        <f t="shared" si="8"/>
        <v>14.941218156495808</v>
      </c>
      <c r="R299" t="str">
        <f t="shared" si="9"/>
        <v>Regular</v>
      </c>
      <c r="S299" t="s">
        <v>241</v>
      </c>
      <c r="T299">
        <v>49</v>
      </c>
    </row>
    <row r="300" spans="1:20">
      <c r="A300" s="1">
        <v>46006</v>
      </c>
      <c r="B300">
        <v>11</v>
      </c>
      <c r="C300" t="s">
        <v>142</v>
      </c>
      <c r="D300" t="s">
        <v>130</v>
      </c>
      <c r="E300" s="6">
        <v>5002.5304999999998</v>
      </c>
      <c r="F300" s="6">
        <v>5043.4611000000004</v>
      </c>
      <c r="G300" s="6">
        <v>47.537100000000002</v>
      </c>
      <c r="H300" s="6">
        <v>5002.5370999999996</v>
      </c>
      <c r="I300" s="6">
        <v>5043.4444000000003</v>
      </c>
      <c r="J300" s="6">
        <v>47.539000000000001</v>
      </c>
      <c r="K300" s="2">
        <v>-0.6</v>
      </c>
      <c r="L300" s="2">
        <v>-1.8</v>
      </c>
      <c r="M300" s="2">
        <v>1.6</v>
      </c>
      <c r="N300" s="2">
        <v>6.6</v>
      </c>
      <c r="O300" s="2">
        <v>-16.7</v>
      </c>
      <c r="P300" s="2">
        <v>1.9</v>
      </c>
      <c r="Q300" s="2">
        <f t="shared" si="8"/>
        <v>17.956892826989861</v>
      </c>
      <c r="R300" t="str">
        <f t="shared" si="9"/>
        <v>Regular</v>
      </c>
      <c r="S300" t="s">
        <v>241</v>
      </c>
      <c r="T300">
        <v>49</v>
      </c>
    </row>
    <row r="301" spans="1:20">
      <c r="A301" s="1">
        <v>46006</v>
      </c>
      <c r="B301">
        <v>11</v>
      </c>
      <c r="C301" t="s">
        <v>143</v>
      </c>
      <c r="D301" t="s">
        <v>136</v>
      </c>
      <c r="E301" s="6">
        <v>5027.4714000000004</v>
      </c>
      <c r="F301" s="6">
        <v>5072.2404999999999</v>
      </c>
      <c r="G301" s="6">
        <v>51.143700000000003</v>
      </c>
      <c r="H301" s="6">
        <v>5027.4700999999995</v>
      </c>
      <c r="I301" s="6">
        <v>5072.2281000000003</v>
      </c>
      <c r="J301" s="6">
        <v>51.146299999999997</v>
      </c>
      <c r="K301" s="2">
        <v>-2.2000000000000002</v>
      </c>
      <c r="L301" s="2">
        <v>-2.2999999999999998</v>
      </c>
      <c r="M301" s="2">
        <v>0.9</v>
      </c>
      <c r="N301" s="2">
        <v>-1.3</v>
      </c>
      <c r="O301" s="2">
        <v>-12.4</v>
      </c>
      <c r="P301" s="2">
        <v>2.6</v>
      </c>
      <c r="Q301" s="2">
        <f t="shared" si="8"/>
        <v>12.467958934805649</v>
      </c>
      <c r="R301" t="str">
        <f t="shared" si="9"/>
        <v>Regular</v>
      </c>
      <c r="S301" t="s">
        <v>241</v>
      </c>
      <c r="T301">
        <v>49</v>
      </c>
    </row>
    <row r="302" spans="1:20">
      <c r="A302" s="1">
        <v>46006</v>
      </c>
      <c r="B302">
        <v>11</v>
      </c>
      <c r="C302" t="s">
        <v>144</v>
      </c>
      <c r="D302" t="s">
        <v>145</v>
      </c>
      <c r="E302" s="6">
        <v>5041.9629000000004</v>
      </c>
      <c r="F302" s="6">
        <v>5043.3289999999997</v>
      </c>
      <c r="G302" s="6">
        <v>52.0655</v>
      </c>
      <c r="H302" s="6">
        <v>5041.9565000000002</v>
      </c>
      <c r="I302" s="6">
        <v>5043.3230999999996</v>
      </c>
      <c r="J302" s="6">
        <v>52.065300000000001</v>
      </c>
      <c r="K302" s="2">
        <v>-1.8</v>
      </c>
      <c r="L302" s="2">
        <v>0</v>
      </c>
      <c r="M302" s="2">
        <v>0.5</v>
      </c>
      <c r="N302" s="2">
        <v>-6.4</v>
      </c>
      <c r="O302" s="2">
        <v>-5.9</v>
      </c>
      <c r="P302" s="2">
        <v>-0.2</v>
      </c>
      <c r="Q302" s="2">
        <f t="shared" si="8"/>
        <v>8.7045964869142569</v>
      </c>
      <c r="R302" t="str">
        <f t="shared" si="9"/>
        <v>Regular</v>
      </c>
      <c r="S302" t="s">
        <v>241</v>
      </c>
      <c r="T302">
        <v>49</v>
      </c>
    </row>
    <row r="303" spans="1:20">
      <c r="A303" s="1">
        <v>46006</v>
      </c>
      <c r="B303">
        <v>11</v>
      </c>
      <c r="C303" t="s">
        <v>166</v>
      </c>
      <c r="D303" t="s">
        <v>167</v>
      </c>
      <c r="E303" s="6">
        <v>5037.8409000000001</v>
      </c>
      <c r="F303" s="6">
        <v>5046.2614999999996</v>
      </c>
      <c r="G303" s="6">
        <v>51.521099999999997</v>
      </c>
      <c r="H303" s="6">
        <v>5037.8341</v>
      </c>
      <c r="I303" s="6">
        <v>5046.2559000000001</v>
      </c>
      <c r="J303" s="6">
        <v>51.523299999999999</v>
      </c>
      <c r="K303" s="2">
        <v>-1.2</v>
      </c>
      <c r="L303" s="2">
        <v>0.4</v>
      </c>
      <c r="M303" s="2">
        <v>0.9</v>
      </c>
      <c r="N303" s="2">
        <v>-6.8</v>
      </c>
      <c r="O303" s="2">
        <v>-5.6</v>
      </c>
      <c r="P303" s="2">
        <v>2.2000000000000002</v>
      </c>
      <c r="Q303" s="2">
        <f t="shared" si="8"/>
        <v>8.8090862182180967</v>
      </c>
      <c r="R303" t="str">
        <f t="shared" si="9"/>
        <v>Regular</v>
      </c>
      <c r="S303" t="s">
        <v>241</v>
      </c>
      <c r="T303">
        <v>49</v>
      </c>
    </row>
    <row r="304" spans="1:20">
      <c r="A304" s="1">
        <v>46006</v>
      </c>
      <c r="B304">
        <v>11</v>
      </c>
      <c r="C304" t="s">
        <v>154</v>
      </c>
      <c r="D304" t="s">
        <v>123</v>
      </c>
      <c r="E304" s="6">
        <v>4983.0880999999999</v>
      </c>
      <c r="F304" s="6">
        <v>5028.2978000000003</v>
      </c>
      <c r="G304" s="6">
        <v>42.8752</v>
      </c>
      <c r="H304" s="6">
        <v>4983.1025</v>
      </c>
      <c r="I304" s="6">
        <v>5028.2982000000002</v>
      </c>
      <c r="J304" s="6">
        <v>42.878399999999999</v>
      </c>
      <c r="K304" s="2">
        <v>11</v>
      </c>
      <c r="L304" s="2">
        <v>-0.2</v>
      </c>
      <c r="M304" s="2">
        <v>2.1</v>
      </c>
      <c r="N304" s="2">
        <v>14.4</v>
      </c>
      <c r="O304" s="2">
        <v>0.4</v>
      </c>
      <c r="P304" s="2">
        <v>3.2</v>
      </c>
      <c r="Q304" s="2">
        <f t="shared" si="8"/>
        <v>14.405554484295285</v>
      </c>
      <c r="R304" t="str">
        <f t="shared" si="9"/>
        <v>Regular</v>
      </c>
      <c r="S304" t="s">
        <v>241</v>
      </c>
      <c r="T304">
        <v>49</v>
      </c>
    </row>
    <row r="305" spans="1:20">
      <c r="A305" s="1">
        <v>46006</v>
      </c>
      <c r="B305">
        <v>11</v>
      </c>
      <c r="C305" t="s">
        <v>163</v>
      </c>
      <c r="D305" t="s">
        <v>134</v>
      </c>
      <c r="E305" s="6">
        <v>5013.4206999999997</v>
      </c>
      <c r="F305" s="6">
        <v>5061.5992999999999</v>
      </c>
      <c r="G305" s="6">
        <v>47.2774</v>
      </c>
      <c r="H305" s="6">
        <v>5013.4209000000001</v>
      </c>
      <c r="I305" s="6">
        <v>5061.5934999999999</v>
      </c>
      <c r="J305" s="6">
        <v>47.281199999999998</v>
      </c>
      <c r="K305" s="2">
        <v>-1.3</v>
      </c>
      <c r="L305" s="2">
        <v>-0.6</v>
      </c>
      <c r="M305" s="2">
        <v>2.2999999999999998</v>
      </c>
      <c r="N305" s="2">
        <v>0.2</v>
      </c>
      <c r="O305" s="2">
        <v>-5.8</v>
      </c>
      <c r="P305" s="2">
        <v>3.8</v>
      </c>
      <c r="Q305" s="2">
        <f t="shared" si="8"/>
        <v>5.8034472514187634</v>
      </c>
      <c r="R305" t="str">
        <f t="shared" si="9"/>
        <v>Regular</v>
      </c>
      <c r="S305" t="s">
        <v>241</v>
      </c>
      <c r="T305">
        <v>49</v>
      </c>
    </row>
    <row r="306" spans="1:20">
      <c r="A306" s="1">
        <v>46006</v>
      </c>
      <c r="B306">
        <v>11</v>
      </c>
      <c r="C306" t="s">
        <v>164</v>
      </c>
      <c r="D306" t="s">
        <v>136</v>
      </c>
      <c r="E306" s="6">
        <v>5026.8990000000003</v>
      </c>
      <c r="F306" s="6">
        <v>5072.0330000000004</v>
      </c>
      <c r="G306" s="6">
        <v>44.739800000000002</v>
      </c>
      <c r="H306" s="6">
        <v>5026.8972000000003</v>
      </c>
      <c r="I306" s="6">
        <v>5072.0272000000004</v>
      </c>
      <c r="J306" s="6">
        <v>44.741900000000001</v>
      </c>
      <c r="K306" s="2">
        <v>-1.8</v>
      </c>
      <c r="L306" s="2">
        <v>-4.9000000000000004</v>
      </c>
      <c r="M306" s="2">
        <v>2.2000000000000002</v>
      </c>
      <c r="N306" s="2">
        <v>-1.8</v>
      </c>
      <c r="O306" s="2">
        <v>-5.8</v>
      </c>
      <c r="P306" s="2">
        <v>2.1</v>
      </c>
      <c r="Q306" s="2">
        <f t="shared" si="8"/>
        <v>6.0728905802755913</v>
      </c>
      <c r="R306" t="str">
        <f t="shared" si="9"/>
        <v>Regular</v>
      </c>
      <c r="S306" t="s">
        <v>241</v>
      </c>
      <c r="T306">
        <v>49</v>
      </c>
    </row>
    <row r="307" spans="1:20">
      <c r="A307" s="1">
        <v>46006</v>
      </c>
      <c r="B307">
        <v>11</v>
      </c>
      <c r="C307" t="s">
        <v>169</v>
      </c>
      <c r="D307" t="s">
        <v>145</v>
      </c>
      <c r="E307" s="6">
        <v>5042.0578999999998</v>
      </c>
      <c r="F307" s="6">
        <v>5042.7259000000004</v>
      </c>
      <c r="G307" s="6">
        <v>42.933700000000002</v>
      </c>
      <c r="H307" s="6">
        <v>5042.0547999999999</v>
      </c>
      <c r="I307" s="6">
        <v>5042.7260999999999</v>
      </c>
      <c r="J307" s="6">
        <v>42.935600000000001</v>
      </c>
      <c r="K307" s="2">
        <v>-2.1</v>
      </c>
      <c r="L307" s="2">
        <v>0.8</v>
      </c>
      <c r="M307" s="2">
        <v>1.8</v>
      </c>
      <c r="N307" s="2">
        <v>-3.1</v>
      </c>
      <c r="O307" s="2">
        <v>0.2</v>
      </c>
      <c r="P307" s="2">
        <v>1.9</v>
      </c>
      <c r="Q307" s="2">
        <f t="shared" si="8"/>
        <v>3.1064449134018135</v>
      </c>
      <c r="R307" t="str">
        <f t="shared" si="9"/>
        <v>Regular</v>
      </c>
      <c r="S307" t="s">
        <v>241</v>
      </c>
      <c r="T307">
        <v>49</v>
      </c>
    </row>
    <row r="308" spans="1:20">
      <c r="A308" s="1">
        <v>46006</v>
      </c>
      <c r="B308">
        <v>11</v>
      </c>
      <c r="C308" t="s">
        <v>170</v>
      </c>
      <c r="D308" t="s">
        <v>138</v>
      </c>
      <c r="E308" s="6">
        <v>5045.8157000000001</v>
      </c>
      <c r="F308" s="6">
        <v>5033.7070000000003</v>
      </c>
      <c r="G308" s="6">
        <v>42.660600000000002</v>
      </c>
      <c r="H308" s="6">
        <v>5045.8135000000002</v>
      </c>
      <c r="I308" s="6">
        <v>5033.7076999999999</v>
      </c>
      <c r="J308" s="6">
        <v>42.661700000000003</v>
      </c>
      <c r="K308" s="2">
        <v>-1.1000000000000001</v>
      </c>
      <c r="L308" s="2">
        <v>0.1</v>
      </c>
      <c r="M308" s="2">
        <v>0.5</v>
      </c>
      <c r="N308" s="2">
        <v>-2.2000000000000002</v>
      </c>
      <c r="O308" s="2">
        <v>0.7</v>
      </c>
      <c r="P308" s="2">
        <v>1.1000000000000001</v>
      </c>
      <c r="Q308" s="2">
        <f t="shared" si="8"/>
        <v>2.3086792761230392</v>
      </c>
      <c r="R308" t="str">
        <f t="shared" si="9"/>
        <v>Regular</v>
      </c>
      <c r="S308" t="s">
        <v>241</v>
      </c>
      <c r="T308">
        <v>49</v>
      </c>
    </row>
    <row r="309" spans="1:20">
      <c r="A309" s="1">
        <v>46006</v>
      </c>
      <c r="B309">
        <v>11</v>
      </c>
      <c r="C309" t="s">
        <v>149</v>
      </c>
      <c r="D309" t="s">
        <v>120</v>
      </c>
      <c r="E309" s="6">
        <v>5017.3522999999996</v>
      </c>
      <c r="F309" s="6">
        <v>5017.7930999999999</v>
      </c>
      <c r="G309" s="6">
        <v>47.4587</v>
      </c>
      <c r="H309" s="6">
        <v>5017.3517000000002</v>
      </c>
      <c r="I309" s="6">
        <v>5017.7943999999998</v>
      </c>
      <c r="J309" s="6">
        <v>47.460500000000003</v>
      </c>
      <c r="K309" s="2">
        <v>-0.6</v>
      </c>
      <c r="L309" s="2">
        <v>1.3</v>
      </c>
      <c r="M309" s="2">
        <v>1.8</v>
      </c>
      <c r="N309" s="2">
        <v>-0.6</v>
      </c>
      <c r="O309" s="2">
        <v>1.3</v>
      </c>
      <c r="P309" s="2">
        <v>1.8</v>
      </c>
      <c r="Q309" s="2">
        <f t="shared" si="8"/>
        <v>1.4317821063276355</v>
      </c>
      <c r="R309" t="str">
        <f t="shared" si="9"/>
        <v>Regular</v>
      </c>
      <c r="S309" t="s">
        <v>241</v>
      </c>
      <c r="T309">
        <v>49</v>
      </c>
    </row>
    <row r="310" spans="1:20">
      <c r="A310" s="1">
        <v>46006</v>
      </c>
      <c r="B310">
        <v>11</v>
      </c>
      <c r="C310" t="s">
        <v>151</v>
      </c>
      <c r="D310" t="s">
        <v>120</v>
      </c>
      <c r="E310" s="6">
        <v>5017.2749000000003</v>
      </c>
      <c r="F310" s="6">
        <v>5018.2057000000004</v>
      </c>
      <c r="G310" s="6">
        <v>43.061300000000003</v>
      </c>
      <c r="H310" s="6">
        <v>5017.2744000000002</v>
      </c>
      <c r="I310" s="6">
        <v>5018.2071999999998</v>
      </c>
      <c r="J310" s="6">
        <v>43.0625</v>
      </c>
      <c r="K310" s="2">
        <v>-0.5</v>
      </c>
      <c r="L310" s="2">
        <v>1.5</v>
      </c>
      <c r="M310" s="2">
        <v>1.2</v>
      </c>
      <c r="N310" s="2">
        <v>-0.5</v>
      </c>
      <c r="O310" s="2">
        <v>1.5</v>
      </c>
      <c r="P310" s="2">
        <v>1.2</v>
      </c>
      <c r="Q310" s="2">
        <f t="shared" si="8"/>
        <v>1.5811388300841898</v>
      </c>
      <c r="R310" t="str">
        <f t="shared" si="9"/>
        <v>Regular</v>
      </c>
      <c r="S310" t="s">
        <v>241</v>
      </c>
      <c r="T310">
        <v>49</v>
      </c>
    </row>
    <row r="311" spans="1:20">
      <c r="A311" s="1">
        <v>46006</v>
      </c>
      <c r="B311">
        <v>11</v>
      </c>
      <c r="C311" t="s">
        <v>159</v>
      </c>
      <c r="D311" t="s">
        <v>128</v>
      </c>
      <c r="E311" s="6">
        <v>4976.0536000000002</v>
      </c>
      <c r="F311" s="6">
        <v>5040.1774999999998</v>
      </c>
      <c r="G311" s="6">
        <v>43.505000000000003</v>
      </c>
      <c r="H311" s="6"/>
      <c r="I311" s="6"/>
      <c r="J311" s="6"/>
      <c r="K311" s="2"/>
      <c r="L311" s="2"/>
      <c r="M311" s="2"/>
      <c r="N311" s="2"/>
      <c r="O311" s="2"/>
      <c r="P311" s="2"/>
      <c r="Q311" s="2" t="str">
        <f t="shared" si="8"/>
        <v/>
      </c>
      <c r="R311" t="str">
        <f t="shared" si="9"/>
        <v>Sem leitura</v>
      </c>
      <c r="S311" t="s">
        <v>241</v>
      </c>
      <c r="T311">
        <v>49</v>
      </c>
    </row>
    <row r="312" spans="1:20">
      <c r="A312" s="1">
        <v>46006</v>
      </c>
      <c r="B312">
        <v>11</v>
      </c>
      <c r="C312" t="s">
        <v>160</v>
      </c>
      <c r="D312" t="s">
        <v>128</v>
      </c>
      <c r="E312" s="6">
        <v>4976.0869000000002</v>
      </c>
      <c r="F312" s="6">
        <v>5040.6423000000004</v>
      </c>
      <c r="G312" s="6">
        <v>43.351300000000002</v>
      </c>
      <c r="H312" s="6">
        <v>4976.0869000000002</v>
      </c>
      <c r="I312" s="6">
        <v>5040.6423000000004</v>
      </c>
      <c r="J312" s="6">
        <v>43.351300000000002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f t="shared" si="8"/>
        <v>0</v>
      </c>
      <c r="R312" t="str">
        <f t="shared" si="9"/>
        <v>Regular</v>
      </c>
      <c r="S312" t="s">
        <v>241</v>
      </c>
      <c r="T312">
        <v>49</v>
      </c>
    </row>
    <row r="313" spans="1:20">
      <c r="A313" s="1">
        <v>46006</v>
      </c>
      <c r="B313">
        <v>11</v>
      </c>
      <c r="C313" t="s">
        <v>168</v>
      </c>
      <c r="D313" t="s">
        <v>167</v>
      </c>
      <c r="E313" s="6">
        <v>5037.7052999999996</v>
      </c>
      <c r="F313" s="6">
        <v>5047.0955999999996</v>
      </c>
      <c r="G313" s="6">
        <v>42.919199999999996</v>
      </c>
      <c r="H313" s="6">
        <v>5037.7052999999996</v>
      </c>
      <c r="I313" s="6">
        <v>5047.0955999999996</v>
      </c>
      <c r="J313" s="6">
        <v>42.919199999999996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f t="shared" si="8"/>
        <v>0</v>
      </c>
      <c r="R313" t="str">
        <f t="shared" si="9"/>
        <v>Regular</v>
      </c>
      <c r="S313" t="s">
        <v>241</v>
      </c>
      <c r="T313">
        <v>49</v>
      </c>
    </row>
    <row r="314" spans="1:20">
      <c r="A314" s="1">
        <v>46013</v>
      </c>
      <c r="B314">
        <v>17</v>
      </c>
      <c r="C314" t="s">
        <v>69</v>
      </c>
      <c r="D314" t="s">
        <v>70</v>
      </c>
      <c r="E314" s="6">
        <v>4990.9656999999997</v>
      </c>
      <c r="F314" s="6">
        <v>5053.7449999999999</v>
      </c>
      <c r="G314" s="6">
        <v>60.553600000000003</v>
      </c>
      <c r="H314" s="6">
        <v>4990.9763999999996</v>
      </c>
      <c r="I314" s="6">
        <v>5053.7179999999998</v>
      </c>
      <c r="J314" s="6">
        <v>60.548999999999999</v>
      </c>
      <c r="K314" s="2">
        <v>0.2</v>
      </c>
      <c r="L314" s="2">
        <v>-1.1000000000000001</v>
      </c>
      <c r="M314" s="2">
        <v>0</v>
      </c>
      <c r="N314" s="2">
        <v>10.7</v>
      </c>
      <c r="O314" s="2">
        <v>-27</v>
      </c>
      <c r="P314" s="2">
        <v>-4.5999999999999996</v>
      </c>
      <c r="Q314" s="2">
        <f t="shared" si="8"/>
        <v>29.042899304305003</v>
      </c>
      <c r="R314" t="str">
        <f t="shared" si="9"/>
        <v>Alarme</v>
      </c>
      <c r="S314" t="s">
        <v>243</v>
      </c>
      <c r="T314">
        <v>19</v>
      </c>
    </row>
    <row r="315" spans="1:20">
      <c r="A315" s="1">
        <v>46013</v>
      </c>
      <c r="B315">
        <v>17</v>
      </c>
      <c r="C315" t="s">
        <v>75</v>
      </c>
      <c r="D315" t="s">
        <v>70</v>
      </c>
      <c r="E315" s="6">
        <v>4990.9760999999999</v>
      </c>
      <c r="F315" s="6">
        <v>5053.7455</v>
      </c>
      <c r="G315" s="6">
        <v>59.095199999999998</v>
      </c>
      <c r="H315" s="6">
        <v>4990.9867999999997</v>
      </c>
      <c r="I315" s="6">
        <v>5053.7191000000003</v>
      </c>
      <c r="J315" s="6">
        <v>59.092199999999998</v>
      </c>
      <c r="K315" s="2">
        <v>0.9</v>
      </c>
      <c r="L315" s="2">
        <v>-2.1</v>
      </c>
      <c r="M315" s="2">
        <v>-0.3</v>
      </c>
      <c r="N315" s="2">
        <v>10.7</v>
      </c>
      <c r="O315" s="2">
        <v>-26.4</v>
      </c>
      <c r="P315" s="2">
        <v>-3</v>
      </c>
      <c r="Q315" s="2">
        <f t="shared" si="8"/>
        <v>28.485961454723622</v>
      </c>
      <c r="R315" t="str">
        <f t="shared" si="9"/>
        <v>Alarme</v>
      </c>
      <c r="S315" t="s">
        <v>243</v>
      </c>
      <c r="T315">
        <v>19</v>
      </c>
    </row>
    <row r="316" spans="1:20">
      <c r="A316" s="1">
        <v>46013</v>
      </c>
      <c r="B316">
        <v>17</v>
      </c>
      <c r="C316" t="s">
        <v>76</v>
      </c>
      <c r="D316" t="s">
        <v>70</v>
      </c>
      <c r="E316" s="6">
        <v>5001.0812999999998</v>
      </c>
      <c r="F316" s="6">
        <v>5053.5291999999999</v>
      </c>
      <c r="G316" s="6">
        <v>60.621899999999997</v>
      </c>
      <c r="H316" s="6">
        <v>5001.0954000000002</v>
      </c>
      <c r="I316" s="6">
        <v>5053.4987000000001</v>
      </c>
      <c r="J316" s="6">
        <v>60.6098</v>
      </c>
      <c r="K316" s="2">
        <v>0.2</v>
      </c>
      <c r="L316" s="2">
        <v>-2.4</v>
      </c>
      <c r="M316" s="2">
        <v>-1.2</v>
      </c>
      <c r="N316" s="2">
        <v>14.1</v>
      </c>
      <c r="O316" s="2">
        <v>-30.5</v>
      </c>
      <c r="P316" s="2">
        <v>-12.1</v>
      </c>
      <c r="Q316" s="2">
        <f t="shared" si="8"/>
        <v>33.601488062286762</v>
      </c>
      <c r="R316" t="str">
        <f t="shared" si="9"/>
        <v>Alarme</v>
      </c>
      <c r="S316" t="s">
        <v>243</v>
      </c>
      <c r="T316">
        <v>19</v>
      </c>
    </row>
    <row r="317" spans="1:20">
      <c r="A317" s="1">
        <v>46013</v>
      </c>
      <c r="B317">
        <v>17</v>
      </c>
      <c r="C317" t="s">
        <v>77</v>
      </c>
      <c r="D317" t="s">
        <v>70</v>
      </c>
      <c r="E317" s="6">
        <v>5001.0428000000002</v>
      </c>
      <c r="F317" s="6">
        <v>5053.5321999999996</v>
      </c>
      <c r="G317" s="6">
        <v>58.677799999999998</v>
      </c>
      <c r="H317" s="6">
        <v>5001.0573999999997</v>
      </c>
      <c r="I317" s="6">
        <v>5053.5033000000003</v>
      </c>
      <c r="J317" s="6">
        <v>58.6646</v>
      </c>
      <c r="K317" s="2">
        <v>0.2</v>
      </c>
      <c r="L317" s="2">
        <v>-2.5</v>
      </c>
      <c r="M317" s="2">
        <v>-1.7</v>
      </c>
      <c r="N317" s="2">
        <v>14.6</v>
      </c>
      <c r="O317" s="2">
        <v>-28.9</v>
      </c>
      <c r="P317" s="2">
        <v>-13.2</v>
      </c>
      <c r="Q317" s="2">
        <f t="shared" si="8"/>
        <v>32.378542277255164</v>
      </c>
      <c r="R317" t="str">
        <f t="shared" si="9"/>
        <v>Alarme</v>
      </c>
      <c r="S317" t="s">
        <v>243</v>
      </c>
      <c r="T317">
        <v>19</v>
      </c>
    </row>
    <row r="318" spans="1:20">
      <c r="A318" s="1">
        <v>46013</v>
      </c>
      <c r="B318">
        <v>17</v>
      </c>
      <c r="C318" t="s">
        <v>78</v>
      </c>
      <c r="D318" t="s">
        <v>70</v>
      </c>
      <c r="E318" s="6">
        <v>5005.4017999999996</v>
      </c>
      <c r="F318" s="6">
        <v>5054.5141000000003</v>
      </c>
      <c r="G318" s="6">
        <v>60.181899999999999</v>
      </c>
      <c r="H318" s="6"/>
      <c r="I318" s="6"/>
      <c r="J318" s="6"/>
      <c r="K318" s="2"/>
      <c r="L318" s="2"/>
      <c r="M318" s="2"/>
      <c r="N318" s="2"/>
      <c r="O318" s="2"/>
      <c r="P318" s="2"/>
      <c r="Q318" s="2" t="str">
        <f t="shared" si="8"/>
        <v/>
      </c>
      <c r="R318" t="str">
        <f t="shared" si="9"/>
        <v>Sem leitura</v>
      </c>
      <c r="S318" t="s">
        <v>243</v>
      </c>
      <c r="T318">
        <v>19</v>
      </c>
    </row>
    <row r="319" spans="1:20">
      <c r="A319" s="1">
        <v>46013</v>
      </c>
      <c r="B319">
        <v>17</v>
      </c>
      <c r="C319" t="s">
        <v>80</v>
      </c>
      <c r="D319" t="s">
        <v>70</v>
      </c>
      <c r="E319" s="6">
        <v>5005.4050999999999</v>
      </c>
      <c r="F319" s="6">
        <v>5054.5766999999996</v>
      </c>
      <c r="G319" s="6">
        <v>58.646999999999998</v>
      </c>
      <c r="H319" s="6"/>
      <c r="I319" s="6"/>
      <c r="J319" s="6"/>
      <c r="K319" s="2"/>
      <c r="L319" s="2"/>
      <c r="M319" s="2"/>
      <c r="N319" s="2"/>
      <c r="O319" s="2"/>
      <c r="P319" s="2"/>
      <c r="Q319" s="2" t="str">
        <f t="shared" si="8"/>
        <v/>
      </c>
      <c r="R319" t="str">
        <f t="shared" si="9"/>
        <v>Sem leitura</v>
      </c>
      <c r="S319" t="s">
        <v>243</v>
      </c>
      <c r="T319">
        <v>19</v>
      </c>
    </row>
    <row r="320" spans="1:20">
      <c r="A320" s="1">
        <v>46013</v>
      </c>
      <c r="B320">
        <v>17</v>
      </c>
      <c r="C320" t="s">
        <v>81</v>
      </c>
      <c r="D320" t="s">
        <v>70</v>
      </c>
      <c r="E320" s="6">
        <v>5005.8755000000001</v>
      </c>
      <c r="F320" s="6">
        <v>5063.3173999999999</v>
      </c>
      <c r="G320" s="6">
        <v>60.481099999999998</v>
      </c>
      <c r="H320" s="6"/>
      <c r="I320" s="6"/>
      <c r="J320" s="6"/>
      <c r="K320" s="2"/>
      <c r="L320" s="2"/>
      <c r="M320" s="2"/>
      <c r="N320" s="2"/>
      <c r="O320" s="2"/>
      <c r="P320" s="2"/>
      <c r="Q320" s="2" t="str">
        <f t="shared" si="8"/>
        <v/>
      </c>
      <c r="R320" t="str">
        <f t="shared" si="9"/>
        <v>Sem leitura</v>
      </c>
      <c r="S320" t="s">
        <v>243</v>
      </c>
      <c r="T320">
        <v>19</v>
      </c>
    </row>
    <row r="321" spans="1:20">
      <c r="A321" s="1">
        <v>46013</v>
      </c>
      <c r="B321">
        <v>17</v>
      </c>
      <c r="C321" t="s">
        <v>82</v>
      </c>
      <c r="D321" t="s">
        <v>70</v>
      </c>
      <c r="E321" s="6">
        <v>5005.8838999999998</v>
      </c>
      <c r="F321" s="6">
        <v>5063.7007999999996</v>
      </c>
      <c r="G321" s="6">
        <v>59.329300000000003</v>
      </c>
      <c r="H321" s="6"/>
      <c r="I321" s="6"/>
      <c r="J321" s="6"/>
      <c r="K321" s="2"/>
      <c r="L321" s="2"/>
      <c r="M321" s="2"/>
      <c r="N321" s="2"/>
      <c r="O321" s="2"/>
      <c r="P321" s="2"/>
      <c r="Q321" s="2" t="str">
        <f t="shared" si="8"/>
        <v/>
      </c>
      <c r="R321" t="str">
        <f t="shared" si="9"/>
        <v>Sem leitura</v>
      </c>
      <c r="S321" t="s">
        <v>243</v>
      </c>
      <c r="T321">
        <v>19</v>
      </c>
    </row>
    <row r="322" spans="1:20">
      <c r="A322" s="1">
        <v>46013</v>
      </c>
      <c r="B322">
        <v>17</v>
      </c>
      <c r="C322" t="s">
        <v>83</v>
      </c>
      <c r="D322" t="s">
        <v>84</v>
      </c>
      <c r="E322" s="6">
        <v>5055.3705</v>
      </c>
      <c r="F322" s="6">
        <v>5037.6908000000003</v>
      </c>
      <c r="G322" s="6">
        <v>55.834499999999998</v>
      </c>
      <c r="H322" s="6">
        <v>5055.3577999999998</v>
      </c>
      <c r="I322" s="6">
        <v>5037.6912000000002</v>
      </c>
      <c r="J322" s="6">
        <v>55.835099999999997</v>
      </c>
      <c r="K322" s="2">
        <v>-1.6</v>
      </c>
      <c r="L322" s="2">
        <v>1</v>
      </c>
      <c r="M322" s="2">
        <v>-0.7</v>
      </c>
      <c r="N322" s="2">
        <v>-12.7</v>
      </c>
      <c r="O322" s="2">
        <v>0.4</v>
      </c>
      <c r="P322" s="2">
        <v>0.6</v>
      </c>
      <c r="Q322" s="2">
        <f t="shared" ref="Q322:Q385" si="10">IF(COUNT(N322:O322)&lt;2,"",SQRT(N322^2+O322^2))</f>
        <v>12.706297651164952</v>
      </c>
      <c r="R322" t="str">
        <f t="shared" ref="R322:R385" si="11">IF(COUNT(H322:P322)=0,"Sem leitura",IF(ISNUMBER(SEARCH("Escavação",D322)),IF(OR(Q322&gt;=40,ABS(P322)&gt;=15),"Alarme",IF(OR(Q322&gt;=IF(OR(ISNUMBER(SEARCH("Alçado AB",D322)),ISNUMBER(SEARCH("Alçado CD",D322)),ISNUMBER(SEARCH("Alçado BF",D322)),ISNUMBER(SEARCH("Alçado PQ",D322))),20,30),ABS(P322)&gt;=10),"Alerta","Regular")),IF(OR(Q322&gt;=25,ABS(P322)&gt;=20),"Alarme",IF(OR(Q322&gt;=15,ABS(P322)&gt;=10),"Alerta","Regular"))))</f>
        <v>Regular</v>
      </c>
      <c r="S322" t="s">
        <v>243</v>
      </c>
      <c r="T322">
        <v>19</v>
      </c>
    </row>
    <row r="323" spans="1:20">
      <c r="A323" s="1">
        <v>46013</v>
      </c>
      <c r="B323">
        <v>17</v>
      </c>
      <c r="C323" t="s">
        <v>85</v>
      </c>
      <c r="D323" t="s">
        <v>84</v>
      </c>
      <c r="E323" s="6">
        <v>5055.3611000000001</v>
      </c>
      <c r="F323" s="6">
        <v>5037.652</v>
      </c>
      <c r="G323" s="6">
        <v>53.920200000000001</v>
      </c>
      <c r="H323" s="6">
        <v>5055.3499000000002</v>
      </c>
      <c r="I323" s="6">
        <v>5037.6494000000002</v>
      </c>
      <c r="J323" s="6">
        <v>53.921799999999998</v>
      </c>
      <c r="K323" s="2">
        <v>-1.8</v>
      </c>
      <c r="L323" s="2">
        <v>1.3</v>
      </c>
      <c r="M323" s="2">
        <v>-0.5</v>
      </c>
      <c r="N323" s="2">
        <v>-11.2</v>
      </c>
      <c r="O323" s="2">
        <v>-2.6</v>
      </c>
      <c r="P323" s="2">
        <v>1.6</v>
      </c>
      <c r="Q323" s="2">
        <f t="shared" si="10"/>
        <v>11.497825881443848</v>
      </c>
      <c r="R323" t="str">
        <f t="shared" si="11"/>
        <v>Regular</v>
      </c>
      <c r="S323" t="s">
        <v>243</v>
      </c>
      <c r="T323">
        <v>19</v>
      </c>
    </row>
    <row r="324" spans="1:20">
      <c r="A324" s="1">
        <v>46013</v>
      </c>
      <c r="B324">
        <v>17</v>
      </c>
      <c r="C324" t="s">
        <v>86</v>
      </c>
      <c r="D324" t="s">
        <v>84</v>
      </c>
      <c r="E324" s="6">
        <v>5053.1266999999998</v>
      </c>
      <c r="F324" s="6">
        <v>5028.5694000000003</v>
      </c>
      <c r="G324" s="6">
        <v>55.876899999999999</v>
      </c>
      <c r="H324" s="6">
        <v>5053.1148000000003</v>
      </c>
      <c r="I324" s="6">
        <v>5028.5716000000002</v>
      </c>
      <c r="J324" s="6">
        <v>55.878</v>
      </c>
      <c r="K324" s="2">
        <v>-1.7</v>
      </c>
      <c r="L324" s="2">
        <v>1.6</v>
      </c>
      <c r="M324" s="2">
        <v>-0.3</v>
      </c>
      <c r="N324" s="2">
        <v>-11.9</v>
      </c>
      <c r="O324" s="2">
        <v>2.2000000000000002</v>
      </c>
      <c r="P324" s="2">
        <v>1.1000000000000001</v>
      </c>
      <c r="Q324" s="2">
        <f t="shared" si="10"/>
        <v>12.101652779682617</v>
      </c>
      <c r="R324" t="str">
        <f t="shared" si="11"/>
        <v>Regular</v>
      </c>
      <c r="S324" t="s">
        <v>243</v>
      </c>
      <c r="T324">
        <v>19</v>
      </c>
    </row>
    <row r="325" spans="1:20">
      <c r="A325" s="1">
        <v>46013</v>
      </c>
      <c r="B325">
        <v>17</v>
      </c>
      <c r="C325" t="s">
        <v>87</v>
      </c>
      <c r="D325" t="s">
        <v>84</v>
      </c>
      <c r="E325" s="6">
        <v>5053.1229999999996</v>
      </c>
      <c r="F325" s="6">
        <v>5028.5785999999998</v>
      </c>
      <c r="G325" s="6">
        <v>54.159100000000002</v>
      </c>
      <c r="H325" s="6">
        <v>5053.1117000000004</v>
      </c>
      <c r="I325" s="6">
        <v>5028.5779000000002</v>
      </c>
      <c r="J325" s="6">
        <v>54.159799999999997</v>
      </c>
      <c r="K325" s="2">
        <v>-1.5</v>
      </c>
      <c r="L325" s="2">
        <v>1.4</v>
      </c>
      <c r="M325" s="2">
        <v>-0.5</v>
      </c>
      <c r="N325" s="2">
        <v>-11.3</v>
      </c>
      <c r="O325" s="2">
        <v>-0.7</v>
      </c>
      <c r="P325" s="2">
        <v>0.7</v>
      </c>
      <c r="Q325" s="2">
        <f t="shared" si="10"/>
        <v>11.321660655575224</v>
      </c>
      <c r="R325" t="str">
        <f t="shared" si="11"/>
        <v>Regular</v>
      </c>
      <c r="S325" t="s">
        <v>243</v>
      </c>
      <c r="T325">
        <v>19</v>
      </c>
    </row>
    <row r="326" spans="1:20">
      <c r="A326" s="1">
        <v>46013</v>
      </c>
      <c r="B326">
        <v>17</v>
      </c>
      <c r="C326" t="s">
        <v>88</v>
      </c>
      <c r="D326" t="s">
        <v>89</v>
      </c>
      <c r="E326" s="6">
        <v>5051.1406999999999</v>
      </c>
      <c r="F326" s="6">
        <v>5062.3236999999999</v>
      </c>
      <c r="G326" s="6">
        <v>63.001399999999997</v>
      </c>
      <c r="H326" s="6">
        <v>5051.1320999999998</v>
      </c>
      <c r="I326" s="6">
        <v>5062.3204999999998</v>
      </c>
      <c r="J326" s="6">
        <v>62.997900000000001</v>
      </c>
      <c r="K326" s="2">
        <v>-2.2000000000000002</v>
      </c>
      <c r="L326" s="2">
        <v>-0.2</v>
      </c>
      <c r="M326" s="2">
        <v>-0.6</v>
      </c>
      <c r="N326" s="2">
        <v>-8.6</v>
      </c>
      <c r="O326" s="2">
        <v>-3.2</v>
      </c>
      <c r="P326" s="2">
        <v>-3.5</v>
      </c>
      <c r="Q326" s="2">
        <f t="shared" si="10"/>
        <v>9.1760557975635688</v>
      </c>
      <c r="R326" t="str">
        <f t="shared" si="11"/>
        <v>Regular</v>
      </c>
      <c r="S326" t="s">
        <v>243</v>
      </c>
      <c r="T326">
        <v>19</v>
      </c>
    </row>
    <row r="327" spans="1:20">
      <c r="A327" s="1">
        <v>46013</v>
      </c>
      <c r="B327">
        <v>17</v>
      </c>
      <c r="C327" t="s">
        <v>90</v>
      </c>
      <c r="D327" t="s">
        <v>89</v>
      </c>
      <c r="E327" s="6">
        <v>5051.0086000000001</v>
      </c>
      <c r="F327" s="6">
        <v>5062.4333999999999</v>
      </c>
      <c r="G327" s="6">
        <v>56.898000000000003</v>
      </c>
      <c r="H327" s="6">
        <v>5051.0009</v>
      </c>
      <c r="I327" s="6">
        <v>5062.4309000000003</v>
      </c>
      <c r="J327" s="6">
        <v>56.897300000000001</v>
      </c>
      <c r="K327" s="2">
        <v>-2.1</v>
      </c>
      <c r="L327" s="2">
        <v>0.8</v>
      </c>
      <c r="M327" s="2">
        <v>-0.1</v>
      </c>
      <c r="N327" s="2">
        <v>-7.7</v>
      </c>
      <c r="O327" s="2">
        <v>-2.5</v>
      </c>
      <c r="P327" s="2">
        <v>-0.7</v>
      </c>
      <c r="Q327" s="2">
        <f t="shared" si="10"/>
        <v>8.0956778592036382</v>
      </c>
      <c r="R327" t="str">
        <f t="shared" si="11"/>
        <v>Regular</v>
      </c>
      <c r="S327" t="s">
        <v>243</v>
      </c>
      <c r="T327">
        <v>19</v>
      </c>
    </row>
    <row r="328" spans="1:20">
      <c r="A328" s="1">
        <v>46013</v>
      </c>
      <c r="B328">
        <v>17</v>
      </c>
      <c r="C328" t="s">
        <v>91</v>
      </c>
      <c r="D328" t="s">
        <v>89</v>
      </c>
      <c r="E328" s="6">
        <v>5058.5258999999996</v>
      </c>
      <c r="F328" s="6">
        <v>5053.1760000000004</v>
      </c>
      <c r="G328" s="6">
        <v>63.525199999999998</v>
      </c>
      <c r="H328" s="6">
        <v>5058.5171</v>
      </c>
      <c r="I328" s="6">
        <v>5053.1728999999996</v>
      </c>
      <c r="J328" s="6">
        <v>63.525599999999997</v>
      </c>
      <c r="K328" s="2">
        <v>-1.3</v>
      </c>
      <c r="L328" s="2">
        <v>0</v>
      </c>
      <c r="M328" s="2">
        <v>0.1</v>
      </c>
      <c r="N328" s="2">
        <v>-8.8000000000000007</v>
      </c>
      <c r="O328" s="2">
        <v>-3.1</v>
      </c>
      <c r="P328" s="2">
        <v>0.4</v>
      </c>
      <c r="Q328" s="2">
        <f t="shared" si="10"/>
        <v>9.3300589494386372</v>
      </c>
      <c r="R328" t="str">
        <f t="shared" si="11"/>
        <v>Regular</v>
      </c>
      <c r="S328" t="s">
        <v>243</v>
      </c>
      <c r="T328">
        <v>19</v>
      </c>
    </row>
    <row r="329" spans="1:20">
      <c r="A329" s="1">
        <v>46013</v>
      </c>
      <c r="B329">
        <v>17</v>
      </c>
      <c r="C329" t="s">
        <v>92</v>
      </c>
      <c r="D329" t="s">
        <v>89</v>
      </c>
      <c r="E329" s="6">
        <v>5060.2732999999998</v>
      </c>
      <c r="F329" s="6">
        <v>5059.0944</v>
      </c>
      <c r="G329" s="6">
        <v>58.7943</v>
      </c>
      <c r="H329" s="6">
        <v>5060.2626</v>
      </c>
      <c r="I329" s="6">
        <v>5059.0928999999996</v>
      </c>
      <c r="J329" s="6">
        <v>58.792000000000002</v>
      </c>
      <c r="K329" s="2">
        <v>-2.9</v>
      </c>
      <c r="L329" s="2">
        <v>1.4</v>
      </c>
      <c r="M329" s="2">
        <v>-0.8</v>
      </c>
      <c r="N329" s="2">
        <v>-10.7</v>
      </c>
      <c r="O329" s="2">
        <v>-1.5</v>
      </c>
      <c r="P329" s="2">
        <v>-2.2999999999999998</v>
      </c>
      <c r="Q329" s="2">
        <f t="shared" si="10"/>
        <v>10.804628637764464</v>
      </c>
      <c r="R329" t="str">
        <f t="shared" si="11"/>
        <v>Regular</v>
      </c>
      <c r="S329" t="s">
        <v>243</v>
      </c>
      <c r="T329">
        <v>19</v>
      </c>
    </row>
    <row r="330" spans="1:20">
      <c r="A330" s="1">
        <v>46013</v>
      </c>
      <c r="B330">
        <v>17</v>
      </c>
      <c r="C330" t="s">
        <v>114</v>
      </c>
      <c r="D330" t="s">
        <v>70</v>
      </c>
      <c r="E330" s="6">
        <v>5005.4053999999996</v>
      </c>
      <c r="F330" s="6">
        <v>5054.1601000000001</v>
      </c>
      <c r="G330" s="6">
        <v>59.572699999999998</v>
      </c>
      <c r="H330" s="6">
        <v>5005.4174999999996</v>
      </c>
      <c r="I330" s="6">
        <v>5054.1448</v>
      </c>
      <c r="J330" s="6">
        <v>59.564399999999999</v>
      </c>
      <c r="K330" s="2">
        <v>0.4</v>
      </c>
      <c r="L330" s="2">
        <v>-2</v>
      </c>
      <c r="M330" s="2">
        <v>-1.3</v>
      </c>
      <c r="N330" s="2">
        <v>12.1</v>
      </c>
      <c r="O330" s="2">
        <v>-15.3</v>
      </c>
      <c r="P330" s="2">
        <v>-8.3000000000000007</v>
      </c>
      <c r="Q330" s="2">
        <f t="shared" si="10"/>
        <v>19.50640920313116</v>
      </c>
      <c r="R330" t="str">
        <f t="shared" si="11"/>
        <v>Alerta</v>
      </c>
      <c r="S330" t="s">
        <v>243</v>
      </c>
      <c r="T330">
        <v>19</v>
      </c>
    </row>
    <row r="331" spans="1:20">
      <c r="A331" s="1">
        <v>46013</v>
      </c>
      <c r="B331">
        <v>17</v>
      </c>
      <c r="C331" t="s">
        <v>116</v>
      </c>
      <c r="D331" t="s">
        <v>70</v>
      </c>
      <c r="E331" s="6">
        <v>5005.4237999999996</v>
      </c>
      <c r="F331" s="6">
        <v>5054.4835999999996</v>
      </c>
      <c r="G331" s="6">
        <v>58.357300000000002</v>
      </c>
      <c r="H331" s="6">
        <v>5005.4354999999996</v>
      </c>
      <c r="I331" s="6">
        <v>5054.4681</v>
      </c>
      <c r="J331" s="6">
        <v>58.349299999999999</v>
      </c>
      <c r="K331" s="2">
        <v>0.3</v>
      </c>
      <c r="L331" s="2">
        <v>-2</v>
      </c>
      <c r="M331" s="2">
        <v>-1.3</v>
      </c>
      <c r="N331" s="2">
        <v>11.7</v>
      </c>
      <c r="O331" s="2">
        <v>-15.5</v>
      </c>
      <c r="P331" s="2">
        <v>-8</v>
      </c>
      <c r="Q331" s="2">
        <f t="shared" si="10"/>
        <v>19.420092687729376</v>
      </c>
      <c r="R331" t="str">
        <f t="shared" si="11"/>
        <v>Alerta</v>
      </c>
      <c r="S331" t="s">
        <v>243</v>
      </c>
      <c r="T331">
        <v>19</v>
      </c>
    </row>
    <row r="332" spans="1:20">
      <c r="A332" s="1">
        <v>46013</v>
      </c>
      <c r="B332">
        <v>17</v>
      </c>
      <c r="C332" t="s">
        <v>117</v>
      </c>
      <c r="D332" t="s">
        <v>70</v>
      </c>
      <c r="E332" s="6">
        <v>5005.9258</v>
      </c>
      <c r="F332" s="6">
        <v>5064.1066000000001</v>
      </c>
      <c r="G332" s="6">
        <v>60.544499999999999</v>
      </c>
      <c r="H332" s="6">
        <v>5005.9377000000004</v>
      </c>
      <c r="I332" s="6">
        <v>5064.0922</v>
      </c>
      <c r="J332" s="6">
        <v>60.531399999999998</v>
      </c>
      <c r="K332" s="2">
        <v>0.5</v>
      </c>
      <c r="L332" s="2">
        <v>-2</v>
      </c>
      <c r="M332" s="2">
        <v>-2</v>
      </c>
      <c r="N332" s="2">
        <v>11.9</v>
      </c>
      <c r="O332" s="2">
        <v>-14.4</v>
      </c>
      <c r="P332" s="2">
        <v>-13.1</v>
      </c>
      <c r="Q332" s="2">
        <f t="shared" si="10"/>
        <v>18.680738743422328</v>
      </c>
      <c r="R332" t="str">
        <f t="shared" si="11"/>
        <v>Alerta</v>
      </c>
      <c r="S332" t="s">
        <v>243</v>
      </c>
      <c r="T332">
        <v>19</v>
      </c>
    </row>
    <row r="333" spans="1:20">
      <c r="A333" s="1">
        <v>46013</v>
      </c>
      <c r="B333">
        <v>17</v>
      </c>
      <c r="C333" t="s">
        <v>118</v>
      </c>
      <c r="D333" t="s">
        <v>70</v>
      </c>
      <c r="E333" s="6">
        <v>5005.8734999999997</v>
      </c>
      <c r="F333" s="6">
        <v>5063.2722999999996</v>
      </c>
      <c r="G333" s="6">
        <v>58.732500000000002</v>
      </c>
      <c r="H333" s="6">
        <v>5005.8838999999998</v>
      </c>
      <c r="I333" s="6">
        <v>5063.2577000000001</v>
      </c>
      <c r="J333" s="6">
        <v>58.72</v>
      </c>
      <c r="K333" s="2">
        <v>0.4</v>
      </c>
      <c r="L333" s="2">
        <v>-2.5</v>
      </c>
      <c r="M333" s="2">
        <v>-2.4</v>
      </c>
      <c r="N333" s="2">
        <v>10.4</v>
      </c>
      <c r="O333" s="2">
        <v>-14.6</v>
      </c>
      <c r="P333" s="2">
        <v>-12.5</v>
      </c>
      <c r="Q333" s="2">
        <f t="shared" si="10"/>
        <v>17.925400971805345</v>
      </c>
      <c r="R333" t="str">
        <f t="shared" si="11"/>
        <v>Alerta</v>
      </c>
      <c r="S333" t="s">
        <v>243</v>
      </c>
      <c r="T333">
        <v>19</v>
      </c>
    </row>
    <row r="334" spans="1:20">
      <c r="A334" s="1">
        <v>46013</v>
      </c>
      <c r="B334">
        <v>12</v>
      </c>
      <c r="C334" t="s">
        <v>119</v>
      </c>
      <c r="D334" t="s">
        <v>120</v>
      </c>
      <c r="E334" s="6">
        <v>5019.7240000000002</v>
      </c>
      <c r="F334" s="6">
        <v>5017.4448000000002</v>
      </c>
      <c r="G334" s="6">
        <v>48.267099999999999</v>
      </c>
      <c r="H334" s="6"/>
      <c r="I334" s="6"/>
      <c r="J334" s="6"/>
      <c r="K334" s="2"/>
      <c r="L334" s="2"/>
      <c r="M334" s="2"/>
      <c r="N334" s="2"/>
      <c r="O334" s="2"/>
      <c r="P334" s="2"/>
      <c r="Q334" s="2" t="str">
        <f t="shared" si="10"/>
        <v/>
      </c>
      <c r="R334" t="str">
        <f t="shared" si="11"/>
        <v>Sem leitura</v>
      </c>
      <c r="S334" t="s">
        <v>243</v>
      </c>
      <c r="T334">
        <v>50</v>
      </c>
    </row>
    <row r="335" spans="1:20">
      <c r="A335" s="1">
        <v>46013</v>
      </c>
      <c r="B335">
        <v>12</v>
      </c>
      <c r="C335" t="s">
        <v>122</v>
      </c>
      <c r="D335" t="s">
        <v>123</v>
      </c>
      <c r="E335" s="6">
        <v>4982.3819999999996</v>
      </c>
      <c r="F335" s="6">
        <v>5027.9636</v>
      </c>
      <c r="G335" s="6">
        <v>48.275500000000001</v>
      </c>
      <c r="H335" s="6">
        <v>4982.4025000000001</v>
      </c>
      <c r="I335" s="6">
        <v>5027.9641000000001</v>
      </c>
      <c r="J335" s="6">
        <v>48.279800000000002</v>
      </c>
      <c r="K335" s="2">
        <v>0.3</v>
      </c>
      <c r="L335" s="2">
        <v>0.9</v>
      </c>
      <c r="M335" s="2">
        <v>0.1</v>
      </c>
      <c r="N335" s="2">
        <v>20.5</v>
      </c>
      <c r="O335" s="2">
        <v>0.5</v>
      </c>
      <c r="P335" s="2">
        <v>4.3</v>
      </c>
      <c r="Q335" s="2">
        <f t="shared" si="10"/>
        <v>20.506096654409877</v>
      </c>
      <c r="R335" t="str">
        <f t="shared" si="11"/>
        <v>Alerta</v>
      </c>
      <c r="S335" t="s">
        <v>243</v>
      </c>
      <c r="T335">
        <v>50</v>
      </c>
    </row>
    <row r="336" spans="1:20">
      <c r="A336" s="1">
        <v>46013</v>
      </c>
      <c r="B336">
        <v>12</v>
      </c>
      <c r="C336" t="s">
        <v>124</v>
      </c>
      <c r="D336" t="s">
        <v>125</v>
      </c>
      <c r="E336" s="6">
        <v>4986.2775000000001</v>
      </c>
      <c r="F336" s="6">
        <v>5019.8639000000003</v>
      </c>
      <c r="G336" s="6">
        <v>50.872999999999998</v>
      </c>
      <c r="H336" s="6">
        <v>4986.2822999999999</v>
      </c>
      <c r="I336" s="6">
        <v>5019.8629000000001</v>
      </c>
      <c r="J336" s="6">
        <v>50.873899999999999</v>
      </c>
      <c r="K336" s="2">
        <v>0.6</v>
      </c>
      <c r="L336" s="2">
        <v>0.7</v>
      </c>
      <c r="M336" s="2">
        <v>0.3</v>
      </c>
      <c r="N336" s="2">
        <v>4.8</v>
      </c>
      <c r="O336" s="2">
        <v>-1</v>
      </c>
      <c r="P336" s="2">
        <v>0.9</v>
      </c>
      <c r="Q336" s="2">
        <f t="shared" si="10"/>
        <v>4.9030602688525047</v>
      </c>
      <c r="R336" t="str">
        <f t="shared" si="11"/>
        <v>Regular</v>
      </c>
      <c r="S336" t="s">
        <v>243</v>
      </c>
      <c r="T336">
        <v>50</v>
      </c>
    </row>
    <row r="337" spans="1:20">
      <c r="A337" s="1">
        <v>46013</v>
      </c>
      <c r="B337">
        <v>12</v>
      </c>
      <c r="C337" t="s">
        <v>126</v>
      </c>
      <c r="D337" t="s">
        <v>125</v>
      </c>
      <c r="E337" s="6">
        <v>4977.5057999999999</v>
      </c>
      <c r="F337" s="6">
        <v>5027.6043</v>
      </c>
      <c r="G337" s="6">
        <v>52.208399999999997</v>
      </c>
      <c r="H337" s="6">
        <v>4977.5084999999999</v>
      </c>
      <c r="I337" s="6">
        <v>5027.5998</v>
      </c>
      <c r="J337" s="6">
        <v>52.2074</v>
      </c>
      <c r="K337" s="2">
        <v>0.2</v>
      </c>
      <c r="L337" s="2">
        <v>0.1</v>
      </c>
      <c r="M337" s="2">
        <v>-0.5</v>
      </c>
      <c r="N337" s="2">
        <v>2.7</v>
      </c>
      <c r="O337" s="2">
        <v>-4.5</v>
      </c>
      <c r="P337" s="2">
        <v>-1</v>
      </c>
      <c r="Q337" s="2">
        <f t="shared" si="10"/>
        <v>5.2478567053607703</v>
      </c>
      <c r="R337" t="str">
        <f t="shared" si="11"/>
        <v>Regular</v>
      </c>
      <c r="S337" t="s">
        <v>243</v>
      </c>
      <c r="T337">
        <v>50</v>
      </c>
    </row>
    <row r="338" spans="1:20">
      <c r="A338" s="1">
        <v>46013</v>
      </c>
      <c r="B338">
        <v>12</v>
      </c>
      <c r="C338" t="s">
        <v>127</v>
      </c>
      <c r="D338" t="s">
        <v>128</v>
      </c>
      <c r="E338" s="6">
        <v>4974.3924999999999</v>
      </c>
      <c r="F338" s="6">
        <v>5039.5325999999995</v>
      </c>
      <c r="G338" s="6">
        <v>53.556800000000003</v>
      </c>
      <c r="H338" s="6">
        <v>4974.3981000000003</v>
      </c>
      <c r="I338" s="6">
        <v>5039.5317999999997</v>
      </c>
      <c r="J338" s="6">
        <v>53.558100000000003</v>
      </c>
      <c r="K338" s="2">
        <v>-0.2</v>
      </c>
      <c r="L338" s="2">
        <v>-0.7</v>
      </c>
      <c r="M338" s="2">
        <v>0.5</v>
      </c>
      <c r="N338" s="2">
        <v>5.6</v>
      </c>
      <c r="O338" s="2">
        <v>-0.8</v>
      </c>
      <c r="P338" s="2">
        <v>1.3</v>
      </c>
      <c r="Q338" s="2">
        <f t="shared" si="10"/>
        <v>5.6568542494923797</v>
      </c>
      <c r="R338" t="str">
        <f t="shared" si="11"/>
        <v>Regular</v>
      </c>
      <c r="S338" t="s">
        <v>243</v>
      </c>
      <c r="T338">
        <v>50</v>
      </c>
    </row>
    <row r="339" spans="1:20">
      <c r="A339" s="1">
        <v>46013</v>
      </c>
      <c r="B339">
        <v>12</v>
      </c>
      <c r="C339" t="s">
        <v>129</v>
      </c>
      <c r="D339" t="s">
        <v>130</v>
      </c>
      <c r="E339" s="6">
        <v>4981.8689000000004</v>
      </c>
      <c r="F339" s="6">
        <v>5046.9902000000002</v>
      </c>
      <c r="G339" s="6">
        <v>53.966500000000003</v>
      </c>
      <c r="H339" s="6">
        <v>4981.8805000000002</v>
      </c>
      <c r="I339" s="6">
        <v>5046.9802</v>
      </c>
      <c r="J339" s="6">
        <v>53.969299999999997</v>
      </c>
      <c r="K339" s="2">
        <v>-0.8</v>
      </c>
      <c r="L339" s="2">
        <v>-0.6</v>
      </c>
      <c r="M339" s="2">
        <v>0.5</v>
      </c>
      <c r="N339" s="2">
        <v>11.6</v>
      </c>
      <c r="O339" s="2">
        <v>-10</v>
      </c>
      <c r="P339" s="2">
        <v>2.8</v>
      </c>
      <c r="Q339" s="2">
        <f t="shared" si="10"/>
        <v>15.315351775261318</v>
      </c>
      <c r="R339" t="str">
        <f t="shared" si="11"/>
        <v>Regular</v>
      </c>
      <c r="S339" t="s">
        <v>243</v>
      </c>
      <c r="T339">
        <v>50</v>
      </c>
    </row>
    <row r="340" spans="1:20">
      <c r="A340" s="1">
        <v>46013</v>
      </c>
      <c r="B340">
        <v>12</v>
      </c>
      <c r="C340" t="s">
        <v>131</v>
      </c>
      <c r="D340" t="s">
        <v>130</v>
      </c>
      <c r="E340" s="6">
        <v>4993.0258000000003</v>
      </c>
      <c r="F340" s="6">
        <v>5045.3909000000003</v>
      </c>
      <c r="G340" s="6">
        <v>53.905200000000001</v>
      </c>
      <c r="H340" s="6">
        <v>4993.0343000000003</v>
      </c>
      <c r="I340" s="6">
        <v>5045.3770000000004</v>
      </c>
      <c r="J340" s="6">
        <v>53.905999999999999</v>
      </c>
      <c r="K340" s="2">
        <v>-1.1000000000000001</v>
      </c>
      <c r="L340" s="2">
        <v>-1.7</v>
      </c>
      <c r="M340" s="2">
        <v>0.4</v>
      </c>
      <c r="N340" s="2">
        <v>8.5</v>
      </c>
      <c r="O340" s="2">
        <v>-13.9</v>
      </c>
      <c r="P340" s="2">
        <v>0.8</v>
      </c>
      <c r="Q340" s="2">
        <f t="shared" si="10"/>
        <v>16.292943257741985</v>
      </c>
      <c r="R340" t="str">
        <f t="shared" si="11"/>
        <v>Regular</v>
      </c>
      <c r="S340" t="s">
        <v>243</v>
      </c>
      <c r="T340">
        <v>50</v>
      </c>
    </row>
    <row r="341" spans="1:20">
      <c r="A341" s="1">
        <v>46013</v>
      </c>
      <c r="B341">
        <v>12</v>
      </c>
      <c r="C341" t="s">
        <v>132</v>
      </c>
      <c r="D341" t="s">
        <v>130</v>
      </c>
      <c r="E341" s="6">
        <v>5002.4090999999999</v>
      </c>
      <c r="F341" s="6">
        <v>5044.0244000000002</v>
      </c>
      <c r="G341" s="6">
        <v>53.889200000000002</v>
      </c>
      <c r="H341" s="6">
        <v>5002.4155000000001</v>
      </c>
      <c r="I341" s="6">
        <v>5044.0012999999999</v>
      </c>
      <c r="J341" s="6">
        <v>53.892000000000003</v>
      </c>
      <c r="K341" s="2">
        <v>-1.1000000000000001</v>
      </c>
      <c r="L341" s="2">
        <v>-2.6</v>
      </c>
      <c r="M341" s="2">
        <v>-0.3</v>
      </c>
      <c r="N341" s="2">
        <v>6.4</v>
      </c>
      <c r="O341" s="2">
        <v>-23.1</v>
      </c>
      <c r="P341" s="2">
        <v>2.8</v>
      </c>
      <c r="Q341" s="2">
        <f t="shared" si="10"/>
        <v>23.970189819857499</v>
      </c>
      <c r="R341" t="str">
        <f t="shared" si="11"/>
        <v>Regular</v>
      </c>
      <c r="S341" t="s">
        <v>243</v>
      </c>
      <c r="T341">
        <v>50</v>
      </c>
    </row>
    <row r="342" spans="1:20">
      <c r="A342" s="1">
        <v>46013</v>
      </c>
      <c r="B342">
        <v>12</v>
      </c>
      <c r="C342" t="s">
        <v>133</v>
      </c>
      <c r="D342" t="s">
        <v>134</v>
      </c>
      <c r="E342" s="6">
        <v>5012.8994000000002</v>
      </c>
      <c r="F342" s="6">
        <v>5060.6997000000001</v>
      </c>
      <c r="G342" s="6">
        <v>52.496299999999998</v>
      </c>
      <c r="H342" s="6">
        <v>5012.8954999999996</v>
      </c>
      <c r="I342" s="6">
        <v>5060.6821</v>
      </c>
      <c r="J342" s="6">
        <v>52.500599999999999</v>
      </c>
      <c r="K342" s="2">
        <v>-0.5</v>
      </c>
      <c r="L342" s="2">
        <v>-1.5</v>
      </c>
      <c r="M342" s="2">
        <v>-0.2</v>
      </c>
      <c r="N342" s="2">
        <v>-3.9</v>
      </c>
      <c r="O342" s="2">
        <v>-17.600000000000001</v>
      </c>
      <c r="P342" s="2">
        <v>4.3</v>
      </c>
      <c r="Q342" s="2">
        <f t="shared" si="10"/>
        <v>18.026924307823563</v>
      </c>
      <c r="R342" t="str">
        <f t="shared" si="11"/>
        <v>Regular</v>
      </c>
      <c r="S342" t="s">
        <v>243</v>
      </c>
      <c r="T342">
        <v>50</v>
      </c>
    </row>
    <row r="343" spans="1:20">
      <c r="A343" s="1">
        <v>46013</v>
      </c>
      <c r="B343">
        <v>12</v>
      </c>
      <c r="C343" t="s">
        <v>135</v>
      </c>
      <c r="D343" t="s">
        <v>136</v>
      </c>
      <c r="E343" s="6">
        <v>5026.7076999999999</v>
      </c>
      <c r="F343" s="6">
        <v>5072.3888999999999</v>
      </c>
      <c r="G343" s="6">
        <v>53.761400000000002</v>
      </c>
      <c r="H343" s="6">
        <v>5026.7033000000001</v>
      </c>
      <c r="I343" s="6">
        <v>5072.3723</v>
      </c>
      <c r="J343" s="6">
        <v>53.763800000000003</v>
      </c>
      <c r="K343" s="2">
        <v>-0.7</v>
      </c>
      <c r="L343" s="2">
        <v>-2</v>
      </c>
      <c r="M343" s="2">
        <v>-0.4</v>
      </c>
      <c r="N343" s="2">
        <v>-4.4000000000000004</v>
      </c>
      <c r="O343" s="2">
        <v>-16.600000000000001</v>
      </c>
      <c r="P343" s="2">
        <v>2.4</v>
      </c>
      <c r="Q343" s="2">
        <f t="shared" si="10"/>
        <v>17.173234989366449</v>
      </c>
      <c r="R343" t="str">
        <f t="shared" si="11"/>
        <v>Regular</v>
      </c>
      <c r="S343" t="s">
        <v>243</v>
      </c>
      <c r="T343">
        <v>50</v>
      </c>
    </row>
    <row r="344" spans="1:20">
      <c r="A344" s="1">
        <v>46013</v>
      </c>
      <c r="B344">
        <v>12</v>
      </c>
      <c r="C344" t="s">
        <v>137</v>
      </c>
      <c r="D344" t="s">
        <v>138</v>
      </c>
      <c r="E344" s="6">
        <v>5046.1882999999998</v>
      </c>
      <c r="F344" s="6">
        <v>5033.5622999999996</v>
      </c>
      <c r="G344" s="6">
        <v>48.999099999999999</v>
      </c>
      <c r="H344" s="6">
        <v>5046.1688999999997</v>
      </c>
      <c r="I344" s="6">
        <v>5033.5613999999996</v>
      </c>
      <c r="J344" s="6">
        <v>48.999099999999999</v>
      </c>
      <c r="K344" s="2">
        <v>-1.8</v>
      </c>
      <c r="L344" s="2">
        <v>1.8</v>
      </c>
      <c r="M344" s="2">
        <v>-0.2</v>
      </c>
      <c r="N344" s="2">
        <v>-19.399999999999999</v>
      </c>
      <c r="O344" s="2">
        <v>-0.9</v>
      </c>
      <c r="P344" s="2">
        <v>0</v>
      </c>
      <c r="Q344" s="2">
        <f t="shared" si="10"/>
        <v>19.42086506827129</v>
      </c>
      <c r="R344" t="str">
        <f t="shared" si="11"/>
        <v>Regular</v>
      </c>
      <c r="S344" t="s">
        <v>243</v>
      </c>
      <c r="T344">
        <v>50</v>
      </c>
    </row>
    <row r="345" spans="1:20">
      <c r="A345" s="1">
        <v>46013</v>
      </c>
      <c r="B345">
        <v>12</v>
      </c>
      <c r="C345" t="s">
        <v>139</v>
      </c>
      <c r="D345" t="s">
        <v>134</v>
      </c>
      <c r="E345" s="6">
        <v>5010.7592999999997</v>
      </c>
      <c r="F345" s="6">
        <v>5050.9463999999998</v>
      </c>
      <c r="G345" s="6">
        <v>52.517400000000002</v>
      </c>
      <c r="H345" s="6">
        <v>5010.7520999999997</v>
      </c>
      <c r="I345" s="6">
        <v>5050.9295000000002</v>
      </c>
      <c r="J345" s="6">
        <v>52.524099999999997</v>
      </c>
      <c r="K345" s="2">
        <v>-0.8</v>
      </c>
      <c r="L345" s="2">
        <v>-0.9</v>
      </c>
      <c r="M345" s="2">
        <v>0.7</v>
      </c>
      <c r="N345" s="2">
        <v>-7.2</v>
      </c>
      <c r="O345" s="2">
        <v>-16.899999999999999</v>
      </c>
      <c r="P345" s="2">
        <v>6.7</v>
      </c>
      <c r="Q345" s="2">
        <f t="shared" si="10"/>
        <v>18.369812192834196</v>
      </c>
      <c r="R345" t="str">
        <f t="shared" si="11"/>
        <v>Regular</v>
      </c>
      <c r="S345" t="s">
        <v>243</v>
      </c>
      <c r="T345">
        <v>50</v>
      </c>
    </row>
    <row r="346" spans="1:20">
      <c r="A346" s="1">
        <v>46013</v>
      </c>
      <c r="B346">
        <v>12</v>
      </c>
      <c r="C346" t="s">
        <v>140</v>
      </c>
      <c r="D346" t="s">
        <v>128</v>
      </c>
      <c r="E346" s="6">
        <v>4976.0573000000004</v>
      </c>
      <c r="F346" s="6">
        <v>5040.5965999999999</v>
      </c>
      <c r="G346" s="6">
        <v>48.214799999999997</v>
      </c>
      <c r="H346" s="6">
        <v>4976.0677999999998</v>
      </c>
      <c r="I346" s="6">
        <v>5040.5928999999996</v>
      </c>
      <c r="J346" s="6">
        <v>48.215800000000002</v>
      </c>
      <c r="K346" s="2">
        <v>1.4</v>
      </c>
      <c r="L346" s="2">
        <v>-1.1000000000000001</v>
      </c>
      <c r="M346" s="2">
        <v>-0.2</v>
      </c>
      <c r="N346" s="2">
        <v>10.5</v>
      </c>
      <c r="O346" s="2">
        <v>-3.7</v>
      </c>
      <c r="P346" s="2">
        <v>1</v>
      </c>
      <c r="Q346" s="2">
        <f t="shared" si="10"/>
        <v>11.132834320154055</v>
      </c>
      <c r="R346" t="str">
        <f t="shared" si="11"/>
        <v>Regular</v>
      </c>
      <c r="S346" t="s">
        <v>243</v>
      </c>
      <c r="T346">
        <v>50</v>
      </c>
    </row>
    <row r="347" spans="1:20">
      <c r="A347" s="1">
        <v>46013</v>
      </c>
      <c r="B347">
        <v>12</v>
      </c>
      <c r="C347" t="s">
        <v>141</v>
      </c>
      <c r="D347" t="s">
        <v>130</v>
      </c>
      <c r="E347" s="6">
        <v>4987.9621999999999</v>
      </c>
      <c r="F347" s="6">
        <v>5045.3176000000003</v>
      </c>
      <c r="G347" s="6">
        <v>47.637599999999999</v>
      </c>
      <c r="H347" s="6">
        <v>4987.9686000000002</v>
      </c>
      <c r="I347" s="6">
        <v>5045.3023000000003</v>
      </c>
      <c r="J347" s="6">
        <v>47.6402</v>
      </c>
      <c r="K347" s="2">
        <v>-0.6</v>
      </c>
      <c r="L347" s="2">
        <v>-2.1</v>
      </c>
      <c r="M347" s="2">
        <v>0.4</v>
      </c>
      <c r="N347" s="2">
        <v>6.4</v>
      </c>
      <c r="O347" s="2">
        <v>-15.3</v>
      </c>
      <c r="P347" s="2">
        <v>2.6</v>
      </c>
      <c r="Q347" s="2">
        <f t="shared" si="10"/>
        <v>16.584631439980814</v>
      </c>
      <c r="R347" t="str">
        <f t="shared" si="11"/>
        <v>Regular</v>
      </c>
      <c r="S347" t="s">
        <v>243</v>
      </c>
      <c r="T347">
        <v>50</v>
      </c>
    </row>
    <row r="348" spans="1:20">
      <c r="A348" s="1">
        <v>46013</v>
      </c>
      <c r="B348">
        <v>12</v>
      </c>
      <c r="C348" t="s">
        <v>142</v>
      </c>
      <c r="D348" t="s">
        <v>130</v>
      </c>
      <c r="E348" s="6">
        <v>5002.5304999999998</v>
      </c>
      <c r="F348" s="6">
        <v>5043.4611000000004</v>
      </c>
      <c r="G348" s="6">
        <v>47.537100000000002</v>
      </c>
      <c r="H348" s="6">
        <v>5002.5361999999996</v>
      </c>
      <c r="I348" s="6">
        <v>5043.4414999999999</v>
      </c>
      <c r="J348" s="6">
        <v>47.539200000000001</v>
      </c>
      <c r="K348" s="2">
        <v>-0.9</v>
      </c>
      <c r="L348" s="2">
        <v>-2.9</v>
      </c>
      <c r="M348" s="2">
        <v>0.2</v>
      </c>
      <c r="N348" s="2">
        <v>5.7</v>
      </c>
      <c r="O348" s="2">
        <v>-19.600000000000001</v>
      </c>
      <c r="P348" s="2">
        <v>2.1</v>
      </c>
      <c r="Q348" s="2">
        <f t="shared" si="10"/>
        <v>20.412006270820125</v>
      </c>
      <c r="R348" t="str">
        <f t="shared" si="11"/>
        <v>Regular</v>
      </c>
      <c r="S348" t="s">
        <v>243</v>
      </c>
      <c r="T348">
        <v>50</v>
      </c>
    </row>
    <row r="349" spans="1:20">
      <c r="A349" s="1">
        <v>46013</v>
      </c>
      <c r="B349">
        <v>12</v>
      </c>
      <c r="C349" t="s">
        <v>143</v>
      </c>
      <c r="D349" t="s">
        <v>136</v>
      </c>
      <c r="E349" s="6">
        <v>5027.4714000000004</v>
      </c>
      <c r="F349" s="6">
        <v>5072.2404999999999</v>
      </c>
      <c r="G349" s="6">
        <v>51.143700000000003</v>
      </c>
      <c r="H349" s="6">
        <v>5027.4694</v>
      </c>
      <c r="I349" s="6">
        <v>5072.2257</v>
      </c>
      <c r="J349" s="6">
        <v>51.145899999999997</v>
      </c>
      <c r="K349" s="2">
        <v>-0.7</v>
      </c>
      <c r="L349" s="2">
        <v>-2.4</v>
      </c>
      <c r="M349" s="2">
        <v>-0.4</v>
      </c>
      <c r="N349" s="2">
        <v>-2</v>
      </c>
      <c r="O349" s="2">
        <v>-14.8</v>
      </c>
      <c r="P349" s="2">
        <v>2.2000000000000002</v>
      </c>
      <c r="Q349" s="2">
        <f t="shared" si="10"/>
        <v>14.934523762075576</v>
      </c>
      <c r="R349" t="str">
        <f t="shared" si="11"/>
        <v>Regular</v>
      </c>
      <c r="S349" t="s">
        <v>243</v>
      </c>
      <c r="T349">
        <v>50</v>
      </c>
    </row>
    <row r="350" spans="1:20">
      <c r="A350" s="1">
        <v>46013</v>
      </c>
      <c r="B350">
        <v>12</v>
      </c>
      <c r="C350" t="s">
        <v>144</v>
      </c>
      <c r="D350" t="s">
        <v>145</v>
      </c>
      <c r="E350" s="6">
        <v>5041.9629000000004</v>
      </c>
      <c r="F350" s="6">
        <v>5043.3289999999997</v>
      </c>
      <c r="G350" s="6">
        <v>52.0655</v>
      </c>
      <c r="H350" s="6">
        <v>5041.9543000000003</v>
      </c>
      <c r="I350" s="6">
        <v>5043.3236999999999</v>
      </c>
      <c r="J350" s="6">
        <v>52.066600000000001</v>
      </c>
      <c r="K350" s="2">
        <v>-2.2000000000000002</v>
      </c>
      <c r="L350" s="2">
        <v>0.6</v>
      </c>
      <c r="M350" s="2">
        <v>1.3</v>
      </c>
      <c r="N350" s="2">
        <v>-8.6</v>
      </c>
      <c r="O350" s="2">
        <v>-5.3</v>
      </c>
      <c r="P350" s="2">
        <v>1.1000000000000001</v>
      </c>
      <c r="Q350" s="2">
        <f t="shared" si="10"/>
        <v>10.101980003939822</v>
      </c>
      <c r="R350" t="str">
        <f t="shared" si="11"/>
        <v>Regular</v>
      </c>
      <c r="S350" t="s">
        <v>243</v>
      </c>
      <c r="T350">
        <v>50</v>
      </c>
    </row>
    <row r="351" spans="1:20">
      <c r="A351" s="1">
        <v>46013</v>
      </c>
      <c r="B351">
        <v>12</v>
      </c>
      <c r="C351" t="s">
        <v>166</v>
      </c>
      <c r="D351" t="s">
        <v>167</v>
      </c>
      <c r="E351" s="6">
        <v>5037.8409000000001</v>
      </c>
      <c r="F351" s="6">
        <v>5046.2614999999996</v>
      </c>
      <c r="G351" s="6">
        <v>51.521099999999997</v>
      </c>
      <c r="H351" s="6">
        <v>5037.8329999999996</v>
      </c>
      <c r="I351" s="6">
        <v>5046.2556999999997</v>
      </c>
      <c r="J351" s="6">
        <v>51.523800000000001</v>
      </c>
      <c r="K351" s="2">
        <v>-1.1000000000000001</v>
      </c>
      <c r="L351" s="2">
        <v>-0.2</v>
      </c>
      <c r="M351" s="2">
        <v>0.5</v>
      </c>
      <c r="N351" s="2">
        <v>-7.9</v>
      </c>
      <c r="O351" s="2">
        <v>-5.8</v>
      </c>
      <c r="P351" s="2">
        <v>2.7</v>
      </c>
      <c r="Q351" s="2">
        <f t="shared" si="10"/>
        <v>9.8005101908012939</v>
      </c>
      <c r="R351" t="str">
        <f t="shared" si="11"/>
        <v>Regular</v>
      </c>
      <c r="S351" t="s">
        <v>243</v>
      </c>
      <c r="T351">
        <v>50</v>
      </c>
    </row>
    <row r="352" spans="1:20">
      <c r="A352" s="1">
        <v>46013</v>
      </c>
      <c r="B352">
        <v>12</v>
      </c>
      <c r="C352" t="s">
        <v>154</v>
      </c>
      <c r="D352" t="s">
        <v>123</v>
      </c>
      <c r="E352" s="6">
        <v>4983.0880999999999</v>
      </c>
      <c r="F352" s="6">
        <v>5028.2978000000003</v>
      </c>
      <c r="G352" s="6">
        <v>42.8752</v>
      </c>
      <c r="H352" s="6">
        <v>4983.1018999999997</v>
      </c>
      <c r="I352" s="6">
        <v>5028.2984999999999</v>
      </c>
      <c r="J352" s="6">
        <v>42.878300000000003</v>
      </c>
      <c r="K352" s="2">
        <v>-0.6</v>
      </c>
      <c r="L352" s="2">
        <v>0.3</v>
      </c>
      <c r="M352" s="2">
        <v>-0.1</v>
      </c>
      <c r="N352" s="2">
        <v>13.8</v>
      </c>
      <c r="O352" s="2">
        <v>0.7</v>
      </c>
      <c r="P352" s="2">
        <v>3.1</v>
      </c>
      <c r="Q352" s="2">
        <f t="shared" si="10"/>
        <v>13.817742217887842</v>
      </c>
      <c r="R352" t="str">
        <f t="shared" si="11"/>
        <v>Regular</v>
      </c>
      <c r="S352" t="s">
        <v>243</v>
      </c>
      <c r="T352">
        <v>50</v>
      </c>
    </row>
    <row r="353" spans="1:20">
      <c r="A353" s="1">
        <v>46013</v>
      </c>
      <c r="B353">
        <v>12</v>
      </c>
      <c r="C353" t="s">
        <v>163</v>
      </c>
      <c r="D353" t="s">
        <v>134</v>
      </c>
      <c r="E353" s="6">
        <v>5013.4206999999997</v>
      </c>
      <c r="F353" s="6">
        <v>5061.5992999999999</v>
      </c>
      <c r="G353" s="6">
        <v>47.2774</v>
      </c>
      <c r="H353" s="6">
        <v>5013.4211999999998</v>
      </c>
      <c r="I353" s="6">
        <v>5061.5915000000005</v>
      </c>
      <c r="J353" s="6">
        <v>47.281599999999997</v>
      </c>
      <c r="K353" s="2">
        <v>0.3</v>
      </c>
      <c r="L353" s="2">
        <v>-2</v>
      </c>
      <c r="M353" s="2">
        <v>0.4</v>
      </c>
      <c r="N353" s="2">
        <v>0.5</v>
      </c>
      <c r="O353" s="2">
        <v>-7.8</v>
      </c>
      <c r="P353" s="2">
        <v>4.2</v>
      </c>
      <c r="Q353" s="2">
        <f t="shared" si="10"/>
        <v>7.8160092118676525</v>
      </c>
      <c r="R353" t="str">
        <f t="shared" si="11"/>
        <v>Regular</v>
      </c>
      <c r="S353" t="s">
        <v>243</v>
      </c>
      <c r="T353">
        <v>50</v>
      </c>
    </row>
    <row r="354" spans="1:20">
      <c r="A354" s="1">
        <v>46013</v>
      </c>
      <c r="B354">
        <v>12</v>
      </c>
      <c r="C354" t="s">
        <v>164</v>
      </c>
      <c r="D354" t="s">
        <v>136</v>
      </c>
      <c r="E354" s="6">
        <v>5026.8990000000003</v>
      </c>
      <c r="F354" s="6">
        <v>5072.0330000000004</v>
      </c>
      <c r="G354" s="6">
        <v>44.739800000000002</v>
      </c>
      <c r="H354" s="6">
        <v>5026.8977999999997</v>
      </c>
      <c r="I354" s="6">
        <v>5072.0249000000003</v>
      </c>
      <c r="J354" s="6">
        <v>44.742100000000001</v>
      </c>
      <c r="K354" s="2">
        <v>0.6</v>
      </c>
      <c r="L354" s="2">
        <v>-2.2999999999999998</v>
      </c>
      <c r="M354" s="2">
        <v>0.2</v>
      </c>
      <c r="N354" s="2">
        <v>-1.2</v>
      </c>
      <c r="O354" s="2">
        <v>-8.1</v>
      </c>
      <c r="P354" s="2">
        <v>2.2999999999999998</v>
      </c>
      <c r="Q354" s="2">
        <f t="shared" si="10"/>
        <v>8.1884064383737076</v>
      </c>
      <c r="R354" t="str">
        <f t="shared" si="11"/>
        <v>Regular</v>
      </c>
      <c r="S354" t="s">
        <v>243</v>
      </c>
      <c r="T354">
        <v>50</v>
      </c>
    </row>
    <row r="355" spans="1:20">
      <c r="A355" s="1">
        <v>46013</v>
      </c>
      <c r="B355">
        <v>12</v>
      </c>
      <c r="C355" t="s">
        <v>169</v>
      </c>
      <c r="D355" t="s">
        <v>145</v>
      </c>
      <c r="E355" s="6">
        <v>5042.0578999999998</v>
      </c>
      <c r="F355" s="6">
        <v>5042.7259000000004</v>
      </c>
      <c r="G355" s="6">
        <v>42.933700000000002</v>
      </c>
      <c r="H355" s="6">
        <v>5042.0532999999996</v>
      </c>
      <c r="I355" s="6">
        <v>5042.7253000000001</v>
      </c>
      <c r="J355" s="6">
        <v>42.935899999999997</v>
      </c>
      <c r="K355" s="2">
        <v>-1.5</v>
      </c>
      <c r="L355" s="2">
        <v>-0.8</v>
      </c>
      <c r="M355" s="2">
        <v>0.3</v>
      </c>
      <c r="N355" s="2">
        <v>-4.5999999999999996</v>
      </c>
      <c r="O355" s="2">
        <v>-0.6</v>
      </c>
      <c r="P355" s="2">
        <v>2.2000000000000002</v>
      </c>
      <c r="Q355" s="2">
        <f t="shared" si="10"/>
        <v>4.6389654018972806</v>
      </c>
      <c r="R355" t="str">
        <f t="shared" si="11"/>
        <v>Regular</v>
      </c>
      <c r="S355" t="s">
        <v>243</v>
      </c>
      <c r="T355">
        <v>50</v>
      </c>
    </row>
    <row r="356" spans="1:20">
      <c r="A356" s="1">
        <v>46013</v>
      </c>
      <c r="B356">
        <v>12</v>
      </c>
      <c r="C356" t="s">
        <v>170</v>
      </c>
      <c r="D356" t="s">
        <v>138</v>
      </c>
      <c r="E356" s="6">
        <v>5045.8157000000001</v>
      </c>
      <c r="F356" s="6">
        <v>5033.7070000000003</v>
      </c>
      <c r="G356" s="6">
        <v>42.660600000000002</v>
      </c>
      <c r="H356" s="6">
        <v>5045.8107</v>
      </c>
      <c r="I356" s="6">
        <v>5033.7075000000004</v>
      </c>
      <c r="J356" s="6">
        <v>42.661999999999999</v>
      </c>
      <c r="K356" s="2">
        <v>-2.8</v>
      </c>
      <c r="L356" s="2">
        <v>-0.2</v>
      </c>
      <c r="M356" s="2">
        <v>0.3</v>
      </c>
      <c r="N356" s="2">
        <v>-5</v>
      </c>
      <c r="O356" s="2">
        <v>0.5</v>
      </c>
      <c r="P356" s="2">
        <v>1.4</v>
      </c>
      <c r="Q356" s="2">
        <f t="shared" si="10"/>
        <v>5.024937810560445</v>
      </c>
      <c r="R356" t="str">
        <f t="shared" si="11"/>
        <v>Regular</v>
      </c>
      <c r="S356" t="s">
        <v>243</v>
      </c>
      <c r="T356">
        <v>50</v>
      </c>
    </row>
    <row r="357" spans="1:20">
      <c r="A357" s="1">
        <v>46013</v>
      </c>
      <c r="B357">
        <v>12</v>
      </c>
      <c r="C357" t="s">
        <v>149</v>
      </c>
      <c r="D357" t="s">
        <v>120</v>
      </c>
      <c r="E357" s="6">
        <v>5017.3522999999996</v>
      </c>
      <c r="F357" s="6">
        <v>5017.7930999999999</v>
      </c>
      <c r="G357" s="6">
        <v>47.4587</v>
      </c>
      <c r="H357" s="6">
        <v>5017.3505999999998</v>
      </c>
      <c r="I357" s="6">
        <v>5017.7950000000001</v>
      </c>
      <c r="J357" s="6">
        <v>47.460299999999997</v>
      </c>
      <c r="K357" s="2">
        <v>-1.1000000000000001</v>
      </c>
      <c r="L357" s="2">
        <v>0.6</v>
      </c>
      <c r="M357" s="2">
        <v>-0.2</v>
      </c>
      <c r="N357" s="2">
        <v>-1.7</v>
      </c>
      <c r="O357" s="2">
        <v>1.9</v>
      </c>
      <c r="P357" s="2">
        <v>1.6</v>
      </c>
      <c r="Q357" s="2">
        <f t="shared" si="10"/>
        <v>2.5495097567963922</v>
      </c>
      <c r="R357" t="str">
        <f t="shared" si="11"/>
        <v>Regular</v>
      </c>
      <c r="S357" t="s">
        <v>243</v>
      </c>
      <c r="T357">
        <v>50</v>
      </c>
    </row>
    <row r="358" spans="1:20">
      <c r="A358" s="1">
        <v>46013</v>
      </c>
      <c r="B358">
        <v>12</v>
      </c>
      <c r="C358" t="s">
        <v>151</v>
      </c>
      <c r="D358" t="s">
        <v>120</v>
      </c>
      <c r="E358" s="6">
        <v>5017.2749000000003</v>
      </c>
      <c r="F358" s="6">
        <v>5018.2057000000004</v>
      </c>
      <c r="G358" s="6">
        <v>43.061300000000003</v>
      </c>
      <c r="H358" s="6"/>
      <c r="I358" s="6"/>
      <c r="J358" s="6"/>
      <c r="K358" s="2"/>
      <c r="L358" s="2"/>
      <c r="M358" s="2"/>
      <c r="N358" s="2"/>
      <c r="O358" s="2"/>
      <c r="P358" s="2"/>
      <c r="Q358" s="2" t="str">
        <f t="shared" si="10"/>
        <v/>
      </c>
      <c r="R358" t="str">
        <f t="shared" si="11"/>
        <v>Sem leitura</v>
      </c>
      <c r="S358" t="s">
        <v>243</v>
      </c>
      <c r="T358">
        <v>50</v>
      </c>
    </row>
    <row r="359" spans="1:20">
      <c r="A359" s="1">
        <v>46013</v>
      </c>
      <c r="B359">
        <v>12</v>
      </c>
      <c r="C359" t="s">
        <v>159</v>
      </c>
      <c r="D359" t="s">
        <v>128</v>
      </c>
      <c r="E359" s="6">
        <v>4976.0536000000002</v>
      </c>
      <c r="F359" s="6">
        <v>5040.1774999999998</v>
      </c>
      <c r="G359" s="6">
        <v>43.505000000000003</v>
      </c>
      <c r="H359" s="6"/>
      <c r="I359" s="6"/>
      <c r="J359" s="6"/>
      <c r="K359" s="2"/>
      <c r="L359" s="2"/>
      <c r="M359" s="2"/>
      <c r="N359" s="2"/>
      <c r="O359" s="2"/>
      <c r="P359" s="2"/>
      <c r="Q359" s="2" t="str">
        <f t="shared" si="10"/>
        <v/>
      </c>
      <c r="R359" t="str">
        <f t="shared" si="11"/>
        <v>Sem leitura</v>
      </c>
      <c r="S359" t="s">
        <v>243</v>
      </c>
      <c r="T359">
        <v>50</v>
      </c>
    </row>
    <row r="360" spans="1:20">
      <c r="A360" s="1">
        <v>46013</v>
      </c>
      <c r="B360">
        <v>12</v>
      </c>
      <c r="C360" t="s">
        <v>160</v>
      </c>
      <c r="D360" t="s">
        <v>128</v>
      </c>
      <c r="E360" s="6">
        <v>4976.0869000000002</v>
      </c>
      <c r="F360" s="6">
        <v>5040.6423000000004</v>
      </c>
      <c r="G360" s="6">
        <v>43.351300000000002</v>
      </c>
      <c r="H360" s="6">
        <v>4976.0871999999999</v>
      </c>
      <c r="I360" s="6">
        <v>5040.6409000000003</v>
      </c>
      <c r="J360" s="6">
        <v>43.352200000000003</v>
      </c>
      <c r="K360" s="2">
        <v>0.3</v>
      </c>
      <c r="L360" s="2">
        <v>-1.4</v>
      </c>
      <c r="M360" s="2">
        <v>0.9</v>
      </c>
      <c r="N360" s="2">
        <v>0.3</v>
      </c>
      <c r="O360" s="2">
        <v>-1.4</v>
      </c>
      <c r="P360" s="2">
        <v>0.9</v>
      </c>
      <c r="Q360" s="2">
        <f t="shared" si="10"/>
        <v>1.4317821063276353</v>
      </c>
      <c r="R360" t="str">
        <f t="shared" si="11"/>
        <v>Regular</v>
      </c>
      <c r="S360" t="s">
        <v>243</v>
      </c>
      <c r="T360">
        <v>50</v>
      </c>
    </row>
    <row r="361" spans="1:20">
      <c r="A361" s="1">
        <v>46013</v>
      </c>
      <c r="B361">
        <v>12</v>
      </c>
      <c r="C361" t="s">
        <v>168</v>
      </c>
      <c r="D361" t="s">
        <v>167</v>
      </c>
      <c r="E361" s="6">
        <v>5037.7052999999996</v>
      </c>
      <c r="F361" s="6">
        <v>5047.0955999999996</v>
      </c>
      <c r="G361" s="6">
        <v>42.919199999999996</v>
      </c>
      <c r="H361" s="6">
        <v>5037.7026999999998</v>
      </c>
      <c r="I361" s="6">
        <v>5047.0964000000004</v>
      </c>
      <c r="J361" s="6">
        <v>42.9191</v>
      </c>
      <c r="K361" s="2">
        <v>-2.6</v>
      </c>
      <c r="L361" s="2">
        <v>0.8</v>
      </c>
      <c r="M361" s="2">
        <v>-0.1</v>
      </c>
      <c r="N361" s="2">
        <v>-2.6</v>
      </c>
      <c r="O361" s="2">
        <v>0.8</v>
      </c>
      <c r="P361" s="2">
        <v>-0.1</v>
      </c>
      <c r="Q361" s="2">
        <f t="shared" si="10"/>
        <v>2.7202941017470885</v>
      </c>
      <c r="R361" t="str">
        <f t="shared" si="11"/>
        <v>Regular</v>
      </c>
      <c r="S361" t="s">
        <v>243</v>
      </c>
      <c r="T361">
        <v>50</v>
      </c>
    </row>
    <row r="362" spans="1:20">
      <c r="A362" s="1">
        <v>46013</v>
      </c>
      <c r="B362">
        <v>12</v>
      </c>
      <c r="C362" t="s">
        <v>155</v>
      </c>
      <c r="D362" t="s">
        <v>156</v>
      </c>
      <c r="E362" s="6">
        <v>4980.2689</v>
      </c>
      <c r="F362" s="6">
        <v>5031.7997999999998</v>
      </c>
      <c r="G362" s="6">
        <v>48.331200000000003</v>
      </c>
      <c r="H362" s="6">
        <v>4980.2689</v>
      </c>
      <c r="I362" s="6">
        <v>5031.7997999999998</v>
      </c>
      <c r="J362" s="6">
        <v>48.331200000000003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f t="shared" si="10"/>
        <v>0</v>
      </c>
      <c r="R362" t="str">
        <f t="shared" si="11"/>
        <v>Regular</v>
      </c>
      <c r="S362" t="s">
        <v>243</v>
      </c>
      <c r="T362">
        <v>50</v>
      </c>
    </row>
    <row r="363" spans="1:20">
      <c r="A363" s="1">
        <v>46013</v>
      </c>
      <c r="B363">
        <v>12</v>
      </c>
      <c r="C363" t="s">
        <v>153</v>
      </c>
      <c r="D363" t="s">
        <v>120</v>
      </c>
      <c r="E363" s="6">
        <v>5017.2718999999997</v>
      </c>
      <c r="F363" s="6">
        <v>5018.1959999999999</v>
      </c>
      <c r="G363" s="6">
        <v>43.055799999999998</v>
      </c>
      <c r="H363" s="6">
        <v>5017.2718999999997</v>
      </c>
      <c r="I363" s="6">
        <v>5018.1959999999999</v>
      </c>
      <c r="J363" s="6">
        <v>43.055799999999998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f t="shared" si="10"/>
        <v>0</v>
      </c>
      <c r="R363" t="str">
        <f t="shared" si="11"/>
        <v>Regular</v>
      </c>
      <c r="S363" t="s">
        <v>243</v>
      </c>
      <c r="T363">
        <v>50</v>
      </c>
    </row>
    <row r="364" spans="1:20">
      <c r="A364" s="1">
        <v>46020</v>
      </c>
      <c r="B364">
        <v>18</v>
      </c>
      <c r="C364" t="s">
        <v>69</v>
      </c>
      <c r="D364" t="s">
        <v>70</v>
      </c>
      <c r="E364" s="6">
        <v>4990.9656999999997</v>
      </c>
      <c r="F364" s="6">
        <v>5053.7449999999999</v>
      </c>
      <c r="G364" s="6">
        <v>60.553600000000003</v>
      </c>
      <c r="H364" s="6">
        <v>4990.9790000000003</v>
      </c>
      <c r="I364" s="6">
        <v>5053.7154</v>
      </c>
      <c r="J364" s="6">
        <v>60.5486</v>
      </c>
      <c r="K364" s="2">
        <v>2.6</v>
      </c>
      <c r="L364" s="2">
        <v>-2.6</v>
      </c>
      <c r="M364" s="2">
        <v>-0.4</v>
      </c>
      <c r="N364" s="2">
        <v>13.3</v>
      </c>
      <c r="O364" s="2">
        <v>-29.6</v>
      </c>
      <c r="P364" s="2">
        <v>-5</v>
      </c>
      <c r="Q364" s="2">
        <f t="shared" si="10"/>
        <v>32.450731886969827</v>
      </c>
      <c r="R364" t="str">
        <f t="shared" si="11"/>
        <v>Alarme</v>
      </c>
      <c r="S364" t="s">
        <v>245</v>
      </c>
      <c r="T364">
        <v>19</v>
      </c>
    </row>
    <row r="365" spans="1:20">
      <c r="A365" s="1">
        <v>46020</v>
      </c>
      <c r="B365">
        <v>18</v>
      </c>
      <c r="C365" t="s">
        <v>75</v>
      </c>
      <c r="D365" t="s">
        <v>70</v>
      </c>
      <c r="E365" s="6">
        <v>4990.9760999999999</v>
      </c>
      <c r="F365" s="6">
        <v>5053.7455</v>
      </c>
      <c r="G365" s="6">
        <v>59.095199999999998</v>
      </c>
      <c r="H365" s="6">
        <v>4990.9879000000001</v>
      </c>
      <c r="I365" s="6">
        <v>5053.7166999999999</v>
      </c>
      <c r="J365" s="6">
        <v>59.091900000000003</v>
      </c>
      <c r="K365" s="2">
        <v>1.1000000000000001</v>
      </c>
      <c r="L365" s="2">
        <v>-2.4</v>
      </c>
      <c r="M365" s="2">
        <v>-0.3</v>
      </c>
      <c r="N365" s="2">
        <v>11.8</v>
      </c>
      <c r="O365" s="2">
        <v>-28.8</v>
      </c>
      <c r="P365" s="2">
        <v>-3.3</v>
      </c>
      <c r="Q365" s="2">
        <f t="shared" si="10"/>
        <v>31.123624467596958</v>
      </c>
      <c r="R365" t="str">
        <f t="shared" si="11"/>
        <v>Alarme</v>
      </c>
      <c r="S365" t="s">
        <v>245</v>
      </c>
      <c r="T365">
        <v>19</v>
      </c>
    </row>
    <row r="366" spans="1:20">
      <c r="A366" s="1">
        <v>46020</v>
      </c>
      <c r="B366">
        <v>18</v>
      </c>
      <c r="C366" t="s">
        <v>76</v>
      </c>
      <c r="D366" t="s">
        <v>70</v>
      </c>
      <c r="E366" s="6">
        <v>5001.0812999999998</v>
      </c>
      <c r="F366" s="6">
        <v>5053.5291999999999</v>
      </c>
      <c r="G366" s="6">
        <v>60.621899999999997</v>
      </c>
      <c r="H366" s="6">
        <v>5001.0985000000001</v>
      </c>
      <c r="I366" s="6">
        <v>5053.4957000000004</v>
      </c>
      <c r="J366" s="6">
        <v>60.607599999999998</v>
      </c>
      <c r="K366" s="2">
        <v>3.1</v>
      </c>
      <c r="L366" s="2">
        <v>-3</v>
      </c>
      <c r="M366" s="2">
        <v>-2.2000000000000002</v>
      </c>
      <c r="N366" s="2">
        <v>17.2</v>
      </c>
      <c r="O366" s="2">
        <v>-33.5</v>
      </c>
      <c r="P366" s="2">
        <v>-14.3</v>
      </c>
      <c r="Q366" s="2">
        <f t="shared" si="10"/>
        <v>37.657535766430598</v>
      </c>
      <c r="R366" t="str">
        <f t="shared" si="11"/>
        <v>Alarme</v>
      </c>
      <c r="S366" t="s">
        <v>245</v>
      </c>
      <c r="T366">
        <v>19</v>
      </c>
    </row>
    <row r="367" spans="1:20">
      <c r="A367" s="1">
        <v>46020</v>
      </c>
      <c r="B367">
        <v>18</v>
      </c>
      <c r="C367" t="s">
        <v>77</v>
      </c>
      <c r="D367" t="s">
        <v>70</v>
      </c>
      <c r="E367" s="6">
        <v>5001.0428000000002</v>
      </c>
      <c r="F367" s="6">
        <v>5053.5321999999996</v>
      </c>
      <c r="G367" s="6">
        <v>58.677799999999998</v>
      </c>
      <c r="H367" s="6">
        <v>5001.0595000000003</v>
      </c>
      <c r="I367" s="6">
        <v>5053.5002000000004</v>
      </c>
      <c r="J367" s="6">
        <v>58.662799999999997</v>
      </c>
      <c r="K367" s="2">
        <v>2.1</v>
      </c>
      <c r="L367" s="2">
        <v>-3.1</v>
      </c>
      <c r="M367" s="2">
        <v>-1.8</v>
      </c>
      <c r="N367" s="2">
        <v>16.7</v>
      </c>
      <c r="O367" s="2">
        <v>-32</v>
      </c>
      <c r="P367" s="2">
        <v>-15</v>
      </c>
      <c r="Q367" s="2">
        <f t="shared" si="10"/>
        <v>36.095567594927772</v>
      </c>
      <c r="R367" t="str">
        <f t="shared" si="11"/>
        <v>Alarme</v>
      </c>
      <c r="S367" t="s">
        <v>245</v>
      </c>
      <c r="T367">
        <v>19</v>
      </c>
    </row>
    <row r="368" spans="1:20">
      <c r="A368" s="1">
        <v>46020</v>
      </c>
      <c r="B368">
        <v>18</v>
      </c>
      <c r="C368" t="s">
        <v>78</v>
      </c>
      <c r="D368" t="s">
        <v>70</v>
      </c>
      <c r="E368" s="6">
        <v>5005.4017999999996</v>
      </c>
      <c r="F368" s="6">
        <v>5054.5141000000003</v>
      </c>
      <c r="G368" s="6">
        <v>60.181899999999999</v>
      </c>
      <c r="H368" s="6"/>
      <c r="I368" s="6"/>
      <c r="J368" s="6"/>
      <c r="K368" s="2"/>
      <c r="L368" s="2"/>
      <c r="M368" s="2"/>
      <c r="N368" s="2"/>
      <c r="O368" s="2"/>
      <c r="P368" s="2"/>
      <c r="Q368" s="2" t="str">
        <f t="shared" si="10"/>
        <v/>
      </c>
      <c r="R368" t="str">
        <f t="shared" si="11"/>
        <v>Sem leitura</v>
      </c>
      <c r="S368" t="s">
        <v>245</v>
      </c>
      <c r="T368">
        <v>19</v>
      </c>
    </row>
    <row r="369" spans="1:20">
      <c r="A369" s="1">
        <v>46020</v>
      </c>
      <c r="B369">
        <v>18</v>
      </c>
      <c r="C369" t="s">
        <v>80</v>
      </c>
      <c r="D369" t="s">
        <v>70</v>
      </c>
      <c r="E369" s="6">
        <v>5005.4050999999999</v>
      </c>
      <c r="F369" s="6">
        <v>5054.5766999999996</v>
      </c>
      <c r="G369" s="6">
        <v>58.646999999999998</v>
      </c>
      <c r="H369" s="6"/>
      <c r="I369" s="6"/>
      <c r="J369" s="6"/>
      <c r="K369" s="2"/>
      <c r="L369" s="2"/>
      <c r="M369" s="2"/>
      <c r="N369" s="2"/>
      <c r="O369" s="2"/>
      <c r="P369" s="2"/>
      <c r="Q369" s="2" t="str">
        <f t="shared" si="10"/>
        <v/>
      </c>
      <c r="R369" t="str">
        <f t="shared" si="11"/>
        <v>Sem leitura</v>
      </c>
      <c r="S369" t="s">
        <v>245</v>
      </c>
      <c r="T369">
        <v>19</v>
      </c>
    </row>
    <row r="370" spans="1:20">
      <c r="A370" s="1">
        <v>46020</v>
      </c>
      <c r="B370">
        <v>18</v>
      </c>
      <c r="C370" t="s">
        <v>81</v>
      </c>
      <c r="D370" t="s">
        <v>70</v>
      </c>
      <c r="E370" s="6">
        <v>5005.8755000000001</v>
      </c>
      <c r="F370" s="6">
        <v>5063.3173999999999</v>
      </c>
      <c r="G370" s="6">
        <v>60.481099999999998</v>
      </c>
      <c r="H370" s="6"/>
      <c r="I370" s="6"/>
      <c r="J370" s="6"/>
      <c r="K370" s="2"/>
      <c r="L370" s="2"/>
      <c r="M370" s="2"/>
      <c r="N370" s="2"/>
      <c r="O370" s="2"/>
      <c r="P370" s="2"/>
      <c r="Q370" s="2" t="str">
        <f t="shared" si="10"/>
        <v/>
      </c>
      <c r="R370" t="str">
        <f t="shared" si="11"/>
        <v>Sem leitura</v>
      </c>
      <c r="S370" t="s">
        <v>245</v>
      </c>
      <c r="T370">
        <v>19</v>
      </c>
    </row>
    <row r="371" spans="1:20">
      <c r="A371" s="1">
        <v>46020</v>
      </c>
      <c r="B371">
        <v>18</v>
      </c>
      <c r="C371" t="s">
        <v>82</v>
      </c>
      <c r="D371" t="s">
        <v>70</v>
      </c>
      <c r="E371" s="6">
        <v>5005.8838999999998</v>
      </c>
      <c r="F371" s="6">
        <v>5063.7007999999996</v>
      </c>
      <c r="G371" s="6">
        <v>59.329300000000003</v>
      </c>
      <c r="H371" s="6"/>
      <c r="I371" s="6"/>
      <c r="J371" s="6"/>
      <c r="K371" s="2"/>
      <c r="L371" s="2"/>
      <c r="M371" s="2"/>
      <c r="N371" s="2"/>
      <c r="O371" s="2"/>
      <c r="P371" s="2"/>
      <c r="Q371" s="2" t="str">
        <f t="shared" si="10"/>
        <v/>
      </c>
      <c r="R371" t="str">
        <f t="shared" si="11"/>
        <v>Sem leitura</v>
      </c>
      <c r="S371" t="s">
        <v>245</v>
      </c>
      <c r="T371">
        <v>19</v>
      </c>
    </row>
    <row r="372" spans="1:20">
      <c r="A372" s="1">
        <v>46020</v>
      </c>
      <c r="B372">
        <v>18</v>
      </c>
      <c r="C372" t="s">
        <v>83</v>
      </c>
      <c r="D372" t="s">
        <v>84</v>
      </c>
      <c r="E372" s="6">
        <v>5055.3705</v>
      </c>
      <c r="F372" s="6">
        <v>5037.6908000000003</v>
      </c>
      <c r="G372" s="6">
        <v>55.834499999999998</v>
      </c>
      <c r="H372" s="6">
        <v>5055.3571000000002</v>
      </c>
      <c r="I372" s="6">
        <v>5037.6913000000004</v>
      </c>
      <c r="J372" s="6">
        <v>55.836300000000001</v>
      </c>
      <c r="K372" s="2">
        <v>-0.7</v>
      </c>
      <c r="L372" s="2">
        <v>0.1</v>
      </c>
      <c r="M372" s="2">
        <v>1.2</v>
      </c>
      <c r="N372" s="2">
        <v>-13.4</v>
      </c>
      <c r="O372" s="2">
        <v>0.5</v>
      </c>
      <c r="P372" s="2">
        <v>1.8</v>
      </c>
      <c r="Q372" s="2">
        <f t="shared" si="10"/>
        <v>13.409325113517086</v>
      </c>
      <c r="R372" t="str">
        <f t="shared" si="11"/>
        <v>Regular</v>
      </c>
      <c r="S372" t="s">
        <v>245</v>
      </c>
      <c r="T372">
        <v>19</v>
      </c>
    </row>
    <row r="373" spans="1:20">
      <c r="A373" s="1">
        <v>46020</v>
      </c>
      <c r="B373">
        <v>18</v>
      </c>
      <c r="C373" t="s">
        <v>85</v>
      </c>
      <c r="D373" t="s">
        <v>84</v>
      </c>
      <c r="E373" s="6">
        <v>5055.3611000000001</v>
      </c>
      <c r="F373" s="6">
        <v>5037.652</v>
      </c>
      <c r="G373" s="6">
        <v>53.920200000000001</v>
      </c>
      <c r="H373" s="6">
        <v>5055.3492999999999</v>
      </c>
      <c r="I373" s="6">
        <v>5037.6490000000003</v>
      </c>
      <c r="J373" s="6">
        <v>53.922600000000003</v>
      </c>
      <c r="K373" s="2">
        <v>-0.6</v>
      </c>
      <c r="L373" s="2">
        <v>-0.4</v>
      </c>
      <c r="M373" s="2">
        <v>0.8</v>
      </c>
      <c r="N373" s="2">
        <v>-11.8</v>
      </c>
      <c r="O373" s="2">
        <v>-3</v>
      </c>
      <c r="P373" s="2">
        <v>2.4</v>
      </c>
      <c r="Q373" s="2">
        <f t="shared" si="10"/>
        <v>12.175385004179539</v>
      </c>
      <c r="R373" t="str">
        <f t="shared" si="11"/>
        <v>Regular</v>
      </c>
      <c r="S373" t="s">
        <v>245</v>
      </c>
      <c r="T373">
        <v>19</v>
      </c>
    </row>
    <row r="374" spans="1:20">
      <c r="A374" s="1">
        <v>46020</v>
      </c>
      <c r="B374">
        <v>18</v>
      </c>
      <c r="C374" t="s">
        <v>86</v>
      </c>
      <c r="D374" t="s">
        <v>84</v>
      </c>
      <c r="E374" s="6">
        <v>5053.1266999999998</v>
      </c>
      <c r="F374" s="6">
        <v>5028.5694000000003</v>
      </c>
      <c r="G374" s="6">
        <v>55.876899999999999</v>
      </c>
      <c r="H374" s="6">
        <v>5053.1142</v>
      </c>
      <c r="I374" s="6">
        <v>5028.5709999999999</v>
      </c>
      <c r="J374" s="6">
        <v>55.878599999999999</v>
      </c>
      <c r="K374" s="2">
        <v>-0.6</v>
      </c>
      <c r="L374" s="2">
        <v>-0.6</v>
      </c>
      <c r="M374" s="2">
        <v>0.6</v>
      </c>
      <c r="N374" s="2">
        <v>-12.5</v>
      </c>
      <c r="O374" s="2">
        <v>1.6</v>
      </c>
      <c r="P374" s="2">
        <v>1.7</v>
      </c>
      <c r="Q374" s="2">
        <f t="shared" si="10"/>
        <v>12.601983970788092</v>
      </c>
      <c r="R374" t="str">
        <f t="shared" si="11"/>
        <v>Regular</v>
      </c>
      <c r="S374" t="s">
        <v>245</v>
      </c>
      <c r="T374">
        <v>19</v>
      </c>
    </row>
    <row r="375" spans="1:20">
      <c r="A375" s="1">
        <v>46020</v>
      </c>
      <c r="B375">
        <v>18</v>
      </c>
      <c r="C375" t="s">
        <v>87</v>
      </c>
      <c r="D375" t="s">
        <v>84</v>
      </c>
      <c r="E375" s="6">
        <v>5053.1229999999996</v>
      </c>
      <c r="F375" s="6">
        <v>5028.5785999999998</v>
      </c>
      <c r="G375" s="6">
        <v>54.159100000000002</v>
      </c>
      <c r="H375" s="6">
        <v>5053.1109999999999</v>
      </c>
      <c r="I375" s="6">
        <v>5028.5771999999997</v>
      </c>
      <c r="J375" s="6">
        <v>54.160499999999999</v>
      </c>
      <c r="K375" s="2">
        <v>-0.7</v>
      </c>
      <c r="L375" s="2">
        <v>-0.7</v>
      </c>
      <c r="M375" s="2">
        <v>0.7</v>
      </c>
      <c r="N375" s="2">
        <v>-12</v>
      </c>
      <c r="O375" s="2">
        <v>-1.4</v>
      </c>
      <c r="P375" s="2">
        <v>1.4</v>
      </c>
      <c r="Q375" s="2">
        <f t="shared" si="10"/>
        <v>12.081390648431166</v>
      </c>
      <c r="R375" t="str">
        <f t="shared" si="11"/>
        <v>Regular</v>
      </c>
      <c r="S375" t="s">
        <v>245</v>
      </c>
      <c r="T375">
        <v>19</v>
      </c>
    </row>
    <row r="376" spans="1:20">
      <c r="A376" s="1">
        <v>46020</v>
      </c>
      <c r="B376">
        <v>18</v>
      </c>
      <c r="C376" t="s">
        <v>88</v>
      </c>
      <c r="D376" t="s">
        <v>89</v>
      </c>
      <c r="E376" s="6">
        <v>5051.1406999999999</v>
      </c>
      <c r="F376" s="6">
        <v>5062.3236999999999</v>
      </c>
      <c r="G376" s="6">
        <v>63.001399999999997</v>
      </c>
      <c r="H376" s="6">
        <v>5051.1307999999999</v>
      </c>
      <c r="I376" s="6">
        <v>5062.3207000000002</v>
      </c>
      <c r="J376" s="6">
        <v>62.9985</v>
      </c>
      <c r="K376" s="2">
        <v>-1.3</v>
      </c>
      <c r="L376" s="2">
        <v>0.2</v>
      </c>
      <c r="M376" s="2">
        <v>0.6</v>
      </c>
      <c r="N376" s="2">
        <v>-9.9</v>
      </c>
      <c r="O376" s="2">
        <v>-3</v>
      </c>
      <c r="P376" s="2">
        <v>-2.9</v>
      </c>
      <c r="Q376" s="2">
        <f t="shared" si="10"/>
        <v>10.34456378974</v>
      </c>
      <c r="R376" t="str">
        <f t="shared" si="11"/>
        <v>Regular</v>
      </c>
      <c r="S376" t="s">
        <v>245</v>
      </c>
      <c r="T376">
        <v>19</v>
      </c>
    </row>
    <row r="377" spans="1:20">
      <c r="A377" s="1">
        <v>46020</v>
      </c>
      <c r="B377">
        <v>18</v>
      </c>
      <c r="C377" t="s">
        <v>90</v>
      </c>
      <c r="D377" t="s">
        <v>89</v>
      </c>
      <c r="E377" s="6">
        <v>5051.0086000000001</v>
      </c>
      <c r="F377" s="6">
        <v>5062.4333999999999</v>
      </c>
      <c r="G377" s="6">
        <v>56.898000000000003</v>
      </c>
      <c r="H377" s="6">
        <v>5051.0009</v>
      </c>
      <c r="I377" s="6">
        <v>5062.4299000000001</v>
      </c>
      <c r="J377" s="6">
        <v>56.8977</v>
      </c>
      <c r="K377" s="2">
        <v>0</v>
      </c>
      <c r="L377" s="2">
        <v>-1</v>
      </c>
      <c r="M377" s="2">
        <v>0.4</v>
      </c>
      <c r="N377" s="2">
        <v>-7.7</v>
      </c>
      <c r="O377" s="2">
        <v>-3.5</v>
      </c>
      <c r="P377" s="2">
        <v>-0.3</v>
      </c>
      <c r="Q377" s="2">
        <f t="shared" si="10"/>
        <v>8.4581321815162003</v>
      </c>
      <c r="R377" t="str">
        <f t="shared" si="11"/>
        <v>Regular</v>
      </c>
      <c r="S377" t="s">
        <v>245</v>
      </c>
      <c r="T377">
        <v>19</v>
      </c>
    </row>
    <row r="378" spans="1:20">
      <c r="A378" s="1">
        <v>46020</v>
      </c>
      <c r="B378">
        <v>18</v>
      </c>
      <c r="C378" t="s">
        <v>91</v>
      </c>
      <c r="D378" t="s">
        <v>89</v>
      </c>
      <c r="E378" s="6">
        <v>5058.5258999999996</v>
      </c>
      <c r="F378" s="6">
        <v>5053.1760000000004</v>
      </c>
      <c r="G378" s="6">
        <v>63.525199999999998</v>
      </c>
      <c r="H378" s="6">
        <v>5058.5151999999998</v>
      </c>
      <c r="I378" s="6">
        <v>5053.1727000000001</v>
      </c>
      <c r="J378" s="6">
        <v>63.526000000000003</v>
      </c>
      <c r="K378" s="2">
        <v>-1.9</v>
      </c>
      <c r="L378" s="2">
        <v>-0.2</v>
      </c>
      <c r="M378" s="2">
        <v>0.4</v>
      </c>
      <c r="N378" s="2">
        <v>-10.7</v>
      </c>
      <c r="O378" s="2">
        <v>-3.3</v>
      </c>
      <c r="P378" s="2">
        <v>0.8</v>
      </c>
      <c r="Q378" s="2">
        <f t="shared" si="10"/>
        <v>11.197321108193691</v>
      </c>
      <c r="R378" t="str">
        <f t="shared" si="11"/>
        <v>Regular</v>
      </c>
      <c r="S378" t="s">
        <v>245</v>
      </c>
      <c r="T378">
        <v>19</v>
      </c>
    </row>
    <row r="379" spans="1:20">
      <c r="A379" s="1">
        <v>46020</v>
      </c>
      <c r="B379">
        <v>18</v>
      </c>
      <c r="C379" t="s">
        <v>92</v>
      </c>
      <c r="D379" t="s">
        <v>89</v>
      </c>
      <c r="E379" s="6">
        <v>5060.2732999999998</v>
      </c>
      <c r="F379" s="6">
        <v>5059.0944</v>
      </c>
      <c r="G379" s="6">
        <v>58.7943</v>
      </c>
      <c r="H379" s="6">
        <v>5060.2620999999999</v>
      </c>
      <c r="I379" s="6">
        <v>5059.0925999999999</v>
      </c>
      <c r="J379" s="6">
        <v>58.7926</v>
      </c>
      <c r="K379" s="2">
        <v>-0.5</v>
      </c>
      <c r="L379" s="2">
        <v>-0.3</v>
      </c>
      <c r="M379" s="2">
        <v>0.6</v>
      </c>
      <c r="N379" s="2">
        <v>-11.2</v>
      </c>
      <c r="O379" s="2">
        <v>-1.8</v>
      </c>
      <c r="P379" s="2">
        <v>-1.7</v>
      </c>
      <c r="Q379" s="2">
        <f t="shared" si="10"/>
        <v>11.343720729989785</v>
      </c>
      <c r="R379" t="str">
        <f t="shared" si="11"/>
        <v>Regular</v>
      </c>
      <c r="S379" t="s">
        <v>245</v>
      </c>
      <c r="T379">
        <v>19</v>
      </c>
    </row>
    <row r="380" spans="1:20">
      <c r="A380" s="1">
        <v>46020</v>
      </c>
      <c r="B380">
        <v>18</v>
      </c>
      <c r="C380" t="s">
        <v>114</v>
      </c>
      <c r="D380" t="s">
        <v>70</v>
      </c>
      <c r="E380" s="6">
        <v>5005.4053999999996</v>
      </c>
      <c r="F380" s="6">
        <v>5054.1601000000001</v>
      </c>
      <c r="G380" s="6">
        <v>59.572699999999998</v>
      </c>
      <c r="H380" s="6">
        <v>5005.4197000000004</v>
      </c>
      <c r="I380" s="6">
        <v>5054.1409999999996</v>
      </c>
      <c r="J380" s="6">
        <v>59.560099999999998</v>
      </c>
      <c r="K380" s="2">
        <v>2.2000000000000002</v>
      </c>
      <c r="L380" s="2">
        <v>-3.8</v>
      </c>
      <c r="M380" s="2">
        <v>-4.3</v>
      </c>
      <c r="N380" s="2">
        <v>14.3</v>
      </c>
      <c r="O380" s="2">
        <v>-19.100000000000001</v>
      </c>
      <c r="P380" s="2">
        <v>-12.6</v>
      </c>
      <c r="Q380" s="2">
        <f t="shared" si="10"/>
        <v>23.860008382228202</v>
      </c>
      <c r="R380" t="str">
        <f t="shared" si="11"/>
        <v>Alerta</v>
      </c>
      <c r="S380" t="s">
        <v>245</v>
      </c>
      <c r="T380">
        <v>19</v>
      </c>
    </row>
    <row r="381" spans="1:20">
      <c r="A381" s="1">
        <v>46020</v>
      </c>
      <c r="B381">
        <v>18</v>
      </c>
      <c r="C381" t="s">
        <v>116</v>
      </c>
      <c r="D381" t="s">
        <v>70</v>
      </c>
      <c r="E381" s="6">
        <v>5005.4237999999996</v>
      </c>
      <c r="F381" s="6">
        <v>5054.4835999999996</v>
      </c>
      <c r="G381" s="6">
        <v>58.357300000000002</v>
      </c>
      <c r="H381" s="6">
        <v>5005.4381000000003</v>
      </c>
      <c r="I381" s="6">
        <v>5054.4647000000004</v>
      </c>
      <c r="J381" s="6">
        <v>58.345700000000001</v>
      </c>
      <c r="K381" s="2">
        <v>2.6</v>
      </c>
      <c r="L381" s="2">
        <v>-3.4</v>
      </c>
      <c r="M381" s="2">
        <v>-3.6</v>
      </c>
      <c r="N381" s="2">
        <v>14.3</v>
      </c>
      <c r="O381" s="2">
        <v>-18.899999999999999</v>
      </c>
      <c r="P381" s="2">
        <v>-11.6</v>
      </c>
      <c r="Q381" s="2">
        <f t="shared" si="10"/>
        <v>23.700210969525145</v>
      </c>
      <c r="R381" t="str">
        <f t="shared" si="11"/>
        <v>Alerta</v>
      </c>
      <c r="S381" t="s">
        <v>245</v>
      </c>
      <c r="T381">
        <v>19</v>
      </c>
    </row>
    <row r="382" spans="1:20">
      <c r="A382" s="1">
        <v>46020</v>
      </c>
      <c r="B382">
        <v>18</v>
      </c>
      <c r="C382" t="s">
        <v>117</v>
      </c>
      <c r="D382" t="s">
        <v>70</v>
      </c>
      <c r="E382" s="6">
        <v>5005.9258</v>
      </c>
      <c r="F382" s="6">
        <v>5064.1066000000001</v>
      </c>
      <c r="G382" s="6">
        <v>60.544499999999999</v>
      </c>
      <c r="H382" s="6">
        <v>5005.9399000000003</v>
      </c>
      <c r="I382" s="6">
        <v>5064.0886</v>
      </c>
      <c r="J382" s="6">
        <v>60.528599999999997</v>
      </c>
      <c r="K382" s="2">
        <v>2.2000000000000002</v>
      </c>
      <c r="L382" s="2">
        <v>-3.6</v>
      </c>
      <c r="M382" s="2">
        <v>-2.8</v>
      </c>
      <c r="N382" s="2">
        <v>14.1</v>
      </c>
      <c r="O382" s="2">
        <v>-18</v>
      </c>
      <c r="P382" s="2">
        <v>-15.9</v>
      </c>
      <c r="Q382" s="2">
        <f t="shared" si="10"/>
        <v>22.865038814749472</v>
      </c>
      <c r="R382" t="str">
        <f t="shared" si="11"/>
        <v>Alerta</v>
      </c>
      <c r="S382" t="s">
        <v>245</v>
      </c>
      <c r="T382">
        <v>19</v>
      </c>
    </row>
    <row r="383" spans="1:20">
      <c r="A383" s="1">
        <v>46020</v>
      </c>
      <c r="B383">
        <v>18</v>
      </c>
      <c r="C383" t="s">
        <v>118</v>
      </c>
      <c r="D383" t="s">
        <v>70</v>
      </c>
      <c r="E383" s="6">
        <v>5005.8734999999997</v>
      </c>
      <c r="F383" s="6">
        <v>5063.2722999999996</v>
      </c>
      <c r="G383" s="6">
        <v>58.732500000000002</v>
      </c>
      <c r="H383" s="6">
        <v>5005.8851999999997</v>
      </c>
      <c r="I383" s="6">
        <v>5063.2547000000004</v>
      </c>
      <c r="J383" s="6">
        <v>58.718499999999999</v>
      </c>
      <c r="K383" s="2">
        <v>1.3</v>
      </c>
      <c r="L383" s="2">
        <v>-3</v>
      </c>
      <c r="M383" s="2">
        <v>-1.5</v>
      </c>
      <c r="N383" s="2">
        <v>11.7</v>
      </c>
      <c r="O383" s="2">
        <v>-17.600000000000001</v>
      </c>
      <c r="P383" s="2">
        <v>-14</v>
      </c>
      <c r="Q383" s="2">
        <f t="shared" si="10"/>
        <v>21.134095674998729</v>
      </c>
      <c r="R383" t="str">
        <f t="shared" si="11"/>
        <v>Alerta</v>
      </c>
      <c r="S383" t="s">
        <v>245</v>
      </c>
      <c r="T383">
        <v>19</v>
      </c>
    </row>
    <row r="384" spans="1:20">
      <c r="A384" s="1">
        <v>46020</v>
      </c>
      <c r="B384">
        <v>13</v>
      </c>
      <c r="C384" t="s">
        <v>119</v>
      </c>
      <c r="D384" t="s">
        <v>120</v>
      </c>
      <c r="E384" s="6">
        <v>5019.7240000000002</v>
      </c>
      <c r="F384" s="6">
        <v>5017.4448000000002</v>
      </c>
      <c r="G384" s="6">
        <v>48.267099999999999</v>
      </c>
      <c r="H384" s="6"/>
      <c r="I384" s="6"/>
      <c r="J384" s="6"/>
      <c r="K384" s="2"/>
      <c r="L384" s="2"/>
      <c r="M384" s="2"/>
      <c r="N384" s="2"/>
      <c r="O384" s="2"/>
      <c r="P384" s="2"/>
      <c r="Q384" s="2" t="str">
        <f t="shared" si="10"/>
        <v/>
      </c>
      <c r="R384" t="str">
        <f t="shared" si="11"/>
        <v>Sem leitura</v>
      </c>
      <c r="S384" t="s">
        <v>245</v>
      </c>
      <c r="T384">
        <v>50</v>
      </c>
    </row>
    <row r="385" spans="1:20">
      <c r="A385" s="1">
        <v>46020</v>
      </c>
      <c r="B385">
        <v>13</v>
      </c>
      <c r="C385" t="s">
        <v>122</v>
      </c>
      <c r="D385" t="s">
        <v>123</v>
      </c>
      <c r="E385" s="6">
        <v>4982.3819999999996</v>
      </c>
      <c r="F385" s="6">
        <v>5027.9636</v>
      </c>
      <c r="G385" s="6">
        <v>48.275500000000001</v>
      </c>
      <c r="H385" s="6">
        <v>4982.4035999999996</v>
      </c>
      <c r="I385" s="6">
        <v>5027.9648999999999</v>
      </c>
      <c r="J385" s="6">
        <v>48.280299999999997</v>
      </c>
      <c r="K385" s="2">
        <v>1.1000000000000001</v>
      </c>
      <c r="L385" s="2">
        <v>0.8</v>
      </c>
      <c r="M385" s="2">
        <v>0.5</v>
      </c>
      <c r="N385" s="2">
        <v>21.6</v>
      </c>
      <c r="O385" s="2">
        <v>1.3</v>
      </c>
      <c r="P385" s="2">
        <v>4.8</v>
      </c>
      <c r="Q385" s="2">
        <f t="shared" si="10"/>
        <v>21.639085008382402</v>
      </c>
      <c r="R385" t="str">
        <f t="shared" si="11"/>
        <v>Alerta</v>
      </c>
      <c r="S385" t="s">
        <v>245</v>
      </c>
      <c r="T385">
        <v>50</v>
      </c>
    </row>
    <row r="386" spans="1:20">
      <c r="A386" s="1">
        <v>46020</v>
      </c>
      <c r="B386">
        <v>13</v>
      </c>
      <c r="C386" t="s">
        <v>124</v>
      </c>
      <c r="D386" t="s">
        <v>125</v>
      </c>
      <c r="E386" s="6">
        <v>4986.2775000000001</v>
      </c>
      <c r="F386" s="6">
        <v>5019.8639000000003</v>
      </c>
      <c r="G386" s="6">
        <v>50.872999999999998</v>
      </c>
      <c r="H386" s="6">
        <v>4986.2826999999997</v>
      </c>
      <c r="I386" s="6">
        <v>5019.8625000000002</v>
      </c>
      <c r="J386" s="6">
        <v>50.873699999999999</v>
      </c>
      <c r="K386" s="2">
        <v>0.4</v>
      </c>
      <c r="L386" s="2">
        <v>-0.4</v>
      </c>
      <c r="M386" s="2">
        <v>-0.2</v>
      </c>
      <c r="N386" s="2">
        <v>5.2</v>
      </c>
      <c r="O386" s="2">
        <v>-1.4</v>
      </c>
      <c r="P386" s="2">
        <v>0.7</v>
      </c>
      <c r="Q386" s="2">
        <f t="shared" ref="Q386:Q449" si="12">IF(COUNT(N386:O386)&lt;2,"",SQRT(N386^2+O386^2))</f>
        <v>5.3851648071345046</v>
      </c>
      <c r="R386" t="str">
        <f t="shared" ref="R386:R449" si="13">IF(COUNT(H386:P386)=0,"Sem leitura",IF(ISNUMBER(SEARCH("Escavação",D386)),IF(OR(Q386&gt;=40,ABS(P386)&gt;=15),"Alarme",IF(OR(Q386&gt;=IF(OR(ISNUMBER(SEARCH("Alçado AB",D386)),ISNUMBER(SEARCH("Alçado CD",D386)),ISNUMBER(SEARCH("Alçado BF",D386)),ISNUMBER(SEARCH("Alçado PQ",D386))),20,30),ABS(P386)&gt;=10),"Alerta","Regular")),IF(OR(Q386&gt;=25,ABS(P386)&gt;=20),"Alarme",IF(OR(Q386&gt;=15,ABS(P386)&gt;=10),"Alerta","Regular"))))</f>
        <v>Regular</v>
      </c>
      <c r="S386" t="s">
        <v>245</v>
      </c>
      <c r="T386">
        <v>50</v>
      </c>
    </row>
    <row r="387" spans="1:20">
      <c r="A387" s="1">
        <v>46020</v>
      </c>
      <c r="B387">
        <v>13</v>
      </c>
      <c r="C387" t="s">
        <v>126</v>
      </c>
      <c r="D387" t="s">
        <v>125</v>
      </c>
      <c r="E387" s="6">
        <v>4977.5057999999999</v>
      </c>
      <c r="F387" s="6">
        <v>5027.6043</v>
      </c>
      <c r="G387" s="6">
        <v>52.208399999999997</v>
      </c>
      <c r="H387" s="6">
        <v>4977.5087000000003</v>
      </c>
      <c r="I387" s="6">
        <v>5027.5989</v>
      </c>
      <c r="J387" s="6">
        <v>52.207900000000002</v>
      </c>
      <c r="K387" s="2">
        <v>0.2</v>
      </c>
      <c r="L387" s="2">
        <v>-0.9</v>
      </c>
      <c r="M387" s="2">
        <v>0.5</v>
      </c>
      <c r="N387" s="2">
        <v>2.9</v>
      </c>
      <c r="O387" s="2">
        <v>-5.4</v>
      </c>
      <c r="P387" s="2">
        <v>-0.5</v>
      </c>
      <c r="Q387" s="2">
        <f t="shared" si="12"/>
        <v>6.1294371682887823</v>
      </c>
      <c r="R387" t="str">
        <f t="shared" si="13"/>
        <v>Regular</v>
      </c>
      <c r="S387" t="s">
        <v>245</v>
      </c>
      <c r="T387">
        <v>50</v>
      </c>
    </row>
    <row r="388" spans="1:20">
      <c r="A388" s="1">
        <v>46020</v>
      </c>
      <c r="B388">
        <v>13</v>
      </c>
      <c r="C388" t="s">
        <v>127</v>
      </c>
      <c r="D388" t="s">
        <v>128</v>
      </c>
      <c r="E388" s="6">
        <v>4974.3924999999999</v>
      </c>
      <c r="F388" s="6">
        <v>5039.5325999999995</v>
      </c>
      <c r="G388" s="6">
        <v>53.556800000000003</v>
      </c>
      <c r="H388" s="6">
        <v>4974.3981000000003</v>
      </c>
      <c r="I388" s="6">
        <v>5039.5317999999997</v>
      </c>
      <c r="J388" s="6">
        <v>53.558</v>
      </c>
      <c r="K388" s="2">
        <v>0</v>
      </c>
      <c r="L388" s="2">
        <v>0</v>
      </c>
      <c r="M388" s="2">
        <v>-0.1</v>
      </c>
      <c r="N388" s="2">
        <v>5.6</v>
      </c>
      <c r="O388" s="2">
        <v>-0.8</v>
      </c>
      <c r="P388" s="2">
        <v>1.2</v>
      </c>
      <c r="Q388" s="2">
        <f t="shared" si="12"/>
        <v>5.6568542494923797</v>
      </c>
      <c r="R388" t="str">
        <f t="shared" si="13"/>
        <v>Regular</v>
      </c>
      <c r="S388" t="s">
        <v>245</v>
      </c>
      <c r="T388">
        <v>50</v>
      </c>
    </row>
    <row r="389" spans="1:20">
      <c r="A389" s="1">
        <v>46020</v>
      </c>
      <c r="B389">
        <v>13</v>
      </c>
      <c r="C389" t="s">
        <v>129</v>
      </c>
      <c r="D389" t="s">
        <v>130</v>
      </c>
      <c r="E389" s="6">
        <v>4981.8689000000004</v>
      </c>
      <c r="F389" s="6">
        <v>5046.9902000000002</v>
      </c>
      <c r="G389" s="6">
        <v>53.966500000000003</v>
      </c>
      <c r="H389" s="6">
        <v>4981.8815999999997</v>
      </c>
      <c r="I389" s="6">
        <v>5046.9785000000002</v>
      </c>
      <c r="J389" s="6">
        <v>53.969099999999997</v>
      </c>
      <c r="K389" s="2">
        <v>1.1000000000000001</v>
      </c>
      <c r="L389" s="2">
        <v>-1.7</v>
      </c>
      <c r="M389" s="2">
        <v>-0.2</v>
      </c>
      <c r="N389" s="2">
        <v>12.7</v>
      </c>
      <c r="O389" s="2">
        <v>-11.7</v>
      </c>
      <c r="P389" s="2">
        <v>2.6</v>
      </c>
      <c r="Q389" s="2">
        <f t="shared" si="12"/>
        <v>17.267889274604467</v>
      </c>
      <c r="R389" t="str">
        <f t="shared" si="13"/>
        <v>Regular</v>
      </c>
      <c r="S389" t="s">
        <v>245</v>
      </c>
      <c r="T389">
        <v>50</v>
      </c>
    </row>
    <row r="390" spans="1:20">
      <c r="A390" s="1">
        <v>46020</v>
      </c>
      <c r="B390">
        <v>13</v>
      </c>
      <c r="C390" t="s">
        <v>131</v>
      </c>
      <c r="D390" t="s">
        <v>130</v>
      </c>
      <c r="E390" s="6">
        <v>4993.0258000000003</v>
      </c>
      <c r="F390" s="6">
        <v>5045.3909000000003</v>
      </c>
      <c r="G390" s="6">
        <v>53.905200000000001</v>
      </c>
      <c r="H390" s="6">
        <v>4993.0348000000004</v>
      </c>
      <c r="I390" s="6">
        <v>5045.3761999999997</v>
      </c>
      <c r="J390" s="6">
        <v>53.905900000000003</v>
      </c>
      <c r="K390" s="2">
        <v>0.5</v>
      </c>
      <c r="L390" s="2">
        <v>-0.8</v>
      </c>
      <c r="M390" s="2">
        <v>-0.1</v>
      </c>
      <c r="N390" s="2">
        <v>9</v>
      </c>
      <c r="O390" s="2">
        <v>-14.7</v>
      </c>
      <c r="P390" s="2">
        <v>0.7</v>
      </c>
      <c r="Q390" s="2">
        <f t="shared" si="12"/>
        <v>17.236298906667869</v>
      </c>
      <c r="R390" t="str">
        <f t="shared" si="13"/>
        <v>Regular</v>
      </c>
      <c r="S390" t="s">
        <v>245</v>
      </c>
      <c r="T390">
        <v>50</v>
      </c>
    </row>
    <row r="391" spans="1:20">
      <c r="A391" s="1">
        <v>46020</v>
      </c>
      <c r="B391">
        <v>13</v>
      </c>
      <c r="C391" t="s">
        <v>132</v>
      </c>
      <c r="D391" t="s">
        <v>130</v>
      </c>
      <c r="E391" s="6">
        <v>5002.4090999999999</v>
      </c>
      <c r="F391" s="6">
        <v>5044.0244000000002</v>
      </c>
      <c r="G391" s="6">
        <v>53.889200000000002</v>
      </c>
      <c r="H391" s="6">
        <v>5002.4156999999996</v>
      </c>
      <c r="I391" s="6">
        <v>5043.9976999999999</v>
      </c>
      <c r="J391" s="6">
        <v>53.892299999999999</v>
      </c>
      <c r="K391" s="2">
        <v>0.2</v>
      </c>
      <c r="L391" s="2">
        <v>-3.6</v>
      </c>
      <c r="M391" s="2">
        <v>0.3</v>
      </c>
      <c r="N391" s="2">
        <v>6.6</v>
      </c>
      <c r="O391" s="2">
        <v>-26.7</v>
      </c>
      <c r="P391" s="2">
        <v>3.1</v>
      </c>
      <c r="Q391" s="2">
        <f t="shared" si="12"/>
        <v>27.503636123247411</v>
      </c>
      <c r="R391" t="str">
        <f t="shared" si="13"/>
        <v>Regular</v>
      </c>
      <c r="S391" t="s">
        <v>245</v>
      </c>
      <c r="T391">
        <v>50</v>
      </c>
    </row>
    <row r="392" spans="1:20">
      <c r="A392" s="1">
        <v>46020</v>
      </c>
      <c r="B392">
        <v>13</v>
      </c>
      <c r="C392" t="s">
        <v>133</v>
      </c>
      <c r="D392" t="s">
        <v>134</v>
      </c>
      <c r="E392" s="6">
        <v>5012.8994000000002</v>
      </c>
      <c r="F392" s="6">
        <v>5060.6997000000001</v>
      </c>
      <c r="G392" s="6">
        <v>52.496299999999998</v>
      </c>
      <c r="H392" s="6">
        <v>5012.8950999999997</v>
      </c>
      <c r="I392" s="6">
        <v>5060.6799000000001</v>
      </c>
      <c r="J392" s="6">
        <v>52.501399999999997</v>
      </c>
      <c r="K392" s="2">
        <v>-0.4</v>
      </c>
      <c r="L392" s="2">
        <v>-2.2000000000000002</v>
      </c>
      <c r="M392" s="2">
        <v>0.8</v>
      </c>
      <c r="N392" s="2">
        <v>-4.3</v>
      </c>
      <c r="O392" s="2">
        <v>-19.8</v>
      </c>
      <c r="P392" s="2">
        <v>5.0999999999999996</v>
      </c>
      <c r="Q392" s="2">
        <f t="shared" si="12"/>
        <v>20.26153992173349</v>
      </c>
      <c r="R392" t="str">
        <f t="shared" si="13"/>
        <v>Regular</v>
      </c>
      <c r="S392" t="s">
        <v>245</v>
      </c>
      <c r="T392">
        <v>50</v>
      </c>
    </row>
    <row r="393" spans="1:20">
      <c r="A393" s="1">
        <v>46020</v>
      </c>
      <c r="B393">
        <v>13</v>
      </c>
      <c r="C393" t="s">
        <v>135</v>
      </c>
      <c r="D393" t="s">
        <v>136</v>
      </c>
      <c r="E393" s="6">
        <v>5026.7076999999999</v>
      </c>
      <c r="F393" s="6">
        <v>5072.3888999999999</v>
      </c>
      <c r="G393" s="6">
        <v>53.761400000000002</v>
      </c>
      <c r="H393" s="6">
        <v>5026.7029000000002</v>
      </c>
      <c r="I393" s="6">
        <v>5072.3706000000002</v>
      </c>
      <c r="J393" s="6">
        <v>53.764299999999999</v>
      </c>
      <c r="K393" s="2">
        <v>-0.4</v>
      </c>
      <c r="L393" s="2">
        <v>-1.7</v>
      </c>
      <c r="M393" s="2">
        <v>0.5</v>
      </c>
      <c r="N393" s="2">
        <v>-4.8</v>
      </c>
      <c r="O393" s="2">
        <v>-18.3</v>
      </c>
      <c r="P393" s="2">
        <v>2.9</v>
      </c>
      <c r="Q393" s="2">
        <f t="shared" si="12"/>
        <v>18.919038030513075</v>
      </c>
      <c r="R393" t="str">
        <f t="shared" si="13"/>
        <v>Regular</v>
      </c>
      <c r="S393" t="s">
        <v>245</v>
      </c>
      <c r="T393">
        <v>50</v>
      </c>
    </row>
    <row r="394" spans="1:20">
      <c r="A394" s="1">
        <v>46020</v>
      </c>
      <c r="B394">
        <v>13</v>
      </c>
      <c r="C394" t="s">
        <v>137</v>
      </c>
      <c r="D394" t="s">
        <v>138</v>
      </c>
      <c r="E394" s="6">
        <v>5046.1882999999998</v>
      </c>
      <c r="F394" s="6">
        <v>5033.5622999999996</v>
      </c>
      <c r="G394" s="6">
        <v>48.999099999999999</v>
      </c>
      <c r="H394" s="6">
        <v>5046.1684999999998</v>
      </c>
      <c r="I394" s="6">
        <v>5033.5613000000003</v>
      </c>
      <c r="J394" s="6">
        <v>48.999099999999999</v>
      </c>
      <c r="K394" s="2">
        <v>-0.4</v>
      </c>
      <c r="L394" s="2">
        <v>-0.1</v>
      </c>
      <c r="M394" s="2">
        <v>0</v>
      </c>
      <c r="N394" s="2">
        <v>-19.8</v>
      </c>
      <c r="O394" s="2">
        <v>-1</v>
      </c>
      <c r="P394" s="2">
        <v>0</v>
      </c>
      <c r="Q394" s="2">
        <f t="shared" si="12"/>
        <v>19.825236442474022</v>
      </c>
      <c r="R394" t="str">
        <f t="shared" si="13"/>
        <v>Regular</v>
      </c>
      <c r="S394" t="s">
        <v>245</v>
      </c>
      <c r="T394">
        <v>50</v>
      </c>
    </row>
    <row r="395" spans="1:20">
      <c r="A395" s="1">
        <v>46020</v>
      </c>
      <c r="B395">
        <v>13</v>
      </c>
      <c r="C395" t="s">
        <v>139</v>
      </c>
      <c r="D395" t="s">
        <v>134</v>
      </c>
      <c r="E395" s="6">
        <v>5010.7592999999997</v>
      </c>
      <c r="F395" s="6">
        <v>5050.9463999999998</v>
      </c>
      <c r="G395" s="6">
        <v>52.517400000000002</v>
      </c>
      <c r="H395" s="6">
        <v>5010.7511999999997</v>
      </c>
      <c r="I395" s="6">
        <v>5050.9281000000001</v>
      </c>
      <c r="J395" s="6">
        <v>52.525100000000002</v>
      </c>
      <c r="K395" s="2">
        <v>-0.9</v>
      </c>
      <c r="L395" s="2">
        <v>-1.4</v>
      </c>
      <c r="M395" s="2">
        <v>1</v>
      </c>
      <c r="N395" s="2">
        <v>-8.1</v>
      </c>
      <c r="O395" s="2">
        <v>-18.3</v>
      </c>
      <c r="P395" s="2">
        <v>7.7</v>
      </c>
      <c r="Q395" s="2">
        <f t="shared" si="12"/>
        <v>20.012496096189501</v>
      </c>
      <c r="R395" t="str">
        <f t="shared" si="13"/>
        <v>Regular</v>
      </c>
      <c r="S395" t="s">
        <v>245</v>
      </c>
      <c r="T395">
        <v>50</v>
      </c>
    </row>
    <row r="396" spans="1:20">
      <c r="A396" s="1">
        <v>46020</v>
      </c>
      <c r="B396">
        <v>13</v>
      </c>
      <c r="C396" t="s">
        <v>140</v>
      </c>
      <c r="D396" t="s">
        <v>128</v>
      </c>
      <c r="E396" s="6">
        <v>4976.0573000000004</v>
      </c>
      <c r="F396" s="6">
        <v>5040.5965999999999</v>
      </c>
      <c r="G396" s="6">
        <v>48.214799999999997</v>
      </c>
      <c r="H396" s="6">
        <v>4976.0672999999997</v>
      </c>
      <c r="I396" s="6">
        <v>5040.5928000000004</v>
      </c>
      <c r="J396" s="6">
        <v>48.216000000000001</v>
      </c>
      <c r="K396" s="2">
        <v>-0.5</v>
      </c>
      <c r="L396" s="2">
        <v>-0.1</v>
      </c>
      <c r="M396" s="2">
        <v>0.2</v>
      </c>
      <c r="N396" s="2">
        <v>10</v>
      </c>
      <c r="O396" s="2">
        <v>-3.8</v>
      </c>
      <c r="P396" s="2">
        <v>1.2</v>
      </c>
      <c r="Q396" s="2">
        <f t="shared" si="12"/>
        <v>10.697663296253065</v>
      </c>
      <c r="R396" t="str">
        <f t="shared" si="13"/>
        <v>Regular</v>
      </c>
      <c r="S396" t="s">
        <v>245</v>
      </c>
      <c r="T396">
        <v>50</v>
      </c>
    </row>
    <row r="397" spans="1:20">
      <c r="A397" s="1">
        <v>46020</v>
      </c>
      <c r="B397">
        <v>13</v>
      </c>
      <c r="C397" t="s">
        <v>141</v>
      </c>
      <c r="D397" t="s">
        <v>130</v>
      </c>
      <c r="E397" s="6">
        <v>4987.9621999999999</v>
      </c>
      <c r="F397" s="6">
        <v>5045.3176000000003</v>
      </c>
      <c r="G397" s="6">
        <v>47.637599999999999</v>
      </c>
      <c r="H397" s="6">
        <v>4987.9687000000004</v>
      </c>
      <c r="I397" s="6">
        <v>5045.3009000000002</v>
      </c>
      <c r="J397" s="6">
        <v>47.6404</v>
      </c>
      <c r="K397" s="2">
        <v>0.1</v>
      </c>
      <c r="L397" s="2">
        <v>-1.4</v>
      </c>
      <c r="M397" s="2">
        <v>0.2</v>
      </c>
      <c r="N397" s="2">
        <v>6.5</v>
      </c>
      <c r="O397" s="2">
        <v>-16.7</v>
      </c>
      <c r="P397" s="2">
        <v>2.8</v>
      </c>
      <c r="Q397" s="2">
        <f t="shared" si="12"/>
        <v>17.920379460268133</v>
      </c>
      <c r="R397" t="str">
        <f t="shared" si="13"/>
        <v>Regular</v>
      </c>
      <c r="S397" t="s">
        <v>245</v>
      </c>
      <c r="T397">
        <v>50</v>
      </c>
    </row>
    <row r="398" spans="1:20">
      <c r="A398" s="1">
        <v>46020</v>
      </c>
      <c r="B398">
        <v>13</v>
      </c>
      <c r="C398" t="s">
        <v>142</v>
      </c>
      <c r="D398" t="s">
        <v>130</v>
      </c>
      <c r="E398" s="6">
        <v>5002.5304999999998</v>
      </c>
      <c r="F398" s="6">
        <v>5043.4611000000004</v>
      </c>
      <c r="G398" s="6">
        <v>47.537100000000002</v>
      </c>
      <c r="H398" s="6">
        <v>5002.5361999999996</v>
      </c>
      <c r="I398" s="6">
        <v>5043.4372999999996</v>
      </c>
      <c r="J398" s="6">
        <v>47.540100000000002</v>
      </c>
      <c r="K398" s="2">
        <v>0</v>
      </c>
      <c r="L398" s="2">
        <v>-4.2</v>
      </c>
      <c r="M398" s="2">
        <v>0.9</v>
      </c>
      <c r="N398" s="2">
        <v>5.7</v>
      </c>
      <c r="O398" s="2">
        <v>-23.8</v>
      </c>
      <c r="P398" s="2">
        <v>3</v>
      </c>
      <c r="Q398" s="2">
        <f t="shared" si="12"/>
        <v>24.473046398027364</v>
      </c>
      <c r="R398" t="str">
        <f t="shared" si="13"/>
        <v>Regular</v>
      </c>
      <c r="S398" t="s">
        <v>245</v>
      </c>
      <c r="T398">
        <v>50</v>
      </c>
    </row>
    <row r="399" spans="1:20">
      <c r="A399" s="1">
        <v>46020</v>
      </c>
      <c r="B399">
        <v>13</v>
      </c>
      <c r="C399" t="s">
        <v>143</v>
      </c>
      <c r="D399" t="s">
        <v>136</v>
      </c>
      <c r="E399" s="6">
        <v>5027.4714000000004</v>
      </c>
      <c r="F399" s="6">
        <v>5072.2404999999999</v>
      </c>
      <c r="G399" s="6">
        <v>51.143700000000003</v>
      </c>
      <c r="H399" s="6">
        <v>5027.4684999999999</v>
      </c>
      <c r="I399" s="6">
        <v>5072.2237999999998</v>
      </c>
      <c r="J399" s="6">
        <v>51.1464</v>
      </c>
      <c r="K399" s="2">
        <v>-0.9</v>
      </c>
      <c r="L399" s="2">
        <v>-1.9</v>
      </c>
      <c r="M399" s="2">
        <v>0.5</v>
      </c>
      <c r="N399" s="2">
        <v>-2.9</v>
      </c>
      <c r="O399" s="2">
        <v>-16.7</v>
      </c>
      <c r="P399" s="2">
        <v>2.7</v>
      </c>
      <c r="Q399" s="2">
        <f t="shared" si="12"/>
        <v>16.949926253526886</v>
      </c>
      <c r="R399" t="str">
        <f t="shared" si="13"/>
        <v>Regular</v>
      </c>
      <c r="S399" t="s">
        <v>245</v>
      </c>
      <c r="T399">
        <v>50</v>
      </c>
    </row>
    <row r="400" spans="1:20">
      <c r="A400" s="1">
        <v>46020</v>
      </c>
      <c r="B400">
        <v>13</v>
      </c>
      <c r="C400" t="s">
        <v>144</v>
      </c>
      <c r="D400" t="s">
        <v>145</v>
      </c>
      <c r="E400" s="6">
        <v>5041.9629000000004</v>
      </c>
      <c r="F400" s="6">
        <v>5043.3289999999997</v>
      </c>
      <c r="G400" s="6">
        <v>52.0655</v>
      </c>
      <c r="H400" s="6">
        <v>5041.9544999999998</v>
      </c>
      <c r="I400" s="6">
        <v>5043.3235999999997</v>
      </c>
      <c r="J400" s="6">
        <v>52.066699999999997</v>
      </c>
      <c r="K400" s="2">
        <v>0.2</v>
      </c>
      <c r="L400" s="2">
        <v>-0.1</v>
      </c>
      <c r="M400" s="2">
        <v>0.1</v>
      </c>
      <c r="N400" s="2">
        <v>-8.4</v>
      </c>
      <c r="O400" s="2">
        <v>-5.4</v>
      </c>
      <c r="P400" s="2">
        <v>1.2</v>
      </c>
      <c r="Q400" s="2">
        <f t="shared" si="12"/>
        <v>9.9859901862559433</v>
      </c>
      <c r="R400" t="str">
        <f t="shared" si="13"/>
        <v>Regular</v>
      </c>
      <c r="S400" t="s">
        <v>245</v>
      </c>
      <c r="T400">
        <v>50</v>
      </c>
    </row>
    <row r="401" spans="1:20">
      <c r="A401" s="1">
        <v>46020</v>
      </c>
      <c r="B401">
        <v>13</v>
      </c>
      <c r="C401" t="s">
        <v>166</v>
      </c>
      <c r="D401" t="s">
        <v>167</v>
      </c>
      <c r="E401" s="6">
        <v>5037.8409000000001</v>
      </c>
      <c r="F401" s="6">
        <v>5046.2614999999996</v>
      </c>
      <c r="G401" s="6">
        <v>51.521099999999997</v>
      </c>
      <c r="H401" s="6">
        <v>5037.8316999999997</v>
      </c>
      <c r="I401" s="6">
        <v>5046.2555000000002</v>
      </c>
      <c r="J401" s="6">
        <v>51.523899999999998</v>
      </c>
      <c r="K401" s="2">
        <v>-1.3</v>
      </c>
      <c r="L401" s="2">
        <v>-0.2</v>
      </c>
      <c r="M401" s="2">
        <v>0.1</v>
      </c>
      <c r="N401" s="2">
        <v>-9.1999999999999993</v>
      </c>
      <c r="O401" s="2">
        <v>-6</v>
      </c>
      <c r="P401" s="2">
        <v>2.8</v>
      </c>
      <c r="Q401" s="2">
        <f t="shared" si="12"/>
        <v>10.983624174196784</v>
      </c>
      <c r="R401" t="str">
        <f t="shared" si="13"/>
        <v>Regular</v>
      </c>
      <c r="S401" t="s">
        <v>245</v>
      </c>
      <c r="T401">
        <v>50</v>
      </c>
    </row>
    <row r="402" spans="1:20">
      <c r="A402" s="1">
        <v>46020</v>
      </c>
      <c r="B402">
        <v>13</v>
      </c>
      <c r="C402" t="s">
        <v>154</v>
      </c>
      <c r="D402" t="s">
        <v>123</v>
      </c>
      <c r="E402" s="6">
        <v>4983.0880999999999</v>
      </c>
      <c r="F402" s="6">
        <v>5028.2978000000003</v>
      </c>
      <c r="G402" s="6">
        <v>42.8752</v>
      </c>
      <c r="H402" s="6">
        <v>4983.1012000000001</v>
      </c>
      <c r="I402" s="6">
        <v>5028.2992999999997</v>
      </c>
      <c r="J402" s="6">
        <v>42.879300000000001</v>
      </c>
      <c r="K402" s="2">
        <v>-0.7</v>
      </c>
      <c r="L402" s="2">
        <v>0.8</v>
      </c>
      <c r="M402" s="2">
        <v>1</v>
      </c>
      <c r="N402" s="2">
        <v>13.1</v>
      </c>
      <c r="O402" s="2">
        <v>1.5</v>
      </c>
      <c r="P402" s="2">
        <v>4.0999999999999996</v>
      </c>
      <c r="Q402" s="2">
        <f t="shared" si="12"/>
        <v>13.185598204101321</v>
      </c>
      <c r="R402" t="str">
        <f t="shared" si="13"/>
        <v>Regular</v>
      </c>
      <c r="S402" t="s">
        <v>245</v>
      </c>
      <c r="T402">
        <v>50</v>
      </c>
    </row>
    <row r="403" spans="1:20">
      <c r="A403" s="1">
        <v>46020</v>
      </c>
      <c r="B403">
        <v>13</v>
      </c>
      <c r="C403" t="s">
        <v>163</v>
      </c>
      <c r="D403" t="s">
        <v>134</v>
      </c>
      <c r="E403" s="6">
        <v>5013.4206999999997</v>
      </c>
      <c r="F403" s="6">
        <v>5061.5992999999999</v>
      </c>
      <c r="G403" s="6">
        <v>47.2774</v>
      </c>
      <c r="H403" s="6"/>
      <c r="I403" s="6"/>
      <c r="J403" s="6"/>
      <c r="K403" s="2"/>
      <c r="L403" s="2"/>
      <c r="M403" s="2"/>
      <c r="N403" s="2"/>
      <c r="O403" s="2"/>
      <c r="P403" s="2"/>
      <c r="Q403" s="2" t="str">
        <f t="shared" si="12"/>
        <v/>
      </c>
      <c r="R403" t="str">
        <f t="shared" si="13"/>
        <v>Sem leitura</v>
      </c>
      <c r="S403" t="s">
        <v>245</v>
      </c>
      <c r="T403">
        <v>50</v>
      </c>
    </row>
    <row r="404" spans="1:20">
      <c r="A404" s="1">
        <v>46020</v>
      </c>
      <c r="B404">
        <v>13</v>
      </c>
      <c r="C404" t="s">
        <v>164</v>
      </c>
      <c r="D404" t="s">
        <v>136</v>
      </c>
      <c r="E404" s="6">
        <v>5026.8990000000003</v>
      </c>
      <c r="F404" s="6">
        <v>5072.0330000000004</v>
      </c>
      <c r="G404" s="6">
        <v>44.739800000000002</v>
      </c>
      <c r="H404" s="6">
        <v>5026.8972999999996</v>
      </c>
      <c r="I404" s="6">
        <v>5072.0235000000002</v>
      </c>
      <c r="J404" s="6">
        <v>44.7423</v>
      </c>
      <c r="K404" s="2">
        <v>-0.5</v>
      </c>
      <c r="L404" s="2">
        <v>-1.4</v>
      </c>
      <c r="M404" s="2">
        <v>0.2</v>
      </c>
      <c r="N404" s="2">
        <v>-1.7</v>
      </c>
      <c r="O404" s="2">
        <v>-9.5</v>
      </c>
      <c r="P404" s="2">
        <v>2.5</v>
      </c>
      <c r="Q404" s="2">
        <f t="shared" si="12"/>
        <v>9.6509066931558305</v>
      </c>
      <c r="R404" t="str">
        <f t="shared" si="13"/>
        <v>Regular</v>
      </c>
      <c r="S404" t="s">
        <v>245</v>
      </c>
      <c r="T404">
        <v>50</v>
      </c>
    </row>
    <row r="405" spans="1:20">
      <c r="A405" s="1">
        <v>46020</v>
      </c>
      <c r="B405">
        <v>13</v>
      </c>
      <c r="C405" t="s">
        <v>169</v>
      </c>
      <c r="D405" t="s">
        <v>145</v>
      </c>
      <c r="E405" s="6">
        <v>5042.0578999999998</v>
      </c>
      <c r="F405" s="6">
        <v>5042.7259000000004</v>
      </c>
      <c r="G405" s="6">
        <v>42.933700000000002</v>
      </c>
      <c r="H405" s="6">
        <v>5042.0524999999998</v>
      </c>
      <c r="I405" s="6">
        <v>5042.7250999999997</v>
      </c>
      <c r="J405" s="6">
        <v>42.936599999999999</v>
      </c>
      <c r="K405" s="2">
        <v>-0.8</v>
      </c>
      <c r="L405" s="2">
        <v>-0.2</v>
      </c>
      <c r="M405" s="2">
        <v>0.7</v>
      </c>
      <c r="N405" s="2">
        <v>-5.4</v>
      </c>
      <c r="O405" s="2">
        <v>-0.8</v>
      </c>
      <c r="P405" s="2">
        <v>2.9</v>
      </c>
      <c r="Q405" s="2">
        <f t="shared" si="12"/>
        <v>5.4589376255824726</v>
      </c>
      <c r="R405" t="str">
        <f t="shared" si="13"/>
        <v>Regular</v>
      </c>
      <c r="S405" t="s">
        <v>245</v>
      </c>
      <c r="T405">
        <v>50</v>
      </c>
    </row>
    <row r="406" spans="1:20">
      <c r="A406" s="1">
        <v>46020</v>
      </c>
      <c r="B406">
        <v>13</v>
      </c>
      <c r="C406" t="s">
        <v>170</v>
      </c>
      <c r="D406" t="s">
        <v>138</v>
      </c>
      <c r="E406" s="6">
        <v>5045.8157000000001</v>
      </c>
      <c r="F406" s="6">
        <v>5033.7070000000003</v>
      </c>
      <c r="G406" s="6">
        <v>42.660600000000002</v>
      </c>
      <c r="H406" s="6">
        <v>5045.8100999999997</v>
      </c>
      <c r="I406" s="6">
        <v>5033.7070999999996</v>
      </c>
      <c r="J406" s="6">
        <v>42.662300000000002</v>
      </c>
      <c r="K406" s="2">
        <v>-0.6</v>
      </c>
      <c r="L406" s="2">
        <v>-0.4</v>
      </c>
      <c r="M406" s="2">
        <v>0.3</v>
      </c>
      <c r="N406" s="2">
        <v>-5.6</v>
      </c>
      <c r="O406" s="2">
        <v>0.1</v>
      </c>
      <c r="P406" s="2">
        <v>1.7</v>
      </c>
      <c r="Q406" s="2">
        <f t="shared" si="12"/>
        <v>5.6008927859761783</v>
      </c>
      <c r="R406" t="str">
        <f t="shared" si="13"/>
        <v>Regular</v>
      </c>
      <c r="S406" t="s">
        <v>245</v>
      </c>
      <c r="T406">
        <v>50</v>
      </c>
    </row>
    <row r="407" spans="1:20">
      <c r="A407" s="1">
        <v>46020</v>
      </c>
      <c r="B407">
        <v>13</v>
      </c>
      <c r="C407" t="s">
        <v>149</v>
      </c>
      <c r="D407" t="s">
        <v>120</v>
      </c>
      <c r="E407" s="6">
        <v>5017.3522999999996</v>
      </c>
      <c r="F407" s="6">
        <v>5017.7930999999999</v>
      </c>
      <c r="G407" s="6">
        <v>47.4587</v>
      </c>
      <c r="H407" s="6">
        <v>5017.3509000000004</v>
      </c>
      <c r="I407" s="6">
        <v>5017.7951000000003</v>
      </c>
      <c r="J407" s="6">
        <v>47.460799999999999</v>
      </c>
      <c r="K407" s="2">
        <v>0.3</v>
      </c>
      <c r="L407" s="2">
        <v>0.1</v>
      </c>
      <c r="M407" s="2">
        <v>0.5</v>
      </c>
      <c r="N407" s="2">
        <v>-1.4</v>
      </c>
      <c r="O407" s="2">
        <v>2</v>
      </c>
      <c r="P407" s="2">
        <v>2.1</v>
      </c>
      <c r="Q407" s="2">
        <f t="shared" si="12"/>
        <v>2.4413111231467406</v>
      </c>
      <c r="R407" t="str">
        <f t="shared" si="13"/>
        <v>Regular</v>
      </c>
      <c r="S407" t="s">
        <v>245</v>
      </c>
      <c r="T407">
        <v>50</v>
      </c>
    </row>
    <row r="408" spans="1:20">
      <c r="A408" s="1">
        <v>46020</v>
      </c>
      <c r="B408">
        <v>13</v>
      </c>
      <c r="C408" t="s">
        <v>151</v>
      </c>
      <c r="D408" t="s">
        <v>120</v>
      </c>
      <c r="E408" s="6">
        <v>5017.2749000000003</v>
      </c>
      <c r="F408" s="6">
        <v>5018.2057000000004</v>
      </c>
      <c r="G408" s="6">
        <v>43.061300000000003</v>
      </c>
      <c r="H408" s="6"/>
      <c r="I408" s="6"/>
      <c r="J408" s="6"/>
      <c r="K408" s="2"/>
      <c r="L408" s="2"/>
      <c r="M408" s="2"/>
      <c r="N408" s="2"/>
      <c r="O408" s="2"/>
      <c r="P408" s="2"/>
      <c r="Q408" s="2" t="str">
        <f t="shared" si="12"/>
        <v/>
      </c>
      <c r="R408" t="str">
        <f t="shared" si="13"/>
        <v>Sem leitura</v>
      </c>
      <c r="S408" t="s">
        <v>245</v>
      </c>
      <c r="T408">
        <v>50</v>
      </c>
    </row>
    <row r="409" spans="1:20">
      <c r="A409" s="1">
        <v>46020</v>
      </c>
      <c r="B409">
        <v>13</v>
      </c>
      <c r="C409" t="s">
        <v>159</v>
      </c>
      <c r="D409" t="s">
        <v>128</v>
      </c>
      <c r="E409" s="6">
        <v>4976.0536000000002</v>
      </c>
      <c r="F409" s="6">
        <v>5040.1774999999998</v>
      </c>
      <c r="G409" s="6">
        <v>43.505000000000003</v>
      </c>
      <c r="H409" s="6"/>
      <c r="I409" s="6"/>
      <c r="J409" s="6"/>
      <c r="K409" s="2"/>
      <c r="L409" s="2"/>
      <c r="M409" s="2"/>
      <c r="N409" s="2"/>
      <c r="O409" s="2"/>
      <c r="P409" s="2"/>
      <c r="Q409" s="2" t="str">
        <f t="shared" si="12"/>
        <v/>
      </c>
      <c r="R409" t="str">
        <f t="shared" si="13"/>
        <v>Sem leitura</v>
      </c>
      <c r="S409" t="s">
        <v>245</v>
      </c>
      <c r="T409">
        <v>50</v>
      </c>
    </row>
    <row r="410" spans="1:20">
      <c r="A410" s="1">
        <v>46020</v>
      </c>
      <c r="B410">
        <v>13</v>
      </c>
      <c r="C410" t="s">
        <v>160</v>
      </c>
      <c r="D410" t="s">
        <v>128</v>
      </c>
      <c r="E410" s="6">
        <v>4976.0869000000002</v>
      </c>
      <c r="F410" s="6">
        <v>5040.6423000000004</v>
      </c>
      <c r="G410" s="6">
        <v>43.351300000000002</v>
      </c>
      <c r="H410" s="6">
        <v>4976.0871999999999</v>
      </c>
      <c r="I410" s="6">
        <v>5040.6403</v>
      </c>
      <c r="J410" s="6">
        <v>43.352699999999999</v>
      </c>
      <c r="K410" s="2">
        <v>0</v>
      </c>
      <c r="L410" s="2">
        <v>-0.6</v>
      </c>
      <c r="M410" s="2">
        <v>0.5</v>
      </c>
      <c r="N410" s="2">
        <v>0.3</v>
      </c>
      <c r="O410" s="2">
        <v>-2</v>
      </c>
      <c r="P410" s="2">
        <v>1.4</v>
      </c>
      <c r="Q410" s="2">
        <f t="shared" si="12"/>
        <v>2.0223748416156684</v>
      </c>
      <c r="R410" t="str">
        <f t="shared" si="13"/>
        <v>Regular</v>
      </c>
      <c r="S410" t="s">
        <v>245</v>
      </c>
      <c r="T410">
        <v>50</v>
      </c>
    </row>
    <row r="411" spans="1:20">
      <c r="A411" s="1">
        <v>46020</v>
      </c>
      <c r="B411">
        <v>13</v>
      </c>
      <c r="C411" t="s">
        <v>168</v>
      </c>
      <c r="D411" t="s">
        <v>167</v>
      </c>
      <c r="E411" s="6">
        <v>5037.7052999999996</v>
      </c>
      <c r="F411" s="6">
        <v>5047.0955999999996</v>
      </c>
      <c r="G411" s="6">
        <v>42.919199999999996</v>
      </c>
      <c r="H411" s="6">
        <v>5037.7019</v>
      </c>
      <c r="I411" s="6">
        <v>5047.0963000000002</v>
      </c>
      <c r="J411" s="6">
        <v>42.919600000000003</v>
      </c>
      <c r="K411" s="2">
        <v>-0.8</v>
      </c>
      <c r="L411" s="2">
        <v>-0.1</v>
      </c>
      <c r="M411" s="2">
        <v>0.5</v>
      </c>
      <c r="N411" s="2">
        <v>-3.4</v>
      </c>
      <c r="O411" s="2">
        <v>0.7</v>
      </c>
      <c r="P411" s="2">
        <v>0.4</v>
      </c>
      <c r="Q411" s="2">
        <f t="shared" si="12"/>
        <v>3.471310991541956</v>
      </c>
      <c r="R411" t="str">
        <f t="shared" si="13"/>
        <v>Regular</v>
      </c>
      <c r="S411" t="s">
        <v>245</v>
      </c>
      <c r="T411">
        <v>50</v>
      </c>
    </row>
    <row r="412" spans="1:20">
      <c r="A412" s="1">
        <v>46020</v>
      </c>
      <c r="B412">
        <v>13</v>
      </c>
      <c r="C412" t="s">
        <v>155</v>
      </c>
      <c r="D412" t="s">
        <v>156</v>
      </c>
      <c r="E412" s="6">
        <v>4980.2689</v>
      </c>
      <c r="F412" s="6">
        <v>5031.7997999999998</v>
      </c>
      <c r="G412" s="6">
        <v>48.331200000000003</v>
      </c>
      <c r="H412" s="6">
        <v>4980.2692999999999</v>
      </c>
      <c r="I412" s="6">
        <v>5031.7996000000003</v>
      </c>
      <c r="J412" s="6">
        <v>48.331499999999998</v>
      </c>
      <c r="K412" s="2">
        <v>0.4</v>
      </c>
      <c r="L412" s="2">
        <v>-0.2</v>
      </c>
      <c r="M412" s="2">
        <v>0.3</v>
      </c>
      <c r="N412" s="2">
        <v>0.4</v>
      </c>
      <c r="O412" s="2">
        <v>-0.2</v>
      </c>
      <c r="P412" s="2">
        <v>0.3</v>
      </c>
      <c r="Q412" s="2">
        <f t="shared" si="12"/>
        <v>0.44721359549995798</v>
      </c>
      <c r="R412" t="str">
        <f t="shared" si="13"/>
        <v>Regular</v>
      </c>
      <c r="S412" t="s">
        <v>245</v>
      </c>
      <c r="T412">
        <v>50</v>
      </c>
    </row>
    <row r="413" spans="1:20">
      <c r="A413" s="1">
        <v>46020</v>
      </c>
      <c r="B413">
        <v>13</v>
      </c>
      <c r="C413" t="s">
        <v>153</v>
      </c>
      <c r="D413" t="s">
        <v>120</v>
      </c>
      <c r="E413" s="6">
        <v>5017.2718999999997</v>
      </c>
      <c r="F413" s="6">
        <v>5018.1959999999999</v>
      </c>
      <c r="G413" s="6">
        <v>43.055799999999998</v>
      </c>
      <c r="H413" s="6">
        <v>5017.2718999999997</v>
      </c>
      <c r="I413" s="6">
        <v>5018.1972999999998</v>
      </c>
      <c r="J413" s="6">
        <v>43.0563</v>
      </c>
      <c r="K413" s="2">
        <v>0</v>
      </c>
      <c r="L413" s="2">
        <v>1.3</v>
      </c>
      <c r="M413" s="2">
        <v>0.5</v>
      </c>
      <c r="N413" s="2">
        <v>0</v>
      </c>
      <c r="O413" s="2">
        <v>1.3</v>
      </c>
      <c r="P413" s="2">
        <v>0.5</v>
      </c>
      <c r="Q413" s="2">
        <f t="shared" si="12"/>
        <v>1.3</v>
      </c>
      <c r="R413" t="str">
        <f t="shared" si="13"/>
        <v>Regular</v>
      </c>
      <c r="S413" t="s">
        <v>245</v>
      </c>
      <c r="T413">
        <v>50</v>
      </c>
    </row>
    <row r="414" spans="1:20">
      <c r="A414" s="1">
        <v>46020</v>
      </c>
      <c r="B414">
        <v>13</v>
      </c>
      <c r="C414" t="s">
        <v>157</v>
      </c>
      <c r="D414" t="s">
        <v>156</v>
      </c>
      <c r="E414" s="6">
        <v>4980.6113999999998</v>
      </c>
      <c r="F414" s="6">
        <v>5031.9393</v>
      </c>
      <c r="G414" s="6">
        <v>42.979900000000001</v>
      </c>
      <c r="H414" s="6">
        <v>4980.6113999999998</v>
      </c>
      <c r="I414" s="6">
        <v>5031.9393</v>
      </c>
      <c r="J414" s="6">
        <v>42.979900000000001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f t="shared" si="12"/>
        <v>0</v>
      </c>
      <c r="R414" t="str">
        <f t="shared" si="13"/>
        <v>Regular</v>
      </c>
      <c r="S414" t="s">
        <v>245</v>
      </c>
      <c r="T414">
        <v>50</v>
      </c>
    </row>
    <row r="415" spans="1:20">
      <c r="A415" s="1">
        <v>46027</v>
      </c>
      <c r="B415">
        <v>19</v>
      </c>
      <c r="C415" t="s">
        <v>69</v>
      </c>
      <c r="D415" t="s">
        <v>70</v>
      </c>
      <c r="E415" s="6">
        <v>4990.9656999999997</v>
      </c>
      <c r="F415" s="6">
        <v>5053.7449999999999</v>
      </c>
      <c r="G415" s="6">
        <v>60.553600000000003</v>
      </c>
      <c r="H415" s="6">
        <v>4990.9798000000001</v>
      </c>
      <c r="I415" s="6">
        <v>5053.7151000000003</v>
      </c>
      <c r="J415" s="6">
        <v>60.548400000000001</v>
      </c>
      <c r="K415" s="2">
        <v>0.8</v>
      </c>
      <c r="L415" s="2">
        <v>-0.3</v>
      </c>
      <c r="M415" s="2">
        <v>-0.2</v>
      </c>
      <c r="N415" s="2">
        <v>14.1</v>
      </c>
      <c r="O415" s="2">
        <v>-29.9</v>
      </c>
      <c r="P415" s="2">
        <v>-5.2</v>
      </c>
      <c r="Q415" s="2">
        <f t="shared" si="12"/>
        <v>33.057828119826624</v>
      </c>
      <c r="R415" t="str">
        <f t="shared" si="13"/>
        <v>Alarme</v>
      </c>
      <c r="S415" t="s">
        <v>247</v>
      </c>
      <c r="T415">
        <v>19</v>
      </c>
    </row>
    <row r="416" spans="1:20">
      <c r="A416" s="1">
        <v>46027</v>
      </c>
      <c r="B416">
        <v>19</v>
      </c>
      <c r="C416" t="s">
        <v>75</v>
      </c>
      <c r="D416" t="s">
        <v>70</v>
      </c>
      <c r="E416" s="6">
        <v>4990.9760999999999</v>
      </c>
      <c r="F416" s="6">
        <v>5053.7455</v>
      </c>
      <c r="G416" s="6">
        <v>59.095199999999998</v>
      </c>
      <c r="H416" s="6">
        <v>4990.9889000000003</v>
      </c>
      <c r="I416" s="6">
        <v>5053.7165999999997</v>
      </c>
      <c r="J416" s="6">
        <v>59.091700000000003</v>
      </c>
      <c r="K416" s="2">
        <v>1</v>
      </c>
      <c r="L416" s="2">
        <v>-0.1</v>
      </c>
      <c r="M416" s="2">
        <v>-0.2</v>
      </c>
      <c r="N416" s="2">
        <v>12.8</v>
      </c>
      <c r="O416" s="2">
        <v>-28.9</v>
      </c>
      <c r="P416" s="2">
        <v>-3.5</v>
      </c>
      <c r="Q416" s="2">
        <f t="shared" si="12"/>
        <v>31.607752213657964</v>
      </c>
      <c r="R416" t="str">
        <f t="shared" si="13"/>
        <v>Alarme</v>
      </c>
      <c r="S416" t="s">
        <v>247</v>
      </c>
      <c r="T416">
        <v>19</v>
      </c>
    </row>
    <row r="417" spans="1:20">
      <c r="A417" s="1">
        <v>46027</v>
      </c>
      <c r="B417">
        <v>19</v>
      </c>
      <c r="C417" t="s">
        <v>76</v>
      </c>
      <c r="D417" t="s">
        <v>70</v>
      </c>
      <c r="E417" s="6">
        <v>5001.0812999999998</v>
      </c>
      <c r="F417" s="6">
        <v>5053.5291999999999</v>
      </c>
      <c r="G417" s="6">
        <v>60.621899999999997</v>
      </c>
      <c r="H417" s="6">
        <v>5001.1000999999997</v>
      </c>
      <c r="I417" s="6">
        <v>5053.4953999999998</v>
      </c>
      <c r="J417" s="6">
        <v>60.607100000000003</v>
      </c>
      <c r="K417" s="2">
        <v>1.6</v>
      </c>
      <c r="L417" s="2">
        <v>-0.3</v>
      </c>
      <c r="M417" s="2">
        <v>-0.5</v>
      </c>
      <c r="N417" s="2">
        <v>18.8</v>
      </c>
      <c r="O417" s="2">
        <v>-33.799999999999997</v>
      </c>
      <c r="P417" s="2">
        <v>-14.8</v>
      </c>
      <c r="Q417" s="2">
        <f t="shared" si="12"/>
        <v>38.676607917447981</v>
      </c>
      <c r="R417" t="str">
        <f t="shared" si="13"/>
        <v>Alarme</v>
      </c>
      <c r="S417" t="s">
        <v>247</v>
      </c>
      <c r="T417">
        <v>19</v>
      </c>
    </row>
    <row r="418" spans="1:20">
      <c r="A418" s="1">
        <v>46027</v>
      </c>
      <c r="B418">
        <v>19</v>
      </c>
      <c r="C418" t="s">
        <v>77</v>
      </c>
      <c r="D418" t="s">
        <v>70</v>
      </c>
      <c r="E418" s="6">
        <v>5001.0428000000002</v>
      </c>
      <c r="F418" s="6">
        <v>5053.5321999999996</v>
      </c>
      <c r="G418" s="6">
        <v>58.677799999999998</v>
      </c>
      <c r="H418" s="6">
        <v>5001.0604000000003</v>
      </c>
      <c r="I418" s="6">
        <v>5053.5002000000004</v>
      </c>
      <c r="J418" s="6">
        <v>58.662700000000001</v>
      </c>
      <c r="K418" s="2">
        <v>0.9</v>
      </c>
      <c r="L418" s="2">
        <v>0</v>
      </c>
      <c r="M418" s="2">
        <v>-0.1</v>
      </c>
      <c r="N418" s="2">
        <v>17.600000000000001</v>
      </c>
      <c r="O418" s="2">
        <v>-32</v>
      </c>
      <c r="P418" s="2">
        <v>-15.1</v>
      </c>
      <c r="Q418" s="2">
        <f t="shared" si="12"/>
        <v>36.520679073642647</v>
      </c>
      <c r="R418" t="str">
        <f t="shared" si="13"/>
        <v>Alarme</v>
      </c>
      <c r="S418" t="s">
        <v>247</v>
      </c>
      <c r="T418">
        <v>19</v>
      </c>
    </row>
    <row r="419" spans="1:20">
      <c r="A419" s="1">
        <v>46027</v>
      </c>
      <c r="B419">
        <v>19</v>
      </c>
      <c r="C419" t="s">
        <v>78</v>
      </c>
      <c r="D419" t="s">
        <v>70</v>
      </c>
      <c r="E419" s="6">
        <v>5005.4017999999996</v>
      </c>
      <c r="F419" s="6">
        <v>5054.5141000000003</v>
      </c>
      <c r="G419" s="6">
        <v>60.181899999999999</v>
      </c>
      <c r="H419" s="6"/>
      <c r="I419" s="6"/>
      <c r="J419" s="6"/>
      <c r="K419" s="2"/>
      <c r="L419" s="2"/>
      <c r="M419" s="2"/>
      <c r="N419" s="2"/>
      <c r="O419" s="2"/>
      <c r="P419" s="2"/>
      <c r="Q419" s="2" t="str">
        <f t="shared" si="12"/>
        <v/>
      </c>
      <c r="R419" t="str">
        <f t="shared" si="13"/>
        <v>Sem leitura</v>
      </c>
      <c r="S419" t="s">
        <v>247</v>
      </c>
      <c r="T419">
        <v>19</v>
      </c>
    </row>
    <row r="420" spans="1:20">
      <c r="A420" s="1">
        <v>46027</v>
      </c>
      <c r="B420">
        <v>19</v>
      </c>
      <c r="C420" t="s">
        <v>80</v>
      </c>
      <c r="D420" t="s">
        <v>70</v>
      </c>
      <c r="E420" s="6">
        <v>5005.4050999999999</v>
      </c>
      <c r="F420" s="6">
        <v>5054.5766999999996</v>
      </c>
      <c r="G420" s="6">
        <v>58.646999999999998</v>
      </c>
      <c r="H420" s="6"/>
      <c r="I420" s="6"/>
      <c r="J420" s="6"/>
      <c r="K420" s="2"/>
      <c r="L420" s="2"/>
      <c r="M420" s="2"/>
      <c r="N420" s="2"/>
      <c r="O420" s="2"/>
      <c r="P420" s="2"/>
      <c r="Q420" s="2" t="str">
        <f t="shared" si="12"/>
        <v/>
      </c>
      <c r="R420" t="str">
        <f t="shared" si="13"/>
        <v>Sem leitura</v>
      </c>
      <c r="S420" t="s">
        <v>247</v>
      </c>
      <c r="T420">
        <v>19</v>
      </c>
    </row>
    <row r="421" spans="1:20">
      <c r="A421" s="1">
        <v>46027</v>
      </c>
      <c r="B421">
        <v>19</v>
      </c>
      <c r="C421" t="s">
        <v>81</v>
      </c>
      <c r="D421" t="s">
        <v>70</v>
      </c>
      <c r="E421" s="6">
        <v>5005.8755000000001</v>
      </c>
      <c r="F421" s="6">
        <v>5063.3173999999999</v>
      </c>
      <c r="G421" s="6">
        <v>60.481099999999998</v>
      </c>
      <c r="H421" s="6"/>
      <c r="I421" s="6"/>
      <c r="J421" s="6"/>
      <c r="K421" s="2"/>
      <c r="L421" s="2"/>
      <c r="M421" s="2"/>
      <c r="N421" s="2"/>
      <c r="O421" s="2"/>
      <c r="P421" s="2"/>
      <c r="Q421" s="2" t="str">
        <f t="shared" si="12"/>
        <v/>
      </c>
      <c r="R421" t="str">
        <f t="shared" si="13"/>
        <v>Sem leitura</v>
      </c>
      <c r="S421" t="s">
        <v>247</v>
      </c>
      <c r="T421">
        <v>19</v>
      </c>
    </row>
    <row r="422" spans="1:20">
      <c r="A422" s="1">
        <v>46027</v>
      </c>
      <c r="B422">
        <v>19</v>
      </c>
      <c r="C422" t="s">
        <v>82</v>
      </c>
      <c r="D422" t="s">
        <v>70</v>
      </c>
      <c r="E422" s="6">
        <v>5005.8838999999998</v>
      </c>
      <c r="F422" s="6">
        <v>5063.7007999999996</v>
      </c>
      <c r="G422" s="6">
        <v>59.329300000000003</v>
      </c>
      <c r="H422" s="6"/>
      <c r="I422" s="6"/>
      <c r="J422" s="6"/>
      <c r="K422" s="2"/>
      <c r="L422" s="2"/>
      <c r="M422" s="2"/>
      <c r="N422" s="2"/>
      <c r="O422" s="2"/>
      <c r="P422" s="2"/>
      <c r="Q422" s="2" t="str">
        <f t="shared" si="12"/>
        <v/>
      </c>
      <c r="R422" t="str">
        <f t="shared" si="13"/>
        <v>Sem leitura</v>
      </c>
      <c r="S422" t="s">
        <v>247</v>
      </c>
      <c r="T422">
        <v>19</v>
      </c>
    </row>
    <row r="423" spans="1:20">
      <c r="A423" s="1">
        <v>46027</v>
      </c>
      <c r="B423">
        <v>19</v>
      </c>
      <c r="C423" t="s">
        <v>83</v>
      </c>
      <c r="D423" t="s">
        <v>84</v>
      </c>
      <c r="E423" s="6">
        <v>5055.3705</v>
      </c>
      <c r="F423" s="6">
        <v>5037.6908000000003</v>
      </c>
      <c r="G423" s="6">
        <v>55.834499999999998</v>
      </c>
      <c r="H423" s="6">
        <v>5055.3564999999999</v>
      </c>
      <c r="I423" s="6">
        <v>5037.6913000000004</v>
      </c>
      <c r="J423" s="6">
        <v>55.836599999999997</v>
      </c>
      <c r="K423" s="2">
        <v>-0.6</v>
      </c>
      <c r="L423" s="2">
        <v>0</v>
      </c>
      <c r="M423" s="2">
        <v>0.3</v>
      </c>
      <c r="N423" s="2">
        <v>-14</v>
      </c>
      <c r="O423" s="2">
        <v>0.5</v>
      </c>
      <c r="P423" s="2">
        <v>2.1</v>
      </c>
      <c r="Q423" s="2">
        <f t="shared" si="12"/>
        <v>14.0089257261219</v>
      </c>
      <c r="R423" t="str">
        <f t="shared" si="13"/>
        <v>Regular</v>
      </c>
      <c r="S423" t="s">
        <v>247</v>
      </c>
      <c r="T423">
        <v>19</v>
      </c>
    </row>
    <row r="424" spans="1:20">
      <c r="A424" s="1">
        <v>46027</v>
      </c>
      <c r="B424">
        <v>19</v>
      </c>
      <c r="C424" t="s">
        <v>85</v>
      </c>
      <c r="D424" t="s">
        <v>84</v>
      </c>
      <c r="E424" s="6">
        <v>5055.3611000000001</v>
      </c>
      <c r="F424" s="6">
        <v>5037.652</v>
      </c>
      <c r="G424" s="6">
        <v>53.920200000000001</v>
      </c>
      <c r="H424" s="6">
        <v>5055.3490000000002</v>
      </c>
      <c r="I424" s="6">
        <v>5037.6486999999997</v>
      </c>
      <c r="J424" s="6">
        <v>53.923000000000002</v>
      </c>
      <c r="K424" s="2">
        <v>-0.3</v>
      </c>
      <c r="L424" s="2">
        <v>-0.3</v>
      </c>
      <c r="M424" s="2">
        <v>0.4</v>
      </c>
      <c r="N424" s="2">
        <v>-12.1</v>
      </c>
      <c r="O424" s="2">
        <v>-3.3</v>
      </c>
      <c r="P424" s="2">
        <v>2.8</v>
      </c>
      <c r="Q424" s="2">
        <f t="shared" si="12"/>
        <v>12.541929676090517</v>
      </c>
      <c r="R424" t="str">
        <f t="shared" si="13"/>
        <v>Regular</v>
      </c>
      <c r="S424" t="s">
        <v>247</v>
      </c>
      <c r="T424">
        <v>19</v>
      </c>
    </row>
    <row r="425" spans="1:20">
      <c r="A425" s="1">
        <v>46027</v>
      </c>
      <c r="B425">
        <v>19</v>
      </c>
      <c r="C425" t="s">
        <v>86</v>
      </c>
      <c r="D425" t="s">
        <v>84</v>
      </c>
      <c r="E425" s="6">
        <v>5053.1266999999998</v>
      </c>
      <c r="F425" s="6">
        <v>5028.5694000000003</v>
      </c>
      <c r="G425" s="6">
        <v>55.876899999999999</v>
      </c>
      <c r="H425" s="6">
        <v>5053.1138000000001</v>
      </c>
      <c r="I425" s="6">
        <v>5028.5703999999996</v>
      </c>
      <c r="J425" s="6">
        <v>55.878700000000002</v>
      </c>
      <c r="K425" s="2">
        <v>-0.4</v>
      </c>
      <c r="L425" s="2">
        <v>-0.6</v>
      </c>
      <c r="M425" s="2">
        <v>0.1</v>
      </c>
      <c r="N425" s="2">
        <v>-12.9</v>
      </c>
      <c r="O425" s="2">
        <v>1</v>
      </c>
      <c r="P425" s="2">
        <v>1.8</v>
      </c>
      <c r="Q425" s="2">
        <f t="shared" si="12"/>
        <v>12.938701635017324</v>
      </c>
      <c r="R425" t="str">
        <f t="shared" si="13"/>
        <v>Regular</v>
      </c>
      <c r="S425" t="s">
        <v>247</v>
      </c>
      <c r="T425">
        <v>19</v>
      </c>
    </row>
    <row r="426" spans="1:20">
      <c r="A426" s="1">
        <v>46027</v>
      </c>
      <c r="B426">
        <v>19</v>
      </c>
      <c r="C426" t="s">
        <v>87</v>
      </c>
      <c r="D426" t="s">
        <v>84</v>
      </c>
      <c r="E426" s="6">
        <v>5053.1229999999996</v>
      </c>
      <c r="F426" s="6">
        <v>5028.5785999999998</v>
      </c>
      <c r="G426" s="6">
        <v>54.159100000000002</v>
      </c>
      <c r="H426" s="6">
        <v>5053.1107000000002</v>
      </c>
      <c r="I426" s="6">
        <v>5028.5769</v>
      </c>
      <c r="J426" s="6">
        <v>54.161099999999998</v>
      </c>
      <c r="K426" s="2">
        <v>-0.3</v>
      </c>
      <c r="L426" s="2">
        <v>-0.3</v>
      </c>
      <c r="M426" s="2">
        <v>0.6</v>
      </c>
      <c r="N426" s="2">
        <v>-12.3</v>
      </c>
      <c r="O426" s="2">
        <v>-1.7</v>
      </c>
      <c r="P426" s="2">
        <v>2</v>
      </c>
      <c r="Q426" s="2">
        <f t="shared" si="12"/>
        <v>12.416923934694937</v>
      </c>
      <c r="R426" t="str">
        <f t="shared" si="13"/>
        <v>Regular</v>
      </c>
      <c r="S426" t="s">
        <v>247</v>
      </c>
      <c r="T426">
        <v>19</v>
      </c>
    </row>
    <row r="427" spans="1:20">
      <c r="A427" s="1">
        <v>46027</v>
      </c>
      <c r="B427">
        <v>19</v>
      </c>
      <c r="C427" t="s">
        <v>88</v>
      </c>
      <c r="D427" t="s">
        <v>89</v>
      </c>
      <c r="E427" s="6">
        <v>5051.1406999999999</v>
      </c>
      <c r="F427" s="6">
        <v>5062.3236999999999</v>
      </c>
      <c r="G427" s="6">
        <v>63.001399999999997</v>
      </c>
      <c r="H427" s="6">
        <v>5051.1305000000002</v>
      </c>
      <c r="I427" s="6">
        <v>5062.3211000000001</v>
      </c>
      <c r="J427" s="6">
        <v>62.9983</v>
      </c>
      <c r="K427" s="2">
        <v>-0.3</v>
      </c>
      <c r="L427" s="2">
        <v>0.4</v>
      </c>
      <c r="M427" s="2">
        <v>-0.2</v>
      </c>
      <c r="N427" s="2">
        <v>-10.199999999999999</v>
      </c>
      <c r="O427" s="2">
        <v>-2.6</v>
      </c>
      <c r="P427" s="2">
        <v>-3.1</v>
      </c>
      <c r="Q427" s="2">
        <f t="shared" si="12"/>
        <v>10.526157893552615</v>
      </c>
      <c r="R427" t="str">
        <f t="shared" si="13"/>
        <v>Regular</v>
      </c>
      <c r="S427" t="s">
        <v>247</v>
      </c>
      <c r="T427">
        <v>19</v>
      </c>
    </row>
    <row r="428" spans="1:20">
      <c r="A428" s="1">
        <v>46027</v>
      </c>
      <c r="B428">
        <v>19</v>
      </c>
      <c r="C428" t="s">
        <v>90</v>
      </c>
      <c r="D428" t="s">
        <v>89</v>
      </c>
      <c r="E428" s="6">
        <v>5051.0086000000001</v>
      </c>
      <c r="F428" s="6">
        <v>5062.4333999999999</v>
      </c>
      <c r="G428" s="6">
        <v>56.898000000000003</v>
      </c>
      <c r="H428" s="6">
        <v>5051.0014000000001</v>
      </c>
      <c r="I428" s="6">
        <v>5062.4303</v>
      </c>
      <c r="J428" s="6">
        <v>56.898099999999999</v>
      </c>
      <c r="K428" s="2">
        <v>0.5</v>
      </c>
      <c r="L428" s="2">
        <v>0.4</v>
      </c>
      <c r="M428" s="2">
        <v>0.4</v>
      </c>
      <c r="N428" s="2">
        <v>-7.2</v>
      </c>
      <c r="O428" s="2">
        <v>-3.1</v>
      </c>
      <c r="P428" s="2">
        <v>0.1</v>
      </c>
      <c r="Q428" s="2">
        <f t="shared" si="12"/>
        <v>7.8390050389064045</v>
      </c>
      <c r="R428" t="str">
        <f t="shared" si="13"/>
        <v>Regular</v>
      </c>
      <c r="S428" t="s">
        <v>247</v>
      </c>
      <c r="T428">
        <v>19</v>
      </c>
    </row>
    <row r="429" spans="1:20">
      <c r="A429" s="1">
        <v>46027</v>
      </c>
      <c r="B429">
        <v>19</v>
      </c>
      <c r="C429" t="s">
        <v>91</v>
      </c>
      <c r="D429" t="s">
        <v>89</v>
      </c>
      <c r="E429" s="6">
        <v>5058.5258999999996</v>
      </c>
      <c r="F429" s="6">
        <v>5053.1760000000004</v>
      </c>
      <c r="G429" s="6">
        <v>63.525199999999998</v>
      </c>
      <c r="H429" s="6">
        <v>5058.5149000000001</v>
      </c>
      <c r="I429" s="6">
        <v>5053.1734999999999</v>
      </c>
      <c r="J429" s="6">
        <v>63.526699999999998</v>
      </c>
      <c r="K429" s="2">
        <v>-0.3</v>
      </c>
      <c r="L429" s="2">
        <v>0.8</v>
      </c>
      <c r="M429" s="2">
        <v>0.7</v>
      </c>
      <c r="N429" s="2">
        <v>-11</v>
      </c>
      <c r="O429" s="2">
        <v>-2.5</v>
      </c>
      <c r="P429" s="2">
        <v>1.5</v>
      </c>
      <c r="Q429" s="2">
        <f t="shared" si="12"/>
        <v>11.280514172678478</v>
      </c>
      <c r="R429" t="str">
        <f t="shared" si="13"/>
        <v>Regular</v>
      </c>
      <c r="S429" t="s">
        <v>247</v>
      </c>
      <c r="T429">
        <v>19</v>
      </c>
    </row>
    <row r="430" spans="1:20">
      <c r="A430" s="1">
        <v>46027</v>
      </c>
      <c r="B430">
        <v>19</v>
      </c>
      <c r="C430" t="s">
        <v>92</v>
      </c>
      <c r="D430" t="s">
        <v>89</v>
      </c>
      <c r="E430" s="6">
        <v>5060.2732999999998</v>
      </c>
      <c r="F430" s="6">
        <v>5059.0944</v>
      </c>
      <c r="G430" s="6">
        <v>58.7943</v>
      </c>
      <c r="H430" s="6">
        <v>5060.2620999999999</v>
      </c>
      <c r="I430" s="6">
        <v>5059.0920999999998</v>
      </c>
      <c r="J430" s="6">
        <v>58.793399999999998</v>
      </c>
      <c r="K430" s="2">
        <v>0</v>
      </c>
      <c r="L430" s="2">
        <v>-0.5</v>
      </c>
      <c r="M430" s="2">
        <v>0.8</v>
      </c>
      <c r="N430" s="2">
        <v>-11.2</v>
      </c>
      <c r="O430" s="2">
        <v>-2.2999999999999998</v>
      </c>
      <c r="P430" s="2">
        <v>-0.9</v>
      </c>
      <c r="Q430" s="2">
        <f t="shared" si="12"/>
        <v>11.433722053644647</v>
      </c>
      <c r="R430" t="str">
        <f t="shared" si="13"/>
        <v>Regular</v>
      </c>
      <c r="S430" t="s">
        <v>247</v>
      </c>
      <c r="T430">
        <v>19</v>
      </c>
    </row>
    <row r="431" spans="1:20">
      <c r="A431" s="1">
        <v>46027</v>
      </c>
      <c r="B431">
        <v>19</v>
      </c>
      <c r="C431" t="s">
        <v>114</v>
      </c>
      <c r="D431" t="s">
        <v>70</v>
      </c>
      <c r="E431" s="6">
        <v>5005.4053999999996</v>
      </c>
      <c r="F431" s="6">
        <v>5054.1601000000001</v>
      </c>
      <c r="G431" s="6">
        <v>59.572699999999998</v>
      </c>
      <c r="H431" s="6">
        <v>5005.4214000000002</v>
      </c>
      <c r="I431" s="6">
        <v>5054.1410999999998</v>
      </c>
      <c r="J431" s="6">
        <v>59.560200000000002</v>
      </c>
      <c r="K431" s="2">
        <v>1.7</v>
      </c>
      <c r="L431" s="2">
        <v>0.1</v>
      </c>
      <c r="M431" s="2">
        <v>0.1</v>
      </c>
      <c r="N431" s="2">
        <v>16</v>
      </c>
      <c r="O431" s="2">
        <v>-19</v>
      </c>
      <c r="P431" s="2">
        <v>-12.5</v>
      </c>
      <c r="Q431" s="2">
        <f t="shared" si="12"/>
        <v>24.839484696748443</v>
      </c>
      <c r="R431" t="str">
        <f t="shared" si="13"/>
        <v>Alerta</v>
      </c>
      <c r="S431" t="s">
        <v>247</v>
      </c>
      <c r="T431">
        <v>19</v>
      </c>
    </row>
    <row r="432" spans="1:20">
      <c r="A432" s="1">
        <v>46027</v>
      </c>
      <c r="B432">
        <v>19</v>
      </c>
      <c r="C432" t="s">
        <v>116</v>
      </c>
      <c r="D432" t="s">
        <v>70</v>
      </c>
      <c r="E432" s="6">
        <v>5005.4237999999996</v>
      </c>
      <c r="F432" s="6">
        <v>5054.4835999999996</v>
      </c>
      <c r="G432" s="6">
        <v>58.357300000000002</v>
      </c>
      <c r="H432" s="6">
        <v>5005.4387999999999</v>
      </c>
      <c r="I432" s="6">
        <v>5054.4642999999996</v>
      </c>
      <c r="J432" s="6">
        <v>58.345500000000001</v>
      </c>
      <c r="K432" s="2">
        <v>0.7</v>
      </c>
      <c r="L432" s="2">
        <v>-0.4</v>
      </c>
      <c r="M432" s="2">
        <v>-0.2</v>
      </c>
      <c r="N432" s="2">
        <v>15</v>
      </c>
      <c r="O432" s="2">
        <v>-19.3</v>
      </c>
      <c r="P432" s="2">
        <v>-11.8</v>
      </c>
      <c r="Q432" s="2">
        <f t="shared" si="12"/>
        <v>24.443608571567335</v>
      </c>
      <c r="R432" t="str">
        <f t="shared" si="13"/>
        <v>Alerta</v>
      </c>
      <c r="S432" t="s">
        <v>247</v>
      </c>
      <c r="T432">
        <v>19</v>
      </c>
    </row>
    <row r="433" spans="1:20">
      <c r="A433" s="1">
        <v>46027</v>
      </c>
      <c r="B433">
        <v>19</v>
      </c>
      <c r="C433" t="s">
        <v>117</v>
      </c>
      <c r="D433" t="s">
        <v>70</v>
      </c>
      <c r="E433" s="6">
        <v>5005.9258</v>
      </c>
      <c r="F433" s="6">
        <v>5064.1066000000001</v>
      </c>
      <c r="G433" s="6">
        <v>60.544499999999999</v>
      </c>
      <c r="H433" s="6">
        <v>5005.9400999999998</v>
      </c>
      <c r="I433" s="6">
        <v>5064.0895</v>
      </c>
      <c r="J433" s="6">
        <v>60.5289</v>
      </c>
      <c r="K433" s="2">
        <v>0.2</v>
      </c>
      <c r="L433" s="2">
        <v>0.9</v>
      </c>
      <c r="M433" s="2">
        <v>0.3</v>
      </c>
      <c r="N433" s="2">
        <v>14.3</v>
      </c>
      <c r="O433" s="2">
        <v>-17.100000000000001</v>
      </c>
      <c r="P433" s="2">
        <v>-15.6</v>
      </c>
      <c r="Q433" s="2">
        <f t="shared" si="12"/>
        <v>22.291253890259291</v>
      </c>
      <c r="R433" t="str">
        <f t="shared" si="13"/>
        <v>Alerta</v>
      </c>
      <c r="S433" t="s">
        <v>247</v>
      </c>
      <c r="T433">
        <v>19</v>
      </c>
    </row>
    <row r="434" spans="1:20">
      <c r="A434" s="1">
        <v>46027</v>
      </c>
      <c r="B434">
        <v>19</v>
      </c>
      <c r="C434" t="s">
        <v>118</v>
      </c>
      <c r="D434" t="s">
        <v>70</v>
      </c>
      <c r="E434" s="6">
        <v>5005.8734999999997</v>
      </c>
      <c r="F434" s="6">
        <v>5063.2722999999996</v>
      </c>
      <c r="G434" s="6">
        <v>58.732500000000002</v>
      </c>
      <c r="H434" s="6">
        <v>5005.8861999999999</v>
      </c>
      <c r="I434" s="6">
        <v>5063.2542999999996</v>
      </c>
      <c r="J434" s="6">
        <v>58.716700000000003</v>
      </c>
      <c r="K434" s="2">
        <v>1</v>
      </c>
      <c r="L434" s="2">
        <v>-0.4</v>
      </c>
      <c r="M434" s="2">
        <v>-1.8</v>
      </c>
      <c r="N434" s="2">
        <v>12.7</v>
      </c>
      <c r="O434" s="2">
        <v>-18</v>
      </c>
      <c r="P434" s="2">
        <v>-15.8</v>
      </c>
      <c r="Q434" s="2">
        <f t="shared" si="12"/>
        <v>22.029298672449833</v>
      </c>
      <c r="R434" t="str">
        <f t="shared" si="13"/>
        <v>Alerta</v>
      </c>
      <c r="S434" t="s">
        <v>247</v>
      </c>
      <c r="T434">
        <v>19</v>
      </c>
    </row>
    <row r="435" spans="1:20">
      <c r="A435" s="1">
        <v>46027</v>
      </c>
      <c r="B435">
        <v>14</v>
      </c>
      <c r="C435" t="s">
        <v>119</v>
      </c>
      <c r="D435" t="s">
        <v>120</v>
      </c>
      <c r="E435" s="6">
        <v>5019.7240000000002</v>
      </c>
      <c r="F435" s="6">
        <v>5017.4448000000002</v>
      </c>
      <c r="G435" s="6">
        <v>48.267099999999999</v>
      </c>
      <c r="H435" s="6"/>
      <c r="I435" s="6"/>
      <c r="J435" s="6"/>
      <c r="K435" s="2"/>
      <c r="L435" s="2"/>
      <c r="M435" s="2"/>
      <c r="N435" s="2"/>
      <c r="O435" s="2"/>
      <c r="P435" s="2"/>
      <c r="Q435" s="2" t="str">
        <f t="shared" si="12"/>
        <v/>
      </c>
      <c r="R435" t="str">
        <f t="shared" si="13"/>
        <v>Sem leitura</v>
      </c>
      <c r="S435" t="s">
        <v>247</v>
      </c>
      <c r="T435">
        <v>50</v>
      </c>
    </row>
    <row r="436" spans="1:20">
      <c r="A436" s="1">
        <v>46027</v>
      </c>
      <c r="B436">
        <v>14</v>
      </c>
      <c r="C436" t="s">
        <v>122</v>
      </c>
      <c r="D436" t="s">
        <v>123</v>
      </c>
      <c r="E436" s="6">
        <v>4982.3819999999996</v>
      </c>
      <c r="F436" s="6">
        <v>5027.9636</v>
      </c>
      <c r="G436" s="6">
        <v>48.275500000000001</v>
      </c>
      <c r="H436" s="6">
        <v>4982.4025000000001</v>
      </c>
      <c r="I436" s="6">
        <v>5027.9636</v>
      </c>
      <c r="J436" s="6">
        <v>48.28</v>
      </c>
      <c r="K436" s="2">
        <v>-1.1000000000000001</v>
      </c>
      <c r="L436" s="2">
        <v>-1.3</v>
      </c>
      <c r="M436" s="2">
        <v>-0.3</v>
      </c>
      <c r="N436" s="2">
        <v>20.5</v>
      </c>
      <c r="O436" s="2">
        <v>0</v>
      </c>
      <c r="P436" s="2">
        <v>4.5</v>
      </c>
      <c r="Q436" s="2">
        <f t="shared" si="12"/>
        <v>20.5</v>
      </c>
      <c r="R436" t="str">
        <f t="shared" si="13"/>
        <v>Alerta</v>
      </c>
      <c r="S436" t="s">
        <v>247</v>
      </c>
      <c r="T436">
        <v>50</v>
      </c>
    </row>
    <row r="437" spans="1:20">
      <c r="A437" s="1">
        <v>46027</v>
      </c>
      <c r="B437">
        <v>14</v>
      </c>
      <c r="C437" t="s">
        <v>124</v>
      </c>
      <c r="D437" t="s">
        <v>125</v>
      </c>
      <c r="E437" s="6">
        <v>4986.2775000000001</v>
      </c>
      <c r="F437" s="6">
        <v>5019.8639000000003</v>
      </c>
      <c r="G437" s="6">
        <v>50.872999999999998</v>
      </c>
      <c r="H437" s="6">
        <v>4986.2830000000004</v>
      </c>
      <c r="I437" s="6">
        <v>5019.8629000000001</v>
      </c>
      <c r="J437" s="6">
        <v>50.874099999999999</v>
      </c>
      <c r="K437" s="2">
        <v>0.3</v>
      </c>
      <c r="L437" s="2">
        <v>0.4</v>
      </c>
      <c r="M437" s="2">
        <v>0.4</v>
      </c>
      <c r="N437" s="2">
        <v>5.5</v>
      </c>
      <c r="O437" s="2">
        <v>-1</v>
      </c>
      <c r="P437" s="2">
        <v>1.1000000000000001</v>
      </c>
      <c r="Q437" s="2">
        <f t="shared" si="12"/>
        <v>5.5901699437494745</v>
      </c>
      <c r="R437" t="str">
        <f t="shared" si="13"/>
        <v>Regular</v>
      </c>
      <c r="S437" t="s">
        <v>247</v>
      </c>
      <c r="T437">
        <v>50</v>
      </c>
    </row>
    <row r="438" spans="1:20">
      <c r="A438" s="1">
        <v>46027</v>
      </c>
      <c r="B438">
        <v>14</v>
      </c>
      <c r="C438" t="s">
        <v>126</v>
      </c>
      <c r="D438" t="s">
        <v>125</v>
      </c>
      <c r="E438" s="6">
        <v>4977.5057999999999</v>
      </c>
      <c r="F438" s="6">
        <v>5027.6043</v>
      </c>
      <c r="G438" s="6">
        <v>52.208399999999997</v>
      </c>
      <c r="H438" s="6">
        <v>4977.5083999999997</v>
      </c>
      <c r="I438" s="6">
        <v>5027.5996999999998</v>
      </c>
      <c r="J438" s="6">
        <v>52.2087</v>
      </c>
      <c r="K438" s="2">
        <v>-0.3</v>
      </c>
      <c r="L438" s="2">
        <v>0.8</v>
      </c>
      <c r="M438" s="2">
        <v>0.8</v>
      </c>
      <c r="N438" s="2">
        <v>2.6</v>
      </c>
      <c r="O438" s="2">
        <v>-4.5999999999999996</v>
      </c>
      <c r="P438" s="2">
        <v>0.3</v>
      </c>
      <c r="Q438" s="2">
        <f t="shared" si="12"/>
        <v>5.2839379254491625</v>
      </c>
      <c r="R438" t="str">
        <f t="shared" si="13"/>
        <v>Regular</v>
      </c>
      <c r="S438" t="s">
        <v>247</v>
      </c>
      <c r="T438">
        <v>50</v>
      </c>
    </row>
    <row r="439" spans="1:20">
      <c r="A439" s="1">
        <v>46027</v>
      </c>
      <c r="B439">
        <v>14</v>
      </c>
      <c r="C439" t="s">
        <v>127</v>
      </c>
      <c r="D439" t="s">
        <v>128</v>
      </c>
      <c r="E439" s="6">
        <v>4974.3924999999999</v>
      </c>
      <c r="F439" s="6">
        <v>5039.5325999999995</v>
      </c>
      <c r="G439" s="6">
        <v>53.556800000000003</v>
      </c>
      <c r="H439" s="6">
        <v>4974.3977999999997</v>
      </c>
      <c r="I439" s="6">
        <v>5039.5321000000004</v>
      </c>
      <c r="J439" s="6">
        <v>53.558</v>
      </c>
      <c r="K439" s="2">
        <v>-0.3</v>
      </c>
      <c r="L439" s="2">
        <v>0.3</v>
      </c>
      <c r="M439" s="2">
        <v>0</v>
      </c>
      <c r="N439" s="2">
        <v>5.3</v>
      </c>
      <c r="O439" s="2">
        <v>-0.5</v>
      </c>
      <c r="P439" s="2">
        <v>1.2</v>
      </c>
      <c r="Q439" s="2">
        <f t="shared" si="12"/>
        <v>5.3235326616824663</v>
      </c>
      <c r="R439" t="str">
        <f t="shared" si="13"/>
        <v>Regular</v>
      </c>
      <c r="S439" t="s">
        <v>247</v>
      </c>
      <c r="T439">
        <v>50</v>
      </c>
    </row>
    <row r="440" spans="1:20">
      <c r="A440" s="1">
        <v>46027</v>
      </c>
      <c r="B440">
        <v>14</v>
      </c>
      <c r="C440" t="s">
        <v>129</v>
      </c>
      <c r="D440" t="s">
        <v>130</v>
      </c>
      <c r="E440" s="6">
        <v>4981.8689000000004</v>
      </c>
      <c r="F440" s="6">
        <v>5046.9902000000002</v>
      </c>
      <c r="G440" s="6">
        <v>53.966500000000003</v>
      </c>
      <c r="H440" s="6">
        <v>4981.8807999999999</v>
      </c>
      <c r="I440" s="6">
        <v>5046.9796999999999</v>
      </c>
      <c r="J440" s="6">
        <v>53.969499999999996</v>
      </c>
      <c r="K440" s="2">
        <v>-0.8</v>
      </c>
      <c r="L440" s="2">
        <v>1.2</v>
      </c>
      <c r="M440" s="2">
        <v>0.4</v>
      </c>
      <c r="N440" s="2">
        <v>11.9</v>
      </c>
      <c r="O440" s="2">
        <v>-10.5</v>
      </c>
      <c r="P440" s="2">
        <v>3</v>
      </c>
      <c r="Q440" s="2">
        <f t="shared" si="12"/>
        <v>15.870097668256488</v>
      </c>
      <c r="R440" t="str">
        <f t="shared" si="13"/>
        <v>Regular</v>
      </c>
      <c r="S440" t="s">
        <v>247</v>
      </c>
      <c r="T440">
        <v>50</v>
      </c>
    </row>
    <row r="441" spans="1:20">
      <c r="A441" s="1">
        <v>46027</v>
      </c>
      <c r="B441">
        <v>14</v>
      </c>
      <c r="C441" t="s">
        <v>131</v>
      </c>
      <c r="D441" t="s">
        <v>130</v>
      </c>
      <c r="E441" s="6">
        <v>4993.0258000000003</v>
      </c>
      <c r="F441" s="6">
        <v>5045.3909000000003</v>
      </c>
      <c r="G441" s="6">
        <v>53.905200000000001</v>
      </c>
      <c r="H441" s="6">
        <v>4993.0343999999996</v>
      </c>
      <c r="I441" s="6">
        <v>5045.3769000000002</v>
      </c>
      <c r="J441" s="6">
        <v>53.905999999999999</v>
      </c>
      <c r="K441" s="2">
        <v>-0.4</v>
      </c>
      <c r="L441" s="2">
        <v>0.7</v>
      </c>
      <c r="M441" s="2">
        <v>0.1</v>
      </c>
      <c r="N441" s="2">
        <v>8.6</v>
      </c>
      <c r="O441" s="2">
        <v>-14</v>
      </c>
      <c r="P441" s="2">
        <v>0.8</v>
      </c>
      <c r="Q441" s="2">
        <f t="shared" si="12"/>
        <v>16.430459518832699</v>
      </c>
      <c r="R441" t="str">
        <f t="shared" si="13"/>
        <v>Regular</v>
      </c>
      <c r="S441" t="s">
        <v>247</v>
      </c>
      <c r="T441">
        <v>50</v>
      </c>
    </row>
    <row r="442" spans="1:20">
      <c r="A442" s="1">
        <v>46027</v>
      </c>
      <c r="B442">
        <v>14</v>
      </c>
      <c r="C442" t="s">
        <v>132</v>
      </c>
      <c r="D442" t="s">
        <v>130</v>
      </c>
      <c r="E442" s="6">
        <v>5002.4090999999999</v>
      </c>
      <c r="F442" s="6">
        <v>5044.0244000000002</v>
      </c>
      <c r="G442" s="6">
        <v>53.889200000000002</v>
      </c>
      <c r="H442" s="6">
        <v>5002.4160000000002</v>
      </c>
      <c r="I442" s="6">
        <v>5043.9973</v>
      </c>
      <c r="J442" s="6">
        <v>53.892800000000001</v>
      </c>
      <c r="K442" s="2">
        <v>0.3</v>
      </c>
      <c r="L442" s="2">
        <v>-0.4</v>
      </c>
      <c r="M442" s="2">
        <v>0.5</v>
      </c>
      <c r="N442" s="2">
        <v>6.9</v>
      </c>
      <c r="O442" s="2">
        <v>-27.1</v>
      </c>
      <c r="P442" s="2">
        <v>3.6</v>
      </c>
      <c r="Q442" s="2">
        <f t="shared" si="12"/>
        <v>27.964620505202642</v>
      </c>
      <c r="R442" t="str">
        <f t="shared" si="13"/>
        <v>Regular</v>
      </c>
      <c r="S442" t="s">
        <v>247</v>
      </c>
      <c r="T442">
        <v>50</v>
      </c>
    </row>
    <row r="443" spans="1:20">
      <c r="A443" s="1">
        <v>46027</v>
      </c>
      <c r="B443">
        <v>14</v>
      </c>
      <c r="C443" t="s">
        <v>133</v>
      </c>
      <c r="D443" t="s">
        <v>134</v>
      </c>
      <c r="E443" s="6">
        <v>5012.8994000000002</v>
      </c>
      <c r="F443" s="6">
        <v>5060.6997000000001</v>
      </c>
      <c r="G443" s="6">
        <v>52.496299999999998</v>
      </c>
      <c r="H443" s="6">
        <v>5012.8948</v>
      </c>
      <c r="I443" s="6">
        <v>5060.6791000000003</v>
      </c>
      <c r="J443" s="6">
        <v>52.501199999999997</v>
      </c>
      <c r="K443" s="2">
        <v>-0.3</v>
      </c>
      <c r="L443" s="2">
        <v>-0.8</v>
      </c>
      <c r="M443" s="2">
        <v>-0.2</v>
      </c>
      <c r="N443" s="2">
        <v>-4.5999999999999996</v>
      </c>
      <c r="O443" s="2">
        <v>-20.6</v>
      </c>
      <c r="P443" s="2">
        <v>4.9000000000000004</v>
      </c>
      <c r="Q443" s="2">
        <f t="shared" si="12"/>
        <v>21.107344693257843</v>
      </c>
      <c r="R443" t="str">
        <f t="shared" si="13"/>
        <v>Regular</v>
      </c>
      <c r="S443" t="s">
        <v>247</v>
      </c>
      <c r="T443">
        <v>50</v>
      </c>
    </row>
    <row r="444" spans="1:20">
      <c r="A444" s="1">
        <v>46027</v>
      </c>
      <c r="B444">
        <v>14</v>
      </c>
      <c r="C444" t="s">
        <v>135</v>
      </c>
      <c r="D444" t="s">
        <v>136</v>
      </c>
      <c r="E444" s="6">
        <v>5026.7076999999999</v>
      </c>
      <c r="F444" s="6">
        <v>5072.3888999999999</v>
      </c>
      <c r="G444" s="6">
        <v>53.761400000000002</v>
      </c>
      <c r="H444" s="6">
        <v>5026.7093999999997</v>
      </c>
      <c r="I444" s="6">
        <v>5072.3663999999999</v>
      </c>
      <c r="J444" s="6">
        <v>53.764200000000002</v>
      </c>
      <c r="K444" s="2">
        <v>6.5</v>
      </c>
      <c r="L444" s="2">
        <v>-4.2</v>
      </c>
      <c r="M444" s="2">
        <v>-0.1</v>
      </c>
      <c r="N444" s="2">
        <v>1.7</v>
      </c>
      <c r="O444" s="2">
        <v>-22.5</v>
      </c>
      <c r="P444" s="2">
        <v>2.8</v>
      </c>
      <c r="Q444" s="2">
        <f t="shared" si="12"/>
        <v>22.564130827488125</v>
      </c>
      <c r="R444" t="str">
        <f t="shared" si="13"/>
        <v>Regular</v>
      </c>
      <c r="S444" t="s">
        <v>247</v>
      </c>
      <c r="T444">
        <v>50</v>
      </c>
    </row>
    <row r="445" spans="1:20">
      <c r="A445" s="1">
        <v>46027</v>
      </c>
      <c r="B445">
        <v>14</v>
      </c>
      <c r="C445" t="s">
        <v>137</v>
      </c>
      <c r="D445" t="s">
        <v>138</v>
      </c>
      <c r="E445" s="6">
        <v>5046.1882999999998</v>
      </c>
      <c r="F445" s="6">
        <v>5033.5622999999996</v>
      </c>
      <c r="G445" s="6">
        <v>48.999099999999999</v>
      </c>
      <c r="H445" s="6">
        <v>5046.1692000000003</v>
      </c>
      <c r="I445" s="6">
        <v>5033.5616</v>
      </c>
      <c r="J445" s="6">
        <v>48.999200000000002</v>
      </c>
      <c r="K445" s="2">
        <v>0.7</v>
      </c>
      <c r="L445" s="2">
        <v>0.3</v>
      </c>
      <c r="M445" s="2">
        <v>0.1</v>
      </c>
      <c r="N445" s="2">
        <v>-19.100000000000001</v>
      </c>
      <c r="O445" s="2">
        <v>-0.7</v>
      </c>
      <c r="P445" s="2">
        <v>0.1</v>
      </c>
      <c r="Q445" s="2">
        <f t="shared" si="12"/>
        <v>19.112822920751398</v>
      </c>
      <c r="R445" t="str">
        <f t="shared" si="13"/>
        <v>Regular</v>
      </c>
      <c r="S445" t="s">
        <v>247</v>
      </c>
      <c r="T445">
        <v>50</v>
      </c>
    </row>
    <row r="446" spans="1:20">
      <c r="A446" s="1">
        <v>46027</v>
      </c>
      <c r="B446">
        <v>14</v>
      </c>
      <c r="C446" t="s">
        <v>139</v>
      </c>
      <c r="D446" t="s">
        <v>134</v>
      </c>
      <c r="E446" s="6">
        <v>5010.7592999999997</v>
      </c>
      <c r="F446" s="6">
        <v>5050.9463999999998</v>
      </c>
      <c r="G446" s="6">
        <v>52.517400000000002</v>
      </c>
      <c r="H446" s="6">
        <v>5010.75</v>
      </c>
      <c r="I446" s="6">
        <v>5050.9272000000001</v>
      </c>
      <c r="J446" s="6">
        <v>52.5259</v>
      </c>
      <c r="K446" s="2">
        <v>-1.2</v>
      </c>
      <c r="L446" s="2">
        <v>-0.9</v>
      </c>
      <c r="M446" s="2">
        <v>0.8</v>
      </c>
      <c r="N446" s="2">
        <v>-9.3000000000000007</v>
      </c>
      <c r="O446" s="2">
        <v>-19.2</v>
      </c>
      <c r="P446" s="2">
        <v>8.5</v>
      </c>
      <c r="Q446" s="2">
        <f t="shared" si="12"/>
        <v>21.333776037073232</v>
      </c>
      <c r="R446" t="str">
        <f t="shared" si="13"/>
        <v>Regular</v>
      </c>
      <c r="S446" t="s">
        <v>247</v>
      </c>
      <c r="T446">
        <v>50</v>
      </c>
    </row>
    <row r="447" spans="1:20">
      <c r="A447" s="1">
        <v>46027</v>
      </c>
      <c r="B447">
        <v>14</v>
      </c>
      <c r="C447" t="s">
        <v>140</v>
      </c>
      <c r="D447" t="s">
        <v>128</v>
      </c>
      <c r="E447" s="6">
        <v>4976.0573000000004</v>
      </c>
      <c r="F447" s="6">
        <v>5040.5965999999999</v>
      </c>
      <c r="G447" s="6">
        <v>48.214799999999997</v>
      </c>
      <c r="H447" s="6">
        <v>4976.067</v>
      </c>
      <c r="I447" s="6">
        <v>5040.5931</v>
      </c>
      <c r="J447" s="6">
        <v>48.216000000000001</v>
      </c>
      <c r="K447" s="2">
        <v>-0.3</v>
      </c>
      <c r="L447" s="2">
        <v>0.3</v>
      </c>
      <c r="M447" s="2">
        <v>0</v>
      </c>
      <c r="N447" s="2">
        <v>9.6999999999999993</v>
      </c>
      <c r="O447" s="2">
        <v>-3.5</v>
      </c>
      <c r="P447" s="2">
        <v>1.2</v>
      </c>
      <c r="Q447" s="2">
        <f t="shared" si="12"/>
        <v>10.31212878119741</v>
      </c>
      <c r="R447" t="str">
        <f t="shared" si="13"/>
        <v>Regular</v>
      </c>
      <c r="S447" t="s">
        <v>247</v>
      </c>
      <c r="T447">
        <v>50</v>
      </c>
    </row>
    <row r="448" spans="1:20">
      <c r="A448" s="1">
        <v>46027</v>
      </c>
      <c r="B448">
        <v>14</v>
      </c>
      <c r="C448" t="s">
        <v>141</v>
      </c>
      <c r="D448" t="s">
        <v>130</v>
      </c>
      <c r="E448" s="6">
        <v>4987.9621999999999</v>
      </c>
      <c r="F448" s="6">
        <v>5045.3176000000003</v>
      </c>
      <c r="G448" s="6">
        <v>47.637599999999999</v>
      </c>
      <c r="H448" s="6">
        <v>4987.9690000000001</v>
      </c>
      <c r="I448" s="6">
        <v>5045.3001000000004</v>
      </c>
      <c r="J448" s="6">
        <v>47.640300000000003</v>
      </c>
      <c r="K448" s="2">
        <v>0.3</v>
      </c>
      <c r="L448" s="2">
        <v>-0.8</v>
      </c>
      <c r="M448" s="2">
        <v>-0.1</v>
      </c>
      <c r="N448" s="2">
        <v>6.8</v>
      </c>
      <c r="O448" s="2">
        <v>-17.5</v>
      </c>
      <c r="P448" s="2">
        <v>2.7</v>
      </c>
      <c r="Q448" s="2">
        <f t="shared" si="12"/>
        <v>18.774717041809179</v>
      </c>
      <c r="R448" t="str">
        <f t="shared" si="13"/>
        <v>Regular</v>
      </c>
      <c r="S448" t="s">
        <v>247</v>
      </c>
      <c r="T448">
        <v>50</v>
      </c>
    </row>
    <row r="449" spans="1:20">
      <c r="A449" s="1">
        <v>46027</v>
      </c>
      <c r="B449">
        <v>14</v>
      </c>
      <c r="C449" t="s">
        <v>142</v>
      </c>
      <c r="D449" t="s">
        <v>130</v>
      </c>
      <c r="E449" s="6">
        <v>5002.5304999999998</v>
      </c>
      <c r="F449" s="6">
        <v>5043.4611000000004</v>
      </c>
      <c r="G449" s="6">
        <v>47.537100000000002</v>
      </c>
      <c r="H449" s="6">
        <v>5002.5361000000003</v>
      </c>
      <c r="I449" s="6">
        <v>5043.4372000000003</v>
      </c>
      <c r="J449" s="6">
        <v>47.54</v>
      </c>
      <c r="K449" s="2">
        <v>-0.1</v>
      </c>
      <c r="L449" s="2">
        <v>-0.1</v>
      </c>
      <c r="M449" s="2">
        <v>-0.1</v>
      </c>
      <c r="N449" s="2">
        <v>5.6</v>
      </c>
      <c r="O449" s="2">
        <v>-23.9</v>
      </c>
      <c r="P449" s="2">
        <v>2.9</v>
      </c>
      <c r="Q449" s="2">
        <f t="shared" si="12"/>
        <v>24.547301277329854</v>
      </c>
      <c r="R449" t="str">
        <f t="shared" si="13"/>
        <v>Regular</v>
      </c>
      <c r="S449" t="s">
        <v>247</v>
      </c>
      <c r="T449">
        <v>50</v>
      </c>
    </row>
    <row r="450" spans="1:20">
      <c r="A450" s="1">
        <v>46027</v>
      </c>
      <c r="B450">
        <v>14</v>
      </c>
      <c r="C450" t="s">
        <v>143</v>
      </c>
      <c r="D450" t="s">
        <v>136</v>
      </c>
      <c r="E450" s="6">
        <v>5027.4714000000004</v>
      </c>
      <c r="F450" s="6">
        <v>5072.2404999999999</v>
      </c>
      <c r="G450" s="6">
        <v>51.143700000000003</v>
      </c>
      <c r="H450" s="6">
        <v>5027.4681</v>
      </c>
      <c r="I450" s="6">
        <v>5072.2232000000004</v>
      </c>
      <c r="J450" s="6">
        <v>51.1464</v>
      </c>
      <c r="K450" s="2">
        <v>-0.4</v>
      </c>
      <c r="L450" s="2">
        <v>-0.6</v>
      </c>
      <c r="M450" s="2">
        <v>0</v>
      </c>
      <c r="N450" s="2">
        <v>-3.3</v>
      </c>
      <c r="O450" s="2">
        <v>-17.3</v>
      </c>
      <c r="P450" s="2">
        <v>2.7</v>
      </c>
      <c r="Q450" s="2">
        <f t="shared" ref="Q450:Q513" si="14">IF(COUNT(N450:O450)&lt;2,"",SQRT(N450^2+O450^2))</f>
        <v>17.611927776367924</v>
      </c>
      <c r="R450" t="str">
        <f t="shared" ref="R450:R513" si="15">IF(COUNT(H450:P450)=0,"Sem leitura",IF(ISNUMBER(SEARCH("Escavação",D450)),IF(OR(Q450&gt;=40,ABS(P450)&gt;=15),"Alarme",IF(OR(Q450&gt;=IF(OR(ISNUMBER(SEARCH("Alçado AB",D450)),ISNUMBER(SEARCH("Alçado CD",D450)),ISNUMBER(SEARCH("Alçado BF",D450)),ISNUMBER(SEARCH("Alçado PQ",D450))),20,30),ABS(P450)&gt;=10),"Alerta","Regular")),IF(OR(Q450&gt;=25,ABS(P450)&gt;=20),"Alarme",IF(OR(Q450&gt;=15,ABS(P450)&gt;=10),"Alerta","Regular"))))</f>
        <v>Regular</v>
      </c>
      <c r="S450" t="s">
        <v>247</v>
      </c>
      <c r="T450">
        <v>50</v>
      </c>
    </row>
    <row r="451" spans="1:20">
      <c r="A451" s="1">
        <v>46027</v>
      </c>
      <c r="B451">
        <v>14</v>
      </c>
      <c r="C451" t="s">
        <v>144</v>
      </c>
      <c r="D451" t="s">
        <v>145</v>
      </c>
      <c r="E451" s="6">
        <v>5041.9629000000004</v>
      </c>
      <c r="F451" s="6">
        <v>5043.3289999999997</v>
      </c>
      <c r="G451" s="6">
        <v>52.0655</v>
      </c>
      <c r="H451" s="6">
        <v>5041.9539999999997</v>
      </c>
      <c r="I451" s="6">
        <v>5043.3229000000001</v>
      </c>
      <c r="J451" s="6">
        <v>52.067700000000002</v>
      </c>
      <c r="K451" s="2">
        <v>-0.5</v>
      </c>
      <c r="L451" s="2">
        <v>-0.7</v>
      </c>
      <c r="M451" s="2">
        <v>1</v>
      </c>
      <c r="N451" s="2">
        <v>-8.9</v>
      </c>
      <c r="O451" s="2">
        <v>-6.1</v>
      </c>
      <c r="P451" s="2">
        <v>2.2000000000000002</v>
      </c>
      <c r="Q451" s="2">
        <f t="shared" si="14"/>
        <v>10.789810007595129</v>
      </c>
      <c r="R451" t="str">
        <f t="shared" si="15"/>
        <v>Regular</v>
      </c>
      <c r="S451" t="s">
        <v>247</v>
      </c>
      <c r="T451">
        <v>50</v>
      </c>
    </row>
    <row r="452" spans="1:20">
      <c r="A452" s="1">
        <v>46027</v>
      </c>
      <c r="B452">
        <v>14</v>
      </c>
      <c r="C452" t="s">
        <v>166</v>
      </c>
      <c r="D452" t="s">
        <v>167</v>
      </c>
      <c r="E452" s="6">
        <v>5037.8409000000001</v>
      </c>
      <c r="F452" s="6">
        <v>5046.2614999999996</v>
      </c>
      <c r="G452" s="6">
        <v>51.521099999999997</v>
      </c>
      <c r="H452" s="6">
        <v>5037.8314</v>
      </c>
      <c r="I452" s="6">
        <v>5046.2559000000001</v>
      </c>
      <c r="J452" s="6">
        <v>51.523899999999998</v>
      </c>
      <c r="K452" s="2">
        <v>-0.3</v>
      </c>
      <c r="L452" s="2">
        <v>0.4</v>
      </c>
      <c r="M452" s="2">
        <v>0</v>
      </c>
      <c r="N452" s="2">
        <v>-9.5</v>
      </c>
      <c r="O452" s="2">
        <v>-5.6</v>
      </c>
      <c r="P452" s="2">
        <v>2.8</v>
      </c>
      <c r="Q452" s="2">
        <f t="shared" si="14"/>
        <v>11.027692415006868</v>
      </c>
      <c r="R452" t="str">
        <f t="shared" si="15"/>
        <v>Regular</v>
      </c>
      <c r="S452" t="s">
        <v>247</v>
      </c>
      <c r="T452">
        <v>50</v>
      </c>
    </row>
    <row r="453" spans="1:20">
      <c r="A453" s="1">
        <v>46027</v>
      </c>
      <c r="B453">
        <v>14</v>
      </c>
      <c r="C453" t="s">
        <v>154</v>
      </c>
      <c r="D453" t="s">
        <v>123</v>
      </c>
      <c r="E453" s="6">
        <v>4983.0880999999999</v>
      </c>
      <c r="F453" s="6">
        <v>5028.2978000000003</v>
      </c>
      <c r="G453" s="6">
        <v>42.8752</v>
      </c>
      <c r="H453" s="6">
        <v>4983.1023999999998</v>
      </c>
      <c r="I453" s="6">
        <v>5028.2996999999996</v>
      </c>
      <c r="J453" s="6">
        <v>42.879600000000003</v>
      </c>
      <c r="K453" s="2">
        <v>1.2</v>
      </c>
      <c r="L453" s="2">
        <v>0.4</v>
      </c>
      <c r="M453" s="2">
        <v>0.3</v>
      </c>
      <c r="N453" s="2">
        <v>14.3</v>
      </c>
      <c r="O453" s="2">
        <v>1.9</v>
      </c>
      <c r="P453" s="2">
        <v>4.4000000000000004</v>
      </c>
      <c r="Q453" s="2">
        <f t="shared" si="14"/>
        <v>14.425671561490647</v>
      </c>
      <c r="R453" t="str">
        <f t="shared" si="15"/>
        <v>Regular</v>
      </c>
      <c r="S453" t="s">
        <v>247</v>
      </c>
      <c r="T453">
        <v>50</v>
      </c>
    </row>
    <row r="454" spans="1:20">
      <c r="A454" s="1">
        <v>46027</v>
      </c>
      <c r="B454">
        <v>14</v>
      </c>
      <c r="C454" t="s">
        <v>163</v>
      </c>
      <c r="D454" t="s">
        <v>134</v>
      </c>
      <c r="E454" s="6">
        <v>5013.4206999999997</v>
      </c>
      <c r="F454" s="6">
        <v>5061.5992999999999</v>
      </c>
      <c r="G454" s="6">
        <v>47.2774</v>
      </c>
      <c r="H454" s="6"/>
      <c r="I454" s="6"/>
      <c r="J454" s="6"/>
      <c r="K454" s="2"/>
      <c r="L454" s="2"/>
      <c r="M454" s="2"/>
      <c r="N454" s="2"/>
      <c r="O454" s="2"/>
      <c r="P454" s="2"/>
      <c r="Q454" s="2" t="str">
        <f t="shared" si="14"/>
        <v/>
      </c>
      <c r="R454" t="str">
        <f t="shared" si="15"/>
        <v>Sem leitura</v>
      </c>
      <c r="S454" t="s">
        <v>247</v>
      </c>
      <c r="T454">
        <v>50</v>
      </c>
    </row>
    <row r="455" spans="1:20">
      <c r="A455" s="1">
        <v>46027</v>
      </c>
      <c r="B455">
        <v>14</v>
      </c>
      <c r="C455" t="s">
        <v>164</v>
      </c>
      <c r="D455" t="s">
        <v>136</v>
      </c>
      <c r="E455" s="6">
        <v>5026.8990000000003</v>
      </c>
      <c r="F455" s="6">
        <v>5072.0330000000004</v>
      </c>
      <c r="G455" s="6">
        <v>44.739800000000002</v>
      </c>
      <c r="H455" s="6">
        <v>5026.8968999999997</v>
      </c>
      <c r="I455" s="6">
        <v>5072.0216</v>
      </c>
      <c r="J455" s="6">
        <v>44.743000000000002</v>
      </c>
      <c r="K455" s="2">
        <v>-0.4</v>
      </c>
      <c r="L455" s="2">
        <v>-1.9</v>
      </c>
      <c r="M455" s="2">
        <v>0.7</v>
      </c>
      <c r="N455" s="2">
        <v>-2.1</v>
      </c>
      <c r="O455" s="2">
        <v>-11.4</v>
      </c>
      <c r="P455" s="2">
        <v>3.2</v>
      </c>
      <c r="Q455" s="2">
        <f t="shared" si="14"/>
        <v>11.591807451816994</v>
      </c>
      <c r="R455" t="str">
        <f t="shared" si="15"/>
        <v>Regular</v>
      </c>
      <c r="S455" t="s">
        <v>247</v>
      </c>
      <c r="T455">
        <v>50</v>
      </c>
    </row>
    <row r="456" spans="1:20">
      <c r="A456" s="1">
        <v>46027</v>
      </c>
      <c r="B456">
        <v>14</v>
      </c>
      <c r="C456" t="s">
        <v>169</v>
      </c>
      <c r="D456" t="s">
        <v>145</v>
      </c>
      <c r="E456" s="6">
        <v>5042.0578999999998</v>
      </c>
      <c r="F456" s="6">
        <v>5042.7259000000004</v>
      </c>
      <c r="G456" s="6">
        <v>42.933700000000002</v>
      </c>
      <c r="H456" s="6">
        <v>5042.0517</v>
      </c>
      <c r="I456" s="6">
        <v>5042.7251999999999</v>
      </c>
      <c r="J456" s="6">
        <v>42.936599999999999</v>
      </c>
      <c r="K456" s="2">
        <v>-0.8</v>
      </c>
      <c r="L456" s="2">
        <v>0.1</v>
      </c>
      <c r="M456" s="2">
        <v>0</v>
      </c>
      <c r="N456" s="2">
        <v>-6.2</v>
      </c>
      <c r="O456" s="2">
        <v>-0.7</v>
      </c>
      <c r="P456" s="2">
        <v>2.9</v>
      </c>
      <c r="Q456" s="2">
        <f t="shared" si="14"/>
        <v>6.2393909959225997</v>
      </c>
      <c r="R456" t="str">
        <f t="shared" si="15"/>
        <v>Regular</v>
      </c>
      <c r="S456" t="s">
        <v>247</v>
      </c>
      <c r="T456">
        <v>50</v>
      </c>
    </row>
    <row r="457" spans="1:20">
      <c r="A457" s="1">
        <v>46027</v>
      </c>
      <c r="B457">
        <v>14</v>
      </c>
      <c r="C457" t="s">
        <v>170</v>
      </c>
      <c r="D457" t="s">
        <v>138</v>
      </c>
      <c r="E457" s="6">
        <v>5045.8157000000001</v>
      </c>
      <c r="F457" s="6">
        <v>5033.7070000000003</v>
      </c>
      <c r="G457" s="6">
        <v>42.660600000000002</v>
      </c>
      <c r="H457" s="6">
        <v>5045.8100999999997</v>
      </c>
      <c r="I457" s="6">
        <v>5033.7074000000002</v>
      </c>
      <c r="J457" s="6">
        <v>42.662599999999998</v>
      </c>
      <c r="K457" s="2">
        <v>0</v>
      </c>
      <c r="L457" s="2">
        <v>0.3</v>
      </c>
      <c r="M457" s="2">
        <v>0.3</v>
      </c>
      <c r="N457" s="2">
        <v>-5.6</v>
      </c>
      <c r="O457" s="2">
        <v>0.4</v>
      </c>
      <c r="P457" s="2">
        <v>2</v>
      </c>
      <c r="Q457" s="2">
        <f t="shared" si="14"/>
        <v>5.6142675390472796</v>
      </c>
      <c r="R457" t="str">
        <f t="shared" si="15"/>
        <v>Regular</v>
      </c>
      <c r="S457" t="s">
        <v>247</v>
      </c>
      <c r="T457">
        <v>50</v>
      </c>
    </row>
    <row r="458" spans="1:20">
      <c r="A458" s="1">
        <v>46027</v>
      </c>
      <c r="B458">
        <v>14</v>
      </c>
      <c r="C458" t="s">
        <v>149</v>
      </c>
      <c r="D458" t="s">
        <v>120</v>
      </c>
      <c r="E458" s="6">
        <v>5017.3522999999996</v>
      </c>
      <c r="F458" s="6">
        <v>5017.7930999999999</v>
      </c>
      <c r="G458" s="6">
        <v>47.4587</v>
      </c>
      <c r="H458" s="6">
        <v>5017.3505999999998</v>
      </c>
      <c r="I458" s="6">
        <v>5017.7943999999998</v>
      </c>
      <c r="J458" s="6">
        <v>47.460700000000003</v>
      </c>
      <c r="K458" s="2">
        <v>-0.3</v>
      </c>
      <c r="L458" s="2">
        <v>-0.7</v>
      </c>
      <c r="M458" s="2">
        <v>-0.1</v>
      </c>
      <c r="N458" s="2">
        <v>-1.7</v>
      </c>
      <c r="O458" s="2">
        <v>1.3</v>
      </c>
      <c r="P458" s="2">
        <v>2</v>
      </c>
      <c r="Q458" s="2">
        <f t="shared" si="14"/>
        <v>2.1400934559032696</v>
      </c>
      <c r="R458" t="str">
        <f t="shared" si="15"/>
        <v>Regular</v>
      </c>
      <c r="S458" t="s">
        <v>247</v>
      </c>
      <c r="T458">
        <v>50</v>
      </c>
    </row>
    <row r="459" spans="1:20">
      <c r="A459" s="1">
        <v>46027</v>
      </c>
      <c r="B459">
        <v>14</v>
      </c>
      <c r="C459" t="s">
        <v>151</v>
      </c>
      <c r="D459" t="s">
        <v>120</v>
      </c>
      <c r="E459" s="6">
        <v>5017.2749000000003</v>
      </c>
      <c r="F459" s="6">
        <v>5018.2057000000004</v>
      </c>
      <c r="G459" s="6">
        <v>43.061300000000003</v>
      </c>
      <c r="H459" s="6"/>
      <c r="I459" s="6"/>
      <c r="J459" s="6"/>
      <c r="K459" s="2"/>
      <c r="L459" s="2"/>
      <c r="M459" s="2"/>
      <c r="N459" s="2"/>
      <c r="O459" s="2"/>
      <c r="P459" s="2"/>
      <c r="Q459" s="2" t="str">
        <f t="shared" si="14"/>
        <v/>
      </c>
      <c r="R459" t="str">
        <f t="shared" si="15"/>
        <v>Sem leitura</v>
      </c>
      <c r="S459" t="s">
        <v>247</v>
      </c>
      <c r="T459">
        <v>50</v>
      </c>
    </row>
    <row r="460" spans="1:20">
      <c r="A460" s="1">
        <v>46027</v>
      </c>
      <c r="B460">
        <v>14</v>
      </c>
      <c r="C460" t="s">
        <v>159</v>
      </c>
      <c r="D460" t="s">
        <v>128</v>
      </c>
      <c r="E460" s="6">
        <v>4976.0536000000002</v>
      </c>
      <c r="F460" s="6">
        <v>5040.1774999999998</v>
      </c>
      <c r="G460" s="6">
        <v>43.505000000000003</v>
      </c>
      <c r="H460" s="6"/>
      <c r="I460" s="6"/>
      <c r="J460" s="6"/>
      <c r="K460" s="2"/>
      <c r="L460" s="2"/>
      <c r="M460" s="2"/>
      <c r="N460" s="2"/>
      <c r="O460" s="2"/>
      <c r="P460" s="2"/>
      <c r="Q460" s="2" t="str">
        <f t="shared" si="14"/>
        <v/>
      </c>
      <c r="R460" t="str">
        <f t="shared" si="15"/>
        <v>Sem leitura</v>
      </c>
      <c r="S460" t="s">
        <v>247</v>
      </c>
      <c r="T460">
        <v>50</v>
      </c>
    </row>
    <row r="461" spans="1:20">
      <c r="A461" s="1">
        <v>46027</v>
      </c>
      <c r="B461">
        <v>14</v>
      </c>
      <c r="C461" t="s">
        <v>160</v>
      </c>
      <c r="D461" t="s">
        <v>128</v>
      </c>
      <c r="E461" s="6">
        <v>4976.0869000000002</v>
      </c>
      <c r="F461" s="6">
        <v>5040.6423000000004</v>
      </c>
      <c r="G461" s="6">
        <v>43.351300000000002</v>
      </c>
      <c r="H461" s="6">
        <v>4976.0862999999999</v>
      </c>
      <c r="I461" s="6">
        <v>5040.6408000000001</v>
      </c>
      <c r="J461" s="6">
        <v>43.352800000000002</v>
      </c>
      <c r="K461" s="2">
        <v>-0.9</v>
      </c>
      <c r="L461" s="2">
        <v>0.5</v>
      </c>
      <c r="M461" s="2">
        <v>0.1</v>
      </c>
      <c r="N461" s="2">
        <v>-0.6</v>
      </c>
      <c r="O461" s="2">
        <v>-1.5</v>
      </c>
      <c r="P461" s="2">
        <v>1.5</v>
      </c>
      <c r="Q461" s="2">
        <f t="shared" si="14"/>
        <v>1.6155494421403511</v>
      </c>
      <c r="R461" t="str">
        <f t="shared" si="15"/>
        <v>Regular</v>
      </c>
      <c r="S461" t="s">
        <v>247</v>
      </c>
      <c r="T461">
        <v>50</v>
      </c>
    </row>
    <row r="462" spans="1:20">
      <c r="A462" s="1">
        <v>46027</v>
      </c>
      <c r="B462">
        <v>14</v>
      </c>
      <c r="C462" t="s">
        <v>168</v>
      </c>
      <c r="D462" t="s">
        <v>167</v>
      </c>
      <c r="E462" s="6">
        <v>5037.7052999999996</v>
      </c>
      <c r="F462" s="6">
        <v>5047.0955999999996</v>
      </c>
      <c r="G462" s="6">
        <v>42.919199999999996</v>
      </c>
      <c r="H462" s="6">
        <v>5037.7021000000004</v>
      </c>
      <c r="I462" s="6">
        <v>5047.0960999999998</v>
      </c>
      <c r="J462" s="6">
        <v>42.918900000000001</v>
      </c>
      <c r="K462" s="2">
        <v>0.2</v>
      </c>
      <c r="L462" s="2">
        <v>-0.2</v>
      </c>
      <c r="M462" s="2">
        <v>-0.7</v>
      </c>
      <c r="N462" s="2">
        <v>-3.2</v>
      </c>
      <c r="O462" s="2">
        <v>0.5</v>
      </c>
      <c r="P462" s="2">
        <v>-0.3</v>
      </c>
      <c r="Q462" s="2">
        <f t="shared" si="14"/>
        <v>3.2388269481403298</v>
      </c>
      <c r="R462" t="str">
        <f t="shared" si="15"/>
        <v>Regular</v>
      </c>
      <c r="S462" t="s">
        <v>247</v>
      </c>
      <c r="T462">
        <v>50</v>
      </c>
    </row>
    <row r="463" spans="1:20">
      <c r="A463" s="1">
        <v>46027</v>
      </c>
      <c r="B463">
        <v>14</v>
      </c>
      <c r="C463" t="s">
        <v>155</v>
      </c>
      <c r="D463" t="s">
        <v>156</v>
      </c>
      <c r="E463" s="6">
        <v>4980.2689</v>
      </c>
      <c r="F463" s="6">
        <v>5031.7997999999998</v>
      </c>
      <c r="G463" s="6">
        <v>48.331200000000003</v>
      </c>
      <c r="H463" s="6">
        <v>4980.2695999999996</v>
      </c>
      <c r="I463" s="6">
        <v>5031.7987000000003</v>
      </c>
      <c r="J463" s="6">
        <v>48.331800000000001</v>
      </c>
      <c r="K463" s="2">
        <v>0.3</v>
      </c>
      <c r="L463" s="2">
        <v>-0.9</v>
      </c>
      <c r="M463" s="2">
        <v>0.3</v>
      </c>
      <c r="N463" s="2">
        <v>0.7</v>
      </c>
      <c r="O463" s="2">
        <v>-1.1000000000000001</v>
      </c>
      <c r="P463" s="2">
        <v>0.6</v>
      </c>
      <c r="Q463" s="2">
        <f t="shared" si="14"/>
        <v>1.3038404810405297</v>
      </c>
      <c r="R463" t="str">
        <f t="shared" si="15"/>
        <v>Regular</v>
      </c>
      <c r="S463" t="s">
        <v>247</v>
      </c>
      <c r="T463">
        <v>50</v>
      </c>
    </row>
    <row r="464" spans="1:20">
      <c r="A464" s="1">
        <v>46027</v>
      </c>
      <c r="B464">
        <v>14</v>
      </c>
      <c r="C464" t="s">
        <v>153</v>
      </c>
      <c r="D464" t="s">
        <v>120</v>
      </c>
      <c r="E464" s="6">
        <v>5017.2718999999997</v>
      </c>
      <c r="F464" s="6">
        <v>5018.1959999999999</v>
      </c>
      <c r="G464" s="6">
        <v>43.055799999999998</v>
      </c>
      <c r="H464" s="6">
        <v>5017.2717000000002</v>
      </c>
      <c r="I464" s="6">
        <v>5018.1990999999998</v>
      </c>
      <c r="J464" s="6">
        <v>43.056100000000001</v>
      </c>
      <c r="K464" s="2">
        <v>-0.2</v>
      </c>
      <c r="L464" s="2">
        <v>1.8</v>
      </c>
      <c r="M464" s="2">
        <v>-0.2</v>
      </c>
      <c r="N464" s="2">
        <v>-0.2</v>
      </c>
      <c r="O464" s="2">
        <v>3.1</v>
      </c>
      <c r="P464" s="2">
        <v>0.3</v>
      </c>
      <c r="Q464" s="2">
        <f t="shared" si="14"/>
        <v>3.1064449134018135</v>
      </c>
      <c r="R464" t="str">
        <f t="shared" si="15"/>
        <v>Regular</v>
      </c>
      <c r="S464" t="s">
        <v>247</v>
      </c>
      <c r="T464">
        <v>50</v>
      </c>
    </row>
    <row r="465" spans="1:20">
      <c r="A465" s="1">
        <v>46027</v>
      </c>
      <c r="B465">
        <v>14</v>
      </c>
      <c r="C465" t="s">
        <v>157</v>
      </c>
      <c r="D465" t="s">
        <v>156</v>
      </c>
      <c r="E465" s="6">
        <v>4980.6113999999998</v>
      </c>
      <c r="F465" s="6">
        <v>5031.9393</v>
      </c>
      <c r="G465" s="6">
        <v>42.979900000000001</v>
      </c>
      <c r="H465" s="6"/>
      <c r="I465" s="6"/>
      <c r="J465" s="6"/>
      <c r="K465" s="2"/>
      <c r="L465" s="2"/>
      <c r="M465" s="2"/>
      <c r="N465" s="2"/>
      <c r="O465" s="2"/>
      <c r="P465" s="2"/>
      <c r="Q465" s="2" t="str">
        <f t="shared" si="14"/>
        <v/>
      </c>
      <c r="R465" t="str">
        <f t="shared" si="15"/>
        <v>Sem leitura</v>
      </c>
      <c r="S465" t="s">
        <v>247</v>
      </c>
      <c r="T465">
        <v>50</v>
      </c>
    </row>
    <row r="466" spans="1:20">
      <c r="A466" s="1">
        <v>46027</v>
      </c>
      <c r="B466">
        <v>14</v>
      </c>
      <c r="C466" t="s">
        <v>161</v>
      </c>
      <c r="D466" t="s">
        <v>130</v>
      </c>
      <c r="E466" s="6">
        <v>4988.3298000000004</v>
      </c>
      <c r="F466" s="6">
        <v>5045.2532000000001</v>
      </c>
      <c r="G466" s="6">
        <v>42.8264</v>
      </c>
      <c r="H466" s="6">
        <v>4988.3298000000004</v>
      </c>
      <c r="I466" s="6">
        <v>5045.2532000000001</v>
      </c>
      <c r="J466" s="6">
        <v>42.8264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f t="shared" si="14"/>
        <v>0</v>
      </c>
      <c r="R466" t="str">
        <f t="shared" si="15"/>
        <v>Regular</v>
      </c>
      <c r="S466" t="s">
        <v>247</v>
      </c>
      <c r="T466">
        <v>50</v>
      </c>
    </row>
    <row r="467" spans="1:20">
      <c r="A467" s="1">
        <v>46027</v>
      </c>
      <c r="B467">
        <v>14</v>
      </c>
      <c r="C467" t="s">
        <v>162</v>
      </c>
      <c r="D467" t="s">
        <v>130</v>
      </c>
      <c r="E467" s="6">
        <v>4998.6503000000002</v>
      </c>
      <c r="F467" s="6">
        <v>5043.7455</v>
      </c>
      <c r="G467" s="6">
        <v>42.848300000000002</v>
      </c>
      <c r="H467" s="6">
        <v>4998.6503000000002</v>
      </c>
      <c r="I467" s="6">
        <v>5043.7455</v>
      </c>
      <c r="J467" s="6">
        <v>42.848300000000002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f t="shared" si="14"/>
        <v>0</v>
      </c>
      <c r="R467" t="str">
        <f t="shared" si="15"/>
        <v>Regular</v>
      </c>
      <c r="S467" t="s">
        <v>247</v>
      </c>
      <c r="T467">
        <v>50</v>
      </c>
    </row>
    <row r="468" spans="1:20">
      <c r="A468" s="1">
        <v>46027</v>
      </c>
      <c r="B468">
        <v>14</v>
      </c>
      <c r="C468" t="s">
        <v>165</v>
      </c>
      <c r="D468" t="s">
        <v>136</v>
      </c>
      <c r="E468" s="6">
        <v>5026.6471000000001</v>
      </c>
      <c r="F468" s="6">
        <v>5071.8581999999997</v>
      </c>
      <c r="G468" s="6">
        <v>41.8752</v>
      </c>
      <c r="H468" s="6">
        <v>5026.6471000000001</v>
      </c>
      <c r="I468" s="6">
        <v>5071.8581999999997</v>
      </c>
      <c r="J468" s="6">
        <v>41.8752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f t="shared" si="14"/>
        <v>0</v>
      </c>
      <c r="R468" t="str">
        <f t="shared" si="15"/>
        <v>Regular</v>
      </c>
      <c r="S468" t="s">
        <v>247</v>
      </c>
      <c r="T468">
        <v>50</v>
      </c>
    </row>
    <row r="469" spans="1:20">
      <c r="A469" s="1">
        <v>46034</v>
      </c>
      <c r="B469">
        <v>20</v>
      </c>
      <c r="C469" t="s">
        <v>69</v>
      </c>
      <c r="D469" t="s">
        <v>70</v>
      </c>
      <c r="E469" s="6">
        <v>4990.9656999999997</v>
      </c>
      <c r="F469" s="6">
        <v>5053.7449999999999</v>
      </c>
      <c r="G469" s="6">
        <v>60.553600000000003</v>
      </c>
      <c r="H469" s="6">
        <v>4990.9809999999998</v>
      </c>
      <c r="I469" s="6">
        <v>5053.7145</v>
      </c>
      <c r="J469" s="6">
        <v>60.547899999999998</v>
      </c>
      <c r="K469" s="2">
        <v>1.2</v>
      </c>
      <c r="L469" s="2">
        <v>-0.6</v>
      </c>
      <c r="M469" s="2">
        <v>-0.5</v>
      </c>
      <c r="N469" s="2">
        <v>15.3</v>
      </c>
      <c r="O469" s="2">
        <v>-30.5</v>
      </c>
      <c r="P469" s="2">
        <v>-5.7</v>
      </c>
      <c r="Q469" s="2">
        <f t="shared" si="14"/>
        <v>34.12242664289866</v>
      </c>
      <c r="R469" t="str">
        <f t="shared" si="15"/>
        <v>Alarme</v>
      </c>
      <c r="S469" t="s">
        <v>150</v>
      </c>
      <c r="T469">
        <v>19</v>
      </c>
    </row>
    <row r="470" spans="1:20">
      <c r="A470" s="1">
        <v>46034</v>
      </c>
      <c r="B470">
        <v>20</v>
      </c>
      <c r="C470" t="s">
        <v>75</v>
      </c>
      <c r="D470" t="s">
        <v>70</v>
      </c>
      <c r="E470" s="6">
        <v>4990.9760999999999</v>
      </c>
      <c r="F470" s="6">
        <v>5053.7455</v>
      </c>
      <c r="G470" s="6">
        <v>59.095199999999998</v>
      </c>
      <c r="H470" s="6">
        <v>4990.9903999999997</v>
      </c>
      <c r="I470" s="6">
        <v>5053.7159000000001</v>
      </c>
      <c r="J470" s="6">
        <v>59.091700000000003</v>
      </c>
      <c r="K470" s="2">
        <v>1.5</v>
      </c>
      <c r="L470" s="2">
        <v>-0.7</v>
      </c>
      <c r="M470" s="2">
        <v>0</v>
      </c>
      <c r="N470" s="2">
        <v>14.3</v>
      </c>
      <c r="O470" s="2">
        <v>-29.6</v>
      </c>
      <c r="P470" s="2">
        <v>-3.5</v>
      </c>
      <c r="Q470" s="2">
        <f t="shared" si="14"/>
        <v>32.873241397829936</v>
      </c>
      <c r="R470" t="str">
        <f t="shared" si="15"/>
        <v>Alarme</v>
      </c>
      <c r="S470" t="s">
        <v>150</v>
      </c>
      <c r="T470">
        <v>19</v>
      </c>
    </row>
    <row r="471" spans="1:20">
      <c r="A471" s="1">
        <v>46034</v>
      </c>
      <c r="B471">
        <v>20</v>
      </c>
      <c r="C471" t="s">
        <v>76</v>
      </c>
      <c r="D471" t="s">
        <v>70</v>
      </c>
      <c r="E471" s="6">
        <v>5001.0812999999998</v>
      </c>
      <c r="F471" s="6">
        <v>5053.5291999999999</v>
      </c>
      <c r="G471" s="6">
        <v>60.621899999999997</v>
      </c>
      <c r="H471" s="6">
        <v>5001.1012000000001</v>
      </c>
      <c r="I471" s="6">
        <v>5053.4935999999998</v>
      </c>
      <c r="J471" s="6">
        <v>60.6053</v>
      </c>
      <c r="K471" s="2">
        <v>1.1000000000000001</v>
      </c>
      <c r="L471" s="2">
        <v>-1.8</v>
      </c>
      <c r="M471" s="2">
        <v>-1.8</v>
      </c>
      <c r="N471" s="2">
        <v>19.899999999999999</v>
      </c>
      <c r="O471" s="2">
        <v>-35.6</v>
      </c>
      <c r="P471" s="2">
        <v>-16.600000000000001</v>
      </c>
      <c r="Q471" s="2">
        <f t="shared" si="14"/>
        <v>40.784433304877489</v>
      </c>
      <c r="R471" t="str">
        <f t="shared" si="15"/>
        <v>Alarme</v>
      </c>
      <c r="S471" t="s">
        <v>150</v>
      </c>
      <c r="T471">
        <v>19</v>
      </c>
    </row>
    <row r="472" spans="1:20">
      <c r="A472" s="1">
        <v>46034</v>
      </c>
      <c r="B472">
        <v>20</v>
      </c>
      <c r="C472" t="s">
        <v>77</v>
      </c>
      <c r="D472" t="s">
        <v>70</v>
      </c>
      <c r="E472" s="6">
        <v>5001.0428000000002</v>
      </c>
      <c r="F472" s="6">
        <v>5053.5321999999996</v>
      </c>
      <c r="G472" s="6">
        <v>58.677799999999998</v>
      </c>
      <c r="H472" s="6">
        <v>5001.0625</v>
      </c>
      <c r="I472" s="6">
        <v>5053.4980999999998</v>
      </c>
      <c r="J472" s="6">
        <v>58.661000000000001</v>
      </c>
      <c r="K472" s="2">
        <v>2.1</v>
      </c>
      <c r="L472" s="2">
        <v>-2.1</v>
      </c>
      <c r="M472" s="2">
        <v>-1.7</v>
      </c>
      <c r="N472" s="2">
        <v>19.7</v>
      </c>
      <c r="O472" s="2">
        <v>-34.1</v>
      </c>
      <c r="P472" s="2">
        <v>-16.8</v>
      </c>
      <c r="Q472" s="2">
        <f t="shared" si="14"/>
        <v>39.38146772277539</v>
      </c>
      <c r="R472" t="str">
        <f t="shared" si="15"/>
        <v>Alarme</v>
      </c>
      <c r="S472" t="s">
        <v>150</v>
      </c>
      <c r="T472">
        <v>19</v>
      </c>
    </row>
    <row r="473" spans="1:20">
      <c r="A473" s="1">
        <v>46034</v>
      </c>
      <c r="B473">
        <v>20</v>
      </c>
      <c r="C473" t="s">
        <v>78</v>
      </c>
      <c r="D473" t="s">
        <v>70</v>
      </c>
      <c r="E473" s="6">
        <v>5005.4017999999996</v>
      </c>
      <c r="F473" s="6">
        <v>5054.5141000000003</v>
      </c>
      <c r="G473" s="6">
        <v>60.181899999999999</v>
      </c>
      <c r="H473" s="6"/>
      <c r="I473" s="6"/>
      <c r="J473" s="6"/>
      <c r="K473" s="2"/>
      <c r="L473" s="2"/>
      <c r="M473" s="2"/>
      <c r="N473" s="2"/>
      <c r="O473" s="2"/>
      <c r="P473" s="2"/>
      <c r="Q473" s="2" t="str">
        <f t="shared" si="14"/>
        <v/>
      </c>
      <c r="R473" t="str">
        <f t="shared" si="15"/>
        <v>Sem leitura</v>
      </c>
      <c r="S473" t="s">
        <v>150</v>
      </c>
      <c r="T473">
        <v>19</v>
      </c>
    </row>
    <row r="474" spans="1:20">
      <c r="A474" s="1">
        <v>46034</v>
      </c>
      <c r="B474">
        <v>20</v>
      </c>
      <c r="C474" t="s">
        <v>80</v>
      </c>
      <c r="D474" t="s">
        <v>70</v>
      </c>
      <c r="E474" s="6">
        <v>5005.4050999999999</v>
      </c>
      <c r="F474" s="6">
        <v>5054.5766999999996</v>
      </c>
      <c r="G474" s="6">
        <v>58.646999999999998</v>
      </c>
      <c r="H474" s="6"/>
      <c r="I474" s="6"/>
      <c r="J474" s="6"/>
      <c r="K474" s="2"/>
      <c r="L474" s="2"/>
      <c r="M474" s="2"/>
      <c r="N474" s="2"/>
      <c r="O474" s="2"/>
      <c r="P474" s="2"/>
      <c r="Q474" s="2" t="str">
        <f t="shared" si="14"/>
        <v/>
      </c>
      <c r="R474" t="str">
        <f t="shared" si="15"/>
        <v>Sem leitura</v>
      </c>
      <c r="S474" t="s">
        <v>150</v>
      </c>
      <c r="T474">
        <v>19</v>
      </c>
    </row>
    <row r="475" spans="1:20">
      <c r="A475" s="1">
        <v>46034</v>
      </c>
      <c r="B475">
        <v>20</v>
      </c>
      <c r="C475" t="s">
        <v>81</v>
      </c>
      <c r="D475" t="s">
        <v>70</v>
      </c>
      <c r="E475" s="6">
        <v>5005.8755000000001</v>
      </c>
      <c r="F475" s="6">
        <v>5063.3173999999999</v>
      </c>
      <c r="G475" s="6">
        <v>60.481099999999998</v>
      </c>
      <c r="H475" s="6"/>
      <c r="I475" s="6"/>
      <c r="J475" s="6"/>
      <c r="K475" s="2"/>
      <c r="L475" s="2"/>
      <c r="M475" s="2"/>
      <c r="N475" s="2"/>
      <c r="O475" s="2"/>
      <c r="P475" s="2"/>
      <c r="Q475" s="2" t="str">
        <f t="shared" si="14"/>
        <v/>
      </c>
      <c r="R475" t="str">
        <f t="shared" si="15"/>
        <v>Sem leitura</v>
      </c>
      <c r="S475" t="s">
        <v>150</v>
      </c>
      <c r="T475">
        <v>19</v>
      </c>
    </row>
    <row r="476" spans="1:20">
      <c r="A476" s="1">
        <v>46034</v>
      </c>
      <c r="B476">
        <v>20</v>
      </c>
      <c r="C476" t="s">
        <v>82</v>
      </c>
      <c r="D476" t="s">
        <v>70</v>
      </c>
      <c r="E476" s="6">
        <v>5005.8838999999998</v>
      </c>
      <c r="F476" s="6">
        <v>5063.7007999999996</v>
      </c>
      <c r="G476" s="6">
        <v>59.329300000000003</v>
      </c>
      <c r="H476" s="6"/>
      <c r="I476" s="6"/>
      <c r="J476" s="6"/>
      <c r="K476" s="2"/>
      <c r="L476" s="2"/>
      <c r="M476" s="2"/>
      <c r="N476" s="2"/>
      <c r="O476" s="2"/>
      <c r="P476" s="2"/>
      <c r="Q476" s="2" t="str">
        <f t="shared" si="14"/>
        <v/>
      </c>
      <c r="R476" t="str">
        <f t="shared" si="15"/>
        <v>Sem leitura</v>
      </c>
      <c r="S476" t="s">
        <v>150</v>
      </c>
      <c r="T476">
        <v>19</v>
      </c>
    </row>
    <row r="477" spans="1:20">
      <c r="A477" s="1">
        <v>46034</v>
      </c>
      <c r="B477">
        <v>20</v>
      </c>
      <c r="C477" t="s">
        <v>83</v>
      </c>
      <c r="D477" t="s">
        <v>84</v>
      </c>
      <c r="E477" s="6">
        <v>5055.3705</v>
      </c>
      <c r="F477" s="6">
        <v>5037.6908000000003</v>
      </c>
      <c r="G477" s="6">
        <v>55.834499999999998</v>
      </c>
      <c r="H477" s="6">
        <v>5055.3566000000001</v>
      </c>
      <c r="I477" s="6">
        <v>5037.6908999999996</v>
      </c>
      <c r="J477" s="6">
        <v>55.837000000000003</v>
      </c>
      <c r="K477" s="2">
        <v>0.1</v>
      </c>
      <c r="L477" s="2">
        <v>-0.4</v>
      </c>
      <c r="M477" s="2">
        <v>0.4</v>
      </c>
      <c r="N477" s="2">
        <v>-13.9</v>
      </c>
      <c r="O477" s="2">
        <v>0.1</v>
      </c>
      <c r="P477" s="2">
        <v>2.5</v>
      </c>
      <c r="Q477" s="2">
        <f t="shared" si="14"/>
        <v>13.900359707575916</v>
      </c>
      <c r="R477" t="str">
        <f t="shared" si="15"/>
        <v>Regular</v>
      </c>
      <c r="S477" t="s">
        <v>150</v>
      </c>
      <c r="T477">
        <v>19</v>
      </c>
    </row>
    <row r="478" spans="1:20">
      <c r="A478" s="1">
        <v>46034</v>
      </c>
      <c r="B478">
        <v>20</v>
      </c>
      <c r="C478" t="s">
        <v>85</v>
      </c>
      <c r="D478" t="s">
        <v>84</v>
      </c>
      <c r="E478" s="6">
        <v>5055.3611000000001</v>
      </c>
      <c r="F478" s="6">
        <v>5037.652</v>
      </c>
      <c r="G478" s="6">
        <v>53.920200000000001</v>
      </c>
      <c r="H478" s="6">
        <v>5055.3486999999996</v>
      </c>
      <c r="I478" s="6">
        <v>5037.6491999999998</v>
      </c>
      <c r="J478" s="6">
        <v>53.923200000000001</v>
      </c>
      <c r="K478" s="2">
        <v>-0.3</v>
      </c>
      <c r="L478" s="2">
        <v>0.5</v>
      </c>
      <c r="M478" s="2">
        <v>0.2</v>
      </c>
      <c r="N478" s="2">
        <v>-12.4</v>
      </c>
      <c r="O478" s="2">
        <v>-2.8</v>
      </c>
      <c r="P478" s="2">
        <v>3</v>
      </c>
      <c r="Q478" s="2">
        <f t="shared" si="14"/>
        <v>12.712198865656564</v>
      </c>
      <c r="R478" t="str">
        <f t="shared" si="15"/>
        <v>Regular</v>
      </c>
      <c r="S478" t="s">
        <v>150</v>
      </c>
      <c r="T478">
        <v>19</v>
      </c>
    </row>
    <row r="479" spans="1:20">
      <c r="A479" s="1">
        <v>46034</v>
      </c>
      <c r="B479">
        <v>20</v>
      </c>
      <c r="C479" t="s">
        <v>86</v>
      </c>
      <c r="D479" t="s">
        <v>84</v>
      </c>
      <c r="E479" s="6">
        <v>5053.1266999999998</v>
      </c>
      <c r="F479" s="6">
        <v>5028.5694000000003</v>
      </c>
      <c r="G479" s="6">
        <v>55.876899999999999</v>
      </c>
      <c r="H479" s="6">
        <v>5053.1135999999997</v>
      </c>
      <c r="I479" s="6">
        <v>5028.5706</v>
      </c>
      <c r="J479" s="6">
        <v>55.878999999999998</v>
      </c>
      <c r="K479" s="2">
        <v>-0.2</v>
      </c>
      <c r="L479" s="2">
        <v>0.2</v>
      </c>
      <c r="M479" s="2">
        <v>0.3</v>
      </c>
      <c r="N479" s="2">
        <v>-13.1</v>
      </c>
      <c r="O479" s="2">
        <v>1.2</v>
      </c>
      <c r="P479" s="2">
        <v>2.1</v>
      </c>
      <c r="Q479" s="2">
        <f t="shared" si="14"/>
        <v>13.154847015454036</v>
      </c>
      <c r="R479" t="str">
        <f t="shared" si="15"/>
        <v>Regular</v>
      </c>
      <c r="S479" t="s">
        <v>150</v>
      </c>
      <c r="T479">
        <v>19</v>
      </c>
    </row>
    <row r="480" spans="1:20">
      <c r="A480" s="1">
        <v>46034</v>
      </c>
      <c r="B480">
        <v>20</v>
      </c>
      <c r="C480" t="s">
        <v>87</v>
      </c>
      <c r="D480" t="s">
        <v>84</v>
      </c>
      <c r="E480" s="6">
        <v>5053.1229999999996</v>
      </c>
      <c r="F480" s="6">
        <v>5028.5785999999998</v>
      </c>
      <c r="G480" s="6">
        <v>54.159100000000002</v>
      </c>
      <c r="H480" s="6">
        <v>5053.1103999999996</v>
      </c>
      <c r="I480" s="6">
        <v>5028.5772999999999</v>
      </c>
      <c r="J480" s="6">
        <v>54.161299999999997</v>
      </c>
      <c r="K480" s="2">
        <v>-0.3</v>
      </c>
      <c r="L480" s="2">
        <v>0.4</v>
      </c>
      <c r="M480" s="2">
        <v>0.2</v>
      </c>
      <c r="N480" s="2">
        <v>-12.6</v>
      </c>
      <c r="O480" s="2">
        <v>-1.3</v>
      </c>
      <c r="P480" s="2">
        <v>2.2000000000000002</v>
      </c>
      <c r="Q480" s="2">
        <f t="shared" si="14"/>
        <v>12.666885963013955</v>
      </c>
      <c r="R480" t="str">
        <f t="shared" si="15"/>
        <v>Regular</v>
      </c>
      <c r="S480" t="s">
        <v>150</v>
      </c>
      <c r="T480">
        <v>19</v>
      </c>
    </row>
    <row r="481" spans="1:20">
      <c r="A481" s="1">
        <v>46034</v>
      </c>
      <c r="B481">
        <v>20</v>
      </c>
      <c r="C481" t="s">
        <v>88</v>
      </c>
      <c r="D481" t="s">
        <v>89</v>
      </c>
      <c r="E481" s="6">
        <v>5051.1406999999999</v>
      </c>
      <c r="F481" s="6">
        <v>5062.3236999999999</v>
      </c>
      <c r="G481" s="6">
        <v>63.001399999999997</v>
      </c>
      <c r="H481" s="6">
        <v>5051.1305000000002</v>
      </c>
      <c r="I481" s="6">
        <v>5062.3212000000003</v>
      </c>
      <c r="J481" s="6">
        <v>62.998699999999999</v>
      </c>
      <c r="K481" s="2">
        <v>0</v>
      </c>
      <c r="L481" s="2">
        <v>0.1</v>
      </c>
      <c r="M481" s="2">
        <v>0.4</v>
      </c>
      <c r="N481" s="2">
        <v>-10.199999999999999</v>
      </c>
      <c r="O481" s="2">
        <v>-2.5</v>
      </c>
      <c r="P481" s="2">
        <v>-2.7</v>
      </c>
      <c r="Q481" s="2">
        <f t="shared" si="14"/>
        <v>10.501904589168575</v>
      </c>
      <c r="R481" t="str">
        <f t="shared" si="15"/>
        <v>Regular</v>
      </c>
      <c r="S481" t="s">
        <v>150</v>
      </c>
      <c r="T481">
        <v>19</v>
      </c>
    </row>
    <row r="482" spans="1:20">
      <c r="A482" s="1">
        <v>46034</v>
      </c>
      <c r="B482">
        <v>20</v>
      </c>
      <c r="C482" t="s">
        <v>90</v>
      </c>
      <c r="D482" t="s">
        <v>89</v>
      </c>
      <c r="E482" s="6">
        <v>5051.0086000000001</v>
      </c>
      <c r="F482" s="6">
        <v>5062.4333999999999</v>
      </c>
      <c r="G482" s="6">
        <v>56.898000000000003</v>
      </c>
      <c r="H482" s="6">
        <v>5050.9996000000001</v>
      </c>
      <c r="I482" s="6">
        <v>5062.4305000000004</v>
      </c>
      <c r="J482" s="6">
        <v>56.898600000000002</v>
      </c>
      <c r="K482" s="2">
        <v>-1.8</v>
      </c>
      <c r="L482" s="2">
        <v>0.2</v>
      </c>
      <c r="M482" s="2">
        <v>0.5</v>
      </c>
      <c r="N482" s="2">
        <v>-9</v>
      </c>
      <c r="O482" s="2">
        <v>-2.9</v>
      </c>
      <c r="P482" s="2">
        <v>0.6</v>
      </c>
      <c r="Q482" s="2">
        <f t="shared" si="14"/>
        <v>9.4556861200020812</v>
      </c>
      <c r="R482" t="str">
        <f t="shared" si="15"/>
        <v>Regular</v>
      </c>
      <c r="S482" t="s">
        <v>150</v>
      </c>
      <c r="T482">
        <v>19</v>
      </c>
    </row>
    <row r="483" spans="1:20">
      <c r="A483" s="1">
        <v>46034</v>
      </c>
      <c r="B483">
        <v>20</v>
      </c>
      <c r="C483" t="s">
        <v>91</v>
      </c>
      <c r="D483" t="s">
        <v>89</v>
      </c>
      <c r="E483" s="6">
        <v>5058.5258999999996</v>
      </c>
      <c r="F483" s="6">
        <v>5053.1760000000004</v>
      </c>
      <c r="G483" s="6">
        <v>63.525199999999998</v>
      </c>
      <c r="H483" s="6">
        <v>5058.5146999999997</v>
      </c>
      <c r="I483" s="6">
        <v>5053.1732000000002</v>
      </c>
      <c r="J483" s="6">
        <v>63.527200000000001</v>
      </c>
      <c r="K483" s="2">
        <v>-0.2</v>
      </c>
      <c r="L483" s="2">
        <v>-0.3</v>
      </c>
      <c r="M483" s="2">
        <v>0.5</v>
      </c>
      <c r="N483" s="2">
        <v>-11.2</v>
      </c>
      <c r="O483" s="2">
        <v>-2.8</v>
      </c>
      <c r="P483" s="2">
        <v>2</v>
      </c>
      <c r="Q483" s="2">
        <f t="shared" si="14"/>
        <v>11.544695751729448</v>
      </c>
      <c r="R483" t="str">
        <f t="shared" si="15"/>
        <v>Regular</v>
      </c>
      <c r="S483" t="s">
        <v>150</v>
      </c>
      <c r="T483">
        <v>19</v>
      </c>
    </row>
    <row r="484" spans="1:20">
      <c r="A484" s="1">
        <v>46034</v>
      </c>
      <c r="B484">
        <v>20</v>
      </c>
      <c r="C484" t="s">
        <v>92</v>
      </c>
      <c r="D484" t="s">
        <v>89</v>
      </c>
      <c r="E484" s="6">
        <v>5060.2732999999998</v>
      </c>
      <c r="F484" s="6">
        <v>5059.0944</v>
      </c>
      <c r="G484" s="6">
        <v>58.7943</v>
      </c>
      <c r="H484" s="6">
        <v>5060.2619999999997</v>
      </c>
      <c r="I484" s="6">
        <v>5059.0923000000003</v>
      </c>
      <c r="J484" s="6">
        <v>58.7943</v>
      </c>
      <c r="K484" s="2">
        <v>-0.1</v>
      </c>
      <c r="L484" s="2">
        <v>0.2</v>
      </c>
      <c r="M484" s="2">
        <v>0.9</v>
      </c>
      <c r="N484" s="2">
        <v>-11.3</v>
      </c>
      <c r="O484" s="2">
        <v>-2.1</v>
      </c>
      <c r="P484" s="2">
        <v>0</v>
      </c>
      <c r="Q484" s="2">
        <f t="shared" si="14"/>
        <v>11.493476410555687</v>
      </c>
      <c r="R484" t="str">
        <f t="shared" si="15"/>
        <v>Regular</v>
      </c>
      <c r="S484" t="s">
        <v>150</v>
      </c>
      <c r="T484">
        <v>19</v>
      </c>
    </row>
    <row r="485" spans="1:20">
      <c r="A485" s="1">
        <v>46034</v>
      </c>
      <c r="B485">
        <v>20</v>
      </c>
      <c r="C485" t="s">
        <v>114</v>
      </c>
      <c r="D485" t="s">
        <v>70</v>
      </c>
      <c r="E485" s="6">
        <v>5005.4053999999996</v>
      </c>
      <c r="F485" s="6">
        <v>5054.1601000000001</v>
      </c>
      <c r="G485" s="6">
        <v>59.572699999999998</v>
      </c>
      <c r="H485" s="6">
        <v>5005.4228999999996</v>
      </c>
      <c r="I485" s="6">
        <v>5054.1400000000003</v>
      </c>
      <c r="J485" s="6">
        <v>59.5578</v>
      </c>
      <c r="K485" s="2">
        <v>1.5</v>
      </c>
      <c r="L485" s="2">
        <v>-1.1000000000000001</v>
      </c>
      <c r="M485" s="2">
        <v>-2.4</v>
      </c>
      <c r="N485" s="2">
        <v>17.5</v>
      </c>
      <c r="O485" s="2">
        <v>-20.100000000000001</v>
      </c>
      <c r="P485" s="2">
        <v>-14.9</v>
      </c>
      <c r="Q485" s="2">
        <f t="shared" si="14"/>
        <v>26.650703555441083</v>
      </c>
      <c r="R485" t="str">
        <f t="shared" si="15"/>
        <v>Alarme</v>
      </c>
      <c r="S485" t="s">
        <v>150</v>
      </c>
      <c r="T485">
        <v>19</v>
      </c>
    </row>
    <row r="486" spans="1:20">
      <c r="A486" s="1">
        <v>46034</v>
      </c>
      <c r="B486">
        <v>20</v>
      </c>
      <c r="C486" t="s">
        <v>116</v>
      </c>
      <c r="D486" t="s">
        <v>70</v>
      </c>
      <c r="E486" s="6">
        <v>5005.4237999999996</v>
      </c>
      <c r="F486" s="6">
        <v>5054.4835999999996</v>
      </c>
      <c r="G486" s="6">
        <v>58.357300000000002</v>
      </c>
      <c r="H486" s="6">
        <v>5005.4399000000003</v>
      </c>
      <c r="I486" s="6">
        <v>5054.4629999999997</v>
      </c>
      <c r="J486" s="6">
        <v>58.343299999999999</v>
      </c>
      <c r="K486" s="2">
        <v>1.1000000000000001</v>
      </c>
      <c r="L486" s="2">
        <v>-1.3</v>
      </c>
      <c r="M486" s="2">
        <v>-2.2000000000000002</v>
      </c>
      <c r="N486" s="2">
        <v>16.100000000000001</v>
      </c>
      <c r="O486" s="2">
        <v>-20.6</v>
      </c>
      <c r="P486" s="2">
        <v>-14</v>
      </c>
      <c r="Q486" s="2">
        <f t="shared" si="14"/>
        <v>26.145171638373309</v>
      </c>
      <c r="R486" t="str">
        <f t="shared" si="15"/>
        <v>Alarme</v>
      </c>
      <c r="S486" t="s">
        <v>150</v>
      </c>
      <c r="T486">
        <v>19</v>
      </c>
    </row>
    <row r="487" spans="1:20">
      <c r="A487" s="1">
        <v>46034</v>
      </c>
      <c r="B487">
        <v>20</v>
      </c>
      <c r="C487" t="s">
        <v>117</v>
      </c>
      <c r="D487" t="s">
        <v>70</v>
      </c>
      <c r="E487" s="6">
        <v>5005.9258</v>
      </c>
      <c r="F487" s="6">
        <v>5064.1066000000001</v>
      </c>
      <c r="G487" s="6">
        <v>60.544499999999999</v>
      </c>
      <c r="H487" s="6">
        <v>5005.9421000000002</v>
      </c>
      <c r="I487" s="6">
        <v>5064.0877</v>
      </c>
      <c r="J487" s="6">
        <v>60.5274</v>
      </c>
      <c r="K487" s="2">
        <v>2</v>
      </c>
      <c r="L487" s="2">
        <v>-1.8</v>
      </c>
      <c r="M487" s="2">
        <v>-1.5</v>
      </c>
      <c r="N487" s="2">
        <v>16.3</v>
      </c>
      <c r="O487" s="2">
        <v>-18.899999999999999</v>
      </c>
      <c r="P487" s="2">
        <v>-17.100000000000001</v>
      </c>
      <c r="Q487" s="2">
        <f t="shared" si="14"/>
        <v>24.957964660604837</v>
      </c>
      <c r="R487" t="str">
        <f t="shared" si="15"/>
        <v>Alerta</v>
      </c>
      <c r="S487" t="s">
        <v>150</v>
      </c>
      <c r="T487">
        <v>19</v>
      </c>
    </row>
    <row r="488" spans="1:20">
      <c r="A488" s="1">
        <v>46034</v>
      </c>
      <c r="B488">
        <v>20</v>
      </c>
      <c r="C488" t="s">
        <v>118</v>
      </c>
      <c r="D488" t="s">
        <v>70</v>
      </c>
      <c r="E488" s="6">
        <v>5005.8734999999997</v>
      </c>
      <c r="F488" s="6">
        <v>5063.2722999999996</v>
      </c>
      <c r="G488" s="6">
        <v>58.732500000000002</v>
      </c>
      <c r="H488" s="6">
        <v>5005.8878999999997</v>
      </c>
      <c r="I488" s="6">
        <v>5063.2525999999998</v>
      </c>
      <c r="J488" s="6">
        <v>58.715899999999998</v>
      </c>
      <c r="K488" s="2">
        <v>1.7</v>
      </c>
      <c r="L488" s="2">
        <v>-1.7</v>
      </c>
      <c r="M488" s="2">
        <v>-0.8</v>
      </c>
      <c r="N488" s="2">
        <v>14.4</v>
      </c>
      <c r="O488" s="2">
        <v>-19.7</v>
      </c>
      <c r="P488" s="2">
        <v>-16.600000000000001</v>
      </c>
      <c r="Q488" s="2">
        <f t="shared" si="14"/>
        <v>24.401844192601509</v>
      </c>
      <c r="R488" t="str">
        <f t="shared" si="15"/>
        <v>Alerta</v>
      </c>
      <c r="S488" t="s">
        <v>150</v>
      </c>
      <c r="T488">
        <v>19</v>
      </c>
    </row>
    <row r="489" spans="1:20">
      <c r="A489" s="1">
        <v>46034</v>
      </c>
      <c r="B489">
        <v>15</v>
      </c>
      <c r="C489" t="s">
        <v>119</v>
      </c>
      <c r="D489" t="s">
        <v>120</v>
      </c>
      <c r="E489" s="6">
        <v>5019.7240000000002</v>
      </c>
      <c r="F489" s="6">
        <v>5017.4448000000002</v>
      </c>
      <c r="G489" s="6">
        <v>48.267099999999999</v>
      </c>
      <c r="H489" s="6"/>
      <c r="I489" s="6"/>
      <c r="J489" s="6"/>
      <c r="K489" s="2"/>
      <c r="L489" s="2"/>
      <c r="M489" s="2"/>
      <c r="N489" s="2"/>
      <c r="O489" s="2"/>
      <c r="P489" s="2"/>
      <c r="Q489" s="2" t="str">
        <f t="shared" si="14"/>
        <v/>
      </c>
      <c r="R489" t="str">
        <f t="shared" si="15"/>
        <v>Sem leitura</v>
      </c>
      <c r="S489" t="s">
        <v>150</v>
      </c>
      <c r="T489">
        <v>50</v>
      </c>
    </row>
    <row r="490" spans="1:20">
      <c r="A490" s="1">
        <v>46034</v>
      </c>
      <c r="B490">
        <v>15</v>
      </c>
      <c r="C490" t="s">
        <v>122</v>
      </c>
      <c r="D490" t="s">
        <v>123</v>
      </c>
      <c r="E490" s="6">
        <v>4982.3819999999996</v>
      </c>
      <c r="F490" s="6">
        <v>5027.9636</v>
      </c>
      <c r="G490" s="6">
        <v>48.275500000000001</v>
      </c>
      <c r="H490" s="6">
        <v>4982.4026999999996</v>
      </c>
      <c r="I490" s="6">
        <v>5027.9634999999998</v>
      </c>
      <c r="J490" s="6">
        <v>48.280200000000001</v>
      </c>
      <c r="K490" s="2">
        <v>0.2</v>
      </c>
      <c r="L490" s="2">
        <v>-0.1</v>
      </c>
      <c r="M490" s="2">
        <v>0.2</v>
      </c>
      <c r="N490" s="2">
        <v>20.7</v>
      </c>
      <c r="O490" s="2">
        <v>-0.1</v>
      </c>
      <c r="P490" s="2">
        <v>4.7</v>
      </c>
      <c r="Q490" s="2">
        <f t="shared" si="14"/>
        <v>20.700241544484449</v>
      </c>
      <c r="R490" t="str">
        <f t="shared" si="15"/>
        <v>Alerta</v>
      </c>
      <c r="S490" t="s">
        <v>150</v>
      </c>
      <c r="T490">
        <v>50</v>
      </c>
    </row>
    <row r="491" spans="1:20">
      <c r="A491" s="1">
        <v>46034</v>
      </c>
      <c r="B491">
        <v>15</v>
      </c>
      <c r="C491" t="s">
        <v>124</v>
      </c>
      <c r="D491" t="s">
        <v>125</v>
      </c>
      <c r="E491" s="6">
        <v>4986.2775000000001</v>
      </c>
      <c r="F491" s="6">
        <v>5019.8639000000003</v>
      </c>
      <c r="G491" s="6">
        <v>50.872999999999998</v>
      </c>
      <c r="H491" s="6">
        <v>4986.2821999999996</v>
      </c>
      <c r="I491" s="6">
        <v>5019.8626000000004</v>
      </c>
      <c r="J491" s="6">
        <v>50.874099999999999</v>
      </c>
      <c r="K491" s="2">
        <v>-0.8</v>
      </c>
      <c r="L491" s="2">
        <v>-0.3</v>
      </c>
      <c r="M491" s="2">
        <v>0</v>
      </c>
      <c r="N491" s="2">
        <v>4.7</v>
      </c>
      <c r="O491" s="2">
        <v>-1.3</v>
      </c>
      <c r="P491" s="2">
        <v>1.1000000000000001</v>
      </c>
      <c r="Q491" s="2">
        <f t="shared" si="14"/>
        <v>4.876474136094644</v>
      </c>
      <c r="R491" t="str">
        <f t="shared" si="15"/>
        <v>Regular</v>
      </c>
      <c r="S491" t="s">
        <v>150</v>
      </c>
      <c r="T491">
        <v>50</v>
      </c>
    </row>
    <row r="492" spans="1:20">
      <c r="A492" s="1">
        <v>46034</v>
      </c>
      <c r="B492">
        <v>15</v>
      </c>
      <c r="C492" t="s">
        <v>126</v>
      </c>
      <c r="D492" t="s">
        <v>125</v>
      </c>
      <c r="E492" s="6">
        <v>4977.5057999999999</v>
      </c>
      <c r="F492" s="6">
        <v>5027.6043</v>
      </c>
      <c r="G492" s="6">
        <v>52.208399999999997</v>
      </c>
      <c r="H492" s="6">
        <v>4977.5092999999997</v>
      </c>
      <c r="I492" s="6">
        <v>5027.5998</v>
      </c>
      <c r="J492" s="6">
        <v>52.208799999999997</v>
      </c>
      <c r="K492" s="2">
        <v>0.9</v>
      </c>
      <c r="L492" s="2">
        <v>0.1</v>
      </c>
      <c r="M492" s="2">
        <v>0.1</v>
      </c>
      <c r="N492" s="2">
        <v>3.5</v>
      </c>
      <c r="O492" s="2">
        <v>-4.5</v>
      </c>
      <c r="P492" s="2">
        <v>0.4</v>
      </c>
      <c r="Q492" s="2">
        <f t="shared" si="14"/>
        <v>5.7008771254956896</v>
      </c>
      <c r="R492" t="str">
        <f t="shared" si="15"/>
        <v>Regular</v>
      </c>
      <c r="S492" t="s">
        <v>150</v>
      </c>
      <c r="T492">
        <v>50</v>
      </c>
    </row>
    <row r="493" spans="1:20">
      <c r="A493" s="1">
        <v>46034</v>
      </c>
      <c r="B493">
        <v>15</v>
      </c>
      <c r="C493" t="s">
        <v>127</v>
      </c>
      <c r="D493" t="s">
        <v>128</v>
      </c>
      <c r="E493" s="6">
        <v>4974.3924999999999</v>
      </c>
      <c r="F493" s="6">
        <v>5039.5325999999995</v>
      </c>
      <c r="G493" s="6">
        <v>53.556800000000003</v>
      </c>
      <c r="H493" s="6">
        <v>4974.3977000000004</v>
      </c>
      <c r="I493" s="6">
        <v>5039.5322999999999</v>
      </c>
      <c r="J493" s="6">
        <v>53.559399999999997</v>
      </c>
      <c r="K493" s="2">
        <v>-0.1</v>
      </c>
      <c r="L493" s="2">
        <v>0.2</v>
      </c>
      <c r="M493" s="2">
        <v>1.4</v>
      </c>
      <c r="N493" s="2">
        <v>5.2</v>
      </c>
      <c r="O493" s="2">
        <v>-0.3</v>
      </c>
      <c r="P493" s="2">
        <v>2.6</v>
      </c>
      <c r="Q493" s="2">
        <f t="shared" si="14"/>
        <v>5.2086466572421672</v>
      </c>
      <c r="R493" t="str">
        <f t="shared" si="15"/>
        <v>Regular</v>
      </c>
      <c r="S493" t="s">
        <v>150</v>
      </c>
      <c r="T493">
        <v>50</v>
      </c>
    </row>
    <row r="494" spans="1:20">
      <c r="A494" s="1">
        <v>46034</v>
      </c>
      <c r="B494">
        <v>15</v>
      </c>
      <c r="C494" t="s">
        <v>129</v>
      </c>
      <c r="D494" t="s">
        <v>130</v>
      </c>
      <c r="E494" s="6">
        <v>4981.8689000000004</v>
      </c>
      <c r="F494" s="6">
        <v>5046.9902000000002</v>
      </c>
      <c r="G494" s="6">
        <v>53.966500000000003</v>
      </c>
      <c r="H494" s="6">
        <v>4981.8807999999999</v>
      </c>
      <c r="I494" s="6">
        <v>5046.9802</v>
      </c>
      <c r="J494" s="6">
        <v>53.9696</v>
      </c>
      <c r="K494" s="2">
        <v>0</v>
      </c>
      <c r="L494" s="2">
        <v>0.5</v>
      </c>
      <c r="M494" s="2">
        <v>0.1</v>
      </c>
      <c r="N494" s="2">
        <v>11.9</v>
      </c>
      <c r="O494" s="2">
        <v>-10</v>
      </c>
      <c r="P494" s="2">
        <v>3.1</v>
      </c>
      <c r="Q494" s="2">
        <f t="shared" si="14"/>
        <v>15.543809056984713</v>
      </c>
      <c r="R494" t="str">
        <f t="shared" si="15"/>
        <v>Regular</v>
      </c>
      <c r="S494" t="s">
        <v>150</v>
      </c>
      <c r="T494">
        <v>50</v>
      </c>
    </row>
    <row r="495" spans="1:20">
      <c r="A495" s="1">
        <v>46034</v>
      </c>
      <c r="B495">
        <v>15</v>
      </c>
      <c r="C495" t="s">
        <v>131</v>
      </c>
      <c r="D495" t="s">
        <v>130</v>
      </c>
      <c r="E495" s="6">
        <v>4993.0258000000003</v>
      </c>
      <c r="F495" s="6">
        <v>5045.3909000000003</v>
      </c>
      <c r="G495" s="6">
        <v>53.905200000000001</v>
      </c>
      <c r="H495" s="6">
        <v>4993.0343000000003</v>
      </c>
      <c r="I495" s="6">
        <v>5045.3768</v>
      </c>
      <c r="J495" s="6">
        <v>53.906300000000002</v>
      </c>
      <c r="K495" s="2">
        <v>-0.1</v>
      </c>
      <c r="L495" s="2">
        <v>-0.1</v>
      </c>
      <c r="M495" s="2">
        <v>0.3</v>
      </c>
      <c r="N495" s="2">
        <v>8.5</v>
      </c>
      <c r="O495" s="2">
        <v>-14.1</v>
      </c>
      <c r="P495" s="2">
        <v>1.1000000000000001</v>
      </c>
      <c r="Q495" s="2">
        <f t="shared" si="14"/>
        <v>16.463899902513983</v>
      </c>
      <c r="R495" t="str">
        <f t="shared" si="15"/>
        <v>Regular</v>
      </c>
      <c r="S495" t="s">
        <v>150</v>
      </c>
      <c r="T495">
        <v>50</v>
      </c>
    </row>
    <row r="496" spans="1:20">
      <c r="A496" s="1">
        <v>46034</v>
      </c>
      <c r="B496">
        <v>15</v>
      </c>
      <c r="C496" t="s">
        <v>132</v>
      </c>
      <c r="D496" t="s">
        <v>130</v>
      </c>
      <c r="E496" s="6">
        <v>5002.4090999999999</v>
      </c>
      <c r="F496" s="6">
        <v>5044.0244000000002</v>
      </c>
      <c r="G496" s="6">
        <v>53.889200000000002</v>
      </c>
      <c r="H496" s="6">
        <v>5002.4157999999998</v>
      </c>
      <c r="I496" s="6">
        <v>5043.9957000000004</v>
      </c>
      <c r="J496" s="6">
        <v>53.893900000000002</v>
      </c>
      <c r="K496" s="2">
        <v>-0.2</v>
      </c>
      <c r="L496" s="2">
        <v>-1.6</v>
      </c>
      <c r="M496" s="2">
        <v>1.1000000000000001</v>
      </c>
      <c r="N496" s="2">
        <v>6.7</v>
      </c>
      <c r="O496" s="2">
        <v>-28.7</v>
      </c>
      <c r="P496" s="2">
        <v>4.7</v>
      </c>
      <c r="Q496" s="2">
        <f t="shared" si="14"/>
        <v>29.471681322924212</v>
      </c>
      <c r="R496" t="str">
        <f t="shared" si="15"/>
        <v>Regular</v>
      </c>
      <c r="S496" t="s">
        <v>150</v>
      </c>
      <c r="T496">
        <v>50</v>
      </c>
    </row>
    <row r="497" spans="1:20">
      <c r="A497" s="1">
        <v>46034</v>
      </c>
      <c r="B497">
        <v>15</v>
      </c>
      <c r="C497" t="s">
        <v>133</v>
      </c>
      <c r="D497" t="s">
        <v>134</v>
      </c>
      <c r="E497" s="6">
        <v>5012.8994000000002</v>
      </c>
      <c r="F497" s="6">
        <v>5060.6997000000001</v>
      </c>
      <c r="G497" s="6">
        <v>52.496299999999998</v>
      </c>
      <c r="H497" s="6">
        <v>5012.8942999999999</v>
      </c>
      <c r="I497" s="6">
        <v>5060.6778999999997</v>
      </c>
      <c r="J497" s="6">
        <v>52.5015</v>
      </c>
      <c r="K497" s="2">
        <v>-0.5</v>
      </c>
      <c r="L497" s="2">
        <v>-1.2</v>
      </c>
      <c r="M497" s="2">
        <v>0.3</v>
      </c>
      <c r="N497" s="2">
        <v>-5.0999999999999996</v>
      </c>
      <c r="O497" s="2">
        <v>-21.8</v>
      </c>
      <c r="P497" s="2">
        <v>5.2</v>
      </c>
      <c r="Q497" s="2">
        <f t="shared" si="14"/>
        <v>22.38861317723811</v>
      </c>
      <c r="R497" t="str">
        <f t="shared" si="15"/>
        <v>Regular</v>
      </c>
      <c r="S497" t="s">
        <v>150</v>
      </c>
      <c r="T497">
        <v>50</v>
      </c>
    </row>
    <row r="498" spans="1:20">
      <c r="A498" s="1">
        <v>46034</v>
      </c>
      <c r="B498">
        <v>15</v>
      </c>
      <c r="C498" t="s">
        <v>135</v>
      </c>
      <c r="D498" t="s">
        <v>136</v>
      </c>
      <c r="E498" s="6">
        <v>5026.7076999999999</v>
      </c>
      <c r="F498" s="6">
        <v>5072.3888999999999</v>
      </c>
      <c r="G498" s="6">
        <v>53.761400000000002</v>
      </c>
      <c r="H498" s="6">
        <v>5026.7034000000003</v>
      </c>
      <c r="I498" s="6">
        <v>5072.3697000000002</v>
      </c>
      <c r="J498" s="6">
        <v>53.764699999999998</v>
      </c>
      <c r="K498" s="2">
        <v>-6</v>
      </c>
      <c r="L498" s="2">
        <v>3.3</v>
      </c>
      <c r="M498" s="2">
        <v>0.5</v>
      </c>
      <c r="N498" s="2">
        <v>-4.3</v>
      </c>
      <c r="O498" s="2">
        <v>-19.2</v>
      </c>
      <c r="P498" s="2">
        <v>3.3</v>
      </c>
      <c r="Q498" s="2">
        <f t="shared" si="14"/>
        <v>19.675619431164041</v>
      </c>
      <c r="R498" t="str">
        <f t="shared" si="15"/>
        <v>Regular</v>
      </c>
      <c r="S498" t="s">
        <v>150</v>
      </c>
      <c r="T498">
        <v>50</v>
      </c>
    </row>
    <row r="499" spans="1:20">
      <c r="A499" s="1">
        <v>46034</v>
      </c>
      <c r="B499">
        <v>15</v>
      </c>
      <c r="C499" t="s">
        <v>137</v>
      </c>
      <c r="D499" t="s">
        <v>138</v>
      </c>
      <c r="E499" s="6">
        <v>5046.1882999999998</v>
      </c>
      <c r="F499" s="6">
        <v>5033.5622999999996</v>
      </c>
      <c r="G499" s="6">
        <v>48.999099999999999</v>
      </c>
      <c r="H499" s="6">
        <v>5046.1692000000003</v>
      </c>
      <c r="I499" s="6">
        <v>5033.5607</v>
      </c>
      <c r="J499" s="6">
        <v>48.999499999999998</v>
      </c>
      <c r="K499" s="2">
        <v>0</v>
      </c>
      <c r="L499" s="2">
        <v>-0.9</v>
      </c>
      <c r="M499" s="2">
        <v>0.3</v>
      </c>
      <c r="N499" s="2">
        <v>-19.100000000000001</v>
      </c>
      <c r="O499" s="2">
        <v>-1.6</v>
      </c>
      <c r="P499" s="2">
        <v>0.4</v>
      </c>
      <c r="Q499" s="2">
        <f t="shared" si="14"/>
        <v>19.166898549321957</v>
      </c>
      <c r="R499" t="str">
        <f t="shared" si="15"/>
        <v>Regular</v>
      </c>
      <c r="S499" t="s">
        <v>150</v>
      </c>
      <c r="T499">
        <v>50</v>
      </c>
    </row>
    <row r="500" spans="1:20">
      <c r="A500" s="1">
        <v>46034</v>
      </c>
      <c r="B500">
        <v>15</v>
      </c>
      <c r="C500" t="s">
        <v>139</v>
      </c>
      <c r="D500" t="s">
        <v>134</v>
      </c>
      <c r="E500" s="6">
        <v>5010.7592999999997</v>
      </c>
      <c r="F500" s="6">
        <v>5050.9463999999998</v>
      </c>
      <c r="G500" s="6">
        <v>52.517400000000002</v>
      </c>
      <c r="H500" s="6">
        <v>5010.7494999999999</v>
      </c>
      <c r="I500" s="6">
        <v>5050.9260999999997</v>
      </c>
      <c r="J500" s="6">
        <v>52.526200000000003</v>
      </c>
      <c r="K500" s="2">
        <v>-0.5</v>
      </c>
      <c r="L500" s="2">
        <v>-1.1000000000000001</v>
      </c>
      <c r="M500" s="2">
        <v>0.3</v>
      </c>
      <c r="N500" s="2">
        <v>-9.8000000000000007</v>
      </c>
      <c r="O500" s="2">
        <v>-20.3</v>
      </c>
      <c r="P500" s="2">
        <v>8.8000000000000007</v>
      </c>
      <c r="Q500" s="2">
        <f t="shared" si="14"/>
        <v>22.541739063346466</v>
      </c>
      <c r="R500" t="str">
        <f t="shared" si="15"/>
        <v>Regular</v>
      </c>
      <c r="S500" t="s">
        <v>150</v>
      </c>
      <c r="T500">
        <v>50</v>
      </c>
    </row>
    <row r="501" spans="1:20">
      <c r="A501" s="1">
        <v>46034</v>
      </c>
      <c r="B501">
        <v>15</v>
      </c>
      <c r="C501" t="s">
        <v>140</v>
      </c>
      <c r="D501" t="s">
        <v>128</v>
      </c>
      <c r="E501" s="6">
        <v>4976.0573000000004</v>
      </c>
      <c r="F501" s="6">
        <v>5040.5965999999999</v>
      </c>
      <c r="G501" s="6">
        <v>48.214799999999997</v>
      </c>
      <c r="H501" s="6">
        <v>4976.0671000000002</v>
      </c>
      <c r="I501" s="6">
        <v>5040.5932000000003</v>
      </c>
      <c r="J501" s="6">
        <v>48.216200000000001</v>
      </c>
      <c r="K501" s="2">
        <v>0.1</v>
      </c>
      <c r="L501" s="2">
        <v>0.1</v>
      </c>
      <c r="M501" s="2">
        <v>0.2</v>
      </c>
      <c r="N501" s="2">
        <v>9.8000000000000007</v>
      </c>
      <c r="O501" s="2">
        <v>-3.4</v>
      </c>
      <c r="P501" s="2">
        <v>1.4</v>
      </c>
      <c r="Q501" s="2">
        <f t="shared" si="14"/>
        <v>10.373041983911953</v>
      </c>
      <c r="R501" t="str">
        <f t="shared" si="15"/>
        <v>Regular</v>
      </c>
      <c r="S501" t="s">
        <v>150</v>
      </c>
      <c r="T501">
        <v>50</v>
      </c>
    </row>
    <row r="502" spans="1:20">
      <c r="A502" s="1">
        <v>46034</v>
      </c>
      <c r="B502">
        <v>15</v>
      </c>
      <c r="C502" t="s">
        <v>141</v>
      </c>
      <c r="D502" t="s">
        <v>130</v>
      </c>
      <c r="E502" s="6">
        <v>4987.9621999999999</v>
      </c>
      <c r="F502" s="6">
        <v>5045.3176000000003</v>
      </c>
      <c r="G502" s="6">
        <v>47.637599999999999</v>
      </c>
      <c r="H502" s="6">
        <v>4987.9684999999999</v>
      </c>
      <c r="I502" s="6">
        <v>5045.3008</v>
      </c>
      <c r="J502" s="6">
        <v>47.639600000000002</v>
      </c>
      <c r="K502" s="2">
        <v>-0.5</v>
      </c>
      <c r="L502" s="2">
        <v>0.7</v>
      </c>
      <c r="M502" s="2">
        <v>-0.7</v>
      </c>
      <c r="N502" s="2">
        <v>6.3</v>
      </c>
      <c r="O502" s="2">
        <v>-16.8</v>
      </c>
      <c r="P502" s="2">
        <v>2</v>
      </c>
      <c r="Q502" s="2">
        <f t="shared" si="14"/>
        <v>17.942407865166814</v>
      </c>
      <c r="R502" t="str">
        <f t="shared" si="15"/>
        <v>Regular</v>
      </c>
      <c r="S502" t="s">
        <v>150</v>
      </c>
      <c r="T502">
        <v>50</v>
      </c>
    </row>
    <row r="503" spans="1:20">
      <c r="A503" s="1">
        <v>46034</v>
      </c>
      <c r="B503">
        <v>15</v>
      </c>
      <c r="C503" t="s">
        <v>142</v>
      </c>
      <c r="D503" t="s">
        <v>130</v>
      </c>
      <c r="E503" s="6">
        <v>5002.5304999999998</v>
      </c>
      <c r="F503" s="6">
        <v>5043.4611000000004</v>
      </c>
      <c r="G503" s="6">
        <v>47.537100000000002</v>
      </c>
      <c r="H503" s="6">
        <v>5002.5362999999998</v>
      </c>
      <c r="I503" s="6">
        <v>5043.4333999999999</v>
      </c>
      <c r="J503" s="6">
        <v>47.540900000000001</v>
      </c>
      <c r="K503" s="2">
        <v>0.2</v>
      </c>
      <c r="L503" s="2">
        <v>-3.8</v>
      </c>
      <c r="M503" s="2">
        <v>0.9</v>
      </c>
      <c r="N503" s="2">
        <v>5.8</v>
      </c>
      <c r="O503" s="2">
        <v>-27.7</v>
      </c>
      <c r="P503" s="2">
        <v>3.8</v>
      </c>
      <c r="Q503" s="2">
        <f t="shared" si="14"/>
        <v>28.300706704957033</v>
      </c>
      <c r="R503" t="str">
        <f t="shared" si="15"/>
        <v>Regular</v>
      </c>
      <c r="S503" t="s">
        <v>150</v>
      </c>
      <c r="T503">
        <v>50</v>
      </c>
    </row>
    <row r="504" spans="1:20">
      <c r="A504" s="1">
        <v>46034</v>
      </c>
      <c r="B504">
        <v>15</v>
      </c>
      <c r="C504" t="s">
        <v>143</v>
      </c>
      <c r="D504" t="s">
        <v>136</v>
      </c>
      <c r="E504" s="6">
        <v>5027.4714000000004</v>
      </c>
      <c r="F504" s="6">
        <v>5072.2404999999999</v>
      </c>
      <c r="G504" s="6">
        <v>51.143700000000003</v>
      </c>
      <c r="H504" s="6">
        <v>5027.4691000000003</v>
      </c>
      <c r="I504" s="6">
        <v>5072.223</v>
      </c>
      <c r="J504" s="6">
        <v>51.146799999999999</v>
      </c>
      <c r="K504" s="2">
        <v>1</v>
      </c>
      <c r="L504" s="2">
        <v>-0.2</v>
      </c>
      <c r="M504" s="2">
        <v>0.4</v>
      </c>
      <c r="N504" s="2">
        <v>-2.2999999999999998</v>
      </c>
      <c r="O504" s="2">
        <v>-17.5</v>
      </c>
      <c r="P504" s="2">
        <v>3.1</v>
      </c>
      <c r="Q504" s="2">
        <f t="shared" si="14"/>
        <v>17.650495743746124</v>
      </c>
      <c r="R504" t="str">
        <f t="shared" si="15"/>
        <v>Regular</v>
      </c>
      <c r="S504" t="s">
        <v>150</v>
      </c>
      <c r="T504">
        <v>50</v>
      </c>
    </row>
    <row r="505" spans="1:20">
      <c r="A505" s="1">
        <v>46034</v>
      </c>
      <c r="B505">
        <v>15</v>
      </c>
      <c r="C505" t="s">
        <v>144</v>
      </c>
      <c r="D505" t="s">
        <v>145</v>
      </c>
      <c r="E505" s="6">
        <v>5041.9629000000004</v>
      </c>
      <c r="F505" s="6">
        <v>5043.3289999999997</v>
      </c>
      <c r="G505" s="6">
        <v>52.0655</v>
      </c>
      <c r="H505" s="6">
        <v>5041.9539999999997</v>
      </c>
      <c r="I505" s="6">
        <v>5043.3230000000003</v>
      </c>
      <c r="J505" s="6">
        <v>52.066299999999998</v>
      </c>
      <c r="K505" s="2">
        <v>0</v>
      </c>
      <c r="L505" s="2">
        <v>0.1</v>
      </c>
      <c r="M505" s="2">
        <v>-1.4</v>
      </c>
      <c r="N505" s="2">
        <v>-8.9</v>
      </c>
      <c r="O505" s="2">
        <v>-6</v>
      </c>
      <c r="P505" s="2">
        <v>0.8</v>
      </c>
      <c r="Q505" s="2">
        <f t="shared" si="14"/>
        <v>10.733592129385205</v>
      </c>
      <c r="R505" t="str">
        <f t="shared" si="15"/>
        <v>Regular</v>
      </c>
      <c r="S505" t="s">
        <v>150</v>
      </c>
      <c r="T505">
        <v>50</v>
      </c>
    </row>
    <row r="506" spans="1:20">
      <c r="A506" s="1">
        <v>46034</v>
      </c>
      <c r="B506">
        <v>15</v>
      </c>
      <c r="C506" t="s">
        <v>166</v>
      </c>
      <c r="D506" t="s">
        <v>167</v>
      </c>
      <c r="E506" s="6">
        <v>5037.8409000000001</v>
      </c>
      <c r="F506" s="6">
        <v>5046.2614999999996</v>
      </c>
      <c r="G506" s="6">
        <v>51.521099999999997</v>
      </c>
      <c r="H506" s="6">
        <v>5037.8310000000001</v>
      </c>
      <c r="I506" s="6">
        <v>5046.2551999999996</v>
      </c>
      <c r="J506" s="6">
        <v>51.524500000000003</v>
      </c>
      <c r="K506" s="2">
        <v>-0.4</v>
      </c>
      <c r="L506" s="2">
        <v>-0.7</v>
      </c>
      <c r="M506" s="2">
        <v>0.6</v>
      </c>
      <c r="N506" s="2">
        <v>-9.9</v>
      </c>
      <c r="O506" s="2">
        <v>-6.3</v>
      </c>
      <c r="P506" s="2">
        <v>3.4</v>
      </c>
      <c r="Q506" s="2">
        <f t="shared" si="14"/>
        <v>11.734564329364767</v>
      </c>
      <c r="R506" t="str">
        <f t="shared" si="15"/>
        <v>Regular</v>
      </c>
      <c r="S506" t="s">
        <v>150</v>
      </c>
      <c r="T506">
        <v>50</v>
      </c>
    </row>
    <row r="507" spans="1:20">
      <c r="A507" s="1">
        <v>46034</v>
      </c>
      <c r="B507">
        <v>15</v>
      </c>
      <c r="C507" t="s">
        <v>154</v>
      </c>
      <c r="D507" t="s">
        <v>123</v>
      </c>
      <c r="E507" s="6">
        <v>4983.0880999999999</v>
      </c>
      <c r="F507" s="6">
        <v>5028.2978000000003</v>
      </c>
      <c r="G507" s="6">
        <v>42.8752</v>
      </c>
      <c r="H507" s="6"/>
      <c r="I507" s="6"/>
      <c r="J507" s="6"/>
      <c r="K507" s="2"/>
      <c r="L507" s="2"/>
      <c r="M507" s="2"/>
      <c r="N507" s="2"/>
      <c r="O507" s="2"/>
      <c r="P507" s="2"/>
      <c r="Q507" s="2" t="str">
        <f t="shared" si="14"/>
        <v/>
      </c>
      <c r="R507" t="str">
        <f t="shared" si="15"/>
        <v>Sem leitura</v>
      </c>
      <c r="S507" t="s">
        <v>150</v>
      </c>
      <c r="T507">
        <v>50</v>
      </c>
    </row>
    <row r="508" spans="1:20">
      <c r="A508" s="1">
        <v>46034</v>
      </c>
      <c r="B508">
        <v>15</v>
      </c>
      <c r="C508" t="s">
        <v>163</v>
      </c>
      <c r="D508" t="s">
        <v>134</v>
      </c>
      <c r="E508" s="6">
        <v>5013.4206999999997</v>
      </c>
      <c r="F508" s="6">
        <v>5061.5992999999999</v>
      </c>
      <c r="G508" s="6">
        <v>47.2774</v>
      </c>
      <c r="H508" s="6"/>
      <c r="I508" s="6"/>
      <c r="J508" s="6"/>
      <c r="K508" s="2"/>
      <c r="L508" s="2"/>
      <c r="M508" s="2"/>
      <c r="N508" s="2"/>
      <c r="O508" s="2"/>
      <c r="P508" s="2"/>
      <c r="Q508" s="2" t="str">
        <f t="shared" si="14"/>
        <v/>
      </c>
      <c r="R508" t="str">
        <f t="shared" si="15"/>
        <v>Sem leitura</v>
      </c>
      <c r="S508" t="s">
        <v>150</v>
      </c>
      <c r="T508">
        <v>50</v>
      </c>
    </row>
    <row r="509" spans="1:20">
      <c r="A509" s="1">
        <v>46034</v>
      </c>
      <c r="B509">
        <v>15</v>
      </c>
      <c r="C509" t="s">
        <v>164</v>
      </c>
      <c r="D509" t="s">
        <v>136</v>
      </c>
      <c r="E509" s="6">
        <v>5026.8990000000003</v>
      </c>
      <c r="F509" s="6">
        <v>5072.0330000000004</v>
      </c>
      <c r="G509" s="6">
        <v>44.739800000000002</v>
      </c>
      <c r="H509" s="6">
        <v>5026.8977999999997</v>
      </c>
      <c r="I509" s="6">
        <v>5072.0216</v>
      </c>
      <c r="J509" s="6">
        <v>44.743299999999998</v>
      </c>
      <c r="K509" s="2">
        <v>0.9</v>
      </c>
      <c r="L509" s="2">
        <v>0</v>
      </c>
      <c r="M509" s="2">
        <v>0.3</v>
      </c>
      <c r="N509" s="2">
        <v>-1.2</v>
      </c>
      <c r="O509" s="2">
        <v>-11.4</v>
      </c>
      <c r="P509" s="2">
        <v>3.5</v>
      </c>
      <c r="Q509" s="2">
        <f t="shared" si="14"/>
        <v>11.462983904725681</v>
      </c>
      <c r="R509" t="str">
        <f t="shared" si="15"/>
        <v>Regular</v>
      </c>
      <c r="S509" t="s">
        <v>150</v>
      </c>
      <c r="T509">
        <v>50</v>
      </c>
    </row>
    <row r="510" spans="1:20">
      <c r="A510" s="1">
        <v>46034</v>
      </c>
      <c r="B510">
        <v>15</v>
      </c>
      <c r="C510" t="s">
        <v>169</v>
      </c>
      <c r="D510" t="s">
        <v>145</v>
      </c>
      <c r="E510" s="6">
        <v>5042.0578999999998</v>
      </c>
      <c r="F510" s="6">
        <v>5042.7259000000004</v>
      </c>
      <c r="G510" s="6">
        <v>42.933700000000002</v>
      </c>
      <c r="H510" s="6">
        <v>5042.0519000000004</v>
      </c>
      <c r="I510" s="6">
        <v>5042.7251999999999</v>
      </c>
      <c r="J510" s="6">
        <v>42.936500000000002</v>
      </c>
      <c r="K510" s="2">
        <v>0.2</v>
      </c>
      <c r="L510" s="2">
        <v>0</v>
      </c>
      <c r="M510" s="2">
        <v>-0.1</v>
      </c>
      <c r="N510" s="2">
        <v>-6</v>
      </c>
      <c r="O510" s="2">
        <v>-0.7</v>
      </c>
      <c r="P510" s="2">
        <v>2.8</v>
      </c>
      <c r="Q510" s="2">
        <f t="shared" si="14"/>
        <v>6.0406953242155828</v>
      </c>
      <c r="R510" t="str">
        <f t="shared" si="15"/>
        <v>Regular</v>
      </c>
      <c r="S510" t="s">
        <v>150</v>
      </c>
      <c r="T510">
        <v>50</v>
      </c>
    </row>
    <row r="511" spans="1:20">
      <c r="A511" s="1">
        <v>46034</v>
      </c>
      <c r="B511">
        <v>15</v>
      </c>
      <c r="C511" t="s">
        <v>170</v>
      </c>
      <c r="D511" t="s">
        <v>138</v>
      </c>
      <c r="E511" s="6">
        <v>5045.8157000000001</v>
      </c>
      <c r="F511" s="6">
        <v>5033.7070000000003</v>
      </c>
      <c r="G511" s="6">
        <v>42.660600000000002</v>
      </c>
      <c r="H511" s="6">
        <v>5045.8100000000004</v>
      </c>
      <c r="I511" s="6">
        <v>5033.7075000000004</v>
      </c>
      <c r="J511" s="6">
        <v>42.662700000000001</v>
      </c>
      <c r="K511" s="2">
        <v>-0.1</v>
      </c>
      <c r="L511" s="2">
        <v>0.1</v>
      </c>
      <c r="M511" s="2">
        <v>0.1</v>
      </c>
      <c r="N511" s="2">
        <v>-5.7</v>
      </c>
      <c r="O511" s="2">
        <v>0.5</v>
      </c>
      <c r="P511" s="2">
        <v>2.1</v>
      </c>
      <c r="Q511" s="2">
        <f t="shared" si="14"/>
        <v>5.7218878003679867</v>
      </c>
      <c r="R511" t="str">
        <f t="shared" si="15"/>
        <v>Regular</v>
      </c>
      <c r="S511" t="s">
        <v>150</v>
      </c>
      <c r="T511">
        <v>50</v>
      </c>
    </row>
    <row r="512" spans="1:20">
      <c r="A512" s="1">
        <v>46034</v>
      </c>
      <c r="B512">
        <v>15</v>
      </c>
      <c r="C512" t="s">
        <v>149</v>
      </c>
      <c r="D512" t="s">
        <v>120</v>
      </c>
      <c r="E512" s="6">
        <v>5017.3522999999996</v>
      </c>
      <c r="F512" s="6">
        <v>5017.7930999999999</v>
      </c>
      <c r="G512" s="6">
        <v>47.4587</v>
      </c>
      <c r="H512" s="6">
        <v>5017.3500000000004</v>
      </c>
      <c r="I512" s="6">
        <v>5017.7942000000003</v>
      </c>
      <c r="J512" s="6">
        <v>47.461100000000002</v>
      </c>
      <c r="K512" s="2">
        <v>-0.6</v>
      </c>
      <c r="L512" s="2">
        <v>-0.2</v>
      </c>
      <c r="M512" s="2">
        <v>0.4</v>
      </c>
      <c r="N512" s="2">
        <v>-2.2999999999999998</v>
      </c>
      <c r="O512" s="2">
        <v>1.1000000000000001</v>
      </c>
      <c r="P512" s="2">
        <v>2.4</v>
      </c>
      <c r="Q512" s="2">
        <f t="shared" si="14"/>
        <v>2.5495097567963922</v>
      </c>
      <c r="R512" t="str">
        <f t="shared" si="15"/>
        <v>Regular</v>
      </c>
      <c r="S512" t="s">
        <v>150</v>
      </c>
      <c r="T512">
        <v>50</v>
      </c>
    </row>
    <row r="513" spans="1:20">
      <c r="A513" s="1">
        <v>46034</v>
      </c>
      <c r="B513">
        <v>15</v>
      </c>
      <c r="C513" t="s">
        <v>151</v>
      </c>
      <c r="D513" t="s">
        <v>120</v>
      </c>
      <c r="E513" s="6">
        <v>5017.2749000000003</v>
      </c>
      <c r="F513" s="6">
        <v>5018.2057000000004</v>
      </c>
      <c r="G513" s="6">
        <v>43.061300000000003</v>
      </c>
      <c r="H513" s="6"/>
      <c r="I513" s="6"/>
      <c r="J513" s="6"/>
      <c r="K513" s="2"/>
      <c r="L513" s="2"/>
      <c r="M513" s="2"/>
      <c r="N513" s="2"/>
      <c r="O513" s="2"/>
      <c r="P513" s="2"/>
      <c r="Q513" s="2" t="str">
        <f t="shared" si="14"/>
        <v/>
      </c>
      <c r="R513" t="str">
        <f t="shared" si="15"/>
        <v>Sem leitura</v>
      </c>
      <c r="S513" t="s">
        <v>150</v>
      </c>
      <c r="T513">
        <v>50</v>
      </c>
    </row>
    <row r="514" spans="1:20">
      <c r="A514" s="1">
        <v>46034</v>
      </c>
      <c r="B514">
        <v>15</v>
      </c>
      <c r="C514" t="s">
        <v>159</v>
      </c>
      <c r="D514" t="s">
        <v>128</v>
      </c>
      <c r="E514" s="6">
        <v>4976.0536000000002</v>
      </c>
      <c r="F514" s="6">
        <v>5040.1774999999998</v>
      </c>
      <c r="G514" s="6">
        <v>43.505000000000003</v>
      </c>
      <c r="H514" s="6"/>
      <c r="I514" s="6"/>
      <c r="J514" s="6"/>
      <c r="K514" s="2"/>
      <c r="L514" s="2"/>
      <c r="M514" s="2"/>
      <c r="N514" s="2"/>
      <c r="O514" s="2"/>
      <c r="P514" s="2"/>
      <c r="Q514" s="2" t="str">
        <f t="shared" ref="Q514:Q577" si="16">IF(COUNT(N514:O514)&lt;2,"",SQRT(N514^2+O514^2))</f>
        <v/>
      </c>
      <c r="R514" t="str">
        <f t="shared" ref="R514:R577" si="17">IF(COUNT(H514:P514)=0,"Sem leitura",IF(ISNUMBER(SEARCH("Escavação",D514)),IF(OR(Q514&gt;=40,ABS(P514)&gt;=15),"Alarme",IF(OR(Q514&gt;=IF(OR(ISNUMBER(SEARCH("Alçado AB",D514)),ISNUMBER(SEARCH("Alçado CD",D514)),ISNUMBER(SEARCH("Alçado BF",D514)),ISNUMBER(SEARCH("Alçado PQ",D514))),20,30),ABS(P514)&gt;=10),"Alerta","Regular")),IF(OR(Q514&gt;=25,ABS(P514)&gt;=20),"Alarme",IF(OR(Q514&gt;=15,ABS(P514)&gt;=10),"Alerta","Regular"))))</f>
        <v>Sem leitura</v>
      </c>
      <c r="S514" t="s">
        <v>150</v>
      </c>
      <c r="T514">
        <v>50</v>
      </c>
    </row>
    <row r="515" spans="1:20">
      <c r="A515" s="1">
        <v>46034</v>
      </c>
      <c r="B515">
        <v>15</v>
      </c>
      <c r="C515" t="s">
        <v>160</v>
      </c>
      <c r="D515" t="s">
        <v>128</v>
      </c>
      <c r="E515" s="6">
        <v>4976.0869000000002</v>
      </c>
      <c r="F515" s="6">
        <v>5040.6423000000004</v>
      </c>
      <c r="G515" s="6">
        <v>43.351300000000002</v>
      </c>
      <c r="H515" s="6">
        <v>4976.0864000000001</v>
      </c>
      <c r="I515" s="6">
        <v>5040.6408000000001</v>
      </c>
      <c r="J515" s="6">
        <v>43.352800000000002</v>
      </c>
      <c r="K515" s="2">
        <v>0.1</v>
      </c>
      <c r="L515" s="2">
        <v>0</v>
      </c>
      <c r="M515" s="2">
        <v>0</v>
      </c>
      <c r="N515" s="2">
        <v>-0.5</v>
      </c>
      <c r="O515" s="2">
        <v>-1.5</v>
      </c>
      <c r="P515" s="2">
        <v>1.5</v>
      </c>
      <c r="Q515" s="2">
        <f t="shared" si="16"/>
        <v>1.5811388300841898</v>
      </c>
      <c r="R515" t="str">
        <f t="shared" si="17"/>
        <v>Regular</v>
      </c>
      <c r="S515" t="s">
        <v>150</v>
      </c>
      <c r="T515">
        <v>50</v>
      </c>
    </row>
    <row r="516" spans="1:20">
      <c r="A516" s="1">
        <v>46034</v>
      </c>
      <c r="B516">
        <v>15</v>
      </c>
      <c r="C516" t="s">
        <v>168</v>
      </c>
      <c r="D516" t="s">
        <v>167</v>
      </c>
      <c r="E516" s="6">
        <v>5037.7052999999996</v>
      </c>
      <c r="F516" s="6">
        <v>5047.0955999999996</v>
      </c>
      <c r="G516" s="6">
        <v>42.919199999999996</v>
      </c>
      <c r="H516" s="6">
        <v>5037.7019</v>
      </c>
      <c r="I516" s="6">
        <v>5047.0959000000003</v>
      </c>
      <c r="J516" s="6">
        <v>42.92</v>
      </c>
      <c r="K516" s="2">
        <v>-0.2</v>
      </c>
      <c r="L516" s="2">
        <v>-0.2</v>
      </c>
      <c r="M516" s="2">
        <v>1.1000000000000001</v>
      </c>
      <c r="N516" s="2">
        <v>-3.4</v>
      </c>
      <c r="O516" s="2">
        <v>0.3</v>
      </c>
      <c r="P516" s="2">
        <v>0.8</v>
      </c>
      <c r="Q516" s="2">
        <f t="shared" si="16"/>
        <v>3.4132096331752022</v>
      </c>
      <c r="R516" t="str">
        <f t="shared" si="17"/>
        <v>Regular</v>
      </c>
      <c r="S516" t="s">
        <v>150</v>
      </c>
      <c r="T516">
        <v>50</v>
      </c>
    </row>
    <row r="517" spans="1:20">
      <c r="A517" s="1">
        <v>46034</v>
      </c>
      <c r="B517">
        <v>15</v>
      </c>
      <c r="C517" t="s">
        <v>155</v>
      </c>
      <c r="D517" t="s">
        <v>156</v>
      </c>
      <c r="E517" s="6">
        <v>4980.2689</v>
      </c>
      <c r="F517" s="6">
        <v>5031.7997999999998</v>
      </c>
      <c r="G517" s="6">
        <v>48.331200000000003</v>
      </c>
      <c r="H517" s="6">
        <v>4980.2696999999998</v>
      </c>
      <c r="I517" s="6">
        <v>5031.7987000000003</v>
      </c>
      <c r="J517" s="6">
        <v>48.332000000000001</v>
      </c>
      <c r="K517" s="2">
        <v>0.1</v>
      </c>
      <c r="L517" s="2">
        <v>0</v>
      </c>
      <c r="M517" s="2">
        <v>0.2</v>
      </c>
      <c r="N517" s="2">
        <v>0.8</v>
      </c>
      <c r="O517" s="2">
        <v>-1.1000000000000001</v>
      </c>
      <c r="P517" s="2">
        <v>0.8</v>
      </c>
      <c r="Q517" s="2">
        <f t="shared" si="16"/>
        <v>1.3601470508735445</v>
      </c>
      <c r="R517" t="str">
        <f t="shared" si="17"/>
        <v>Regular</v>
      </c>
      <c r="S517" t="s">
        <v>150</v>
      </c>
      <c r="T517">
        <v>50</v>
      </c>
    </row>
    <row r="518" spans="1:20">
      <c r="A518" s="1">
        <v>46034</v>
      </c>
      <c r="B518">
        <v>15</v>
      </c>
      <c r="C518" t="s">
        <v>153</v>
      </c>
      <c r="D518" t="s">
        <v>120</v>
      </c>
      <c r="E518" s="6">
        <v>5017.2718999999997</v>
      </c>
      <c r="F518" s="6">
        <v>5018.1959999999999</v>
      </c>
      <c r="G518" s="6">
        <v>43.055799999999998</v>
      </c>
      <c r="H518" s="6">
        <v>5017.2716</v>
      </c>
      <c r="I518" s="6">
        <v>5018.2</v>
      </c>
      <c r="J518" s="6">
        <v>43.056399999999996</v>
      </c>
      <c r="K518" s="2">
        <v>-0.1</v>
      </c>
      <c r="L518" s="2">
        <v>0.9</v>
      </c>
      <c r="M518" s="2">
        <v>0.3</v>
      </c>
      <c r="N518" s="2">
        <v>-0.3</v>
      </c>
      <c r="O518" s="2">
        <v>4</v>
      </c>
      <c r="P518" s="2">
        <v>0.6</v>
      </c>
      <c r="Q518" s="2">
        <f t="shared" si="16"/>
        <v>4.0112342240263157</v>
      </c>
      <c r="R518" t="str">
        <f t="shared" si="17"/>
        <v>Regular</v>
      </c>
      <c r="S518" t="s">
        <v>150</v>
      </c>
      <c r="T518">
        <v>50</v>
      </c>
    </row>
    <row r="519" spans="1:20">
      <c r="A519" s="1">
        <v>46034</v>
      </c>
      <c r="B519">
        <v>15</v>
      </c>
      <c r="C519" t="s">
        <v>157</v>
      </c>
      <c r="D519" t="s">
        <v>156</v>
      </c>
      <c r="E519" s="6">
        <v>4980.6113999999998</v>
      </c>
      <c r="F519" s="6">
        <v>5031.9393</v>
      </c>
      <c r="G519" s="6">
        <v>42.979900000000001</v>
      </c>
      <c r="H519" s="6"/>
      <c r="I519" s="6"/>
      <c r="J519" s="6"/>
      <c r="K519" s="2"/>
      <c r="L519" s="2"/>
      <c r="M519" s="2"/>
      <c r="N519" s="2"/>
      <c r="O519" s="2"/>
      <c r="P519" s="2"/>
      <c r="Q519" s="2" t="str">
        <f t="shared" si="16"/>
        <v/>
      </c>
      <c r="R519" t="str">
        <f t="shared" si="17"/>
        <v>Sem leitura</v>
      </c>
      <c r="S519" t="s">
        <v>150</v>
      </c>
      <c r="T519">
        <v>50</v>
      </c>
    </row>
    <row r="520" spans="1:20">
      <c r="A520" s="1">
        <v>46034</v>
      </c>
      <c r="B520">
        <v>15</v>
      </c>
      <c r="C520" t="s">
        <v>161</v>
      </c>
      <c r="D520" t="s">
        <v>130</v>
      </c>
      <c r="E520" s="6">
        <v>4988.3298000000004</v>
      </c>
      <c r="F520" s="6">
        <v>5045.2532000000001</v>
      </c>
      <c r="G520" s="6">
        <v>42.8264</v>
      </c>
      <c r="H520" s="6">
        <v>4988.3303999999998</v>
      </c>
      <c r="I520" s="6">
        <v>5045.2520000000004</v>
      </c>
      <c r="J520" s="6">
        <v>42.826599999999999</v>
      </c>
      <c r="K520" s="2">
        <v>0.6</v>
      </c>
      <c r="L520" s="2">
        <v>-1.2</v>
      </c>
      <c r="M520" s="2">
        <v>0.2</v>
      </c>
      <c r="N520" s="2">
        <v>0.6</v>
      </c>
      <c r="O520" s="2">
        <v>-1.2</v>
      </c>
      <c r="P520" s="2">
        <v>0.2</v>
      </c>
      <c r="Q520" s="2">
        <f t="shared" si="16"/>
        <v>1.3416407864998738</v>
      </c>
      <c r="R520" t="str">
        <f t="shared" si="17"/>
        <v>Regular</v>
      </c>
      <c r="S520" t="s">
        <v>150</v>
      </c>
      <c r="T520">
        <v>50</v>
      </c>
    </row>
    <row r="521" spans="1:20">
      <c r="A521" s="1">
        <v>46034</v>
      </c>
      <c r="B521">
        <v>15</v>
      </c>
      <c r="C521" t="s">
        <v>162</v>
      </c>
      <c r="D521" t="s">
        <v>130</v>
      </c>
      <c r="E521" s="6">
        <v>4998.6503000000002</v>
      </c>
      <c r="F521" s="6">
        <v>5043.7455</v>
      </c>
      <c r="G521" s="6">
        <v>42.848300000000002</v>
      </c>
      <c r="H521" s="6">
        <v>4998.6505999999999</v>
      </c>
      <c r="I521" s="6">
        <v>5043.7438000000002</v>
      </c>
      <c r="J521" s="6">
        <v>42.8491</v>
      </c>
      <c r="K521" s="2">
        <v>0.3</v>
      </c>
      <c r="L521" s="2">
        <v>-1.7</v>
      </c>
      <c r="M521" s="2">
        <v>0.8</v>
      </c>
      <c r="N521" s="2">
        <v>0.3</v>
      </c>
      <c r="O521" s="2">
        <v>-1.7</v>
      </c>
      <c r="P521" s="2">
        <v>0.8</v>
      </c>
      <c r="Q521" s="2">
        <f t="shared" si="16"/>
        <v>1.7262676501632068</v>
      </c>
      <c r="R521" t="str">
        <f t="shared" si="17"/>
        <v>Regular</v>
      </c>
      <c r="S521" t="s">
        <v>150</v>
      </c>
      <c r="T521">
        <v>50</v>
      </c>
    </row>
    <row r="522" spans="1:20">
      <c r="A522" s="1">
        <v>46034</v>
      </c>
      <c r="B522">
        <v>15</v>
      </c>
      <c r="C522" t="s">
        <v>165</v>
      </c>
      <c r="D522" t="s">
        <v>136</v>
      </c>
      <c r="E522" s="6">
        <v>5026.6471000000001</v>
      </c>
      <c r="F522" s="6">
        <v>5071.8581999999997</v>
      </c>
      <c r="G522" s="6">
        <v>41.8752</v>
      </c>
      <c r="H522" s="6">
        <v>5026.6469999999999</v>
      </c>
      <c r="I522" s="6">
        <v>5071.8577999999998</v>
      </c>
      <c r="J522" s="6">
        <v>41.876399999999997</v>
      </c>
      <c r="K522" s="2">
        <v>-0.1</v>
      </c>
      <c r="L522" s="2">
        <v>-0.4</v>
      </c>
      <c r="M522" s="2">
        <v>1.2</v>
      </c>
      <c r="N522" s="2">
        <v>-0.1</v>
      </c>
      <c r="O522" s="2">
        <v>-0.4</v>
      </c>
      <c r="P522" s="2">
        <v>1.2</v>
      </c>
      <c r="Q522" s="2">
        <f t="shared" si="16"/>
        <v>0.41231056256176613</v>
      </c>
      <c r="R522" t="str">
        <f t="shared" si="17"/>
        <v>Regular</v>
      </c>
      <c r="S522" t="s">
        <v>150</v>
      </c>
      <c r="T522">
        <v>50</v>
      </c>
    </row>
    <row r="523" spans="1:20">
      <c r="A523" s="1">
        <v>46034</v>
      </c>
      <c r="B523">
        <v>15</v>
      </c>
      <c r="C523" t="s">
        <v>158</v>
      </c>
      <c r="D523" t="s">
        <v>156</v>
      </c>
      <c r="E523" s="6">
        <v>4980.5802999999996</v>
      </c>
      <c r="F523" s="6">
        <v>5031.6513999999997</v>
      </c>
      <c r="G523" s="6">
        <v>42.887999999999998</v>
      </c>
      <c r="H523" s="6">
        <v>4980.5802999999996</v>
      </c>
      <c r="I523" s="6">
        <v>5031.6513999999997</v>
      </c>
      <c r="J523" s="6">
        <v>42.887999999999998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f t="shared" si="16"/>
        <v>0</v>
      </c>
      <c r="R523" t="str">
        <f t="shared" si="17"/>
        <v>Regular</v>
      </c>
      <c r="S523" t="s">
        <v>150</v>
      </c>
      <c r="T523">
        <v>50</v>
      </c>
    </row>
    <row r="524" spans="1:20">
      <c r="A524" s="1">
        <v>46041</v>
      </c>
      <c r="B524">
        <v>0</v>
      </c>
      <c r="C524" t="s">
        <v>171</v>
      </c>
      <c r="D524" t="s">
        <v>123</v>
      </c>
      <c r="E524" s="6">
        <v>4982.7381999999998</v>
      </c>
      <c r="F524" s="6">
        <v>5028.3501999999999</v>
      </c>
      <c r="G524" s="6">
        <v>42.705800000000004</v>
      </c>
      <c r="H524" s="6">
        <v>4982.7381999999998</v>
      </c>
      <c r="I524" s="6">
        <v>5028.3501999999999</v>
      </c>
      <c r="J524" s="6">
        <v>42.705800000000004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f t="shared" si="16"/>
        <v>0</v>
      </c>
      <c r="R524" t="str">
        <f t="shared" si="17"/>
        <v>Regular</v>
      </c>
      <c r="S524" t="s">
        <v>172</v>
      </c>
      <c r="T524">
        <v>50</v>
      </c>
    </row>
    <row r="525" spans="1:20">
      <c r="A525" s="1">
        <v>46048</v>
      </c>
      <c r="B525">
        <v>0</v>
      </c>
      <c r="C525" t="s">
        <v>173</v>
      </c>
      <c r="D525" t="s">
        <v>123</v>
      </c>
      <c r="E525" s="6">
        <v>4982.2178000000004</v>
      </c>
      <c r="F525" s="6">
        <v>5028.4342999999999</v>
      </c>
      <c r="G525" s="6">
        <v>39.473500000000001</v>
      </c>
      <c r="H525" s="6">
        <v>4982.2178000000004</v>
      </c>
      <c r="I525" s="6">
        <v>5028.4342999999999</v>
      </c>
      <c r="J525" s="6">
        <v>39.473500000000001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f t="shared" si="16"/>
        <v>0</v>
      </c>
      <c r="R525" t="str">
        <f t="shared" si="17"/>
        <v>Regular</v>
      </c>
      <c r="S525" t="s">
        <v>174</v>
      </c>
      <c r="T525">
        <v>50</v>
      </c>
    </row>
    <row r="526" spans="1:20">
      <c r="A526" s="1">
        <v>46048</v>
      </c>
      <c r="B526">
        <v>0</v>
      </c>
      <c r="C526" t="s">
        <v>175</v>
      </c>
      <c r="D526" t="s">
        <v>156</v>
      </c>
      <c r="E526" s="6">
        <v>4980.7398999999996</v>
      </c>
      <c r="F526" s="6">
        <v>5032.9142000000002</v>
      </c>
      <c r="G526" s="6">
        <v>39.535899999999998</v>
      </c>
      <c r="H526" s="6">
        <v>4980.7398999999996</v>
      </c>
      <c r="I526" s="6">
        <v>5032.9142000000002</v>
      </c>
      <c r="J526" s="6">
        <v>39.535899999999998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f t="shared" si="16"/>
        <v>0</v>
      </c>
      <c r="R526" t="str">
        <f t="shared" si="17"/>
        <v>Regular</v>
      </c>
      <c r="S526" t="s">
        <v>174</v>
      </c>
      <c r="T526">
        <v>50</v>
      </c>
    </row>
    <row r="527" spans="1:20">
      <c r="A527" s="1">
        <v>46048</v>
      </c>
      <c r="B527">
        <v>0</v>
      </c>
      <c r="C527" t="s">
        <v>176</v>
      </c>
      <c r="D527" t="s">
        <v>128</v>
      </c>
      <c r="E527" s="6">
        <v>4974.8552</v>
      </c>
      <c r="F527" s="6">
        <v>5040.1602999999996</v>
      </c>
      <c r="G527" s="6">
        <v>39.188800000000001</v>
      </c>
      <c r="H527" s="6">
        <v>4974.8552</v>
      </c>
      <c r="I527" s="6">
        <v>5040.1602999999996</v>
      </c>
      <c r="J527" s="6">
        <v>39.188800000000001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f t="shared" si="16"/>
        <v>0</v>
      </c>
      <c r="R527" t="str">
        <f t="shared" si="17"/>
        <v>Regular</v>
      </c>
      <c r="S527" t="s">
        <v>174</v>
      </c>
      <c r="T527">
        <v>50</v>
      </c>
    </row>
    <row r="528" spans="1:20">
      <c r="A528" s="1">
        <v>46048</v>
      </c>
      <c r="B528">
        <v>0</v>
      </c>
      <c r="C528" t="s">
        <v>177</v>
      </c>
      <c r="D528" t="s">
        <v>130</v>
      </c>
      <c r="E528" s="6">
        <v>4988.0146000000004</v>
      </c>
      <c r="F528" s="6">
        <v>5045.2892000000002</v>
      </c>
      <c r="G528" s="6">
        <v>39.487099999999998</v>
      </c>
      <c r="H528" s="6">
        <v>4988.0146000000004</v>
      </c>
      <c r="I528" s="6">
        <v>5045.2892000000002</v>
      </c>
      <c r="J528" s="6">
        <v>39.487099999999998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f t="shared" si="16"/>
        <v>0</v>
      </c>
      <c r="R528" t="str">
        <f t="shared" si="17"/>
        <v>Regular</v>
      </c>
      <c r="S528" t="s">
        <v>174</v>
      </c>
      <c r="T528">
        <v>50</v>
      </c>
    </row>
    <row r="529" spans="1:20">
      <c r="A529" s="1">
        <v>46048</v>
      </c>
      <c r="B529">
        <v>0</v>
      </c>
      <c r="C529" t="s">
        <v>178</v>
      </c>
      <c r="D529" t="s">
        <v>130</v>
      </c>
      <c r="E529" s="6">
        <v>4998.3825999999999</v>
      </c>
      <c r="F529" s="6">
        <v>5043.7443999999996</v>
      </c>
      <c r="G529" s="6">
        <v>39.476599999999998</v>
      </c>
      <c r="H529" s="6">
        <v>4998.3825999999999</v>
      </c>
      <c r="I529" s="6">
        <v>5043.7443999999996</v>
      </c>
      <c r="J529" s="6">
        <v>39.476599999999998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f t="shared" si="16"/>
        <v>0</v>
      </c>
      <c r="R529" t="str">
        <f t="shared" si="17"/>
        <v>Regular</v>
      </c>
      <c r="S529" t="s">
        <v>174</v>
      </c>
      <c r="T529">
        <v>50</v>
      </c>
    </row>
    <row r="530" spans="1:20">
      <c r="A530" s="1">
        <v>46048</v>
      </c>
      <c r="B530">
        <v>0</v>
      </c>
      <c r="C530" t="s">
        <v>179</v>
      </c>
      <c r="D530" t="s">
        <v>134</v>
      </c>
      <c r="E530" s="6">
        <v>5011.4696000000004</v>
      </c>
      <c r="F530" s="6">
        <v>5051.8035</v>
      </c>
      <c r="G530" s="6">
        <v>48.342599999999997</v>
      </c>
      <c r="H530" s="6">
        <v>5011.4696000000004</v>
      </c>
      <c r="I530" s="6">
        <v>5051.8035</v>
      </c>
      <c r="J530" s="6">
        <v>48.342599999999997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f t="shared" si="16"/>
        <v>0</v>
      </c>
      <c r="R530" t="str">
        <f t="shared" si="17"/>
        <v>Regular</v>
      </c>
      <c r="S530" t="s">
        <v>174</v>
      </c>
      <c r="T530">
        <v>50</v>
      </c>
    </row>
    <row r="531" spans="1:20">
      <c r="A531" s="1">
        <v>46048</v>
      </c>
      <c r="B531">
        <v>0</v>
      </c>
      <c r="C531" t="s">
        <v>180</v>
      </c>
      <c r="D531" t="s">
        <v>134</v>
      </c>
      <c r="E531" s="6">
        <v>5013.4205000000002</v>
      </c>
      <c r="F531" s="6">
        <v>5061.5536000000002</v>
      </c>
      <c r="G531" s="6">
        <v>47.226599999999998</v>
      </c>
      <c r="H531" s="6">
        <v>5013.4205000000002</v>
      </c>
      <c r="I531" s="6">
        <v>5061.5536000000002</v>
      </c>
      <c r="J531" s="6">
        <v>47.226599999999998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f t="shared" si="16"/>
        <v>0</v>
      </c>
      <c r="R531" t="str">
        <f t="shared" si="17"/>
        <v>Regular</v>
      </c>
      <c r="S531" t="s">
        <v>174</v>
      </c>
      <c r="T531">
        <v>50</v>
      </c>
    </row>
    <row r="532" spans="1:20">
      <c r="A532" s="1">
        <v>46055</v>
      </c>
      <c r="B532">
        <v>0</v>
      </c>
      <c r="C532" t="s">
        <v>181</v>
      </c>
      <c r="D532" t="s">
        <v>134</v>
      </c>
      <c r="E532" s="6">
        <v>5012.2750999999998</v>
      </c>
      <c r="F532" s="6">
        <v>5056.5322999999999</v>
      </c>
      <c r="G532" s="6">
        <v>42.882899999999999</v>
      </c>
      <c r="H532" s="6">
        <v>5012.2750999999998</v>
      </c>
      <c r="I532" s="6">
        <v>5056.5322999999999</v>
      </c>
      <c r="J532" s="6">
        <v>42.882899999999999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f t="shared" si="16"/>
        <v>0</v>
      </c>
      <c r="R532" t="str">
        <f t="shared" si="17"/>
        <v>Regular</v>
      </c>
      <c r="S532" t="s">
        <v>182</v>
      </c>
      <c r="T532">
        <v>50</v>
      </c>
    </row>
    <row r="533" spans="1:20">
      <c r="A533" s="1">
        <v>46055</v>
      </c>
      <c r="B533">
        <v>0</v>
      </c>
      <c r="C533" t="s">
        <v>183</v>
      </c>
      <c r="D533" t="s">
        <v>134</v>
      </c>
      <c r="E533" s="6">
        <v>5013.3993</v>
      </c>
      <c r="F533" s="6">
        <v>5061.4317000000001</v>
      </c>
      <c r="G533" s="6">
        <v>42.942900000000002</v>
      </c>
      <c r="H533" s="6">
        <v>5013.3993</v>
      </c>
      <c r="I533" s="6">
        <v>5061.4317000000001</v>
      </c>
      <c r="J533" s="6">
        <v>42.942900000000002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f t="shared" si="16"/>
        <v>0</v>
      </c>
      <c r="R533" t="str">
        <f t="shared" si="17"/>
        <v>Regular</v>
      </c>
      <c r="S533" t="s">
        <v>182</v>
      </c>
      <c r="T533">
        <v>50</v>
      </c>
    </row>
    <row r="534" spans="1:20">
      <c r="A534" s="1">
        <v>46058</v>
      </c>
      <c r="B534">
        <v>0</v>
      </c>
      <c r="C534" t="s">
        <v>184</v>
      </c>
      <c r="D534" t="s">
        <v>136</v>
      </c>
      <c r="E534" s="6">
        <v>5028.1935999999996</v>
      </c>
      <c r="F534" s="6">
        <v>5072.4179999999997</v>
      </c>
      <c r="G534" s="6">
        <v>38.6631</v>
      </c>
      <c r="H534" s="6">
        <v>5028.1935999999996</v>
      </c>
      <c r="I534" s="6">
        <v>5072.4179999999997</v>
      </c>
      <c r="J534" s="6">
        <v>38.6631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f t="shared" si="16"/>
        <v>0</v>
      </c>
      <c r="R534" t="str">
        <f t="shared" si="17"/>
        <v>Regular</v>
      </c>
      <c r="S534" t="s">
        <v>185</v>
      </c>
      <c r="T534">
        <v>51</v>
      </c>
    </row>
    <row r="535" spans="1:20">
      <c r="A535" s="1">
        <v>46058</v>
      </c>
      <c r="B535">
        <v>0</v>
      </c>
      <c r="C535" t="s">
        <v>186</v>
      </c>
      <c r="D535" t="s">
        <v>187</v>
      </c>
      <c r="E535" s="6">
        <v>5041.9035000000003</v>
      </c>
      <c r="F535" s="6">
        <v>5069.2084000000004</v>
      </c>
      <c r="G535" s="6">
        <v>52.914200000000001</v>
      </c>
      <c r="H535" s="6">
        <v>5041.9035000000003</v>
      </c>
      <c r="I535" s="6">
        <v>5069.2084000000004</v>
      </c>
      <c r="J535" s="6">
        <v>52.914200000000001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f t="shared" si="16"/>
        <v>0</v>
      </c>
      <c r="R535" t="str">
        <f t="shared" si="17"/>
        <v>Regular</v>
      </c>
      <c r="S535" t="s">
        <v>185</v>
      </c>
      <c r="T535">
        <v>51</v>
      </c>
    </row>
    <row r="536" spans="1:20">
      <c r="A536" s="1">
        <v>46041</v>
      </c>
      <c r="B536">
        <v>21</v>
      </c>
      <c r="C536" t="s">
        <v>69</v>
      </c>
      <c r="D536" t="s">
        <v>70</v>
      </c>
      <c r="E536" s="6">
        <v>4990.9656999999997</v>
      </c>
      <c r="F536" s="6">
        <v>5053.7449999999999</v>
      </c>
      <c r="G536" s="6">
        <v>60.553600000000003</v>
      </c>
      <c r="H536" s="6">
        <v>4990.9840999999997</v>
      </c>
      <c r="I536" s="6">
        <v>5053.7092000000002</v>
      </c>
      <c r="J536" s="6">
        <v>60.545200000000001</v>
      </c>
      <c r="K536" s="2">
        <v>3.1</v>
      </c>
      <c r="L536" s="2">
        <v>-5.3</v>
      </c>
      <c r="M536" s="2">
        <v>-2.7</v>
      </c>
      <c r="N536" s="2">
        <v>18.399999999999999</v>
      </c>
      <c r="O536" s="2">
        <v>-35.799999999999997</v>
      </c>
      <c r="P536" s="2">
        <v>-8.4</v>
      </c>
      <c r="Q536" s="2">
        <f t="shared" si="16"/>
        <v>40.251708038293231</v>
      </c>
      <c r="R536" t="str">
        <f t="shared" si="17"/>
        <v>Alarme</v>
      </c>
      <c r="S536" t="s">
        <v>172</v>
      </c>
      <c r="T536">
        <v>19</v>
      </c>
    </row>
    <row r="537" spans="1:20">
      <c r="A537" s="1">
        <v>46041</v>
      </c>
      <c r="B537">
        <v>21</v>
      </c>
      <c r="C537" t="s">
        <v>75</v>
      </c>
      <c r="D537" t="s">
        <v>70</v>
      </c>
      <c r="E537" s="6">
        <v>4990.9760999999999</v>
      </c>
      <c r="F537" s="6">
        <v>5053.7455</v>
      </c>
      <c r="G537" s="6">
        <v>59.095199999999998</v>
      </c>
      <c r="H537" s="6">
        <v>4990.9924000000001</v>
      </c>
      <c r="I537" s="6">
        <v>5053.7111000000004</v>
      </c>
      <c r="J537" s="6">
        <v>59.088299999999997</v>
      </c>
      <c r="K537" s="2">
        <v>2</v>
      </c>
      <c r="L537" s="2">
        <v>-4.8</v>
      </c>
      <c r="M537" s="2">
        <v>-3.4</v>
      </c>
      <c r="N537" s="2">
        <v>16.3</v>
      </c>
      <c r="O537" s="2">
        <v>-34.4</v>
      </c>
      <c r="P537" s="2">
        <v>-6.9</v>
      </c>
      <c r="Q537" s="2">
        <f t="shared" si="16"/>
        <v>38.066389374354905</v>
      </c>
      <c r="R537" t="str">
        <f t="shared" si="17"/>
        <v>Alarme</v>
      </c>
      <c r="S537" t="s">
        <v>172</v>
      </c>
      <c r="T537">
        <v>19</v>
      </c>
    </row>
    <row r="538" spans="1:20">
      <c r="A538" s="1">
        <v>46041</v>
      </c>
      <c r="B538">
        <v>21</v>
      </c>
      <c r="C538" t="s">
        <v>76</v>
      </c>
      <c r="D538" t="s">
        <v>70</v>
      </c>
      <c r="E538" s="6">
        <v>5001.0812999999998</v>
      </c>
      <c r="F538" s="6">
        <v>5053.5291999999999</v>
      </c>
      <c r="G538" s="6">
        <v>60.621899999999997</v>
      </c>
      <c r="H538" s="6">
        <v>5001.1028999999999</v>
      </c>
      <c r="I538" s="6">
        <v>5053.4885999999997</v>
      </c>
      <c r="J538" s="6">
        <v>60.601399999999998</v>
      </c>
      <c r="K538" s="2">
        <v>1.7</v>
      </c>
      <c r="L538" s="2">
        <v>-5</v>
      </c>
      <c r="M538" s="2">
        <v>-3.9</v>
      </c>
      <c r="N538" s="2">
        <v>21.6</v>
      </c>
      <c r="O538" s="2">
        <v>-40.6</v>
      </c>
      <c r="P538" s="2">
        <v>-20.5</v>
      </c>
      <c r="Q538" s="2">
        <f t="shared" si="16"/>
        <v>45.988259371278666</v>
      </c>
      <c r="R538" t="str">
        <f t="shared" si="17"/>
        <v>Alarme</v>
      </c>
      <c r="S538" t="s">
        <v>172</v>
      </c>
      <c r="T538">
        <v>19</v>
      </c>
    </row>
    <row r="539" spans="1:20">
      <c r="A539" s="1">
        <v>46041</v>
      </c>
      <c r="B539">
        <v>21</v>
      </c>
      <c r="C539" t="s">
        <v>77</v>
      </c>
      <c r="D539" t="s">
        <v>70</v>
      </c>
      <c r="E539" s="6">
        <v>5001.0428000000002</v>
      </c>
      <c r="F539" s="6">
        <v>5053.5321999999996</v>
      </c>
      <c r="G539" s="6">
        <v>58.677799999999998</v>
      </c>
      <c r="H539" s="6">
        <v>5001.0636000000004</v>
      </c>
      <c r="I539" s="6">
        <v>5053.4934000000003</v>
      </c>
      <c r="J539" s="6">
        <v>58.657299999999999</v>
      </c>
      <c r="K539" s="2">
        <v>1.1000000000000001</v>
      </c>
      <c r="L539" s="2">
        <v>-4.7</v>
      </c>
      <c r="M539" s="2">
        <v>-3.7</v>
      </c>
      <c r="N539" s="2">
        <v>20.8</v>
      </c>
      <c r="O539" s="2">
        <v>-38.799999999999997</v>
      </c>
      <c r="P539" s="2">
        <v>-20.5</v>
      </c>
      <c r="Q539" s="2">
        <f t="shared" si="16"/>
        <v>44.023630018434417</v>
      </c>
      <c r="R539" t="str">
        <f t="shared" si="17"/>
        <v>Alarme</v>
      </c>
      <c r="S539" t="s">
        <v>172</v>
      </c>
      <c r="T539">
        <v>19</v>
      </c>
    </row>
    <row r="540" spans="1:20">
      <c r="A540" s="1">
        <v>46041</v>
      </c>
      <c r="B540">
        <v>21</v>
      </c>
      <c r="C540" t="s">
        <v>78</v>
      </c>
      <c r="D540" t="s">
        <v>70</v>
      </c>
      <c r="E540" s="6">
        <v>5005.4017999999996</v>
      </c>
      <c r="F540" s="6">
        <v>5054.5141000000003</v>
      </c>
      <c r="G540" s="6">
        <v>60.181899999999999</v>
      </c>
      <c r="H540" s="6"/>
      <c r="I540" s="6"/>
      <c r="J540" s="6"/>
      <c r="K540" s="2"/>
      <c r="L540" s="2"/>
      <c r="M540" s="2"/>
      <c r="N540" s="2"/>
      <c r="O540" s="2"/>
      <c r="P540" s="2"/>
      <c r="Q540" s="2" t="str">
        <f t="shared" si="16"/>
        <v/>
      </c>
      <c r="R540" t="str">
        <f t="shared" si="17"/>
        <v>Sem leitura</v>
      </c>
      <c r="S540" t="s">
        <v>172</v>
      </c>
      <c r="T540">
        <v>19</v>
      </c>
    </row>
    <row r="541" spans="1:20">
      <c r="A541" s="1">
        <v>46041</v>
      </c>
      <c r="B541">
        <v>21</v>
      </c>
      <c r="C541" t="s">
        <v>80</v>
      </c>
      <c r="D541" t="s">
        <v>70</v>
      </c>
      <c r="E541" s="6">
        <v>5005.4050999999999</v>
      </c>
      <c r="F541" s="6">
        <v>5054.5766999999996</v>
      </c>
      <c r="G541" s="6">
        <v>58.646999999999998</v>
      </c>
      <c r="H541" s="6"/>
      <c r="I541" s="6"/>
      <c r="J541" s="6"/>
      <c r="K541" s="2"/>
      <c r="L541" s="2"/>
      <c r="M541" s="2"/>
      <c r="N541" s="2"/>
      <c r="O541" s="2"/>
      <c r="P541" s="2"/>
      <c r="Q541" s="2" t="str">
        <f t="shared" si="16"/>
        <v/>
      </c>
      <c r="R541" t="str">
        <f t="shared" si="17"/>
        <v>Sem leitura</v>
      </c>
      <c r="S541" t="s">
        <v>172</v>
      </c>
      <c r="T541">
        <v>19</v>
      </c>
    </row>
    <row r="542" spans="1:20">
      <c r="A542" s="1">
        <v>46041</v>
      </c>
      <c r="B542">
        <v>21</v>
      </c>
      <c r="C542" t="s">
        <v>81</v>
      </c>
      <c r="D542" t="s">
        <v>70</v>
      </c>
      <c r="E542" s="6">
        <v>5005.8755000000001</v>
      </c>
      <c r="F542" s="6">
        <v>5063.3173999999999</v>
      </c>
      <c r="G542" s="6">
        <v>60.481099999999998</v>
      </c>
      <c r="H542" s="6"/>
      <c r="I542" s="6"/>
      <c r="J542" s="6"/>
      <c r="K542" s="2"/>
      <c r="L542" s="2"/>
      <c r="M542" s="2"/>
      <c r="N542" s="2"/>
      <c r="O542" s="2"/>
      <c r="P542" s="2"/>
      <c r="Q542" s="2" t="str">
        <f t="shared" si="16"/>
        <v/>
      </c>
      <c r="R542" t="str">
        <f t="shared" si="17"/>
        <v>Sem leitura</v>
      </c>
      <c r="S542" t="s">
        <v>172</v>
      </c>
      <c r="T542">
        <v>19</v>
      </c>
    </row>
    <row r="543" spans="1:20">
      <c r="A543" s="1">
        <v>46041</v>
      </c>
      <c r="B543">
        <v>21</v>
      </c>
      <c r="C543" t="s">
        <v>82</v>
      </c>
      <c r="D543" t="s">
        <v>70</v>
      </c>
      <c r="E543" s="6">
        <v>5005.8838999999998</v>
      </c>
      <c r="F543" s="6">
        <v>5063.7007999999996</v>
      </c>
      <c r="G543" s="6">
        <v>59.329300000000003</v>
      </c>
      <c r="H543" s="6"/>
      <c r="I543" s="6"/>
      <c r="J543" s="6"/>
      <c r="K543" s="2"/>
      <c r="L543" s="2"/>
      <c r="M543" s="2"/>
      <c r="N543" s="2"/>
      <c r="O543" s="2"/>
      <c r="P543" s="2"/>
      <c r="Q543" s="2" t="str">
        <f t="shared" si="16"/>
        <v/>
      </c>
      <c r="R543" t="str">
        <f t="shared" si="17"/>
        <v>Sem leitura</v>
      </c>
      <c r="S543" t="s">
        <v>172</v>
      </c>
      <c r="T543">
        <v>19</v>
      </c>
    </row>
    <row r="544" spans="1:20">
      <c r="A544" s="1">
        <v>46041</v>
      </c>
      <c r="B544">
        <v>21</v>
      </c>
      <c r="C544" t="s">
        <v>83</v>
      </c>
      <c r="D544" t="s">
        <v>84</v>
      </c>
      <c r="E544" s="6">
        <v>5055.3705</v>
      </c>
      <c r="F544" s="6">
        <v>5037.6908000000003</v>
      </c>
      <c r="G544" s="6">
        <v>55.834499999999998</v>
      </c>
      <c r="H544" s="6">
        <v>5055.3557000000001</v>
      </c>
      <c r="I544" s="6">
        <v>5037.6926000000003</v>
      </c>
      <c r="J544" s="6">
        <v>55.837400000000002</v>
      </c>
      <c r="K544" s="2">
        <v>-0.9</v>
      </c>
      <c r="L544" s="2">
        <v>1.7</v>
      </c>
      <c r="M544" s="2">
        <v>0.4</v>
      </c>
      <c r="N544" s="2">
        <v>-14.8</v>
      </c>
      <c r="O544" s="2">
        <v>1.8</v>
      </c>
      <c r="P544" s="2">
        <v>2.9</v>
      </c>
      <c r="Q544" s="2">
        <f t="shared" si="16"/>
        <v>14.909057649630309</v>
      </c>
      <c r="R544" t="str">
        <f t="shared" si="17"/>
        <v>Regular</v>
      </c>
      <c r="S544" t="s">
        <v>172</v>
      </c>
      <c r="T544">
        <v>19</v>
      </c>
    </row>
    <row r="545" spans="1:20">
      <c r="A545" s="1">
        <v>46041</v>
      </c>
      <c r="B545">
        <v>21</v>
      </c>
      <c r="C545" t="s">
        <v>85</v>
      </c>
      <c r="D545" t="s">
        <v>84</v>
      </c>
      <c r="E545" s="6">
        <v>5055.3611000000001</v>
      </c>
      <c r="F545" s="6">
        <v>5037.652</v>
      </c>
      <c r="G545" s="6">
        <v>53.920200000000001</v>
      </c>
      <c r="H545" s="6">
        <v>5055.3478999999998</v>
      </c>
      <c r="I545" s="6">
        <v>5037.6504999999997</v>
      </c>
      <c r="J545" s="6">
        <v>53.923699999999997</v>
      </c>
      <c r="K545" s="2">
        <v>-0.8</v>
      </c>
      <c r="L545" s="2">
        <v>1.3</v>
      </c>
      <c r="M545" s="2">
        <v>0.5</v>
      </c>
      <c r="N545" s="2">
        <v>-13.2</v>
      </c>
      <c r="O545" s="2">
        <v>-1.5</v>
      </c>
      <c r="P545" s="2">
        <v>3.5</v>
      </c>
      <c r="Q545" s="2">
        <f t="shared" si="16"/>
        <v>13.284953895290716</v>
      </c>
      <c r="R545" t="str">
        <f t="shared" si="17"/>
        <v>Regular</v>
      </c>
      <c r="S545" t="s">
        <v>172</v>
      </c>
      <c r="T545">
        <v>19</v>
      </c>
    </row>
    <row r="546" spans="1:20">
      <c r="A546" s="1">
        <v>46041</v>
      </c>
      <c r="B546">
        <v>21</v>
      </c>
      <c r="C546" t="s">
        <v>86</v>
      </c>
      <c r="D546" t="s">
        <v>84</v>
      </c>
      <c r="E546" s="6">
        <v>5053.1266999999998</v>
      </c>
      <c r="F546" s="6">
        <v>5028.5694000000003</v>
      </c>
      <c r="G546" s="6">
        <v>55.876899999999999</v>
      </c>
      <c r="H546" s="6">
        <v>5053.1130000000003</v>
      </c>
      <c r="I546" s="6">
        <v>5028.5722999999998</v>
      </c>
      <c r="J546" s="6">
        <v>55.879600000000003</v>
      </c>
      <c r="K546" s="2">
        <v>-0.6</v>
      </c>
      <c r="L546" s="2">
        <v>1.7</v>
      </c>
      <c r="M546" s="2">
        <v>0.6</v>
      </c>
      <c r="N546" s="2">
        <v>-13.7</v>
      </c>
      <c r="O546" s="2">
        <v>2.9</v>
      </c>
      <c r="P546" s="2">
        <v>2.7</v>
      </c>
      <c r="Q546" s="2">
        <f t="shared" si="16"/>
        <v>14.003570973148241</v>
      </c>
      <c r="R546" t="str">
        <f t="shared" si="17"/>
        <v>Regular</v>
      </c>
      <c r="S546" t="s">
        <v>172</v>
      </c>
      <c r="T546">
        <v>19</v>
      </c>
    </row>
    <row r="547" spans="1:20">
      <c r="A547" s="1">
        <v>46041</v>
      </c>
      <c r="B547">
        <v>21</v>
      </c>
      <c r="C547" t="s">
        <v>87</v>
      </c>
      <c r="D547" t="s">
        <v>84</v>
      </c>
      <c r="E547" s="6">
        <v>5053.1229999999996</v>
      </c>
      <c r="F547" s="6">
        <v>5028.5785999999998</v>
      </c>
      <c r="G547" s="6">
        <v>54.159100000000002</v>
      </c>
      <c r="H547" s="6">
        <v>5053.1098000000002</v>
      </c>
      <c r="I547" s="6">
        <v>5028.5789999999997</v>
      </c>
      <c r="J547" s="6">
        <v>54.161900000000003</v>
      </c>
      <c r="K547" s="2">
        <v>-0.6</v>
      </c>
      <c r="L547" s="2">
        <v>1.7</v>
      </c>
      <c r="M547" s="2">
        <v>0.6</v>
      </c>
      <c r="N547" s="2">
        <v>-13.2</v>
      </c>
      <c r="O547" s="2">
        <v>0.4</v>
      </c>
      <c r="P547" s="2">
        <v>2.8</v>
      </c>
      <c r="Q547" s="2">
        <f t="shared" si="16"/>
        <v>13.206059215375342</v>
      </c>
      <c r="R547" t="str">
        <f t="shared" si="17"/>
        <v>Regular</v>
      </c>
      <c r="S547" t="s">
        <v>172</v>
      </c>
      <c r="T547">
        <v>19</v>
      </c>
    </row>
    <row r="548" spans="1:20">
      <c r="A548" s="1">
        <v>46041</v>
      </c>
      <c r="B548">
        <v>21</v>
      </c>
      <c r="C548" t="s">
        <v>88</v>
      </c>
      <c r="D548" t="s">
        <v>89</v>
      </c>
      <c r="E548" s="6">
        <v>5051.1406999999999</v>
      </c>
      <c r="F548" s="6">
        <v>5062.3236999999999</v>
      </c>
      <c r="G548" s="6">
        <v>63.001399999999997</v>
      </c>
      <c r="H548" s="6">
        <v>5051.1293999999998</v>
      </c>
      <c r="I548" s="6">
        <v>5062.3215</v>
      </c>
      <c r="J548" s="6">
        <v>62.998600000000003</v>
      </c>
      <c r="K548" s="2">
        <v>-1.1000000000000001</v>
      </c>
      <c r="L548" s="2">
        <v>0.3</v>
      </c>
      <c r="M548" s="2">
        <v>-0.1</v>
      </c>
      <c r="N548" s="2">
        <v>-11.3</v>
      </c>
      <c r="O548" s="2">
        <v>-2.2000000000000002</v>
      </c>
      <c r="P548" s="2">
        <v>-2.8</v>
      </c>
      <c r="Q548" s="2">
        <f t="shared" si="16"/>
        <v>11.512167476196652</v>
      </c>
      <c r="R548" t="str">
        <f t="shared" si="17"/>
        <v>Regular</v>
      </c>
      <c r="S548" t="s">
        <v>172</v>
      </c>
      <c r="T548">
        <v>19</v>
      </c>
    </row>
    <row r="549" spans="1:20">
      <c r="A549" s="1">
        <v>46041</v>
      </c>
      <c r="B549">
        <v>21</v>
      </c>
      <c r="C549" t="s">
        <v>90</v>
      </c>
      <c r="D549" t="s">
        <v>89</v>
      </c>
      <c r="E549" s="6">
        <v>5051.0086000000001</v>
      </c>
      <c r="F549" s="6">
        <v>5062.4333999999999</v>
      </c>
      <c r="G549" s="6">
        <v>56.898000000000003</v>
      </c>
      <c r="H549" s="6">
        <v>5050.9985999999999</v>
      </c>
      <c r="I549" s="6">
        <v>5062.4303</v>
      </c>
      <c r="J549" s="6">
        <v>56.898000000000003</v>
      </c>
      <c r="K549" s="2">
        <v>-1</v>
      </c>
      <c r="L549" s="2">
        <v>-0.2</v>
      </c>
      <c r="M549" s="2">
        <v>-0.6</v>
      </c>
      <c r="N549" s="2">
        <v>-10</v>
      </c>
      <c r="O549" s="2">
        <v>-3.1</v>
      </c>
      <c r="P549" s="2">
        <v>0</v>
      </c>
      <c r="Q549" s="2">
        <f t="shared" si="16"/>
        <v>10.469479452198184</v>
      </c>
      <c r="R549" t="str">
        <f t="shared" si="17"/>
        <v>Regular</v>
      </c>
      <c r="S549" t="s">
        <v>172</v>
      </c>
      <c r="T549">
        <v>19</v>
      </c>
    </row>
    <row r="550" spans="1:20">
      <c r="A550" s="1">
        <v>46041</v>
      </c>
      <c r="B550">
        <v>21</v>
      </c>
      <c r="C550" t="s">
        <v>91</v>
      </c>
      <c r="D550" t="s">
        <v>89</v>
      </c>
      <c r="E550" s="6">
        <v>5058.5258999999996</v>
      </c>
      <c r="F550" s="6">
        <v>5053.1760000000004</v>
      </c>
      <c r="G550" s="6">
        <v>63.525199999999998</v>
      </c>
      <c r="H550" s="6">
        <v>5058.5126</v>
      </c>
      <c r="I550" s="6">
        <v>5053.1736000000001</v>
      </c>
      <c r="J550" s="6">
        <v>63.527200000000001</v>
      </c>
      <c r="K550" s="2">
        <v>-2.1</v>
      </c>
      <c r="L550" s="2">
        <v>0.4</v>
      </c>
      <c r="M550" s="2">
        <v>0</v>
      </c>
      <c r="N550" s="2">
        <v>-13.3</v>
      </c>
      <c r="O550" s="2">
        <v>-2.4</v>
      </c>
      <c r="P550" s="2">
        <v>2</v>
      </c>
      <c r="Q550" s="2">
        <f t="shared" si="16"/>
        <v>13.514806694880988</v>
      </c>
      <c r="R550" t="str">
        <f t="shared" si="17"/>
        <v>Regular</v>
      </c>
      <c r="S550" t="s">
        <v>172</v>
      </c>
      <c r="T550">
        <v>19</v>
      </c>
    </row>
    <row r="551" spans="1:20">
      <c r="A551" s="1">
        <v>46041</v>
      </c>
      <c r="B551">
        <v>21</v>
      </c>
      <c r="C551" t="s">
        <v>92</v>
      </c>
      <c r="D551" t="s">
        <v>89</v>
      </c>
      <c r="E551" s="6">
        <v>5060.2732999999998</v>
      </c>
      <c r="F551" s="6">
        <v>5059.0944</v>
      </c>
      <c r="G551" s="6">
        <v>58.7943</v>
      </c>
      <c r="H551" s="6">
        <v>5060.2601999999997</v>
      </c>
      <c r="I551" s="6">
        <v>5059.0941000000003</v>
      </c>
      <c r="J551" s="6">
        <v>58.793799999999997</v>
      </c>
      <c r="K551" s="2">
        <v>-1.8</v>
      </c>
      <c r="L551" s="2">
        <v>1.8</v>
      </c>
      <c r="M551" s="2">
        <v>-0.5</v>
      </c>
      <c r="N551" s="2">
        <v>-13.1</v>
      </c>
      <c r="O551" s="2">
        <v>-0.3</v>
      </c>
      <c r="P551" s="2">
        <v>-0.5</v>
      </c>
      <c r="Q551" s="2">
        <f t="shared" si="16"/>
        <v>13.103434664239753</v>
      </c>
      <c r="R551" t="str">
        <f t="shared" si="17"/>
        <v>Regular</v>
      </c>
      <c r="S551" t="s">
        <v>172</v>
      </c>
      <c r="T551">
        <v>19</v>
      </c>
    </row>
    <row r="552" spans="1:20">
      <c r="A552" s="1">
        <v>46041</v>
      </c>
      <c r="B552">
        <v>21</v>
      </c>
      <c r="C552" t="s">
        <v>114</v>
      </c>
      <c r="D552" t="s">
        <v>70</v>
      </c>
      <c r="E552" s="6">
        <v>5005.4053999999996</v>
      </c>
      <c r="F552" s="6">
        <v>5054.1601000000001</v>
      </c>
      <c r="G552" s="6">
        <v>59.572699999999998</v>
      </c>
      <c r="H552" s="6">
        <v>5005.4237000000003</v>
      </c>
      <c r="I552" s="6">
        <v>5054.1355000000003</v>
      </c>
      <c r="J552" s="6">
        <v>59.554299999999998</v>
      </c>
      <c r="K552" s="2">
        <v>0.8</v>
      </c>
      <c r="L552" s="2">
        <v>-4.5</v>
      </c>
      <c r="M552" s="2">
        <v>-3.5</v>
      </c>
      <c r="N552" s="2">
        <v>18.3</v>
      </c>
      <c r="O552" s="2">
        <v>-24.6</v>
      </c>
      <c r="P552" s="2">
        <v>-18.399999999999999</v>
      </c>
      <c r="Q552" s="2">
        <f t="shared" si="16"/>
        <v>30.660234832760171</v>
      </c>
      <c r="R552" t="str">
        <f t="shared" si="17"/>
        <v>Alarme</v>
      </c>
      <c r="S552" t="s">
        <v>172</v>
      </c>
      <c r="T552">
        <v>19</v>
      </c>
    </row>
    <row r="553" spans="1:20">
      <c r="A553" s="1">
        <v>46041</v>
      </c>
      <c r="B553">
        <v>21</v>
      </c>
      <c r="C553" t="s">
        <v>116</v>
      </c>
      <c r="D553" t="s">
        <v>70</v>
      </c>
      <c r="E553" s="6">
        <v>5005.4237999999996</v>
      </c>
      <c r="F553" s="6">
        <v>5054.4835999999996</v>
      </c>
      <c r="G553" s="6">
        <v>58.357300000000002</v>
      </c>
      <c r="H553" s="6">
        <v>5005.4408000000003</v>
      </c>
      <c r="I553" s="6">
        <v>5054.4582</v>
      </c>
      <c r="J553" s="6">
        <v>58.339599999999997</v>
      </c>
      <c r="K553" s="2">
        <v>0.9</v>
      </c>
      <c r="L553" s="2">
        <v>-4.8</v>
      </c>
      <c r="M553" s="2">
        <v>-3.7</v>
      </c>
      <c r="N553" s="2">
        <v>17</v>
      </c>
      <c r="O553" s="2">
        <v>-25.4</v>
      </c>
      <c r="P553" s="2">
        <v>-17.7</v>
      </c>
      <c r="Q553" s="2">
        <f t="shared" si="16"/>
        <v>30.564031147739659</v>
      </c>
      <c r="R553" t="str">
        <f t="shared" si="17"/>
        <v>Alarme</v>
      </c>
      <c r="S553" t="s">
        <v>172</v>
      </c>
      <c r="T553">
        <v>19</v>
      </c>
    </row>
    <row r="554" spans="1:20">
      <c r="A554" s="1">
        <v>46041</v>
      </c>
      <c r="B554">
        <v>21</v>
      </c>
      <c r="C554" t="s">
        <v>117</v>
      </c>
      <c r="D554" t="s">
        <v>70</v>
      </c>
      <c r="E554" s="6">
        <v>5005.9258</v>
      </c>
      <c r="F554" s="6">
        <v>5064.1066000000001</v>
      </c>
      <c r="G554" s="6">
        <v>60.544499999999999</v>
      </c>
      <c r="H554" s="6">
        <v>5005.9434000000001</v>
      </c>
      <c r="I554" s="6">
        <v>5064.0828000000001</v>
      </c>
      <c r="J554" s="6">
        <v>60.5242</v>
      </c>
      <c r="K554" s="2">
        <v>1.3</v>
      </c>
      <c r="L554" s="2">
        <v>-4.9000000000000004</v>
      </c>
      <c r="M554" s="2">
        <v>-3.2</v>
      </c>
      <c r="N554" s="2">
        <v>17.600000000000001</v>
      </c>
      <c r="O554" s="2">
        <v>-23.8</v>
      </c>
      <c r="P554" s="2">
        <v>-20.3</v>
      </c>
      <c r="Q554" s="2">
        <f t="shared" si="16"/>
        <v>29.600675667964069</v>
      </c>
      <c r="R554" t="str">
        <f t="shared" si="17"/>
        <v>Alarme</v>
      </c>
      <c r="S554" t="s">
        <v>172</v>
      </c>
      <c r="T554">
        <v>19</v>
      </c>
    </row>
    <row r="555" spans="1:20">
      <c r="A555" s="1">
        <v>46041</v>
      </c>
      <c r="B555">
        <v>21</v>
      </c>
      <c r="C555" t="s">
        <v>118</v>
      </c>
      <c r="D555" t="s">
        <v>70</v>
      </c>
      <c r="E555" s="6">
        <v>5005.8734999999997</v>
      </c>
      <c r="F555" s="6">
        <v>5063.2722999999996</v>
      </c>
      <c r="G555" s="6">
        <v>58.732500000000002</v>
      </c>
      <c r="H555" s="6">
        <v>5005.8887999999997</v>
      </c>
      <c r="I555" s="6">
        <v>5063.2484000000004</v>
      </c>
      <c r="J555" s="6">
        <v>58.712400000000002</v>
      </c>
      <c r="K555" s="2">
        <v>0.9</v>
      </c>
      <c r="L555" s="2">
        <v>-4.2</v>
      </c>
      <c r="M555" s="2">
        <v>-3.5</v>
      </c>
      <c r="N555" s="2">
        <v>15.3</v>
      </c>
      <c r="O555" s="2">
        <v>-23.9</v>
      </c>
      <c r="P555" s="2">
        <v>-20.100000000000001</v>
      </c>
      <c r="Q555" s="2">
        <f t="shared" si="16"/>
        <v>28.377808231080849</v>
      </c>
      <c r="R555" t="str">
        <f t="shared" si="17"/>
        <v>Alarme</v>
      </c>
      <c r="S555" t="s">
        <v>172</v>
      </c>
      <c r="T555">
        <v>19</v>
      </c>
    </row>
    <row r="556" spans="1:20">
      <c r="A556" s="1">
        <v>46041</v>
      </c>
      <c r="B556">
        <v>16</v>
      </c>
      <c r="C556" t="s">
        <v>119</v>
      </c>
      <c r="D556" t="s">
        <v>120</v>
      </c>
      <c r="E556" s="6">
        <v>5019.7240000000002</v>
      </c>
      <c r="F556" s="6">
        <v>5017.4448000000002</v>
      </c>
      <c r="G556" s="6">
        <v>48.267099999999999</v>
      </c>
      <c r="H556" s="6"/>
      <c r="I556" s="6"/>
      <c r="J556" s="6"/>
      <c r="K556" s="2"/>
      <c r="L556" s="2"/>
      <c r="M556" s="2"/>
      <c r="N556" s="2"/>
      <c r="O556" s="2"/>
      <c r="P556" s="2"/>
      <c r="Q556" s="2" t="str">
        <f t="shared" si="16"/>
        <v/>
      </c>
      <c r="R556" t="str">
        <f t="shared" si="17"/>
        <v>Sem leitura</v>
      </c>
      <c r="S556" t="s">
        <v>172</v>
      </c>
      <c r="T556">
        <v>50</v>
      </c>
    </row>
    <row r="557" spans="1:20">
      <c r="A557" s="1">
        <v>46041</v>
      </c>
      <c r="B557">
        <v>16</v>
      </c>
      <c r="C557" t="s">
        <v>122</v>
      </c>
      <c r="D557" t="s">
        <v>123</v>
      </c>
      <c r="E557" s="6">
        <v>4982.3819999999996</v>
      </c>
      <c r="F557" s="6">
        <v>5027.9636</v>
      </c>
      <c r="G557" s="6">
        <v>48.275500000000001</v>
      </c>
      <c r="H557" s="6">
        <v>4982.4039000000002</v>
      </c>
      <c r="I557" s="6">
        <v>5027.9646000000002</v>
      </c>
      <c r="J557" s="6">
        <v>48.281100000000002</v>
      </c>
      <c r="K557" s="2">
        <v>1.2</v>
      </c>
      <c r="L557" s="2">
        <v>1.1000000000000001</v>
      </c>
      <c r="M557" s="2">
        <v>0.9</v>
      </c>
      <c r="N557" s="2">
        <v>21.9</v>
      </c>
      <c r="O557" s="2">
        <v>1</v>
      </c>
      <c r="P557" s="2">
        <v>5.6</v>
      </c>
      <c r="Q557" s="2">
        <f t="shared" si="16"/>
        <v>21.922819161777529</v>
      </c>
      <c r="R557" t="str">
        <f t="shared" si="17"/>
        <v>Alerta</v>
      </c>
      <c r="S557" t="s">
        <v>172</v>
      </c>
      <c r="T557">
        <v>50</v>
      </c>
    </row>
    <row r="558" spans="1:20">
      <c r="A558" s="1">
        <v>46041</v>
      </c>
      <c r="B558">
        <v>16</v>
      </c>
      <c r="C558" t="s">
        <v>124</v>
      </c>
      <c r="D558" t="s">
        <v>125</v>
      </c>
      <c r="E558" s="6">
        <v>4986.2775000000001</v>
      </c>
      <c r="F558" s="6">
        <v>5019.8639000000003</v>
      </c>
      <c r="G558" s="6">
        <v>50.872999999999998</v>
      </c>
      <c r="H558" s="6">
        <v>4986.2829000000002</v>
      </c>
      <c r="I558" s="6">
        <v>5019.8636999999999</v>
      </c>
      <c r="J558" s="6">
        <v>50.874699999999997</v>
      </c>
      <c r="K558" s="2">
        <v>0.7</v>
      </c>
      <c r="L558" s="2">
        <v>1.1000000000000001</v>
      </c>
      <c r="M558" s="2">
        <v>0.6</v>
      </c>
      <c r="N558" s="2">
        <v>5.4</v>
      </c>
      <c r="O558" s="2">
        <v>-0.2</v>
      </c>
      <c r="P558" s="2">
        <v>1.7</v>
      </c>
      <c r="Q558" s="2">
        <f t="shared" si="16"/>
        <v>5.4037024344425184</v>
      </c>
      <c r="R558" t="str">
        <f t="shared" si="17"/>
        <v>Regular</v>
      </c>
      <c r="S558" t="s">
        <v>172</v>
      </c>
      <c r="T558">
        <v>50</v>
      </c>
    </row>
    <row r="559" spans="1:20">
      <c r="A559" s="1">
        <v>46041</v>
      </c>
      <c r="B559">
        <v>16</v>
      </c>
      <c r="C559" t="s">
        <v>126</v>
      </c>
      <c r="D559" t="s">
        <v>125</v>
      </c>
      <c r="E559" s="6">
        <v>4977.5057999999999</v>
      </c>
      <c r="F559" s="6">
        <v>5027.6043</v>
      </c>
      <c r="G559" s="6">
        <v>52.208399999999997</v>
      </c>
      <c r="H559" s="6">
        <v>4977.5088999999998</v>
      </c>
      <c r="I559" s="6">
        <v>5027.6001999999999</v>
      </c>
      <c r="J559" s="6">
        <v>52.208799999999997</v>
      </c>
      <c r="K559" s="2">
        <v>-0.4</v>
      </c>
      <c r="L559" s="2">
        <v>0.4</v>
      </c>
      <c r="M559" s="2">
        <v>0</v>
      </c>
      <c r="N559" s="2">
        <v>3.1</v>
      </c>
      <c r="O559" s="2">
        <v>-4.0999999999999996</v>
      </c>
      <c r="P559" s="2">
        <v>0.4</v>
      </c>
      <c r="Q559" s="2">
        <f t="shared" si="16"/>
        <v>5.1400389103585589</v>
      </c>
      <c r="R559" t="str">
        <f t="shared" si="17"/>
        <v>Regular</v>
      </c>
      <c r="S559" t="s">
        <v>172</v>
      </c>
      <c r="T559">
        <v>50</v>
      </c>
    </row>
    <row r="560" spans="1:20">
      <c r="A560" s="1">
        <v>46041</v>
      </c>
      <c r="B560">
        <v>16</v>
      </c>
      <c r="C560" t="s">
        <v>127</v>
      </c>
      <c r="D560" t="s">
        <v>128</v>
      </c>
      <c r="E560" s="6">
        <v>4974.3924999999999</v>
      </c>
      <c r="F560" s="6">
        <v>5039.5325999999995</v>
      </c>
      <c r="G560" s="6">
        <v>53.556800000000003</v>
      </c>
      <c r="H560" s="6">
        <v>4974.3976000000002</v>
      </c>
      <c r="I560" s="6">
        <v>5039.5317999999997</v>
      </c>
      <c r="J560" s="6">
        <v>53.558</v>
      </c>
      <c r="K560" s="2">
        <v>-0.1</v>
      </c>
      <c r="L560" s="2">
        <v>-0.5</v>
      </c>
      <c r="M560" s="2">
        <v>-1.4</v>
      </c>
      <c r="N560" s="2">
        <v>5.0999999999999996</v>
      </c>
      <c r="O560" s="2">
        <v>-0.8</v>
      </c>
      <c r="P560" s="2">
        <v>1.2</v>
      </c>
      <c r="Q560" s="2">
        <f t="shared" si="16"/>
        <v>5.1623637996561227</v>
      </c>
      <c r="R560" t="str">
        <f t="shared" si="17"/>
        <v>Regular</v>
      </c>
      <c r="S560" t="s">
        <v>172</v>
      </c>
      <c r="T560">
        <v>50</v>
      </c>
    </row>
    <row r="561" spans="1:20">
      <c r="A561" s="1">
        <v>46041</v>
      </c>
      <c r="B561">
        <v>16</v>
      </c>
      <c r="C561" t="s">
        <v>129</v>
      </c>
      <c r="D561" t="s">
        <v>130</v>
      </c>
      <c r="E561" s="6">
        <v>4981.8689000000004</v>
      </c>
      <c r="F561" s="6">
        <v>5046.9902000000002</v>
      </c>
      <c r="G561" s="6">
        <v>53.966500000000003</v>
      </c>
      <c r="H561" s="6">
        <v>4981.8816999999999</v>
      </c>
      <c r="I561" s="6">
        <v>5046.9785000000002</v>
      </c>
      <c r="J561" s="6">
        <v>53.97</v>
      </c>
      <c r="K561" s="2">
        <v>0.9</v>
      </c>
      <c r="L561" s="2">
        <v>-1.7</v>
      </c>
      <c r="M561" s="2">
        <v>0.4</v>
      </c>
      <c r="N561" s="2">
        <v>12.8</v>
      </c>
      <c r="O561" s="2">
        <v>-11.7</v>
      </c>
      <c r="P561" s="2">
        <v>3.5</v>
      </c>
      <c r="Q561" s="2">
        <f t="shared" si="16"/>
        <v>17.341568556506068</v>
      </c>
      <c r="R561" t="str">
        <f t="shared" si="17"/>
        <v>Regular</v>
      </c>
      <c r="S561" t="s">
        <v>172</v>
      </c>
      <c r="T561">
        <v>50</v>
      </c>
    </row>
    <row r="562" spans="1:20">
      <c r="A562" s="1">
        <v>46041</v>
      </c>
      <c r="B562">
        <v>16</v>
      </c>
      <c r="C562" t="s">
        <v>131</v>
      </c>
      <c r="D562" t="s">
        <v>130</v>
      </c>
      <c r="E562" s="6">
        <v>4993.0258000000003</v>
      </c>
      <c r="F562" s="6">
        <v>5045.3909000000003</v>
      </c>
      <c r="G562" s="6">
        <v>53.905200000000001</v>
      </c>
      <c r="H562" s="6">
        <v>4993.0361000000003</v>
      </c>
      <c r="I562" s="6">
        <v>5045.3734999999997</v>
      </c>
      <c r="J562" s="6">
        <v>53.906100000000002</v>
      </c>
      <c r="K562" s="2">
        <v>1.8</v>
      </c>
      <c r="L562" s="2">
        <v>-3.3</v>
      </c>
      <c r="M562" s="2">
        <v>-0.2</v>
      </c>
      <c r="N562" s="2">
        <v>10.3</v>
      </c>
      <c r="O562" s="2">
        <v>-17.399999999999999</v>
      </c>
      <c r="P562" s="2">
        <v>0.9</v>
      </c>
      <c r="Q562" s="2">
        <f t="shared" si="16"/>
        <v>20.220039564748632</v>
      </c>
      <c r="R562" t="str">
        <f t="shared" si="17"/>
        <v>Regular</v>
      </c>
      <c r="S562" t="s">
        <v>172</v>
      </c>
      <c r="T562">
        <v>50</v>
      </c>
    </row>
    <row r="563" spans="1:20">
      <c r="A563" s="1">
        <v>46041</v>
      </c>
      <c r="B563">
        <v>16</v>
      </c>
      <c r="C563" t="s">
        <v>132</v>
      </c>
      <c r="D563" t="s">
        <v>130</v>
      </c>
      <c r="E563" s="6">
        <v>5002.4090999999999</v>
      </c>
      <c r="F563" s="6">
        <v>5044.0244000000002</v>
      </c>
      <c r="G563" s="6">
        <v>53.889200000000002</v>
      </c>
      <c r="H563" s="6">
        <v>5002.4159</v>
      </c>
      <c r="I563" s="6">
        <v>5043.9908999999998</v>
      </c>
      <c r="J563" s="6">
        <v>53.893599999999999</v>
      </c>
      <c r="K563" s="2">
        <v>0.1</v>
      </c>
      <c r="L563" s="2">
        <v>-4.8</v>
      </c>
      <c r="M563" s="2">
        <v>-0.3</v>
      </c>
      <c r="N563" s="2">
        <v>6.8</v>
      </c>
      <c r="O563" s="2">
        <v>-33.5</v>
      </c>
      <c r="P563" s="2">
        <v>4.4000000000000004</v>
      </c>
      <c r="Q563" s="2">
        <f t="shared" si="16"/>
        <v>34.183182999831949</v>
      </c>
      <c r="R563" t="str">
        <f t="shared" si="17"/>
        <v>Alerta</v>
      </c>
      <c r="S563" t="s">
        <v>172</v>
      </c>
      <c r="T563">
        <v>50</v>
      </c>
    </row>
    <row r="564" spans="1:20">
      <c r="A564" s="1">
        <v>46041</v>
      </c>
      <c r="B564">
        <v>16</v>
      </c>
      <c r="C564" t="s">
        <v>133</v>
      </c>
      <c r="D564" t="s">
        <v>134</v>
      </c>
      <c r="E564" s="6">
        <v>5012.8994000000002</v>
      </c>
      <c r="F564" s="6">
        <v>5060.6997000000001</v>
      </c>
      <c r="G564" s="6">
        <v>52.496299999999998</v>
      </c>
      <c r="H564" s="6">
        <v>5012.8946999999998</v>
      </c>
      <c r="I564" s="6">
        <v>5060.6736000000001</v>
      </c>
      <c r="J564" s="6">
        <v>52.502499999999998</v>
      </c>
      <c r="K564" s="2">
        <v>0.4</v>
      </c>
      <c r="L564" s="2">
        <v>-4.3</v>
      </c>
      <c r="M564" s="2">
        <v>1</v>
      </c>
      <c r="N564" s="2">
        <v>-4.7</v>
      </c>
      <c r="O564" s="2">
        <v>-26.1</v>
      </c>
      <c r="P564" s="2">
        <v>6.2</v>
      </c>
      <c r="Q564" s="2">
        <f t="shared" si="16"/>
        <v>26.51980392084376</v>
      </c>
      <c r="R564" t="str">
        <f t="shared" si="17"/>
        <v>Regular</v>
      </c>
      <c r="S564" t="s">
        <v>172</v>
      </c>
      <c r="T564">
        <v>50</v>
      </c>
    </row>
    <row r="565" spans="1:20">
      <c r="A565" s="1">
        <v>46041</v>
      </c>
      <c r="B565">
        <v>16</v>
      </c>
      <c r="C565" t="s">
        <v>135</v>
      </c>
      <c r="D565" t="s">
        <v>136</v>
      </c>
      <c r="E565" s="6">
        <v>5026.7076999999999</v>
      </c>
      <c r="F565" s="6">
        <v>5072.3888999999999</v>
      </c>
      <c r="G565" s="6">
        <v>53.761400000000002</v>
      </c>
      <c r="H565" s="6">
        <v>5026.7030000000004</v>
      </c>
      <c r="I565" s="6">
        <v>5072.3680000000004</v>
      </c>
      <c r="J565" s="6">
        <v>53.766100000000002</v>
      </c>
      <c r="K565" s="2">
        <v>-0.4</v>
      </c>
      <c r="L565" s="2">
        <v>-1.7</v>
      </c>
      <c r="M565" s="2">
        <v>1.4</v>
      </c>
      <c r="N565" s="2">
        <v>-4.7</v>
      </c>
      <c r="O565" s="2">
        <v>-20.9</v>
      </c>
      <c r="P565" s="2">
        <v>4.7</v>
      </c>
      <c r="Q565" s="2">
        <f t="shared" si="16"/>
        <v>21.421951358361358</v>
      </c>
      <c r="R565" t="str">
        <f t="shared" si="17"/>
        <v>Regular</v>
      </c>
      <c r="S565" t="s">
        <v>172</v>
      </c>
      <c r="T565">
        <v>50</v>
      </c>
    </row>
    <row r="566" spans="1:20">
      <c r="A566" s="1">
        <v>46041</v>
      </c>
      <c r="B566">
        <v>16</v>
      </c>
      <c r="C566" t="s">
        <v>137</v>
      </c>
      <c r="D566" t="s">
        <v>138</v>
      </c>
      <c r="E566" s="6">
        <v>5046.1882999999998</v>
      </c>
      <c r="F566" s="6">
        <v>5033.5622999999996</v>
      </c>
      <c r="G566" s="6">
        <v>48.999099999999999</v>
      </c>
      <c r="H566" s="6">
        <v>5046.1679999999997</v>
      </c>
      <c r="I566" s="6">
        <v>5033.5613999999996</v>
      </c>
      <c r="J566" s="6">
        <v>48.999400000000001</v>
      </c>
      <c r="K566" s="2">
        <v>-1.2</v>
      </c>
      <c r="L566" s="2">
        <v>0.7</v>
      </c>
      <c r="M566" s="2">
        <v>-0.1</v>
      </c>
      <c r="N566" s="2">
        <v>-20.3</v>
      </c>
      <c r="O566" s="2">
        <v>-0.9</v>
      </c>
      <c r="P566" s="2">
        <v>0.3</v>
      </c>
      <c r="Q566" s="2">
        <f t="shared" si="16"/>
        <v>20.319940944796077</v>
      </c>
      <c r="R566" t="str">
        <f t="shared" si="17"/>
        <v>Alerta</v>
      </c>
      <c r="S566" t="s">
        <v>172</v>
      </c>
      <c r="T566">
        <v>50</v>
      </c>
    </row>
    <row r="567" spans="1:20">
      <c r="A567" s="1">
        <v>46041</v>
      </c>
      <c r="B567">
        <v>16</v>
      </c>
      <c r="C567" t="s">
        <v>139</v>
      </c>
      <c r="D567" t="s">
        <v>134</v>
      </c>
      <c r="E567" s="6">
        <v>5010.7592999999997</v>
      </c>
      <c r="F567" s="6">
        <v>5050.9463999999998</v>
      </c>
      <c r="G567" s="6">
        <v>52.517400000000002</v>
      </c>
      <c r="H567" s="6">
        <v>5010.7491</v>
      </c>
      <c r="I567" s="6">
        <v>5050.9237999999996</v>
      </c>
      <c r="J567" s="6">
        <v>52.526800000000001</v>
      </c>
      <c r="K567" s="2">
        <v>-0.4</v>
      </c>
      <c r="L567" s="2">
        <v>-2.2999999999999998</v>
      </c>
      <c r="M567" s="2">
        <v>0.6</v>
      </c>
      <c r="N567" s="2">
        <v>-10.199999999999999</v>
      </c>
      <c r="O567" s="2">
        <v>-22.6</v>
      </c>
      <c r="P567" s="2">
        <v>9.4</v>
      </c>
      <c r="Q567" s="2">
        <f t="shared" si="16"/>
        <v>24.795160818191924</v>
      </c>
      <c r="R567" t="str">
        <f t="shared" si="17"/>
        <v>Regular</v>
      </c>
      <c r="S567" t="s">
        <v>172</v>
      </c>
      <c r="T567">
        <v>50</v>
      </c>
    </row>
    <row r="568" spans="1:20">
      <c r="A568" s="1">
        <v>46041</v>
      </c>
      <c r="B568">
        <v>16</v>
      </c>
      <c r="C568" t="s">
        <v>140</v>
      </c>
      <c r="D568" t="s">
        <v>128</v>
      </c>
      <c r="E568" s="6">
        <v>4976.0573000000004</v>
      </c>
      <c r="F568" s="6">
        <v>5040.5965999999999</v>
      </c>
      <c r="G568" s="6">
        <v>48.214799999999997</v>
      </c>
      <c r="H568" s="6">
        <v>4976.0676999999996</v>
      </c>
      <c r="I568" s="6">
        <v>5040.5925999999999</v>
      </c>
      <c r="J568" s="6">
        <v>48.216500000000003</v>
      </c>
      <c r="K568" s="2">
        <v>0.6</v>
      </c>
      <c r="L568" s="2">
        <v>-0.6</v>
      </c>
      <c r="M568" s="2">
        <v>0.3</v>
      </c>
      <c r="N568" s="2">
        <v>10.4</v>
      </c>
      <c r="O568" s="2">
        <v>-4</v>
      </c>
      <c r="P568" s="2">
        <v>1.7</v>
      </c>
      <c r="Q568" s="2">
        <f t="shared" si="16"/>
        <v>11.142710621747296</v>
      </c>
      <c r="R568" t="str">
        <f t="shared" si="17"/>
        <v>Regular</v>
      </c>
      <c r="S568" t="s">
        <v>172</v>
      </c>
      <c r="T568">
        <v>50</v>
      </c>
    </row>
    <row r="569" spans="1:20">
      <c r="A569" s="1">
        <v>46041</v>
      </c>
      <c r="B569">
        <v>16</v>
      </c>
      <c r="C569" t="s">
        <v>141</v>
      </c>
      <c r="D569" t="s">
        <v>130</v>
      </c>
      <c r="E569" s="6">
        <v>4987.9621999999999</v>
      </c>
      <c r="F569" s="6">
        <v>5045.3176000000003</v>
      </c>
      <c r="G569" s="6">
        <v>47.637599999999999</v>
      </c>
      <c r="H569" s="6">
        <v>4987.97</v>
      </c>
      <c r="I569" s="6">
        <v>5045.2968000000001</v>
      </c>
      <c r="J569" s="6">
        <v>47.640300000000003</v>
      </c>
      <c r="K569" s="2">
        <v>1.5</v>
      </c>
      <c r="L569" s="2">
        <v>-4</v>
      </c>
      <c r="M569" s="2">
        <v>0.7</v>
      </c>
      <c r="N569" s="2">
        <v>7.8</v>
      </c>
      <c r="O569" s="2">
        <v>-20.8</v>
      </c>
      <c r="P569" s="2">
        <v>2.7</v>
      </c>
      <c r="Q569" s="2">
        <f t="shared" si="16"/>
        <v>22.21440973782558</v>
      </c>
      <c r="R569" t="str">
        <f t="shared" si="17"/>
        <v>Regular</v>
      </c>
      <c r="S569" t="s">
        <v>172</v>
      </c>
      <c r="T569">
        <v>50</v>
      </c>
    </row>
    <row r="570" spans="1:20">
      <c r="A570" s="1">
        <v>46041</v>
      </c>
      <c r="B570">
        <v>16</v>
      </c>
      <c r="C570" t="s">
        <v>142</v>
      </c>
      <c r="D570" t="s">
        <v>130</v>
      </c>
      <c r="E570" s="6">
        <v>5002.5304999999998</v>
      </c>
      <c r="F570" s="6">
        <v>5043.4611000000004</v>
      </c>
      <c r="G570" s="6">
        <v>47.537100000000002</v>
      </c>
      <c r="H570" s="6">
        <v>5002.5367999999999</v>
      </c>
      <c r="I570" s="6">
        <v>5043.4270999999999</v>
      </c>
      <c r="J570" s="6">
        <v>47.541800000000002</v>
      </c>
      <c r="K570" s="2">
        <v>0.5</v>
      </c>
      <c r="L570" s="2">
        <v>-6.3</v>
      </c>
      <c r="M570" s="2">
        <v>0.9</v>
      </c>
      <c r="N570" s="2">
        <v>6.3</v>
      </c>
      <c r="O570" s="2">
        <v>-34</v>
      </c>
      <c r="P570" s="2">
        <v>4.7</v>
      </c>
      <c r="Q570" s="2">
        <f t="shared" si="16"/>
        <v>34.578750700394025</v>
      </c>
      <c r="R570" t="str">
        <f t="shared" si="17"/>
        <v>Alerta</v>
      </c>
      <c r="S570" t="s">
        <v>172</v>
      </c>
      <c r="T570">
        <v>50</v>
      </c>
    </row>
    <row r="571" spans="1:20">
      <c r="A571" s="1">
        <v>46041</v>
      </c>
      <c r="B571">
        <v>16</v>
      </c>
      <c r="C571" t="s">
        <v>143</v>
      </c>
      <c r="D571" t="s">
        <v>136</v>
      </c>
      <c r="E571" s="6">
        <v>5027.4714000000004</v>
      </c>
      <c r="F571" s="6">
        <v>5072.2404999999999</v>
      </c>
      <c r="G571" s="6">
        <v>51.143700000000003</v>
      </c>
      <c r="H571" s="6">
        <v>5027.4678999999996</v>
      </c>
      <c r="I571" s="6">
        <v>5072.2208000000001</v>
      </c>
      <c r="J571" s="6">
        <v>51.148600000000002</v>
      </c>
      <c r="K571" s="2">
        <v>-1.2</v>
      </c>
      <c r="L571" s="2">
        <v>-2.2000000000000002</v>
      </c>
      <c r="M571" s="2">
        <v>1.8</v>
      </c>
      <c r="N571" s="2">
        <v>-3.5</v>
      </c>
      <c r="O571" s="2">
        <v>-19.7</v>
      </c>
      <c r="P571" s="2">
        <v>4.9000000000000004</v>
      </c>
      <c r="Q571" s="2">
        <f t="shared" si="16"/>
        <v>20.008498194517248</v>
      </c>
      <c r="R571" t="str">
        <f t="shared" si="17"/>
        <v>Regular</v>
      </c>
      <c r="S571" t="s">
        <v>172</v>
      </c>
      <c r="T571">
        <v>50</v>
      </c>
    </row>
    <row r="572" spans="1:20">
      <c r="A572" s="1">
        <v>46041</v>
      </c>
      <c r="B572">
        <v>16</v>
      </c>
      <c r="C572" t="s">
        <v>144</v>
      </c>
      <c r="D572" t="s">
        <v>145</v>
      </c>
      <c r="E572" s="6">
        <v>5041.9629000000004</v>
      </c>
      <c r="F572" s="6">
        <v>5043.3289999999997</v>
      </c>
      <c r="G572" s="6">
        <v>52.0655</v>
      </c>
      <c r="H572" s="6">
        <v>5041.9534999999996</v>
      </c>
      <c r="I572" s="6">
        <v>5043.3233</v>
      </c>
      <c r="J572" s="6">
        <v>52.066200000000002</v>
      </c>
      <c r="K572" s="2">
        <v>-0.5</v>
      </c>
      <c r="L572" s="2">
        <v>0.3</v>
      </c>
      <c r="M572" s="2">
        <v>-0.1</v>
      </c>
      <c r="N572" s="2">
        <v>-9.4</v>
      </c>
      <c r="O572" s="2">
        <v>-5.7</v>
      </c>
      <c r="P572" s="2">
        <v>0.7</v>
      </c>
      <c r="Q572" s="2">
        <f t="shared" si="16"/>
        <v>10.99317970379817</v>
      </c>
      <c r="R572" t="str">
        <f t="shared" si="17"/>
        <v>Regular</v>
      </c>
      <c r="S572" t="s">
        <v>172</v>
      </c>
      <c r="T572">
        <v>50</v>
      </c>
    </row>
    <row r="573" spans="1:20">
      <c r="A573" s="1">
        <v>46041</v>
      </c>
      <c r="B573">
        <v>16</v>
      </c>
      <c r="C573" t="s">
        <v>166</v>
      </c>
      <c r="D573" t="s">
        <v>167</v>
      </c>
      <c r="E573" s="6">
        <v>5037.8409000000001</v>
      </c>
      <c r="F573" s="6">
        <v>5046.2614999999996</v>
      </c>
      <c r="G573" s="6">
        <v>51.521099999999997</v>
      </c>
      <c r="H573" s="6">
        <v>5037.8303999999998</v>
      </c>
      <c r="I573" s="6">
        <v>5046.2556000000004</v>
      </c>
      <c r="J573" s="6">
        <v>51.5244</v>
      </c>
      <c r="K573" s="2">
        <v>-0.6</v>
      </c>
      <c r="L573" s="2">
        <v>0.4</v>
      </c>
      <c r="M573" s="2">
        <v>-0.1</v>
      </c>
      <c r="N573" s="2">
        <v>-10.5</v>
      </c>
      <c r="O573" s="2">
        <v>-5.9</v>
      </c>
      <c r="P573" s="2">
        <v>3.3</v>
      </c>
      <c r="Q573" s="2">
        <f t="shared" si="16"/>
        <v>12.044085685513865</v>
      </c>
      <c r="R573" t="str">
        <f t="shared" si="17"/>
        <v>Regular</v>
      </c>
      <c r="S573" t="s">
        <v>172</v>
      </c>
      <c r="T573">
        <v>50</v>
      </c>
    </row>
    <row r="574" spans="1:20">
      <c r="A574" s="1">
        <v>46041</v>
      </c>
      <c r="B574">
        <v>16</v>
      </c>
      <c r="C574" t="s">
        <v>154</v>
      </c>
      <c r="D574" t="s">
        <v>123</v>
      </c>
      <c r="E574" s="6">
        <v>4983.0880999999999</v>
      </c>
      <c r="F574" s="6">
        <v>5028.2978000000003</v>
      </c>
      <c r="G574" s="6">
        <v>42.8752</v>
      </c>
      <c r="H574" s="6"/>
      <c r="I574" s="6"/>
      <c r="J574" s="6"/>
      <c r="K574" s="2"/>
      <c r="L574" s="2"/>
      <c r="M574" s="2"/>
      <c r="N574" s="2"/>
      <c r="O574" s="2"/>
      <c r="P574" s="2"/>
      <c r="Q574" s="2" t="str">
        <f t="shared" si="16"/>
        <v/>
      </c>
      <c r="R574" t="str">
        <f t="shared" si="17"/>
        <v>Sem leitura</v>
      </c>
      <c r="S574" t="s">
        <v>172</v>
      </c>
      <c r="T574">
        <v>50</v>
      </c>
    </row>
    <row r="575" spans="1:20">
      <c r="A575" s="1">
        <v>46041</v>
      </c>
      <c r="B575">
        <v>16</v>
      </c>
      <c r="C575" t="s">
        <v>163</v>
      </c>
      <c r="D575" t="s">
        <v>134</v>
      </c>
      <c r="E575" s="6">
        <v>5013.4206999999997</v>
      </c>
      <c r="F575" s="6">
        <v>5061.5992999999999</v>
      </c>
      <c r="G575" s="6">
        <v>47.2774</v>
      </c>
      <c r="H575" s="6"/>
      <c r="I575" s="6"/>
      <c r="J575" s="6"/>
      <c r="K575" s="2"/>
      <c r="L575" s="2"/>
      <c r="M575" s="2"/>
      <c r="N575" s="2"/>
      <c r="O575" s="2"/>
      <c r="P575" s="2"/>
      <c r="Q575" s="2" t="str">
        <f t="shared" si="16"/>
        <v/>
      </c>
      <c r="R575" t="str">
        <f t="shared" si="17"/>
        <v>Sem leitura</v>
      </c>
      <c r="S575" t="s">
        <v>172</v>
      </c>
      <c r="T575">
        <v>50</v>
      </c>
    </row>
    <row r="576" spans="1:20">
      <c r="A576" s="1">
        <v>46041</v>
      </c>
      <c r="B576">
        <v>16</v>
      </c>
      <c r="C576" t="s">
        <v>164</v>
      </c>
      <c r="D576" t="s">
        <v>136</v>
      </c>
      <c r="E576" s="6">
        <v>5026.8990000000003</v>
      </c>
      <c r="F576" s="6">
        <v>5072.0330000000004</v>
      </c>
      <c r="G576" s="6">
        <v>44.739800000000002</v>
      </c>
      <c r="H576" s="6">
        <v>5026.8973999999998</v>
      </c>
      <c r="I576" s="6">
        <v>5072.018</v>
      </c>
      <c r="J576" s="6">
        <v>44.744500000000002</v>
      </c>
      <c r="K576" s="2">
        <v>-0.4</v>
      </c>
      <c r="L576" s="2">
        <v>-3.6</v>
      </c>
      <c r="M576" s="2">
        <v>1.2</v>
      </c>
      <c r="N576" s="2">
        <v>-1.6</v>
      </c>
      <c r="O576" s="2">
        <v>-15</v>
      </c>
      <c r="P576" s="2">
        <v>4.7</v>
      </c>
      <c r="Q576" s="2">
        <f t="shared" si="16"/>
        <v>15.085091978506462</v>
      </c>
      <c r="R576" t="str">
        <f t="shared" si="17"/>
        <v>Regular</v>
      </c>
      <c r="S576" t="s">
        <v>172</v>
      </c>
      <c r="T576">
        <v>50</v>
      </c>
    </row>
    <row r="577" spans="1:20">
      <c r="A577" s="1">
        <v>46041</v>
      </c>
      <c r="B577">
        <v>16</v>
      </c>
      <c r="C577" t="s">
        <v>169</v>
      </c>
      <c r="D577" t="s">
        <v>145</v>
      </c>
      <c r="E577" s="6">
        <v>5042.0578999999998</v>
      </c>
      <c r="F577" s="6">
        <v>5042.7259000000004</v>
      </c>
      <c r="G577" s="6">
        <v>42.933700000000002</v>
      </c>
      <c r="H577" s="6">
        <v>5042.0511999999999</v>
      </c>
      <c r="I577" s="6">
        <v>5042.7254000000003</v>
      </c>
      <c r="J577" s="6">
        <v>42.936900000000001</v>
      </c>
      <c r="K577" s="2">
        <v>-0.7</v>
      </c>
      <c r="L577" s="2">
        <v>0.2</v>
      </c>
      <c r="M577" s="2">
        <v>0.4</v>
      </c>
      <c r="N577" s="2">
        <v>-6.7</v>
      </c>
      <c r="O577" s="2">
        <v>-0.5</v>
      </c>
      <c r="P577" s="2">
        <v>3.2</v>
      </c>
      <c r="Q577" s="2">
        <f t="shared" si="16"/>
        <v>6.7186308128963299</v>
      </c>
      <c r="R577" t="str">
        <f t="shared" si="17"/>
        <v>Regular</v>
      </c>
      <c r="S577" t="s">
        <v>172</v>
      </c>
      <c r="T577">
        <v>50</v>
      </c>
    </row>
    <row r="578" spans="1:20">
      <c r="A578" s="1">
        <v>46041</v>
      </c>
      <c r="B578">
        <v>16</v>
      </c>
      <c r="C578" t="s">
        <v>170</v>
      </c>
      <c r="D578" t="s">
        <v>138</v>
      </c>
      <c r="E578" s="6">
        <v>5045.8157000000001</v>
      </c>
      <c r="F578" s="6">
        <v>5033.7070000000003</v>
      </c>
      <c r="G578" s="6">
        <v>42.660600000000002</v>
      </c>
      <c r="H578" s="6">
        <v>5045.8083999999999</v>
      </c>
      <c r="I578" s="6">
        <v>5033.7079000000003</v>
      </c>
      <c r="J578" s="6">
        <v>42.6629</v>
      </c>
      <c r="K578" s="2">
        <v>-1.6</v>
      </c>
      <c r="L578" s="2">
        <v>0.4</v>
      </c>
      <c r="M578" s="2">
        <v>0.2</v>
      </c>
      <c r="N578" s="2">
        <v>-7.3</v>
      </c>
      <c r="O578" s="2">
        <v>0.9</v>
      </c>
      <c r="P578" s="2">
        <v>2.2999999999999998</v>
      </c>
      <c r="Q578" s="2">
        <f t="shared" ref="Q578:Q641" si="18">IF(COUNT(N578:O578)&lt;2,"",SQRT(N578^2+O578^2))</f>
        <v>7.3552702193733168</v>
      </c>
      <c r="R578" t="str">
        <f t="shared" ref="R578:R641" si="19">IF(COUNT(H578:P578)=0,"Sem leitura",IF(ISNUMBER(SEARCH("Escavação",D578)),IF(OR(Q578&gt;=40,ABS(P578)&gt;=15),"Alarme",IF(OR(Q578&gt;=IF(OR(ISNUMBER(SEARCH("Alçado AB",D578)),ISNUMBER(SEARCH("Alçado CD",D578)),ISNUMBER(SEARCH("Alçado BF",D578)),ISNUMBER(SEARCH("Alçado PQ",D578))),20,30),ABS(P578)&gt;=10),"Alerta","Regular")),IF(OR(Q578&gt;=25,ABS(P578)&gt;=20),"Alarme",IF(OR(Q578&gt;=15,ABS(P578)&gt;=10),"Alerta","Regular"))))</f>
        <v>Regular</v>
      </c>
      <c r="S578" t="s">
        <v>172</v>
      </c>
      <c r="T578">
        <v>50</v>
      </c>
    </row>
    <row r="579" spans="1:20">
      <c r="A579" s="1">
        <v>46041</v>
      </c>
      <c r="B579">
        <v>16</v>
      </c>
      <c r="C579" t="s">
        <v>149</v>
      </c>
      <c r="D579" t="s">
        <v>120</v>
      </c>
      <c r="E579" s="6">
        <v>5017.3522999999996</v>
      </c>
      <c r="F579" s="6">
        <v>5017.7930999999999</v>
      </c>
      <c r="G579" s="6">
        <v>47.4587</v>
      </c>
      <c r="H579" s="6">
        <v>5017.3495000000003</v>
      </c>
      <c r="I579" s="6">
        <v>5017.7936</v>
      </c>
      <c r="J579" s="6">
        <v>47.4617</v>
      </c>
      <c r="K579" s="2">
        <v>-0.5</v>
      </c>
      <c r="L579" s="2">
        <v>-0.6</v>
      </c>
      <c r="M579" s="2">
        <v>0.6</v>
      </c>
      <c r="N579" s="2">
        <v>-2.8</v>
      </c>
      <c r="O579" s="2">
        <v>0.5</v>
      </c>
      <c r="P579" s="2">
        <v>3</v>
      </c>
      <c r="Q579" s="2">
        <f t="shared" si="18"/>
        <v>2.8442925306655784</v>
      </c>
      <c r="R579" t="str">
        <f t="shared" si="19"/>
        <v>Regular</v>
      </c>
      <c r="S579" t="s">
        <v>172</v>
      </c>
      <c r="T579">
        <v>50</v>
      </c>
    </row>
    <row r="580" spans="1:20">
      <c r="A580" s="1">
        <v>46041</v>
      </c>
      <c r="B580">
        <v>16</v>
      </c>
      <c r="C580" t="s">
        <v>151</v>
      </c>
      <c r="D580" t="s">
        <v>120</v>
      </c>
      <c r="E580" s="6">
        <v>5017.2749000000003</v>
      </c>
      <c r="F580" s="6">
        <v>5018.2057000000004</v>
      </c>
      <c r="G580" s="6">
        <v>43.061300000000003</v>
      </c>
      <c r="H580" s="6"/>
      <c r="I580" s="6"/>
      <c r="J580" s="6"/>
      <c r="K580" s="2"/>
      <c r="L580" s="2"/>
      <c r="M580" s="2"/>
      <c r="N580" s="2"/>
      <c r="O580" s="2"/>
      <c r="P580" s="2"/>
      <c r="Q580" s="2" t="str">
        <f t="shared" si="18"/>
        <v/>
      </c>
      <c r="R580" t="str">
        <f t="shared" si="19"/>
        <v>Sem leitura</v>
      </c>
      <c r="S580" t="s">
        <v>172</v>
      </c>
      <c r="T580">
        <v>50</v>
      </c>
    </row>
    <row r="581" spans="1:20">
      <c r="A581" s="1">
        <v>46041</v>
      </c>
      <c r="B581">
        <v>16</v>
      </c>
      <c r="C581" t="s">
        <v>159</v>
      </c>
      <c r="D581" t="s">
        <v>128</v>
      </c>
      <c r="E581" s="6">
        <v>4976.0536000000002</v>
      </c>
      <c r="F581" s="6">
        <v>5040.1774999999998</v>
      </c>
      <c r="G581" s="6">
        <v>43.505000000000003</v>
      </c>
      <c r="H581" s="6"/>
      <c r="I581" s="6"/>
      <c r="J581" s="6"/>
      <c r="K581" s="2"/>
      <c r="L581" s="2"/>
      <c r="M581" s="2"/>
      <c r="N581" s="2"/>
      <c r="O581" s="2"/>
      <c r="P581" s="2"/>
      <c r="Q581" s="2" t="str">
        <f t="shared" si="18"/>
        <v/>
      </c>
      <c r="R581" t="str">
        <f t="shared" si="19"/>
        <v>Sem leitura</v>
      </c>
      <c r="S581" t="s">
        <v>172</v>
      </c>
      <c r="T581">
        <v>50</v>
      </c>
    </row>
    <row r="582" spans="1:20">
      <c r="A582" s="1">
        <v>46041</v>
      </c>
      <c r="B582">
        <v>16</v>
      </c>
      <c r="C582" t="s">
        <v>160</v>
      </c>
      <c r="D582" t="s">
        <v>128</v>
      </c>
      <c r="E582" s="6">
        <v>4976.0869000000002</v>
      </c>
      <c r="F582" s="6">
        <v>5040.6423000000004</v>
      </c>
      <c r="G582" s="6">
        <v>43.351300000000002</v>
      </c>
      <c r="H582" s="6">
        <v>4976.0883000000003</v>
      </c>
      <c r="I582" s="6">
        <v>5040.6400000000003</v>
      </c>
      <c r="J582" s="6">
        <v>43.353400000000001</v>
      </c>
      <c r="K582" s="2">
        <v>1.9</v>
      </c>
      <c r="L582" s="2">
        <v>-0.8</v>
      </c>
      <c r="M582" s="2">
        <v>0.6</v>
      </c>
      <c r="N582" s="2">
        <v>1.4</v>
      </c>
      <c r="O582" s="2">
        <v>-2.2999999999999998</v>
      </c>
      <c r="P582" s="2">
        <v>2.1</v>
      </c>
      <c r="Q582" s="2">
        <f t="shared" si="18"/>
        <v>2.6925824035672519</v>
      </c>
      <c r="R582" t="str">
        <f t="shared" si="19"/>
        <v>Regular</v>
      </c>
      <c r="S582" t="s">
        <v>172</v>
      </c>
      <c r="T582">
        <v>50</v>
      </c>
    </row>
    <row r="583" spans="1:20">
      <c r="A583" s="1">
        <v>46041</v>
      </c>
      <c r="B583">
        <v>16</v>
      </c>
      <c r="C583" t="s">
        <v>168</v>
      </c>
      <c r="D583" t="s">
        <v>167</v>
      </c>
      <c r="E583" s="6">
        <v>5037.7052999999996</v>
      </c>
      <c r="F583" s="6">
        <v>5047.0955999999996</v>
      </c>
      <c r="G583" s="6">
        <v>42.919199999999996</v>
      </c>
      <c r="H583" s="6">
        <v>5037.7003000000004</v>
      </c>
      <c r="I583" s="6">
        <v>5047.0959999999995</v>
      </c>
      <c r="J583" s="6">
        <v>42.919800000000002</v>
      </c>
      <c r="K583" s="2">
        <v>-1.6</v>
      </c>
      <c r="L583" s="2">
        <v>0.1</v>
      </c>
      <c r="M583" s="2">
        <v>-0.2</v>
      </c>
      <c r="N583" s="2">
        <v>-5</v>
      </c>
      <c r="O583" s="2">
        <v>0.4</v>
      </c>
      <c r="P583" s="2">
        <v>0.6</v>
      </c>
      <c r="Q583" s="2">
        <f t="shared" si="18"/>
        <v>5.0159744815937808</v>
      </c>
      <c r="R583" t="str">
        <f t="shared" si="19"/>
        <v>Regular</v>
      </c>
      <c r="S583" t="s">
        <v>172</v>
      </c>
      <c r="T583">
        <v>50</v>
      </c>
    </row>
    <row r="584" spans="1:20">
      <c r="A584" s="1">
        <v>46041</v>
      </c>
      <c r="B584">
        <v>16</v>
      </c>
      <c r="C584" t="s">
        <v>155</v>
      </c>
      <c r="D584" t="s">
        <v>156</v>
      </c>
      <c r="E584" s="6">
        <v>4980.2689</v>
      </c>
      <c r="F584" s="6">
        <v>5031.7997999999998</v>
      </c>
      <c r="G584" s="6">
        <v>48.331200000000003</v>
      </c>
      <c r="H584" s="6">
        <v>4980.2707</v>
      </c>
      <c r="I584" s="6">
        <v>5031.7992000000004</v>
      </c>
      <c r="J584" s="6">
        <v>48.332700000000003</v>
      </c>
      <c r="K584" s="2">
        <v>1</v>
      </c>
      <c r="L584" s="2">
        <v>0.5</v>
      </c>
      <c r="M584" s="2">
        <v>0.7</v>
      </c>
      <c r="N584" s="2">
        <v>1.8</v>
      </c>
      <c r="O584" s="2">
        <v>-0.6</v>
      </c>
      <c r="P584" s="2">
        <v>1.5</v>
      </c>
      <c r="Q584" s="2">
        <f t="shared" si="18"/>
        <v>1.8973665961010275</v>
      </c>
      <c r="R584" t="str">
        <f t="shared" si="19"/>
        <v>Regular</v>
      </c>
      <c r="S584" t="s">
        <v>172</v>
      </c>
      <c r="T584">
        <v>50</v>
      </c>
    </row>
    <row r="585" spans="1:20">
      <c r="A585" s="1">
        <v>46041</v>
      </c>
      <c r="B585">
        <v>16</v>
      </c>
      <c r="C585" t="s">
        <v>153</v>
      </c>
      <c r="D585" t="s">
        <v>120</v>
      </c>
      <c r="E585" s="6">
        <v>5017.2718999999997</v>
      </c>
      <c r="F585" s="6">
        <v>5018.1959999999999</v>
      </c>
      <c r="G585" s="6">
        <v>43.055799999999998</v>
      </c>
      <c r="H585" s="6">
        <v>5017.2718999999997</v>
      </c>
      <c r="I585" s="6">
        <v>5018.1994999999997</v>
      </c>
      <c r="J585" s="6">
        <v>43.056899999999999</v>
      </c>
      <c r="K585" s="2">
        <v>0.3</v>
      </c>
      <c r="L585" s="2">
        <v>-0.5</v>
      </c>
      <c r="M585" s="2">
        <v>0.5</v>
      </c>
      <c r="N585" s="2">
        <v>0</v>
      </c>
      <c r="O585" s="2">
        <v>3.5</v>
      </c>
      <c r="P585" s="2">
        <v>1.1000000000000001</v>
      </c>
      <c r="Q585" s="2">
        <f t="shared" si="18"/>
        <v>3.5</v>
      </c>
      <c r="R585" t="str">
        <f t="shared" si="19"/>
        <v>Regular</v>
      </c>
      <c r="S585" t="s">
        <v>172</v>
      </c>
      <c r="T585">
        <v>50</v>
      </c>
    </row>
    <row r="586" spans="1:20">
      <c r="A586" s="1">
        <v>46041</v>
      </c>
      <c r="B586">
        <v>16</v>
      </c>
      <c r="C586" t="s">
        <v>157</v>
      </c>
      <c r="D586" t="s">
        <v>156</v>
      </c>
      <c r="E586" s="6">
        <v>4980.6113999999998</v>
      </c>
      <c r="F586" s="6">
        <v>5031.9393</v>
      </c>
      <c r="G586" s="6">
        <v>42.979900000000001</v>
      </c>
      <c r="H586" s="6"/>
      <c r="I586" s="6"/>
      <c r="J586" s="6"/>
      <c r="K586" s="2"/>
      <c r="L586" s="2"/>
      <c r="M586" s="2"/>
      <c r="N586" s="2"/>
      <c r="O586" s="2"/>
      <c r="P586" s="2"/>
      <c r="Q586" s="2" t="str">
        <f t="shared" si="18"/>
        <v/>
      </c>
      <c r="R586" t="str">
        <f t="shared" si="19"/>
        <v>Sem leitura</v>
      </c>
      <c r="S586" t="s">
        <v>172</v>
      </c>
      <c r="T586">
        <v>50</v>
      </c>
    </row>
    <row r="587" spans="1:20">
      <c r="A587" s="1">
        <v>46041</v>
      </c>
      <c r="B587">
        <v>16</v>
      </c>
      <c r="C587" t="s">
        <v>161</v>
      </c>
      <c r="D587" t="s">
        <v>130</v>
      </c>
      <c r="E587" s="6">
        <v>4988.3298000000004</v>
      </c>
      <c r="F587" s="6">
        <v>5045.2532000000001</v>
      </c>
      <c r="G587" s="6">
        <v>42.8264</v>
      </c>
      <c r="H587" s="6">
        <v>4988.3320000000003</v>
      </c>
      <c r="I587" s="6">
        <v>5045.2460000000001</v>
      </c>
      <c r="J587" s="6">
        <v>42.826700000000002</v>
      </c>
      <c r="K587" s="2">
        <v>1.6</v>
      </c>
      <c r="L587" s="2">
        <v>-6</v>
      </c>
      <c r="M587" s="2">
        <v>0.1</v>
      </c>
      <c r="N587" s="2">
        <v>2.2000000000000002</v>
      </c>
      <c r="O587" s="2">
        <v>-7.2</v>
      </c>
      <c r="P587" s="2">
        <v>0.3</v>
      </c>
      <c r="Q587" s="2">
        <f t="shared" si="18"/>
        <v>7.5286120898874849</v>
      </c>
      <c r="R587" t="str">
        <f t="shared" si="19"/>
        <v>Regular</v>
      </c>
      <c r="S587" t="s">
        <v>172</v>
      </c>
      <c r="T587">
        <v>50</v>
      </c>
    </row>
    <row r="588" spans="1:20">
      <c r="A588" s="1">
        <v>46041</v>
      </c>
      <c r="B588">
        <v>16</v>
      </c>
      <c r="C588" t="s">
        <v>162</v>
      </c>
      <c r="D588" t="s">
        <v>130</v>
      </c>
      <c r="E588" s="6">
        <v>4998.6503000000002</v>
      </c>
      <c r="F588" s="6">
        <v>5043.7455</v>
      </c>
      <c r="G588" s="6">
        <v>42.848300000000002</v>
      </c>
      <c r="H588" s="6">
        <v>4998.6513999999997</v>
      </c>
      <c r="I588" s="6">
        <v>5043.7361000000001</v>
      </c>
      <c r="J588" s="6">
        <v>42.848700000000001</v>
      </c>
      <c r="K588" s="2">
        <v>0.8</v>
      </c>
      <c r="L588" s="2">
        <v>-7.7</v>
      </c>
      <c r="M588" s="2">
        <v>-0.4</v>
      </c>
      <c r="N588" s="2">
        <v>1.1000000000000001</v>
      </c>
      <c r="O588" s="2">
        <v>-9.4</v>
      </c>
      <c r="P588" s="2">
        <v>0.4</v>
      </c>
      <c r="Q588" s="2">
        <f t="shared" si="18"/>
        <v>9.4641428560646741</v>
      </c>
      <c r="R588" t="str">
        <f t="shared" si="19"/>
        <v>Regular</v>
      </c>
      <c r="S588" t="s">
        <v>172</v>
      </c>
      <c r="T588">
        <v>50</v>
      </c>
    </row>
    <row r="589" spans="1:20">
      <c r="A589" s="1">
        <v>46041</v>
      </c>
      <c r="B589">
        <v>16</v>
      </c>
      <c r="C589" t="s">
        <v>165</v>
      </c>
      <c r="D589" t="s">
        <v>136</v>
      </c>
      <c r="E589" s="6">
        <v>5026.6471000000001</v>
      </c>
      <c r="F589" s="6">
        <v>5071.8581999999997</v>
      </c>
      <c r="G589" s="6">
        <v>41.8752</v>
      </c>
      <c r="H589" s="6">
        <v>5026.6463999999996</v>
      </c>
      <c r="I589" s="6">
        <v>5071.8546999999999</v>
      </c>
      <c r="J589" s="6">
        <v>41.877899999999997</v>
      </c>
      <c r="K589" s="2">
        <v>-0.6</v>
      </c>
      <c r="L589" s="2">
        <v>-3.1</v>
      </c>
      <c r="M589" s="2">
        <v>1.5</v>
      </c>
      <c r="N589" s="2">
        <v>-0.7</v>
      </c>
      <c r="O589" s="2">
        <v>-3.5</v>
      </c>
      <c r="P589" s="2">
        <v>2.7</v>
      </c>
      <c r="Q589" s="2">
        <f t="shared" si="18"/>
        <v>3.5693136595149495</v>
      </c>
      <c r="R589" t="str">
        <f t="shared" si="19"/>
        <v>Regular</v>
      </c>
      <c r="S589" t="s">
        <v>172</v>
      </c>
      <c r="T589">
        <v>50</v>
      </c>
    </row>
    <row r="590" spans="1:20">
      <c r="A590" s="1">
        <v>46041</v>
      </c>
      <c r="B590">
        <v>16</v>
      </c>
      <c r="C590" t="s">
        <v>158</v>
      </c>
      <c r="D590" t="s">
        <v>156</v>
      </c>
      <c r="E590" s="6">
        <v>4980.5802999999996</v>
      </c>
      <c r="F590" s="6">
        <v>5031.6513999999997</v>
      </c>
      <c r="G590" s="6">
        <v>42.887999999999998</v>
      </c>
      <c r="H590" s="6">
        <v>4980.5814</v>
      </c>
      <c r="I590" s="6">
        <v>5031.6516000000001</v>
      </c>
      <c r="J590" s="6">
        <v>42.888599999999997</v>
      </c>
      <c r="K590" s="2">
        <v>1.1000000000000001</v>
      </c>
      <c r="L590" s="2">
        <v>0.2</v>
      </c>
      <c r="M590" s="2">
        <v>0.6</v>
      </c>
      <c r="N590" s="2">
        <v>1.1000000000000001</v>
      </c>
      <c r="O590" s="2">
        <v>0.2</v>
      </c>
      <c r="P590" s="2">
        <v>0.6</v>
      </c>
      <c r="Q590" s="2">
        <f t="shared" si="18"/>
        <v>1.1180339887498949</v>
      </c>
      <c r="R590" t="str">
        <f t="shared" si="19"/>
        <v>Regular</v>
      </c>
      <c r="S590" t="s">
        <v>172</v>
      </c>
      <c r="T590">
        <v>50</v>
      </c>
    </row>
    <row r="591" spans="1:20">
      <c r="A591" s="1">
        <v>46041</v>
      </c>
      <c r="B591">
        <v>16</v>
      </c>
      <c r="C591" t="s">
        <v>171</v>
      </c>
      <c r="D591" t="s">
        <v>123</v>
      </c>
      <c r="E591" s="6">
        <v>4982.7381999999998</v>
      </c>
      <c r="F591" s="6">
        <v>5028.3501999999999</v>
      </c>
      <c r="G591" s="6">
        <v>42.705800000000004</v>
      </c>
      <c r="H591" s="6">
        <v>4982.7381999999998</v>
      </c>
      <c r="I591" s="6">
        <v>5028.3501999999999</v>
      </c>
      <c r="J591" s="6">
        <v>42.705800000000004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f t="shared" si="18"/>
        <v>0</v>
      </c>
      <c r="R591" t="str">
        <f t="shared" si="19"/>
        <v>Regular</v>
      </c>
      <c r="S591" t="s">
        <v>172</v>
      </c>
      <c r="T591">
        <v>50</v>
      </c>
    </row>
    <row r="592" spans="1:20">
      <c r="A592" s="1">
        <v>46048</v>
      </c>
      <c r="B592">
        <v>22</v>
      </c>
      <c r="C592" t="s">
        <v>69</v>
      </c>
      <c r="D592" t="s">
        <v>70</v>
      </c>
      <c r="E592" s="6">
        <v>4990.9656999999997</v>
      </c>
      <c r="F592" s="6">
        <v>5053.7449999999999</v>
      </c>
      <c r="G592" s="6">
        <v>60.553600000000003</v>
      </c>
      <c r="H592" s="6">
        <v>4990.9840000000004</v>
      </c>
      <c r="I592" s="6">
        <v>5053.7060000000001</v>
      </c>
      <c r="J592" s="6">
        <v>60.544899999999998</v>
      </c>
      <c r="K592" s="2">
        <v>-0.1</v>
      </c>
      <c r="L592" s="2">
        <v>-3.2</v>
      </c>
      <c r="M592" s="2">
        <v>-0.3</v>
      </c>
      <c r="N592" s="2">
        <v>18.3</v>
      </c>
      <c r="O592" s="2">
        <v>-39</v>
      </c>
      <c r="P592" s="2">
        <v>-8.6999999999999993</v>
      </c>
      <c r="Q592" s="2">
        <f t="shared" si="18"/>
        <v>43.080041782709543</v>
      </c>
      <c r="R592" t="str">
        <f t="shared" si="19"/>
        <v>Alarme</v>
      </c>
      <c r="S592" t="s">
        <v>174</v>
      </c>
      <c r="T592">
        <v>19</v>
      </c>
    </row>
    <row r="593" spans="1:20">
      <c r="A593" s="1">
        <v>46048</v>
      </c>
      <c r="B593">
        <v>22</v>
      </c>
      <c r="C593" t="s">
        <v>75</v>
      </c>
      <c r="D593" t="s">
        <v>70</v>
      </c>
      <c r="E593" s="6">
        <v>4990.9760999999999</v>
      </c>
      <c r="F593" s="6">
        <v>5053.7455</v>
      </c>
      <c r="G593" s="6">
        <v>59.095199999999998</v>
      </c>
      <c r="H593" s="6">
        <v>4990.9930999999997</v>
      </c>
      <c r="I593" s="6">
        <v>5053.7079999999996</v>
      </c>
      <c r="J593" s="6">
        <v>59.088900000000002</v>
      </c>
      <c r="K593" s="2">
        <v>0.7</v>
      </c>
      <c r="L593" s="2">
        <v>-3.1</v>
      </c>
      <c r="M593" s="2">
        <v>0.6</v>
      </c>
      <c r="N593" s="2">
        <v>17</v>
      </c>
      <c r="O593" s="2">
        <v>-37.5</v>
      </c>
      <c r="P593" s="2">
        <v>-6.3</v>
      </c>
      <c r="Q593" s="2">
        <f t="shared" si="18"/>
        <v>41.173413752080357</v>
      </c>
      <c r="R593" t="str">
        <f t="shared" si="19"/>
        <v>Alarme</v>
      </c>
      <c r="S593" t="s">
        <v>174</v>
      </c>
      <c r="T593">
        <v>19</v>
      </c>
    </row>
    <row r="594" spans="1:20">
      <c r="A594" s="1">
        <v>46048</v>
      </c>
      <c r="B594">
        <v>22</v>
      </c>
      <c r="C594" t="s">
        <v>76</v>
      </c>
      <c r="D594" t="s">
        <v>70</v>
      </c>
      <c r="E594" s="6">
        <v>5001.0812999999998</v>
      </c>
      <c r="F594" s="6">
        <v>5053.5291999999999</v>
      </c>
      <c r="G594" s="6">
        <v>60.621899999999997</v>
      </c>
      <c r="H594" s="6">
        <v>5001.1032999999998</v>
      </c>
      <c r="I594" s="6">
        <v>5053.4861000000001</v>
      </c>
      <c r="J594" s="6">
        <v>60.600999999999999</v>
      </c>
      <c r="K594" s="2">
        <v>0.4</v>
      </c>
      <c r="L594" s="2">
        <v>-2.5</v>
      </c>
      <c r="M594" s="2">
        <v>-0.4</v>
      </c>
      <c r="N594" s="2">
        <v>22</v>
      </c>
      <c r="O594" s="2">
        <v>-43.1</v>
      </c>
      <c r="P594" s="2">
        <v>-20.9</v>
      </c>
      <c r="Q594" s="2">
        <f t="shared" si="18"/>
        <v>48.390184955215865</v>
      </c>
      <c r="R594" t="str">
        <f t="shared" si="19"/>
        <v>Alarme</v>
      </c>
      <c r="S594" t="s">
        <v>174</v>
      </c>
      <c r="T594">
        <v>19</v>
      </c>
    </row>
    <row r="595" spans="1:20">
      <c r="A595" s="1">
        <v>46048</v>
      </c>
      <c r="B595">
        <v>22</v>
      </c>
      <c r="C595" t="s">
        <v>77</v>
      </c>
      <c r="D595" t="s">
        <v>70</v>
      </c>
      <c r="E595" s="6">
        <v>5001.0428000000002</v>
      </c>
      <c r="F595" s="6">
        <v>5053.5321999999996</v>
      </c>
      <c r="G595" s="6">
        <v>58.677799999999998</v>
      </c>
      <c r="H595" s="6">
        <v>5001.0640000000003</v>
      </c>
      <c r="I595" s="6">
        <v>5053.491</v>
      </c>
      <c r="J595" s="6">
        <v>58.656500000000001</v>
      </c>
      <c r="K595" s="2">
        <v>0.4</v>
      </c>
      <c r="L595" s="2">
        <v>-2.4</v>
      </c>
      <c r="M595" s="2">
        <v>-0.8</v>
      </c>
      <c r="N595" s="2">
        <v>21.2</v>
      </c>
      <c r="O595" s="2">
        <v>-41.2</v>
      </c>
      <c r="P595" s="2">
        <v>-21.3</v>
      </c>
      <c r="Q595" s="2">
        <f t="shared" si="18"/>
        <v>46.334436437707971</v>
      </c>
      <c r="R595" t="str">
        <f t="shared" si="19"/>
        <v>Alarme</v>
      </c>
      <c r="S595" t="s">
        <v>174</v>
      </c>
      <c r="T595">
        <v>19</v>
      </c>
    </row>
    <row r="596" spans="1:20">
      <c r="A596" s="1">
        <v>46048</v>
      </c>
      <c r="B596">
        <v>22</v>
      </c>
      <c r="C596" t="s">
        <v>78</v>
      </c>
      <c r="D596" t="s">
        <v>70</v>
      </c>
      <c r="E596" s="6">
        <v>5005.4017999999996</v>
      </c>
      <c r="F596" s="6">
        <v>5054.5141000000003</v>
      </c>
      <c r="G596" s="6">
        <v>60.181899999999999</v>
      </c>
      <c r="H596" s="6"/>
      <c r="I596" s="6"/>
      <c r="J596" s="6"/>
      <c r="K596" s="2"/>
      <c r="L596" s="2"/>
      <c r="M596" s="2"/>
      <c r="N596" s="2"/>
      <c r="O596" s="2"/>
      <c r="P596" s="2"/>
      <c r="Q596" s="2" t="str">
        <f t="shared" si="18"/>
        <v/>
      </c>
      <c r="R596" t="str">
        <f t="shared" si="19"/>
        <v>Sem leitura</v>
      </c>
      <c r="S596" t="s">
        <v>174</v>
      </c>
      <c r="T596">
        <v>19</v>
      </c>
    </row>
    <row r="597" spans="1:20">
      <c r="A597" s="1">
        <v>46048</v>
      </c>
      <c r="B597">
        <v>22</v>
      </c>
      <c r="C597" t="s">
        <v>80</v>
      </c>
      <c r="D597" t="s">
        <v>70</v>
      </c>
      <c r="E597" s="6">
        <v>5005.4050999999999</v>
      </c>
      <c r="F597" s="6">
        <v>5054.5766999999996</v>
      </c>
      <c r="G597" s="6">
        <v>58.646999999999998</v>
      </c>
      <c r="H597" s="6"/>
      <c r="I597" s="6"/>
      <c r="J597" s="6"/>
      <c r="K597" s="2"/>
      <c r="L597" s="2"/>
      <c r="M597" s="2"/>
      <c r="N597" s="2"/>
      <c r="O597" s="2"/>
      <c r="P597" s="2"/>
      <c r="Q597" s="2" t="str">
        <f t="shared" si="18"/>
        <v/>
      </c>
      <c r="R597" t="str">
        <f t="shared" si="19"/>
        <v>Sem leitura</v>
      </c>
      <c r="S597" t="s">
        <v>174</v>
      </c>
      <c r="T597">
        <v>19</v>
      </c>
    </row>
    <row r="598" spans="1:20">
      <c r="A598" s="1">
        <v>46048</v>
      </c>
      <c r="B598">
        <v>22</v>
      </c>
      <c r="C598" t="s">
        <v>81</v>
      </c>
      <c r="D598" t="s">
        <v>70</v>
      </c>
      <c r="E598" s="6">
        <v>5005.8755000000001</v>
      </c>
      <c r="F598" s="6">
        <v>5063.3173999999999</v>
      </c>
      <c r="G598" s="6">
        <v>60.481099999999998</v>
      </c>
      <c r="H598" s="6"/>
      <c r="I598" s="6"/>
      <c r="J598" s="6"/>
      <c r="K598" s="2"/>
      <c r="L598" s="2"/>
      <c r="M598" s="2"/>
      <c r="N598" s="2"/>
      <c r="O598" s="2"/>
      <c r="P598" s="2"/>
      <c r="Q598" s="2" t="str">
        <f t="shared" si="18"/>
        <v/>
      </c>
      <c r="R598" t="str">
        <f t="shared" si="19"/>
        <v>Sem leitura</v>
      </c>
      <c r="S598" t="s">
        <v>174</v>
      </c>
      <c r="T598">
        <v>19</v>
      </c>
    </row>
    <row r="599" spans="1:20">
      <c r="A599" s="1">
        <v>46048</v>
      </c>
      <c r="B599">
        <v>22</v>
      </c>
      <c r="C599" t="s">
        <v>82</v>
      </c>
      <c r="D599" t="s">
        <v>70</v>
      </c>
      <c r="E599" s="6">
        <v>5005.8838999999998</v>
      </c>
      <c r="F599" s="6">
        <v>5063.7007999999996</v>
      </c>
      <c r="G599" s="6">
        <v>59.329300000000003</v>
      </c>
      <c r="H599" s="6"/>
      <c r="I599" s="6"/>
      <c r="J599" s="6"/>
      <c r="K599" s="2"/>
      <c r="L599" s="2"/>
      <c r="M599" s="2"/>
      <c r="N599" s="2"/>
      <c r="O599" s="2"/>
      <c r="P599" s="2"/>
      <c r="Q599" s="2" t="str">
        <f t="shared" si="18"/>
        <v/>
      </c>
      <c r="R599" t="str">
        <f t="shared" si="19"/>
        <v>Sem leitura</v>
      </c>
      <c r="S599" t="s">
        <v>174</v>
      </c>
      <c r="T599">
        <v>19</v>
      </c>
    </row>
    <row r="600" spans="1:20">
      <c r="A600" s="1">
        <v>46048</v>
      </c>
      <c r="B600">
        <v>22</v>
      </c>
      <c r="C600" t="s">
        <v>83</v>
      </c>
      <c r="D600" t="s">
        <v>84</v>
      </c>
      <c r="E600" s="6">
        <v>5055.3705</v>
      </c>
      <c r="F600" s="6">
        <v>5037.6908000000003</v>
      </c>
      <c r="G600" s="6">
        <v>55.834499999999998</v>
      </c>
      <c r="H600" s="6">
        <v>5055.3540999999996</v>
      </c>
      <c r="I600" s="6">
        <v>5037.6921000000002</v>
      </c>
      <c r="J600" s="6">
        <v>55.837899999999998</v>
      </c>
      <c r="K600" s="2">
        <v>-1.6</v>
      </c>
      <c r="L600" s="2">
        <v>-0.5</v>
      </c>
      <c r="M600" s="2">
        <v>0.5</v>
      </c>
      <c r="N600" s="2">
        <v>-16.399999999999999</v>
      </c>
      <c r="O600" s="2">
        <v>1.3</v>
      </c>
      <c r="P600" s="2">
        <v>3.4</v>
      </c>
      <c r="Q600" s="2">
        <f t="shared" si="18"/>
        <v>16.451443705644802</v>
      </c>
      <c r="R600" t="str">
        <f t="shared" si="19"/>
        <v>Alerta</v>
      </c>
      <c r="S600" t="s">
        <v>174</v>
      </c>
      <c r="T600">
        <v>19</v>
      </c>
    </row>
    <row r="601" spans="1:20">
      <c r="A601" s="1">
        <v>46048</v>
      </c>
      <c r="B601">
        <v>22</v>
      </c>
      <c r="C601" t="s">
        <v>85</v>
      </c>
      <c r="D601" t="s">
        <v>84</v>
      </c>
      <c r="E601" s="6">
        <v>5055.3611000000001</v>
      </c>
      <c r="F601" s="6">
        <v>5037.652</v>
      </c>
      <c r="G601" s="6">
        <v>53.920200000000001</v>
      </c>
      <c r="H601" s="6">
        <v>5055.3468999999996</v>
      </c>
      <c r="I601" s="6">
        <v>5037.6502</v>
      </c>
      <c r="J601" s="6">
        <v>53.923900000000003</v>
      </c>
      <c r="K601" s="2">
        <v>-1</v>
      </c>
      <c r="L601" s="2">
        <v>-0.3</v>
      </c>
      <c r="M601" s="2">
        <v>0.2</v>
      </c>
      <c r="N601" s="2">
        <v>-14.2</v>
      </c>
      <c r="O601" s="2">
        <v>-1.8</v>
      </c>
      <c r="P601" s="2">
        <v>3.7</v>
      </c>
      <c r="Q601" s="2">
        <f t="shared" si="18"/>
        <v>14.313629868066311</v>
      </c>
      <c r="R601" t="str">
        <f t="shared" si="19"/>
        <v>Regular</v>
      </c>
      <c r="S601" t="s">
        <v>174</v>
      </c>
      <c r="T601">
        <v>19</v>
      </c>
    </row>
    <row r="602" spans="1:20">
      <c r="A602" s="1">
        <v>46048</v>
      </c>
      <c r="B602">
        <v>22</v>
      </c>
      <c r="C602" t="s">
        <v>86</v>
      </c>
      <c r="D602" t="s">
        <v>84</v>
      </c>
      <c r="E602" s="6">
        <v>5053.1266999999998</v>
      </c>
      <c r="F602" s="6">
        <v>5028.5694000000003</v>
      </c>
      <c r="G602" s="6">
        <v>55.876899999999999</v>
      </c>
      <c r="H602" s="6">
        <v>5053.1109999999999</v>
      </c>
      <c r="I602" s="6">
        <v>5028.5725000000002</v>
      </c>
      <c r="J602" s="6">
        <v>55.880099999999999</v>
      </c>
      <c r="K602" s="2">
        <v>-2</v>
      </c>
      <c r="L602" s="2">
        <v>0.2</v>
      </c>
      <c r="M602" s="2">
        <v>0.5</v>
      </c>
      <c r="N602" s="2">
        <v>-15.7</v>
      </c>
      <c r="O602" s="2">
        <v>3.1</v>
      </c>
      <c r="P602" s="2">
        <v>3.2</v>
      </c>
      <c r="Q602" s="2">
        <f t="shared" si="18"/>
        <v>16.003124694883809</v>
      </c>
      <c r="R602" t="str">
        <f t="shared" si="19"/>
        <v>Alerta</v>
      </c>
      <c r="S602" t="s">
        <v>174</v>
      </c>
      <c r="T602">
        <v>19</v>
      </c>
    </row>
    <row r="603" spans="1:20">
      <c r="A603" s="1">
        <v>46048</v>
      </c>
      <c r="B603">
        <v>22</v>
      </c>
      <c r="C603" t="s">
        <v>87</v>
      </c>
      <c r="D603" t="s">
        <v>84</v>
      </c>
      <c r="E603" s="6">
        <v>5053.1229999999996</v>
      </c>
      <c r="F603" s="6">
        <v>5028.5785999999998</v>
      </c>
      <c r="G603" s="6">
        <v>54.159100000000002</v>
      </c>
      <c r="H603" s="6">
        <v>5053.1079</v>
      </c>
      <c r="I603" s="6">
        <v>5028.5788000000002</v>
      </c>
      <c r="J603" s="6">
        <v>54.162300000000002</v>
      </c>
      <c r="K603" s="2">
        <v>-1.9</v>
      </c>
      <c r="L603" s="2">
        <v>-0.2</v>
      </c>
      <c r="M603" s="2">
        <v>0.4</v>
      </c>
      <c r="N603" s="2">
        <v>-15.1</v>
      </c>
      <c r="O603" s="2">
        <v>0.2</v>
      </c>
      <c r="P603" s="2">
        <v>3.2</v>
      </c>
      <c r="Q603" s="2">
        <f t="shared" si="18"/>
        <v>15.10132444522665</v>
      </c>
      <c r="R603" t="str">
        <f t="shared" si="19"/>
        <v>Alerta</v>
      </c>
      <c r="S603" t="s">
        <v>174</v>
      </c>
      <c r="T603">
        <v>19</v>
      </c>
    </row>
    <row r="604" spans="1:20">
      <c r="A604" s="1">
        <v>46048</v>
      </c>
      <c r="B604">
        <v>22</v>
      </c>
      <c r="C604" t="s">
        <v>88</v>
      </c>
      <c r="D604" t="s">
        <v>89</v>
      </c>
      <c r="E604" s="6">
        <v>5051.1406999999999</v>
      </c>
      <c r="F604" s="6">
        <v>5062.3236999999999</v>
      </c>
      <c r="G604" s="6">
        <v>63.001399999999997</v>
      </c>
      <c r="H604" s="6">
        <v>5051.1274000000003</v>
      </c>
      <c r="I604" s="6">
        <v>5062.3212999999996</v>
      </c>
      <c r="J604" s="6">
        <v>62.9998</v>
      </c>
      <c r="K604" s="2">
        <v>-2</v>
      </c>
      <c r="L604" s="2">
        <v>-0.2</v>
      </c>
      <c r="M604" s="2">
        <v>1.2</v>
      </c>
      <c r="N604" s="2">
        <v>-13.3</v>
      </c>
      <c r="O604" s="2">
        <v>-2.4</v>
      </c>
      <c r="P604" s="2">
        <v>-1.6</v>
      </c>
      <c r="Q604" s="2">
        <f t="shared" si="18"/>
        <v>13.514806694880988</v>
      </c>
      <c r="R604" t="str">
        <f t="shared" si="19"/>
        <v>Regular</v>
      </c>
      <c r="S604" t="s">
        <v>174</v>
      </c>
      <c r="T604">
        <v>19</v>
      </c>
    </row>
    <row r="605" spans="1:20">
      <c r="A605" s="1">
        <v>46048</v>
      </c>
      <c r="B605">
        <v>22</v>
      </c>
      <c r="C605" t="s">
        <v>90</v>
      </c>
      <c r="D605" t="s">
        <v>89</v>
      </c>
      <c r="E605" s="6">
        <v>5051.0086000000001</v>
      </c>
      <c r="F605" s="6">
        <v>5062.4333999999999</v>
      </c>
      <c r="G605" s="6">
        <v>56.898000000000003</v>
      </c>
      <c r="H605" s="6">
        <v>5050.9976999999999</v>
      </c>
      <c r="I605" s="6">
        <v>5062.4309999999996</v>
      </c>
      <c r="J605" s="6">
        <v>56.898299999999999</v>
      </c>
      <c r="K605" s="2">
        <v>-0.9</v>
      </c>
      <c r="L605" s="2">
        <v>0.7</v>
      </c>
      <c r="M605" s="2">
        <v>0.3</v>
      </c>
      <c r="N605" s="2">
        <v>-10.9</v>
      </c>
      <c r="O605" s="2">
        <v>-2.4</v>
      </c>
      <c r="P605" s="2">
        <v>0.3</v>
      </c>
      <c r="Q605" s="2">
        <f t="shared" si="18"/>
        <v>11.161093136427095</v>
      </c>
      <c r="R605" t="str">
        <f t="shared" si="19"/>
        <v>Regular</v>
      </c>
      <c r="S605" t="s">
        <v>174</v>
      </c>
      <c r="T605">
        <v>19</v>
      </c>
    </row>
    <row r="606" spans="1:20">
      <c r="A606" s="1">
        <v>46048</v>
      </c>
      <c r="B606">
        <v>22</v>
      </c>
      <c r="C606" t="s">
        <v>91</v>
      </c>
      <c r="D606" t="s">
        <v>89</v>
      </c>
      <c r="E606" s="6">
        <v>5058.5258999999996</v>
      </c>
      <c r="F606" s="6">
        <v>5053.1760000000004</v>
      </c>
      <c r="G606" s="6">
        <v>63.525199999999998</v>
      </c>
      <c r="H606" s="6">
        <v>5058.5127000000002</v>
      </c>
      <c r="I606" s="6">
        <v>5053.1734999999999</v>
      </c>
      <c r="J606" s="6">
        <v>63.527799999999999</v>
      </c>
      <c r="K606" s="2">
        <v>0.1</v>
      </c>
      <c r="L606" s="2">
        <v>-0.1</v>
      </c>
      <c r="M606" s="2">
        <v>0.6</v>
      </c>
      <c r="N606" s="2">
        <v>-13.2</v>
      </c>
      <c r="O606" s="2">
        <v>-2.5</v>
      </c>
      <c r="P606" s="2">
        <v>2.6</v>
      </c>
      <c r="Q606" s="2">
        <f t="shared" si="18"/>
        <v>13.434656675925886</v>
      </c>
      <c r="R606" t="str">
        <f t="shared" si="19"/>
        <v>Regular</v>
      </c>
      <c r="S606" t="s">
        <v>174</v>
      </c>
      <c r="T606">
        <v>19</v>
      </c>
    </row>
    <row r="607" spans="1:20">
      <c r="A607" s="1">
        <v>46048</v>
      </c>
      <c r="B607">
        <v>22</v>
      </c>
      <c r="C607" t="s">
        <v>92</v>
      </c>
      <c r="D607" t="s">
        <v>89</v>
      </c>
      <c r="E607" s="6">
        <v>5060.2732999999998</v>
      </c>
      <c r="F607" s="6">
        <v>5059.0944</v>
      </c>
      <c r="G607" s="6">
        <v>58.7943</v>
      </c>
      <c r="H607" s="6">
        <v>5060.259</v>
      </c>
      <c r="I607" s="6">
        <v>5059.0933000000005</v>
      </c>
      <c r="J607" s="6">
        <v>58.795299999999997</v>
      </c>
      <c r="K607" s="2">
        <v>-1.2</v>
      </c>
      <c r="L607" s="2">
        <v>-0.8</v>
      </c>
      <c r="M607" s="2">
        <v>1.5</v>
      </c>
      <c r="N607" s="2">
        <v>-14.3</v>
      </c>
      <c r="O607" s="2">
        <v>-1.1000000000000001</v>
      </c>
      <c r="P607" s="2">
        <v>1</v>
      </c>
      <c r="Q607" s="2">
        <f t="shared" si="18"/>
        <v>14.342245291445828</v>
      </c>
      <c r="R607" t="str">
        <f t="shared" si="19"/>
        <v>Regular</v>
      </c>
      <c r="S607" t="s">
        <v>174</v>
      </c>
      <c r="T607">
        <v>19</v>
      </c>
    </row>
    <row r="608" spans="1:20">
      <c r="A608" s="1">
        <v>46048</v>
      </c>
      <c r="B608">
        <v>22</v>
      </c>
      <c r="C608" t="s">
        <v>114</v>
      </c>
      <c r="D608" t="s">
        <v>70</v>
      </c>
      <c r="E608" s="6">
        <v>5005.4053999999996</v>
      </c>
      <c r="F608" s="6">
        <v>5054.1601000000001</v>
      </c>
      <c r="G608" s="6">
        <v>59.572699999999998</v>
      </c>
      <c r="H608" s="6">
        <v>5005.4238999999998</v>
      </c>
      <c r="I608" s="6">
        <v>5054.1324000000004</v>
      </c>
      <c r="J608" s="6">
        <v>59.553800000000003</v>
      </c>
      <c r="K608" s="2">
        <v>0.2</v>
      </c>
      <c r="L608" s="2">
        <v>-3.1</v>
      </c>
      <c r="M608" s="2">
        <v>-0.5</v>
      </c>
      <c r="N608" s="2">
        <v>18.5</v>
      </c>
      <c r="O608" s="2">
        <v>-27.7</v>
      </c>
      <c r="P608" s="2">
        <v>-18.899999999999999</v>
      </c>
      <c r="Q608" s="2">
        <f t="shared" si="18"/>
        <v>33.309758329954903</v>
      </c>
      <c r="R608" t="str">
        <f t="shared" si="19"/>
        <v>Alarme</v>
      </c>
      <c r="S608" t="s">
        <v>174</v>
      </c>
      <c r="T608">
        <v>19</v>
      </c>
    </row>
    <row r="609" spans="1:20">
      <c r="A609" s="1">
        <v>46048</v>
      </c>
      <c r="B609">
        <v>22</v>
      </c>
      <c r="C609" t="s">
        <v>116</v>
      </c>
      <c r="D609" t="s">
        <v>70</v>
      </c>
      <c r="E609" s="6">
        <v>5005.4237999999996</v>
      </c>
      <c r="F609" s="6">
        <v>5054.4835999999996</v>
      </c>
      <c r="G609" s="6">
        <v>58.357300000000002</v>
      </c>
      <c r="H609" s="6">
        <v>5005.4417000000003</v>
      </c>
      <c r="I609" s="6">
        <v>5054.4557999999997</v>
      </c>
      <c r="J609" s="6">
        <v>58.339100000000002</v>
      </c>
      <c r="K609" s="2">
        <v>0.9</v>
      </c>
      <c r="L609" s="2">
        <v>-2.4</v>
      </c>
      <c r="M609" s="2">
        <v>-0.5</v>
      </c>
      <c r="N609" s="2">
        <v>17.899999999999999</v>
      </c>
      <c r="O609" s="2">
        <v>-27.8</v>
      </c>
      <c r="P609" s="2">
        <v>-18.2</v>
      </c>
      <c r="Q609" s="2">
        <f t="shared" si="18"/>
        <v>33.064331234730879</v>
      </c>
      <c r="R609" t="str">
        <f t="shared" si="19"/>
        <v>Alarme</v>
      </c>
      <c r="S609" t="s">
        <v>174</v>
      </c>
      <c r="T609">
        <v>19</v>
      </c>
    </row>
    <row r="610" spans="1:20">
      <c r="A610" s="1">
        <v>46048</v>
      </c>
      <c r="B610">
        <v>22</v>
      </c>
      <c r="C610" t="s">
        <v>117</v>
      </c>
      <c r="D610" t="s">
        <v>70</v>
      </c>
      <c r="E610" s="6">
        <v>5005.9258</v>
      </c>
      <c r="F610" s="6">
        <v>5064.1066000000001</v>
      </c>
      <c r="G610" s="6">
        <v>60.544499999999999</v>
      </c>
      <c r="H610" s="6">
        <v>5005.9438</v>
      </c>
      <c r="I610" s="6">
        <v>5064.0807999999997</v>
      </c>
      <c r="J610" s="6">
        <v>60.524000000000001</v>
      </c>
      <c r="K610" s="2">
        <v>0.4</v>
      </c>
      <c r="L610" s="2">
        <v>-2</v>
      </c>
      <c r="M610" s="2">
        <v>-0.2</v>
      </c>
      <c r="N610" s="2">
        <v>18</v>
      </c>
      <c r="O610" s="2">
        <v>-25.8</v>
      </c>
      <c r="P610" s="2">
        <v>-20.5</v>
      </c>
      <c r="Q610" s="2">
        <f t="shared" si="18"/>
        <v>31.458544149403991</v>
      </c>
      <c r="R610" t="str">
        <f t="shared" si="19"/>
        <v>Alarme</v>
      </c>
      <c r="S610" t="s">
        <v>174</v>
      </c>
      <c r="T610">
        <v>19</v>
      </c>
    </row>
    <row r="611" spans="1:20">
      <c r="A611" s="1">
        <v>46048</v>
      </c>
      <c r="B611">
        <v>22</v>
      </c>
      <c r="C611" t="s">
        <v>118</v>
      </c>
      <c r="D611" t="s">
        <v>70</v>
      </c>
      <c r="E611" s="6">
        <v>5005.8734999999997</v>
      </c>
      <c r="F611" s="6">
        <v>5063.2722999999996</v>
      </c>
      <c r="G611" s="6">
        <v>58.732500000000002</v>
      </c>
      <c r="H611" s="6">
        <v>5005.8888999999999</v>
      </c>
      <c r="I611" s="6">
        <v>5063.2461000000003</v>
      </c>
      <c r="J611" s="6">
        <v>58.711799999999997</v>
      </c>
      <c r="K611" s="2">
        <v>0.1</v>
      </c>
      <c r="L611" s="2">
        <v>-2.2999999999999998</v>
      </c>
      <c r="M611" s="2">
        <v>-0.6</v>
      </c>
      <c r="N611" s="2">
        <v>15.4</v>
      </c>
      <c r="O611" s="2">
        <v>-26.2</v>
      </c>
      <c r="P611" s="2">
        <v>-20.7</v>
      </c>
      <c r="Q611" s="2">
        <f t="shared" si="18"/>
        <v>30.390788077968626</v>
      </c>
      <c r="R611" t="str">
        <f t="shared" si="19"/>
        <v>Alarme</v>
      </c>
      <c r="S611" t="s">
        <v>174</v>
      </c>
      <c r="T611">
        <v>19</v>
      </c>
    </row>
    <row r="612" spans="1:20">
      <c r="A612" s="1">
        <v>46048</v>
      </c>
      <c r="B612">
        <v>17</v>
      </c>
      <c r="C612" t="s">
        <v>119</v>
      </c>
      <c r="D612" t="s">
        <v>120</v>
      </c>
      <c r="E612" s="6">
        <v>5019.7240000000002</v>
      </c>
      <c r="F612" s="6">
        <v>5017.4448000000002</v>
      </c>
      <c r="G612" s="6">
        <v>48.267099999999999</v>
      </c>
      <c r="H612" s="6"/>
      <c r="I612" s="6"/>
      <c r="J612" s="6"/>
      <c r="K612" s="2"/>
      <c r="L612" s="2"/>
      <c r="M612" s="2"/>
      <c r="N612" s="2"/>
      <c r="O612" s="2"/>
      <c r="P612" s="2"/>
      <c r="Q612" s="2" t="str">
        <f t="shared" si="18"/>
        <v/>
      </c>
      <c r="R612" t="str">
        <f t="shared" si="19"/>
        <v>Sem leitura</v>
      </c>
      <c r="S612" t="s">
        <v>174</v>
      </c>
      <c r="T612">
        <v>50</v>
      </c>
    </row>
    <row r="613" spans="1:20">
      <c r="A613" s="1">
        <v>46048</v>
      </c>
      <c r="B613">
        <v>17</v>
      </c>
      <c r="C613" t="s">
        <v>122</v>
      </c>
      <c r="D613" t="s">
        <v>123</v>
      </c>
      <c r="E613" s="6">
        <v>4982.3819999999996</v>
      </c>
      <c r="F613" s="6">
        <v>5027.9636</v>
      </c>
      <c r="G613" s="6">
        <v>48.275500000000001</v>
      </c>
      <c r="H613" s="6">
        <v>4982.4061000000002</v>
      </c>
      <c r="I613" s="6">
        <v>5027.9639999999999</v>
      </c>
      <c r="J613" s="6">
        <v>48.282299999999999</v>
      </c>
      <c r="K613" s="2">
        <v>2.2000000000000002</v>
      </c>
      <c r="L613" s="2">
        <v>-0.6</v>
      </c>
      <c r="M613" s="2">
        <v>1.2</v>
      </c>
      <c r="N613" s="2">
        <v>24.1</v>
      </c>
      <c r="O613" s="2">
        <v>0.4</v>
      </c>
      <c r="P613" s="2">
        <v>6.8</v>
      </c>
      <c r="Q613" s="2">
        <f t="shared" si="18"/>
        <v>24.103319273494265</v>
      </c>
      <c r="R613" t="str">
        <f t="shared" si="19"/>
        <v>Alerta</v>
      </c>
      <c r="S613" t="s">
        <v>174</v>
      </c>
      <c r="T613">
        <v>50</v>
      </c>
    </row>
    <row r="614" spans="1:20">
      <c r="A614" s="1">
        <v>46048</v>
      </c>
      <c r="B614">
        <v>17</v>
      </c>
      <c r="C614" t="s">
        <v>124</v>
      </c>
      <c r="D614" t="s">
        <v>125</v>
      </c>
      <c r="E614" s="6">
        <v>4986.2775000000001</v>
      </c>
      <c r="F614" s="6">
        <v>5019.8639000000003</v>
      </c>
      <c r="G614" s="6">
        <v>50.872999999999998</v>
      </c>
      <c r="H614" s="6">
        <v>4986.2830999999996</v>
      </c>
      <c r="I614" s="6">
        <v>5019.8630999999996</v>
      </c>
      <c r="J614" s="6">
        <v>50.874699999999997</v>
      </c>
      <c r="K614" s="2">
        <v>0.2</v>
      </c>
      <c r="L614" s="2">
        <v>-0.6</v>
      </c>
      <c r="M614" s="2">
        <v>0</v>
      </c>
      <c r="N614" s="2">
        <v>5.6</v>
      </c>
      <c r="O614" s="2">
        <v>-0.8</v>
      </c>
      <c r="P614" s="2">
        <v>1.7</v>
      </c>
      <c r="Q614" s="2">
        <f t="shared" si="18"/>
        <v>5.6568542494923797</v>
      </c>
      <c r="R614" t="str">
        <f t="shared" si="19"/>
        <v>Regular</v>
      </c>
      <c r="S614" t="s">
        <v>174</v>
      </c>
      <c r="T614">
        <v>50</v>
      </c>
    </row>
    <row r="615" spans="1:20">
      <c r="A615" s="1">
        <v>46048</v>
      </c>
      <c r="B615">
        <v>17</v>
      </c>
      <c r="C615" t="s">
        <v>126</v>
      </c>
      <c r="D615" t="s">
        <v>125</v>
      </c>
      <c r="E615" s="6">
        <v>4977.5057999999999</v>
      </c>
      <c r="F615" s="6">
        <v>5027.6043</v>
      </c>
      <c r="G615" s="6">
        <v>52.208399999999997</v>
      </c>
      <c r="H615" s="6">
        <v>4977.5087000000003</v>
      </c>
      <c r="I615" s="6">
        <v>5027.5990000000002</v>
      </c>
      <c r="J615" s="6">
        <v>52.209299999999999</v>
      </c>
      <c r="K615" s="2">
        <v>-0.2</v>
      </c>
      <c r="L615" s="2">
        <v>-1.2</v>
      </c>
      <c r="M615" s="2">
        <v>0.5</v>
      </c>
      <c r="N615" s="2">
        <v>2.9</v>
      </c>
      <c r="O615" s="2">
        <v>-5.3</v>
      </c>
      <c r="P615" s="2">
        <v>0.9</v>
      </c>
      <c r="Q615" s="2">
        <f t="shared" si="18"/>
        <v>6.0415229867972862</v>
      </c>
      <c r="R615" t="str">
        <f t="shared" si="19"/>
        <v>Regular</v>
      </c>
      <c r="S615" t="s">
        <v>174</v>
      </c>
      <c r="T615">
        <v>50</v>
      </c>
    </row>
    <row r="616" spans="1:20">
      <c r="A616" s="1">
        <v>46048</v>
      </c>
      <c r="B616">
        <v>17</v>
      </c>
      <c r="C616" t="s">
        <v>127</v>
      </c>
      <c r="D616" t="s">
        <v>128</v>
      </c>
      <c r="E616" s="6">
        <v>4974.3924999999999</v>
      </c>
      <c r="F616" s="6">
        <v>5039.5325999999995</v>
      </c>
      <c r="G616" s="6">
        <v>53.556800000000003</v>
      </c>
      <c r="H616" s="6">
        <v>4974.3978999999999</v>
      </c>
      <c r="I616" s="6">
        <v>5039.5319</v>
      </c>
      <c r="J616" s="6">
        <v>53.558700000000002</v>
      </c>
      <c r="K616" s="2">
        <v>0.3</v>
      </c>
      <c r="L616" s="2">
        <v>0.1</v>
      </c>
      <c r="M616" s="2">
        <v>0.7</v>
      </c>
      <c r="N616" s="2">
        <v>5.4</v>
      </c>
      <c r="O616" s="2">
        <v>-0.7</v>
      </c>
      <c r="P616" s="2">
        <v>1.9</v>
      </c>
      <c r="Q616" s="2">
        <f t="shared" si="18"/>
        <v>5.4451813560247926</v>
      </c>
      <c r="R616" t="str">
        <f t="shared" si="19"/>
        <v>Regular</v>
      </c>
      <c r="S616" t="s">
        <v>174</v>
      </c>
      <c r="T616">
        <v>50</v>
      </c>
    </row>
    <row r="617" spans="1:20">
      <c r="A617" s="1">
        <v>46048</v>
      </c>
      <c r="B617">
        <v>17</v>
      </c>
      <c r="C617" t="s">
        <v>129</v>
      </c>
      <c r="D617" t="s">
        <v>130</v>
      </c>
      <c r="E617" s="6">
        <v>4981.8689000000004</v>
      </c>
      <c r="F617" s="6">
        <v>5046.9902000000002</v>
      </c>
      <c r="G617" s="6">
        <v>53.966500000000003</v>
      </c>
      <c r="H617" s="6">
        <v>4981.8813</v>
      </c>
      <c r="I617" s="6">
        <v>5046.9784</v>
      </c>
      <c r="J617" s="6">
        <v>53.970500000000001</v>
      </c>
      <c r="K617" s="2">
        <v>-0.4</v>
      </c>
      <c r="L617" s="2">
        <v>-0.1</v>
      </c>
      <c r="M617" s="2">
        <v>0.5</v>
      </c>
      <c r="N617" s="2">
        <v>12.4</v>
      </c>
      <c r="O617" s="2">
        <v>-11.8</v>
      </c>
      <c r="P617" s="2">
        <v>4</v>
      </c>
      <c r="Q617" s="2">
        <f t="shared" si="18"/>
        <v>17.11724276862369</v>
      </c>
      <c r="R617" t="str">
        <f t="shared" si="19"/>
        <v>Regular</v>
      </c>
      <c r="S617" t="s">
        <v>174</v>
      </c>
      <c r="T617">
        <v>50</v>
      </c>
    </row>
    <row r="618" spans="1:20">
      <c r="A618" s="1">
        <v>46048</v>
      </c>
      <c r="B618">
        <v>17</v>
      </c>
      <c r="C618" t="s">
        <v>131</v>
      </c>
      <c r="D618" t="s">
        <v>130</v>
      </c>
      <c r="E618" s="6">
        <v>4993.0258000000003</v>
      </c>
      <c r="F618" s="6">
        <v>5045.3909000000003</v>
      </c>
      <c r="G618" s="6">
        <v>53.905200000000001</v>
      </c>
      <c r="H618" s="6">
        <v>4993.0360000000001</v>
      </c>
      <c r="I618" s="6">
        <v>5045.3720000000003</v>
      </c>
      <c r="J618" s="6">
        <v>53.907299999999999</v>
      </c>
      <c r="K618" s="2">
        <v>-0.1</v>
      </c>
      <c r="L618" s="2">
        <v>-1.5</v>
      </c>
      <c r="M618" s="2">
        <v>1.2</v>
      </c>
      <c r="N618" s="2">
        <v>10.199999999999999</v>
      </c>
      <c r="O618" s="2">
        <v>-18.899999999999999</v>
      </c>
      <c r="P618" s="2">
        <v>2.1</v>
      </c>
      <c r="Q618" s="2">
        <f t="shared" si="18"/>
        <v>21.476731594914526</v>
      </c>
      <c r="R618" t="str">
        <f t="shared" si="19"/>
        <v>Regular</v>
      </c>
      <c r="S618" t="s">
        <v>174</v>
      </c>
      <c r="T618">
        <v>50</v>
      </c>
    </row>
    <row r="619" spans="1:20">
      <c r="A619" s="1">
        <v>46048</v>
      </c>
      <c r="B619">
        <v>17</v>
      </c>
      <c r="C619" t="s">
        <v>132</v>
      </c>
      <c r="D619" t="s">
        <v>130</v>
      </c>
      <c r="E619" s="6">
        <v>5002.4090999999999</v>
      </c>
      <c r="F619" s="6">
        <v>5044.0244000000002</v>
      </c>
      <c r="G619" s="6">
        <v>53.889200000000002</v>
      </c>
      <c r="H619" s="6">
        <v>5002.4161000000004</v>
      </c>
      <c r="I619" s="6">
        <v>5043.9876999999997</v>
      </c>
      <c r="J619" s="6">
        <v>53.8949</v>
      </c>
      <c r="K619" s="2">
        <v>0.2</v>
      </c>
      <c r="L619" s="2">
        <v>-3.2</v>
      </c>
      <c r="M619" s="2">
        <v>1.3</v>
      </c>
      <c r="N619" s="2">
        <v>7</v>
      </c>
      <c r="O619" s="2">
        <v>-36.700000000000003</v>
      </c>
      <c r="P619" s="2">
        <v>5.7</v>
      </c>
      <c r="Q619" s="2">
        <f t="shared" si="18"/>
        <v>37.361611314288893</v>
      </c>
      <c r="R619" t="str">
        <f t="shared" si="19"/>
        <v>Alerta</v>
      </c>
      <c r="S619" t="s">
        <v>174</v>
      </c>
      <c r="T619">
        <v>50</v>
      </c>
    </row>
    <row r="620" spans="1:20">
      <c r="A620" s="1">
        <v>46048</v>
      </c>
      <c r="B620">
        <v>17</v>
      </c>
      <c r="C620" t="s">
        <v>133</v>
      </c>
      <c r="D620" t="s">
        <v>134</v>
      </c>
      <c r="E620" s="6">
        <v>5012.8994000000002</v>
      </c>
      <c r="F620" s="6">
        <v>5060.6997000000001</v>
      </c>
      <c r="G620" s="6">
        <v>52.496299999999998</v>
      </c>
      <c r="H620" s="6">
        <v>5012.8923999999997</v>
      </c>
      <c r="I620" s="6">
        <v>5060.6720999999998</v>
      </c>
      <c r="J620" s="6">
        <v>52.5045</v>
      </c>
      <c r="K620" s="2">
        <v>-2.2999999999999998</v>
      </c>
      <c r="L620" s="2">
        <v>-1.5</v>
      </c>
      <c r="M620" s="2">
        <v>2</v>
      </c>
      <c r="N620" s="2">
        <v>-7</v>
      </c>
      <c r="O620" s="2">
        <v>-27.6</v>
      </c>
      <c r="P620" s="2">
        <v>8.1999999999999993</v>
      </c>
      <c r="Q620" s="2">
        <f t="shared" si="18"/>
        <v>28.473847650080593</v>
      </c>
      <c r="R620" t="str">
        <f t="shared" si="19"/>
        <v>Regular</v>
      </c>
      <c r="S620" t="s">
        <v>174</v>
      </c>
      <c r="T620">
        <v>50</v>
      </c>
    </row>
    <row r="621" spans="1:20">
      <c r="A621" s="1">
        <v>46048</v>
      </c>
      <c r="B621">
        <v>17</v>
      </c>
      <c r="C621" t="s">
        <v>135</v>
      </c>
      <c r="D621" t="s">
        <v>136</v>
      </c>
      <c r="E621" s="6">
        <v>5026.7076999999999</v>
      </c>
      <c r="F621" s="6">
        <v>5072.3888999999999</v>
      </c>
      <c r="G621" s="6">
        <v>53.761400000000002</v>
      </c>
      <c r="H621" s="6">
        <v>5026.7012999999997</v>
      </c>
      <c r="I621" s="6">
        <v>5072.3663999999999</v>
      </c>
      <c r="J621" s="6">
        <v>53.767400000000002</v>
      </c>
      <c r="K621" s="2">
        <v>-1.7</v>
      </c>
      <c r="L621" s="2">
        <v>-1.6</v>
      </c>
      <c r="M621" s="2">
        <v>1.3</v>
      </c>
      <c r="N621" s="2">
        <v>-6.4</v>
      </c>
      <c r="O621" s="2">
        <v>-22.5</v>
      </c>
      <c r="P621" s="2">
        <v>6</v>
      </c>
      <c r="Q621" s="2">
        <f t="shared" si="18"/>
        <v>23.392520172055001</v>
      </c>
      <c r="R621" t="str">
        <f t="shared" si="19"/>
        <v>Regular</v>
      </c>
      <c r="S621" t="s">
        <v>174</v>
      </c>
      <c r="T621">
        <v>50</v>
      </c>
    </row>
    <row r="622" spans="1:20">
      <c r="A622" s="1">
        <v>46048</v>
      </c>
      <c r="B622">
        <v>17</v>
      </c>
      <c r="C622" t="s">
        <v>137</v>
      </c>
      <c r="D622" t="s">
        <v>138</v>
      </c>
      <c r="E622" s="6">
        <v>5046.1882999999998</v>
      </c>
      <c r="F622" s="6">
        <v>5033.5622999999996</v>
      </c>
      <c r="G622" s="6">
        <v>48.999099999999999</v>
      </c>
      <c r="H622" s="6">
        <v>5046.1674000000003</v>
      </c>
      <c r="I622" s="6">
        <v>5033.5608000000002</v>
      </c>
      <c r="J622" s="6">
        <v>49.000300000000003</v>
      </c>
      <c r="K622" s="2">
        <v>-0.6</v>
      </c>
      <c r="L622" s="2">
        <v>-0.6</v>
      </c>
      <c r="M622" s="2">
        <v>0.9</v>
      </c>
      <c r="N622" s="2">
        <v>-20.9</v>
      </c>
      <c r="O622" s="2">
        <v>-1.5</v>
      </c>
      <c r="P622" s="2">
        <v>1.2</v>
      </c>
      <c r="Q622" s="2">
        <f t="shared" si="18"/>
        <v>20.953758612716715</v>
      </c>
      <c r="R622" t="str">
        <f t="shared" si="19"/>
        <v>Alerta</v>
      </c>
      <c r="S622" t="s">
        <v>174</v>
      </c>
      <c r="T622">
        <v>50</v>
      </c>
    </row>
    <row r="623" spans="1:20">
      <c r="A623" s="1">
        <v>46048</v>
      </c>
      <c r="B623">
        <v>17</v>
      </c>
      <c r="C623" t="s">
        <v>139</v>
      </c>
      <c r="D623" t="s">
        <v>134</v>
      </c>
      <c r="E623" s="6">
        <v>5010.7592999999997</v>
      </c>
      <c r="F623" s="6">
        <v>5050.9463999999998</v>
      </c>
      <c r="G623" s="6">
        <v>52.517400000000002</v>
      </c>
      <c r="H623" s="6">
        <v>5010.7462999999998</v>
      </c>
      <c r="I623" s="6">
        <v>5050.9222</v>
      </c>
      <c r="J623" s="6">
        <v>52.528100000000002</v>
      </c>
      <c r="K623" s="2">
        <v>-2.8</v>
      </c>
      <c r="L623" s="2">
        <v>-1.6</v>
      </c>
      <c r="M623" s="2">
        <v>1.3</v>
      </c>
      <c r="N623" s="2">
        <v>-13</v>
      </c>
      <c r="O623" s="2">
        <v>-24.2</v>
      </c>
      <c r="P623" s="2">
        <v>10.7</v>
      </c>
      <c r="Q623" s="2">
        <f t="shared" si="18"/>
        <v>27.470711676256222</v>
      </c>
      <c r="R623" t="str">
        <f t="shared" si="19"/>
        <v>Alerta</v>
      </c>
      <c r="S623" t="s">
        <v>174</v>
      </c>
      <c r="T623">
        <v>50</v>
      </c>
    </row>
    <row r="624" spans="1:20">
      <c r="A624" s="1">
        <v>46048</v>
      </c>
      <c r="B624">
        <v>17</v>
      </c>
      <c r="C624" t="s">
        <v>140</v>
      </c>
      <c r="D624" t="s">
        <v>128</v>
      </c>
      <c r="E624" s="6">
        <v>4976.0573000000004</v>
      </c>
      <c r="F624" s="6">
        <v>5040.5965999999999</v>
      </c>
      <c r="G624" s="6">
        <v>48.214799999999997</v>
      </c>
      <c r="H624" s="6">
        <v>4976.0680000000002</v>
      </c>
      <c r="I624" s="6">
        <v>5040.5937999999996</v>
      </c>
      <c r="J624" s="6">
        <v>48.217500000000001</v>
      </c>
      <c r="K624" s="2">
        <v>0.3</v>
      </c>
      <c r="L624" s="2">
        <v>1.2</v>
      </c>
      <c r="M624" s="2">
        <v>1</v>
      </c>
      <c r="N624" s="2">
        <v>10.7</v>
      </c>
      <c r="O624" s="2">
        <v>-2.8</v>
      </c>
      <c r="P624" s="2">
        <v>2.7</v>
      </c>
      <c r="Q624" s="2">
        <f t="shared" si="18"/>
        <v>11.060289327137875</v>
      </c>
      <c r="R624" t="str">
        <f t="shared" si="19"/>
        <v>Regular</v>
      </c>
      <c r="S624" t="s">
        <v>174</v>
      </c>
      <c r="T624">
        <v>50</v>
      </c>
    </row>
    <row r="625" spans="1:20">
      <c r="A625" s="1">
        <v>46048</v>
      </c>
      <c r="B625">
        <v>17</v>
      </c>
      <c r="C625" t="s">
        <v>141</v>
      </c>
      <c r="D625" t="s">
        <v>130</v>
      </c>
      <c r="E625" s="6">
        <v>4987.9621999999999</v>
      </c>
      <c r="F625" s="6">
        <v>5045.3176000000003</v>
      </c>
      <c r="G625" s="6">
        <v>47.637599999999999</v>
      </c>
      <c r="H625" s="6">
        <v>4987.9701999999997</v>
      </c>
      <c r="I625" s="6">
        <v>5045.2943999999998</v>
      </c>
      <c r="J625" s="6">
        <v>47.640900000000002</v>
      </c>
      <c r="K625" s="2">
        <v>0.2</v>
      </c>
      <c r="L625" s="2">
        <v>-2.4</v>
      </c>
      <c r="M625" s="2">
        <v>0.6</v>
      </c>
      <c r="N625" s="2">
        <v>8</v>
      </c>
      <c r="O625" s="2">
        <v>-23.2</v>
      </c>
      <c r="P625" s="2">
        <v>3.3</v>
      </c>
      <c r="Q625" s="2">
        <f t="shared" si="18"/>
        <v>24.54057864028475</v>
      </c>
      <c r="R625" t="str">
        <f t="shared" si="19"/>
        <v>Regular</v>
      </c>
      <c r="S625" t="s">
        <v>174</v>
      </c>
      <c r="T625">
        <v>50</v>
      </c>
    </row>
    <row r="626" spans="1:20">
      <c r="A626" s="1">
        <v>46048</v>
      </c>
      <c r="B626">
        <v>17</v>
      </c>
      <c r="C626" t="s">
        <v>142</v>
      </c>
      <c r="D626" t="s">
        <v>130</v>
      </c>
      <c r="E626" s="6">
        <v>5002.5304999999998</v>
      </c>
      <c r="F626" s="6">
        <v>5043.4611000000004</v>
      </c>
      <c r="G626" s="6">
        <v>47.537100000000002</v>
      </c>
      <c r="H626" s="6">
        <v>5002.5370000000003</v>
      </c>
      <c r="I626" s="6">
        <v>5043.4228999999996</v>
      </c>
      <c r="J626" s="6">
        <v>47.542499999999997</v>
      </c>
      <c r="K626" s="2">
        <v>0.2</v>
      </c>
      <c r="L626" s="2">
        <v>-4.2</v>
      </c>
      <c r="M626" s="2">
        <v>0.7</v>
      </c>
      <c r="N626" s="2">
        <v>6.5</v>
      </c>
      <c r="O626" s="2">
        <v>-38.200000000000003</v>
      </c>
      <c r="P626" s="2">
        <v>5.4</v>
      </c>
      <c r="Q626" s="2">
        <f t="shared" si="18"/>
        <v>38.74906450483676</v>
      </c>
      <c r="R626" t="str">
        <f t="shared" si="19"/>
        <v>Alerta</v>
      </c>
      <c r="S626" t="s">
        <v>174</v>
      </c>
      <c r="T626">
        <v>50</v>
      </c>
    </row>
    <row r="627" spans="1:20">
      <c r="A627" s="1">
        <v>46048</v>
      </c>
      <c r="B627">
        <v>17</v>
      </c>
      <c r="C627" t="s">
        <v>143</v>
      </c>
      <c r="D627" t="s">
        <v>136</v>
      </c>
      <c r="E627" s="6">
        <v>5027.4714000000004</v>
      </c>
      <c r="F627" s="6">
        <v>5072.2404999999999</v>
      </c>
      <c r="G627" s="6">
        <v>51.143700000000003</v>
      </c>
      <c r="H627" s="6">
        <v>5027.4674000000005</v>
      </c>
      <c r="I627" s="6">
        <v>5072.2195000000002</v>
      </c>
      <c r="J627" s="6">
        <v>51.1492</v>
      </c>
      <c r="K627" s="2">
        <v>-0.5</v>
      </c>
      <c r="L627" s="2">
        <v>-1.3</v>
      </c>
      <c r="M627" s="2">
        <v>0.6</v>
      </c>
      <c r="N627" s="2">
        <v>-4</v>
      </c>
      <c r="O627" s="2">
        <v>-21</v>
      </c>
      <c r="P627" s="2">
        <v>5.5</v>
      </c>
      <c r="Q627" s="2">
        <f t="shared" si="18"/>
        <v>21.377558326431949</v>
      </c>
      <c r="R627" t="str">
        <f t="shared" si="19"/>
        <v>Regular</v>
      </c>
      <c r="S627" t="s">
        <v>174</v>
      </c>
      <c r="T627">
        <v>50</v>
      </c>
    </row>
    <row r="628" spans="1:20">
      <c r="A628" s="1">
        <v>46048</v>
      </c>
      <c r="B628">
        <v>17</v>
      </c>
      <c r="C628" t="s">
        <v>144</v>
      </c>
      <c r="D628" t="s">
        <v>145</v>
      </c>
      <c r="E628" s="6">
        <v>5041.9629000000004</v>
      </c>
      <c r="F628" s="6">
        <v>5043.3289999999997</v>
      </c>
      <c r="G628" s="6">
        <v>52.0655</v>
      </c>
      <c r="H628" s="6">
        <v>5041.9530000000004</v>
      </c>
      <c r="I628" s="6">
        <v>5043.3234000000002</v>
      </c>
      <c r="J628" s="6">
        <v>52.066600000000001</v>
      </c>
      <c r="K628" s="2">
        <v>-0.5</v>
      </c>
      <c r="L628" s="2">
        <v>0.1</v>
      </c>
      <c r="M628" s="2">
        <v>0.4</v>
      </c>
      <c r="N628" s="2">
        <v>-9.9</v>
      </c>
      <c r="O628" s="2">
        <v>-5.6</v>
      </c>
      <c r="P628" s="2">
        <v>1.1000000000000001</v>
      </c>
      <c r="Q628" s="2">
        <f t="shared" si="18"/>
        <v>11.374093370462544</v>
      </c>
      <c r="R628" t="str">
        <f t="shared" si="19"/>
        <v>Regular</v>
      </c>
      <c r="S628" t="s">
        <v>174</v>
      </c>
      <c r="T628">
        <v>50</v>
      </c>
    </row>
    <row r="629" spans="1:20">
      <c r="A629" s="1">
        <v>46048</v>
      </c>
      <c r="B629">
        <v>17</v>
      </c>
      <c r="C629" t="s">
        <v>166</v>
      </c>
      <c r="D629" t="s">
        <v>167</v>
      </c>
      <c r="E629" s="6">
        <v>5037.8409000000001</v>
      </c>
      <c r="F629" s="6">
        <v>5046.2614999999996</v>
      </c>
      <c r="G629" s="6">
        <v>51.521099999999997</v>
      </c>
      <c r="H629" s="6">
        <v>5037.8292000000001</v>
      </c>
      <c r="I629" s="6">
        <v>5046.2548999999999</v>
      </c>
      <c r="J629" s="6">
        <v>51.525100000000002</v>
      </c>
      <c r="K629" s="2">
        <v>-1.2</v>
      </c>
      <c r="L629" s="2">
        <v>-0.7</v>
      </c>
      <c r="M629" s="2">
        <v>0.7</v>
      </c>
      <c r="N629" s="2">
        <v>-11.7</v>
      </c>
      <c r="O629" s="2">
        <v>-6.6</v>
      </c>
      <c r="P629" s="2">
        <v>4</v>
      </c>
      <c r="Q629" s="2">
        <f t="shared" si="18"/>
        <v>13.433167906342867</v>
      </c>
      <c r="R629" t="str">
        <f t="shared" si="19"/>
        <v>Regular</v>
      </c>
      <c r="S629" t="s">
        <v>174</v>
      </c>
      <c r="T629">
        <v>50</v>
      </c>
    </row>
    <row r="630" spans="1:20">
      <c r="A630" s="1">
        <v>46048</v>
      </c>
      <c r="B630">
        <v>17</v>
      </c>
      <c r="C630" t="s">
        <v>154</v>
      </c>
      <c r="D630" t="s">
        <v>123</v>
      </c>
      <c r="E630" s="6">
        <v>4983.0880999999999</v>
      </c>
      <c r="F630" s="6">
        <v>5028.2978000000003</v>
      </c>
      <c r="G630" s="6">
        <v>42.8752</v>
      </c>
      <c r="H630" s="6"/>
      <c r="I630" s="6"/>
      <c r="J630" s="6"/>
      <c r="K630" s="2"/>
      <c r="L630" s="2"/>
      <c r="M630" s="2"/>
      <c r="N630" s="2"/>
      <c r="O630" s="2"/>
      <c r="P630" s="2"/>
      <c r="Q630" s="2" t="str">
        <f t="shared" si="18"/>
        <v/>
      </c>
      <c r="R630" t="str">
        <f t="shared" si="19"/>
        <v>Sem leitura</v>
      </c>
      <c r="S630" t="s">
        <v>174</v>
      </c>
      <c r="T630">
        <v>50</v>
      </c>
    </row>
    <row r="631" spans="1:20">
      <c r="A631" s="1">
        <v>46048</v>
      </c>
      <c r="B631">
        <v>17</v>
      </c>
      <c r="C631" t="s">
        <v>163</v>
      </c>
      <c r="D631" t="s">
        <v>134</v>
      </c>
      <c r="E631" s="6">
        <v>5013.4206999999997</v>
      </c>
      <c r="F631" s="6">
        <v>5061.5992999999999</v>
      </c>
      <c r="G631" s="6">
        <v>47.2774</v>
      </c>
      <c r="H631" s="6"/>
      <c r="I631" s="6"/>
      <c r="J631" s="6"/>
      <c r="K631" s="2"/>
      <c r="L631" s="2"/>
      <c r="M631" s="2"/>
      <c r="N631" s="2"/>
      <c r="O631" s="2"/>
      <c r="P631" s="2"/>
      <c r="Q631" s="2" t="str">
        <f t="shared" si="18"/>
        <v/>
      </c>
      <c r="R631" t="str">
        <f t="shared" si="19"/>
        <v>Sem leitura</v>
      </c>
      <c r="S631" t="s">
        <v>174</v>
      </c>
      <c r="T631">
        <v>50</v>
      </c>
    </row>
    <row r="632" spans="1:20">
      <c r="A632" s="1">
        <v>46048</v>
      </c>
      <c r="B632">
        <v>17</v>
      </c>
      <c r="C632" t="s">
        <v>164</v>
      </c>
      <c r="D632" t="s">
        <v>136</v>
      </c>
      <c r="E632" s="6">
        <v>5026.8990000000003</v>
      </c>
      <c r="F632" s="6">
        <v>5072.0330000000004</v>
      </c>
      <c r="G632" s="6">
        <v>44.739800000000002</v>
      </c>
      <c r="H632" s="6">
        <v>5026.8963000000003</v>
      </c>
      <c r="I632" s="6">
        <v>5072.0168999999996</v>
      </c>
      <c r="J632" s="6">
        <v>44.7453</v>
      </c>
      <c r="K632" s="2">
        <v>-1.1000000000000001</v>
      </c>
      <c r="L632" s="2">
        <v>-1.1000000000000001</v>
      </c>
      <c r="M632" s="2">
        <v>0.8</v>
      </c>
      <c r="N632" s="2">
        <v>-2.7</v>
      </c>
      <c r="O632" s="2">
        <v>-16.100000000000001</v>
      </c>
      <c r="P632" s="2">
        <v>5.5</v>
      </c>
      <c r="Q632" s="2">
        <f t="shared" si="18"/>
        <v>16.324827717314509</v>
      </c>
      <c r="R632" t="str">
        <f t="shared" si="19"/>
        <v>Regular</v>
      </c>
      <c r="S632" t="s">
        <v>174</v>
      </c>
      <c r="T632">
        <v>50</v>
      </c>
    </row>
    <row r="633" spans="1:20">
      <c r="A633" s="1">
        <v>46048</v>
      </c>
      <c r="B633">
        <v>17</v>
      </c>
      <c r="C633" t="s">
        <v>169</v>
      </c>
      <c r="D633" t="s">
        <v>145</v>
      </c>
      <c r="E633" s="6">
        <v>5042.0578999999998</v>
      </c>
      <c r="F633" s="6">
        <v>5042.7259000000004</v>
      </c>
      <c r="G633" s="6">
        <v>42.933700000000002</v>
      </c>
      <c r="H633" s="6">
        <v>5042.0497999999998</v>
      </c>
      <c r="I633" s="6">
        <v>5042.7255999999998</v>
      </c>
      <c r="J633" s="6">
        <v>42.937399999999997</v>
      </c>
      <c r="K633" s="2">
        <v>-1.4</v>
      </c>
      <c r="L633" s="2">
        <v>0.2</v>
      </c>
      <c r="M633" s="2">
        <v>0.5</v>
      </c>
      <c r="N633" s="2">
        <v>-8.1</v>
      </c>
      <c r="O633" s="2">
        <v>-0.3</v>
      </c>
      <c r="P633" s="2">
        <v>3.7</v>
      </c>
      <c r="Q633" s="2">
        <f t="shared" si="18"/>
        <v>8.1055536516637776</v>
      </c>
      <c r="R633" t="str">
        <f t="shared" si="19"/>
        <v>Regular</v>
      </c>
      <c r="S633" t="s">
        <v>174</v>
      </c>
      <c r="T633">
        <v>50</v>
      </c>
    </row>
    <row r="634" spans="1:20">
      <c r="A634" s="1">
        <v>46048</v>
      </c>
      <c r="B634">
        <v>17</v>
      </c>
      <c r="C634" t="s">
        <v>170</v>
      </c>
      <c r="D634" t="s">
        <v>138</v>
      </c>
      <c r="E634" s="6">
        <v>5045.8157000000001</v>
      </c>
      <c r="F634" s="6">
        <v>5033.7070000000003</v>
      </c>
      <c r="G634" s="6">
        <v>42.660600000000002</v>
      </c>
      <c r="H634" s="6">
        <v>5045.8073000000004</v>
      </c>
      <c r="I634" s="6">
        <v>5033.7084000000004</v>
      </c>
      <c r="J634" s="6">
        <v>42.663499999999999</v>
      </c>
      <c r="K634" s="2">
        <v>-1.1000000000000001</v>
      </c>
      <c r="L634" s="2">
        <v>0.5</v>
      </c>
      <c r="M634" s="2">
        <v>0.6</v>
      </c>
      <c r="N634" s="2">
        <v>-8.4</v>
      </c>
      <c r="O634" s="2">
        <v>1.4</v>
      </c>
      <c r="P634" s="2">
        <v>2.9</v>
      </c>
      <c r="Q634" s="2">
        <f t="shared" si="18"/>
        <v>8.5158675424175065</v>
      </c>
      <c r="R634" t="str">
        <f t="shared" si="19"/>
        <v>Regular</v>
      </c>
      <c r="S634" t="s">
        <v>174</v>
      </c>
      <c r="T634">
        <v>50</v>
      </c>
    </row>
    <row r="635" spans="1:20">
      <c r="A635" s="1">
        <v>46048</v>
      </c>
      <c r="B635">
        <v>17</v>
      </c>
      <c r="C635" t="s">
        <v>149</v>
      </c>
      <c r="D635" t="s">
        <v>120</v>
      </c>
      <c r="E635" s="6">
        <v>5017.3522999999996</v>
      </c>
      <c r="F635" s="6">
        <v>5017.7930999999999</v>
      </c>
      <c r="G635" s="6">
        <v>47.4587</v>
      </c>
      <c r="H635" s="6">
        <v>5017.3492999999999</v>
      </c>
      <c r="I635" s="6">
        <v>5017.7937000000002</v>
      </c>
      <c r="J635" s="6">
        <v>47.463000000000001</v>
      </c>
      <c r="K635" s="2">
        <v>-0.2</v>
      </c>
      <c r="L635" s="2">
        <v>0.1</v>
      </c>
      <c r="M635" s="2">
        <v>1.3</v>
      </c>
      <c r="N635" s="2">
        <v>-3</v>
      </c>
      <c r="O635" s="2">
        <v>0.6</v>
      </c>
      <c r="P635" s="2">
        <v>4.3</v>
      </c>
      <c r="Q635" s="2">
        <f t="shared" si="18"/>
        <v>3.0594117081556709</v>
      </c>
      <c r="R635" t="str">
        <f t="shared" si="19"/>
        <v>Regular</v>
      </c>
      <c r="S635" t="s">
        <v>174</v>
      </c>
      <c r="T635">
        <v>50</v>
      </c>
    </row>
    <row r="636" spans="1:20">
      <c r="A636" s="1">
        <v>46048</v>
      </c>
      <c r="B636">
        <v>17</v>
      </c>
      <c r="C636" t="s">
        <v>151</v>
      </c>
      <c r="D636" t="s">
        <v>120</v>
      </c>
      <c r="E636" s="6">
        <v>5017.2749000000003</v>
      </c>
      <c r="F636" s="6">
        <v>5018.2057000000004</v>
      </c>
      <c r="G636" s="6">
        <v>43.061300000000003</v>
      </c>
      <c r="H636" s="6"/>
      <c r="I636" s="6"/>
      <c r="J636" s="6"/>
      <c r="K636" s="2"/>
      <c r="L636" s="2"/>
      <c r="M636" s="2"/>
      <c r="N636" s="2"/>
      <c r="O636" s="2"/>
      <c r="P636" s="2"/>
      <c r="Q636" s="2" t="str">
        <f t="shared" si="18"/>
        <v/>
      </c>
      <c r="R636" t="str">
        <f t="shared" si="19"/>
        <v>Sem leitura</v>
      </c>
      <c r="S636" t="s">
        <v>174</v>
      </c>
      <c r="T636">
        <v>50</v>
      </c>
    </row>
    <row r="637" spans="1:20">
      <c r="A637" s="1">
        <v>46048</v>
      </c>
      <c r="B637">
        <v>17</v>
      </c>
      <c r="C637" t="s">
        <v>159</v>
      </c>
      <c r="D637" t="s">
        <v>128</v>
      </c>
      <c r="E637" s="6">
        <v>4976.0536000000002</v>
      </c>
      <c r="F637" s="6">
        <v>5040.1774999999998</v>
      </c>
      <c r="G637" s="6">
        <v>43.505000000000003</v>
      </c>
      <c r="H637" s="6"/>
      <c r="I637" s="6"/>
      <c r="J637" s="6"/>
      <c r="K637" s="2"/>
      <c r="L637" s="2"/>
      <c r="M637" s="2"/>
      <c r="N637" s="2"/>
      <c r="O637" s="2"/>
      <c r="P637" s="2"/>
      <c r="Q637" s="2" t="str">
        <f t="shared" si="18"/>
        <v/>
      </c>
      <c r="R637" t="str">
        <f t="shared" si="19"/>
        <v>Sem leitura</v>
      </c>
      <c r="S637" t="s">
        <v>174</v>
      </c>
      <c r="T637">
        <v>50</v>
      </c>
    </row>
    <row r="638" spans="1:20">
      <c r="A638" s="1">
        <v>46048</v>
      </c>
      <c r="B638">
        <v>17</v>
      </c>
      <c r="C638" t="s">
        <v>160</v>
      </c>
      <c r="D638" t="s">
        <v>128</v>
      </c>
      <c r="E638" s="6">
        <v>4976.0869000000002</v>
      </c>
      <c r="F638" s="6">
        <v>5040.6423000000004</v>
      </c>
      <c r="G638" s="6">
        <v>43.351300000000002</v>
      </c>
      <c r="H638" s="6">
        <v>4976.0896000000002</v>
      </c>
      <c r="I638" s="6">
        <v>5040.6396000000004</v>
      </c>
      <c r="J638" s="6">
        <v>43.354500000000002</v>
      </c>
      <c r="K638" s="2">
        <v>1.3</v>
      </c>
      <c r="L638" s="2">
        <v>-0.4</v>
      </c>
      <c r="M638" s="2">
        <v>1.1000000000000001</v>
      </c>
      <c r="N638" s="2">
        <v>2.7</v>
      </c>
      <c r="O638" s="2">
        <v>-2.7</v>
      </c>
      <c r="P638" s="2">
        <v>3.2</v>
      </c>
      <c r="Q638" s="2">
        <f t="shared" si="18"/>
        <v>3.8183766184073571</v>
      </c>
      <c r="R638" t="str">
        <f t="shared" si="19"/>
        <v>Regular</v>
      </c>
      <c r="S638" t="s">
        <v>174</v>
      </c>
      <c r="T638">
        <v>50</v>
      </c>
    </row>
    <row r="639" spans="1:20">
      <c r="A639" s="1">
        <v>46048</v>
      </c>
      <c r="B639">
        <v>17</v>
      </c>
      <c r="C639" t="s">
        <v>168</v>
      </c>
      <c r="D639" t="s">
        <v>167</v>
      </c>
      <c r="E639" s="6">
        <v>5037.7052999999996</v>
      </c>
      <c r="F639" s="6">
        <v>5047.0955999999996</v>
      </c>
      <c r="G639" s="6">
        <v>42.919199999999996</v>
      </c>
      <c r="H639" s="6">
        <v>5037.6992</v>
      </c>
      <c r="I639" s="6">
        <v>5047.0954000000002</v>
      </c>
      <c r="J639" s="6">
        <v>42.921500000000002</v>
      </c>
      <c r="K639" s="2">
        <v>-1.1000000000000001</v>
      </c>
      <c r="L639" s="2">
        <v>-0.6</v>
      </c>
      <c r="M639" s="2">
        <v>1.7</v>
      </c>
      <c r="N639" s="2">
        <v>-6.1</v>
      </c>
      <c r="O639" s="2">
        <v>-0.2</v>
      </c>
      <c r="P639" s="2">
        <v>2.2999999999999998</v>
      </c>
      <c r="Q639" s="2">
        <f t="shared" si="18"/>
        <v>6.103277807866851</v>
      </c>
      <c r="R639" t="str">
        <f t="shared" si="19"/>
        <v>Regular</v>
      </c>
      <c r="S639" t="s">
        <v>174</v>
      </c>
      <c r="T639">
        <v>50</v>
      </c>
    </row>
    <row r="640" spans="1:20">
      <c r="A640" s="1">
        <v>46048</v>
      </c>
      <c r="B640">
        <v>17</v>
      </c>
      <c r="C640" t="s">
        <v>155</v>
      </c>
      <c r="D640" t="s">
        <v>156</v>
      </c>
      <c r="E640" s="6">
        <v>4980.2689</v>
      </c>
      <c r="F640" s="6">
        <v>5031.7997999999998</v>
      </c>
      <c r="G640" s="6">
        <v>48.331200000000003</v>
      </c>
      <c r="H640" s="6">
        <v>4980.2710999999999</v>
      </c>
      <c r="I640" s="6">
        <v>5031.7988999999998</v>
      </c>
      <c r="J640" s="6">
        <v>48.3339</v>
      </c>
      <c r="K640" s="2">
        <v>0.4</v>
      </c>
      <c r="L640" s="2">
        <v>-0.3</v>
      </c>
      <c r="M640" s="2">
        <v>1.2</v>
      </c>
      <c r="N640" s="2">
        <v>2.2000000000000002</v>
      </c>
      <c r="O640" s="2">
        <v>-0.9</v>
      </c>
      <c r="P640" s="2">
        <v>2.7</v>
      </c>
      <c r="Q640" s="2">
        <f t="shared" si="18"/>
        <v>2.3769728648009427</v>
      </c>
      <c r="R640" t="str">
        <f t="shared" si="19"/>
        <v>Regular</v>
      </c>
      <c r="S640" t="s">
        <v>174</v>
      </c>
      <c r="T640">
        <v>50</v>
      </c>
    </row>
    <row r="641" spans="1:20">
      <c r="A641" s="1">
        <v>46048</v>
      </c>
      <c r="B641">
        <v>17</v>
      </c>
      <c r="C641" t="s">
        <v>153</v>
      </c>
      <c r="D641" t="s">
        <v>120</v>
      </c>
      <c r="E641" s="6">
        <v>5017.2718999999997</v>
      </c>
      <c r="F641" s="6">
        <v>5018.1959999999999</v>
      </c>
      <c r="G641" s="6">
        <v>43.055799999999998</v>
      </c>
      <c r="H641" s="6">
        <v>5017.2718999999997</v>
      </c>
      <c r="I641" s="6">
        <v>5018.2003000000004</v>
      </c>
      <c r="J641" s="6">
        <v>43.058100000000003</v>
      </c>
      <c r="K641" s="2">
        <v>0</v>
      </c>
      <c r="L641" s="2">
        <v>0.8</v>
      </c>
      <c r="M641" s="2">
        <v>1.2</v>
      </c>
      <c r="N641" s="2">
        <v>0</v>
      </c>
      <c r="O641" s="2">
        <v>4.3</v>
      </c>
      <c r="P641" s="2">
        <v>2.2999999999999998</v>
      </c>
      <c r="Q641" s="2">
        <f t="shared" si="18"/>
        <v>4.3</v>
      </c>
      <c r="R641" t="str">
        <f t="shared" si="19"/>
        <v>Regular</v>
      </c>
      <c r="S641" t="s">
        <v>174</v>
      </c>
      <c r="T641">
        <v>50</v>
      </c>
    </row>
    <row r="642" spans="1:20">
      <c r="A642" s="1">
        <v>46048</v>
      </c>
      <c r="B642">
        <v>17</v>
      </c>
      <c r="C642" t="s">
        <v>157</v>
      </c>
      <c r="D642" t="s">
        <v>156</v>
      </c>
      <c r="E642" s="6">
        <v>4980.6113999999998</v>
      </c>
      <c r="F642" s="6">
        <v>5031.9393</v>
      </c>
      <c r="G642" s="6">
        <v>42.979900000000001</v>
      </c>
      <c r="H642" s="6"/>
      <c r="I642" s="6"/>
      <c r="J642" s="6"/>
      <c r="K642" s="2"/>
      <c r="L642" s="2"/>
      <c r="M642" s="2"/>
      <c r="N642" s="2"/>
      <c r="O642" s="2"/>
      <c r="P642" s="2"/>
      <c r="Q642" s="2" t="str">
        <f t="shared" ref="Q642:Q705" si="20">IF(COUNT(N642:O642)&lt;2,"",SQRT(N642^2+O642^2))</f>
        <v/>
      </c>
      <c r="R642" t="str">
        <f t="shared" ref="R642:R705" si="21">IF(COUNT(H642:P642)=0,"Sem leitura",IF(ISNUMBER(SEARCH("Escavação",D642)),IF(OR(Q642&gt;=40,ABS(P642)&gt;=15),"Alarme",IF(OR(Q642&gt;=IF(OR(ISNUMBER(SEARCH("Alçado AB",D642)),ISNUMBER(SEARCH("Alçado CD",D642)),ISNUMBER(SEARCH("Alçado BF",D642)),ISNUMBER(SEARCH("Alçado PQ",D642))),20,30),ABS(P642)&gt;=10),"Alerta","Regular")),IF(OR(Q642&gt;=25,ABS(P642)&gt;=20),"Alarme",IF(OR(Q642&gt;=15,ABS(P642)&gt;=10),"Alerta","Regular"))))</f>
        <v>Sem leitura</v>
      </c>
      <c r="S642" t="s">
        <v>174</v>
      </c>
      <c r="T642">
        <v>50</v>
      </c>
    </row>
    <row r="643" spans="1:20">
      <c r="A643" s="1">
        <v>46048</v>
      </c>
      <c r="B643">
        <v>17</v>
      </c>
      <c r="C643" t="s">
        <v>161</v>
      </c>
      <c r="D643" t="s">
        <v>130</v>
      </c>
      <c r="E643" s="6">
        <v>4988.3298000000004</v>
      </c>
      <c r="F643" s="6">
        <v>5045.2532000000001</v>
      </c>
      <c r="G643" s="6">
        <v>42.8264</v>
      </c>
      <c r="H643" s="6">
        <v>4988.3316999999997</v>
      </c>
      <c r="I643" s="6">
        <v>5045.2430000000004</v>
      </c>
      <c r="J643" s="6">
        <v>42.827300000000001</v>
      </c>
      <c r="K643" s="2">
        <v>-0.3</v>
      </c>
      <c r="L643" s="2">
        <v>-3</v>
      </c>
      <c r="M643" s="2">
        <v>0.6</v>
      </c>
      <c r="N643" s="2">
        <v>1.9</v>
      </c>
      <c r="O643" s="2">
        <v>-10.199999999999999</v>
      </c>
      <c r="P643" s="2">
        <v>0.9</v>
      </c>
      <c r="Q643" s="2">
        <f t="shared" si="20"/>
        <v>10.375451797391765</v>
      </c>
      <c r="R643" t="str">
        <f t="shared" si="21"/>
        <v>Regular</v>
      </c>
      <c r="S643" t="s">
        <v>174</v>
      </c>
      <c r="T643">
        <v>50</v>
      </c>
    </row>
    <row r="644" spans="1:20">
      <c r="A644" s="1">
        <v>46048</v>
      </c>
      <c r="B644">
        <v>17</v>
      </c>
      <c r="C644" t="s">
        <v>162</v>
      </c>
      <c r="D644" t="s">
        <v>130</v>
      </c>
      <c r="E644" s="6">
        <v>4998.6503000000002</v>
      </c>
      <c r="F644" s="6">
        <v>5043.7455</v>
      </c>
      <c r="G644" s="6">
        <v>42.848300000000002</v>
      </c>
      <c r="H644" s="6">
        <v>4998.6511</v>
      </c>
      <c r="I644" s="6">
        <v>5043.7331999999997</v>
      </c>
      <c r="J644" s="6">
        <v>42.849499999999999</v>
      </c>
      <c r="K644" s="2">
        <v>-0.3</v>
      </c>
      <c r="L644" s="2">
        <v>-2.9</v>
      </c>
      <c r="M644" s="2">
        <v>0.8</v>
      </c>
      <c r="N644" s="2">
        <v>0.8</v>
      </c>
      <c r="O644" s="2">
        <v>-12.3</v>
      </c>
      <c r="P644" s="2">
        <v>1.2</v>
      </c>
      <c r="Q644" s="2">
        <f t="shared" si="20"/>
        <v>12.325988804148738</v>
      </c>
      <c r="R644" t="str">
        <f t="shared" si="21"/>
        <v>Regular</v>
      </c>
      <c r="S644" t="s">
        <v>174</v>
      </c>
      <c r="T644">
        <v>50</v>
      </c>
    </row>
    <row r="645" spans="1:20">
      <c r="A645" s="1">
        <v>46048</v>
      </c>
      <c r="B645">
        <v>17</v>
      </c>
      <c r="C645" t="s">
        <v>165</v>
      </c>
      <c r="D645" t="s">
        <v>136</v>
      </c>
      <c r="E645" s="6">
        <v>5026.6471000000001</v>
      </c>
      <c r="F645" s="6">
        <v>5071.8581999999997</v>
      </c>
      <c r="G645" s="6">
        <v>41.8752</v>
      </c>
      <c r="H645" s="6">
        <v>5026.6454000000003</v>
      </c>
      <c r="I645" s="6">
        <v>5071.8522999999996</v>
      </c>
      <c r="J645" s="6">
        <v>41.8795</v>
      </c>
      <c r="K645" s="2">
        <v>-1</v>
      </c>
      <c r="L645" s="2">
        <v>-2.4</v>
      </c>
      <c r="M645" s="2">
        <v>1.6</v>
      </c>
      <c r="N645" s="2">
        <v>-1.7</v>
      </c>
      <c r="O645" s="2">
        <v>-5.9</v>
      </c>
      <c r="P645" s="2">
        <v>4.3</v>
      </c>
      <c r="Q645" s="2">
        <f t="shared" si="20"/>
        <v>6.1400325732035004</v>
      </c>
      <c r="R645" t="str">
        <f t="shared" si="21"/>
        <v>Regular</v>
      </c>
      <c r="S645" t="s">
        <v>174</v>
      </c>
      <c r="T645">
        <v>50</v>
      </c>
    </row>
    <row r="646" spans="1:20">
      <c r="A646" s="1">
        <v>46048</v>
      </c>
      <c r="B646">
        <v>17</v>
      </c>
      <c r="C646" t="s">
        <v>158</v>
      </c>
      <c r="D646" t="s">
        <v>156</v>
      </c>
      <c r="E646" s="6">
        <v>4980.5802999999996</v>
      </c>
      <c r="F646" s="6">
        <v>5031.6513999999997</v>
      </c>
      <c r="G646" s="6">
        <v>42.887999999999998</v>
      </c>
      <c r="H646" s="6">
        <v>4980.5841</v>
      </c>
      <c r="I646" s="6">
        <v>5031.6526000000003</v>
      </c>
      <c r="J646" s="6">
        <v>42.889800000000001</v>
      </c>
      <c r="K646" s="2">
        <v>2.7</v>
      </c>
      <c r="L646" s="2">
        <v>1</v>
      </c>
      <c r="M646" s="2">
        <v>1.2</v>
      </c>
      <c r="N646" s="2">
        <v>3.8</v>
      </c>
      <c r="O646" s="2">
        <v>1.2</v>
      </c>
      <c r="P646" s="2">
        <v>1.8</v>
      </c>
      <c r="Q646" s="2">
        <f t="shared" si="20"/>
        <v>3.9849717690342548</v>
      </c>
      <c r="R646" t="str">
        <f t="shared" si="21"/>
        <v>Regular</v>
      </c>
      <c r="S646" t="s">
        <v>174</v>
      </c>
      <c r="T646">
        <v>50</v>
      </c>
    </row>
    <row r="647" spans="1:20">
      <c r="A647" s="1">
        <v>46048</v>
      </c>
      <c r="B647">
        <v>17</v>
      </c>
      <c r="C647" t="s">
        <v>171</v>
      </c>
      <c r="D647" t="s">
        <v>123</v>
      </c>
      <c r="E647" s="6">
        <v>4982.7381999999998</v>
      </c>
      <c r="F647" s="6">
        <v>5028.3501999999999</v>
      </c>
      <c r="G647" s="6">
        <v>42.705800000000004</v>
      </c>
      <c r="H647" s="6">
        <v>4982.7424000000001</v>
      </c>
      <c r="I647" s="6">
        <v>5028.3518000000004</v>
      </c>
      <c r="J647" s="6">
        <v>42.706899999999997</v>
      </c>
      <c r="K647" s="2">
        <v>4.2</v>
      </c>
      <c r="L647" s="2">
        <v>1.6</v>
      </c>
      <c r="M647" s="2">
        <v>1.1000000000000001</v>
      </c>
      <c r="N647" s="2">
        <v>4.2</v>
      </c>
      <c r="O647" s="2">
        <v>1.6</v>
      </c>
      <c r="P647" s="2">
        <v>1.1000000000000001</v>
      </c>
      <c r="Q647" s="2">
        <f t="shared" si="20"/>
        <v>4.4944410108488464</v>
      </c>
      <c r="R647" t="str">
        <f t="shared" si="21"/>
        <v>Regular</v>
      </c>
      <c r="S647" t="s">
        <v>174</v>
      </c>
      <c r="T647">
        <v>50</v>
      </c>
    </row>
    <row r="648" spans="1:20">
      <c r="A648" s="1">
        <v>46048</v>
      </c>
      <c r="B648">
        <v>17</v>
      </c>
      <c r="C648" t="s">
        <v>173</v>
      </c>
      <c r="D648" t="s">
        <v>123</v>
      </c>
      <c r="E648" s="6">
        <v>4982.2178000000004</v>
      </c>
      <c r="F648" s="6">
        <v>5028.4342999999999</v>
      </c>
      <c r="G648" s="6">
        <v>39.473500000000001</v>
      </c>
      <c r="H648" s="6">
        <v>4982.2178000000004</v>
      </c>
      <c r="I648" s="6">
        <v>5028.4342999999999</v>
      </c>
      <c r="J648" s="6">
        <v>39.473500000000001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f t="shared" si="20"/>
        <v>0</v>
      </c>
      <c r="R648" t="str">
        <f t="shared" si="21"/>
        <v>Regular</v>
      </c>
      <c r="S648" t="s">
        <v>174</v>
      </c>
      <c r="T648">
        <v>50</v>
      </c>
    </row>
    <row r="649" spans="1:20">
      <c r="A649" s="1">
        <v>46048</v>
      </c>
      <c r="B649">
        <v>17</v>
      </c>
      <c r="C649" t="s">
        <v>175</v>
      </c>
      <c r="D649" t="s">
        <v>156</v>
      </c>
      <c r="E649" s="6">
        <v>4980.7398999999996</v>
      </c>
      <c r="F649" s="6">
        <v>5032.9142000000002</v>
      </c>
      <c r="G649" s="6">
        <v>39.535899999999998</v>
      </c>
      <c r="H649" s="6">
        <v>4980.7398999999996</v>
      </c>
      <c r="I649" s="6">
        <v>5032.9142000000002</v>
      </c>
      <c r="J649" s="6">
        <v>39.535899999999998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f t="shared" si="20"/>
        <v>0</v>
      </c>
      <c r="R649" t="str">
        <f t="shared" si="21"/>
        <v>Regular</v>
      </c>
      <c r="S649" t="s">
        <v>174</v>
      </c>
      <c r="T649">
        <v>50</v>
      </c>
    </row>
    <row r="650" spans="1:20">
      <c r="A650" s="1">
        <v>46048</v>
      </c>
      <c r="B650">
        <v>17</v>
      </c>
      <c r="C650" t="s">
        <v>176</v>
      </c>
      <c r="D650" t="s">
        <v>128</v>
      </c>
      <c r="E650" s="6">
        <v>4974.8552</v>
      </c>
      <c r="F650" s="6">
        <v>5040.1602999999996</v>
      </c>
      <c r="G650" s="6">
        <v>39.188800000000001</v>
      </c>
      <c r="H650" s="6">
        <v>4974.8552</v>
      </c>
      <c r="I650" s="6">
        <v>5040.1602999999996</v>
      </c>
      <c r="J650" s="6">
        <v>39.188800000000001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f t="shared" si="20"/>
        <v>0</v>
      </c>
      <c r="R650" t="str">
        <f t="shared" si="21"/>
        <v>Regular</v>
      </c>
      <c r="S650" t="s">
        <v>174</v>
      </c>
      <c r="T650">
        <v>50</v>
      </c>
    </row>
    <row r="651" spans="1:20">
      <c r="A651" s="1">
        <v>46048</v>
      </c>
      <c r="B651">
        <v>17</v>
      </c>
      <c r="C651" t="s">
        <v>177</v>
      </c>
      <c r="D651" t="s">
        <v>130</v>
      </c>
      <c r="E651" s="6">
        <v>4988.0146000000004</v>
      </c>
      <c r="F651" s="6">
        <v>5045.2892000000002</v>
      </c>
      <c r="G651" s="6">
        <v>39.487099999999998</v>
      </c>
      <c r="H651" s="6">
        <v>4988.0146000000004</v>
      </c>
      <c r="I651" s="6">
        <v>5045.2892000000002</v>
      </c>
      <c r="J651" s="6">
        <v>39.487099999999998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f t="shared" si="20"/>
        <v>0</v>
      </c>
      <c r="R651" t="str">
        <f t="shared" si="21"/>
        <v>Regular</v>
      </c>
      <c r="S651" t="s">
        <v>174</v>
      </c>
      <c r="T651">
        <v>50</v>
      </c>
    </row>
    <row r="652" spans="1:20">
      <c r="A652" s="1">
        <v>46048</v>
      </c>
      <c r="B652">
        <v>17</v>
      </c>
      <c r="C652" t="s">
        <v>178</v>
      </c>
      <c r="D652" t="s">
        <v>130</v>
      </c>
      <c r="E652" s="6">
        <v>4998.3825999999999</v>
      </c>
      <c r="F652" s="6">
        <v>5043.7443999999996</v>
      </c>
      <c r="G652" s="6">
        <v>39.476599999999998</v>
      </c>
      <c r="H652" s="6">
        <v>4998.3825999999999</v>
      </c>
      <c r="I652" s="6">
        <v>5043.7443999999996</v>
      </c>
      <c r="J652" s="6">
        <v>39.476599999999998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f t="shared" si="20"/>
        <v>0</v>
      </c>
      <c r="R652" t="str">
        <f t="shared" si="21"/>
        <v>Regular</v>
      </c>
      <c r="S652" t="s">
        <v>174</v>
      </c>
      <c r="T652">
        <v>50</v>
      </c>
    </row>
    <row r="653" spans="1:20">
      <c r="A653" s="1">
        <v>46048</v>
      </c>
      <c r="B653">
        <v>17</v>
      </c>
      <c r="C653" t="s">
        <v>179</v>
      </c>
      <c r="D653" t="s">
        <v>134</v>
      </c>
      <c r="E653" s="6">
        <v>5011.4696000000004</v>
      </c>
      <c r="F653" s="6">
        <v>5051.8035</v>
      </c>
      <c r="G653" s="6">
        <v>48.342599999999997</v>
      </c>
      <c r="H653" s="6">
        <v>5011.4696000000004</v>
      </c>
      <c r="I653" s="6">
        <v>5051.8035</v>
      </c>
      <c r="J653" s="6">
        <v>48.342599999999997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f t="shared" si="20"/>
        <v>0</v>
      </c>
      <c r="R653" t="str">
        <f t="shared" si="21"/>
        <v>Regular</v>
      </c>
      <c r="S653" t="s">
        <v>174</v>
      </c>
      <c r="T653">
        <v>50</v>
      </c>
    </row>
    <row r="654" spans="1:20">
      <c r="A654" s="1">
        <v>46048</v>
      </c>
      <c r="B654">
        <v>17</v>
      </c>
      <c r="C654" t="s">
        <v>180</v>
      </c>
      <c r="D654" t="s">
        <v>134</v>
      </c>
      <c r="E654" s="6">
        <v>5013.4205000000002</v>
      </c>
      <c r="F654" s="6">
        <v>5061.5536000000002</v>
      </c>
      <c r="G654" s="6">
        <v>47.226599999999998</v>
      </c>
      <c r="H654" s="6">
        <v>5013.4205000000002</v>
      </c>
      <c r="I654" s="6">
        <v>5061.5536000000002</v>
      </c>
      <c r="J654" s="6">
        <v>47.226599999999998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f t="shared" si="20"/>
        <v>0</v>
      </c>
      <c r="R654" t="str">
        <f t="shared" si="21"/>
        <v>Regular</v>
      </c>
      <c r="S654" t="s">
        <v>174</v>
      </c>
      <c r="T654">
        <v>50</v>
      </c>
    </row>
    <row r="655" spans="1:20">
      <c r="A655" s="1">
        <v>46051</v>
      </c>
      <c r="B655">
        <v>23</v>
      </c>
      <c r="C655" t="s">
        <v>69</v>
      </c>
      <c r="D655" t="s">
        <v>70</v>
      </c>
      <c r="E655" s="6">
        <v>4990.9656999999997</v>
      </c>
      <c r="F655" s="6">
        <v>5053.7449999999999</v>
      </c>
      <c r="G655" s="6">
        <v>60.553600000000003</v>
      </c>
      <c r="H655" s="6">
        <v>4990.9840999999997</v>
      </c>
      <c r="I655" s="6">
        <v>5053.7052000000003</v>
      </c>
      <c r="J655" s="6">
        <v>60.544899999999998</v>
      </c>
      <c r="K655" s="2">
        <v>0.1</v>
      </c>
      <c r="L655" s="2">
        <v>-0.8</v>
      </c>
      <c r="M655" s="2">
        <v>0</v>
      </c>
      <c r="N655" s="2">
        <v>18.399999999999999</v>
      </c>
      <c r="O655" s="2">
        <v>-39.799999999999997</v>
      </c>
      <c r="P655" s="2">
        <v>-8.6999999999999993</v>
      </c>
      <c r="Q655" s="2">
        <f t="shared" si="20"/>
        <v>43.847462868448837</v>
      </c>
      <c r="R655" t="str">
        <f t="shared" si="21"/>
        <v>Alarme</v>
      </c>
      <c r="S655" t="s">
        <v>271</v>
      </c>
      <c r="T655">
        <v>19</v>
      </c>
    </row>
    <row r="656" spans="1:20">
      <c r="A656" s="1">
        <v>46051</v>
      </c>
      <c r="B656">
        <v>23</v>
      </c>
      <c r="C656" t="s">
        <v>75</v>
      </c>
      <c r="D656" t="s">
        <v>70</v>
      </c>
      <c r="E656" s="6">
        <v>4990.9760999999999</v>
      </c>
      <c r="F656" s="6">
        <v>5053.7455</v>
      </c>
      <c r="G656" s="6">
        <v>59.095199999999998</v>
      </c>
      <c r="H656" s="6">
        <v>4990.9921999999997</v>
      </c>
      <c r="I656" s="6">
        <v>5053.7079000000003</v>
      </c>
      <c r="J656" s="6">
        <v>59.088999999999999</v>
      </c>
      <c r="K656" s="2">
        <v>-0.9</v>
      </c>
      <c r="L656" s="2">
        <v>-0.1</v>
      </c>
      <c r="M656" s="2">
        <v>0.1</v>
      </c>
      <c r="N656" s="2">
        <v>16.100000000000001</v>
      </c>
      <c r="O656" s="2">
        <v>-37.6</v>
      </c>
      <c r="P656" s="2">
        <v>-6.2</v>
      </c>
      <c r="Q656" s="2">
        <f t="shared" si="20"/>
        <v>40.901955943450922</v>
      </c>
      <c r="R656" t="str">
        <f t="shared" si="21"/>
        <v>Alarme</v>
      </c>
      <c r="S656" t="s">
        <v>271</v>
      </c>
      <c r="T656">
        <v>19</v>
      </c>
    </row>
    <row r="657" spans="1:20">
      <c r="A657" s="1">
        <v>46051</v>
      </c>
      <c r="B657">
        <v>23</v>
      </c>
      <c r="C657" t="s">
        <v>76</v>
      </c>
      <c r="D657" t="s">
        <v>70</v>
      </c>
      <c r="E657" s="6">
        <v>5001.0812999999998</v>
      </c>
      <c r="F657" s="6">
        <v>5053.5291999999999</v>
      </c>
      <c r="G657" s="6">
        <v>60.621899999999997</v>
      </c>
      <c r="H657" s="6">
        <v>5001.1035000000002</v>
      </c>
      <c r="I657" s="6">
        <v>5053.4853000000003</v>
      </c>
      <c r="J657" s="6">
        <v>60.600900000000003</v>
      </c>
      <c r="K657" s="2">
        <v>0.2</v>
      </c>
      <c r="L657" s="2">
        <v>-0.8</v>
      </c>
      <c r="M657" s="2">
        <v>-0.1</v>
      </c>
      <c r="N657" s="2">
        <v>22.2</v>
      </c>
      <c r="O657" s="2">
        <v>-43.9</v>
      </c>
      <c r="P657" s="2">
        <v>-21</v>
      </c>
      <c r="Q657" s="2">
        <f t="shared" si="20"/>
        <v>49.194003699638024</v>
      </c>
      <c r="R657" t="str">
        <f t="shared" si="21"/>
        <v>Alarme</v>
      </c>
      <c r="S657" t="s">
        <v>271</v>
      </c>
      <c r="T657">
        <v>19</v>
      </c>
    </row>
    <row r="658" spans="1:20">
      <c r="A658" s="1">
        <v>46051</v>
      </c>
      <c r="B658">
        <v>23</v>
      </c>
      <c r="C658" t="s">
        <v>77</v>
      </c>
      <c r="D658" t="s">
        <v>70</v>
      </c>
      <c r="E658" s="6">
        <v>5001.0428000000002</v>
      </c>
      <c r="F658" s="6">
        <v>5053.5321999999996</v>
      </c>
      <c r="G658" s="6">
        <v>58.677799999999998</v>
      </c>
      <c r="H658" s="6">
        <v>5001.0643</v>
      </c>
      <c r="I658" s="6">
        <v>5053.4898000000003</v>
      </c>
      <c r="J658" s="6">
        <v>58.656100000000002</v>
      </c>
      <c r="K658" s="2">
        <v>0.3</v>
      </c>
      <c r="L658" s="2">
        <v>-1.2</v>
      </c>
      <c r="M658" s="2">
        <v>-0.4</v>
      </c>
      <c r="N658" s="2">
        <v>21.5</v>
      </c>
      <c r="O658" s="2">
        <v>-42.4</v>
      </c>
      <c r="P658" s="2">
        <v>-21.7</v>
      </c>
      <c r="Q658" s="2">
        <f t="shared" si="20"/>
        <v>47.539562471692989</v>
      </c>
      <c r="R658" t="str">
        <f t="shared" si="21"/>
        <v>Alarme</v>
      </c>
      <c r="S658" t="s">
        <v>271</v>
      </c>
      <c r="T658">
        <v>19</v>
      </c>
    </row>
    <row r="659" spans="1:20">
      <c r="A659" s="1">
        <v>46051</v>
      </c>
      <c r="B659">
        <v>23</v>
      </c>
      <c r="C659" t="s">
        <v>78</v>
      </c>
      <c r="D659" t="s">
        <v>70</v>
      </c>
      <c r="E659" s="6">
        <v>5005.4017999999996</v>
      </c>
      <c r="F659" s="6">
        <v>5054.5141000000003</v>
      </c>
      <c r="G659" s="6">
        <v>60.181899999999999</v>
      </c>
      <c r="H659" s="6"/>
      <c r="I659" s="6"/>
      <c r="J659" s="6"/>
      <c r="K659" s="2"/>
      <c r="L659" s="2"/>
      <c r="M659" s="2"/>
      <c r="N659" s="2"/>
      <c r="O659" s="2"/>
      <c r="P659" s="2"/>
      <c r="Q659" s="2" t="str">
        <f t="shared" si="20"/>
        <v/>
      </c>
      <c r="R659" t="str">
        <f t="shared" si="21"/>
        <v>Sem leitura</v>
      </c>
      <c r="S659" t="s">
        <v>271</v>
      </c>
      <c r="T659">
        <v>19</v>
      </c>
    </row>
    <row r="660" spans="1:20">
      <c r="A660" s="1">
        <v>46051</v>
      </c>
      <c r="B660">
        <v>23</v>
      </c>
      <c r="C660" t="s">
        <v>80</v>
      </c>
      <c r="D660" t="s">
        <v>70</v>
      </c>
      <c r="E660" s="6">
        <v>5005.4050999999999</v>
      </c>
      <c r="F660" s="6">
        <v>5054.5766999999996</v>
      </c>
      <c r="G660" s="6">
        <v>58.646999999999998</v>
      </c>
      <c r="H660" s="6"/>
      <c r="I660" s="6"/>
      <c r="J660" s="6"/>
      <c r="K660" s="2"/>
      <c r="L660" s="2"/>
      <c r="M660" s="2"/>
      <c r="N660" s="2"/>
      <c r="O660" s="2"/>
      <c r="P660" s="2"/>
      <c r="Q660" s="2" t="str">
        <f t="shared" si="20"/>
        <v/>
      </c>
      <c r="R660" t="str">
        <f t="shared" si="21"/>
        <v>Sem leitura</v>
      </c>
      <c r="S660" t="s">
        <v>271</v>
      </c>
      <c r="T660">
        <v>19</v>
      </c>
    </row>
    <row r="661" spans="1:20">
      <c r="A661" s="1">
        <v>46051</v>
      </c>
      <c r="B661">
        <v>23</v>
      </c>
      <c r="C661" t="s">
        <v>81</v>
      </c>
      <c r="D661" t="s">
        <v>70</v>
      </c>
      <c r="E661" s="6">
        <v>5005.8755000000001</v>
      </c>
      <c r="F661" s="6">
        <v>5063.3173999999999</v>
      </c>
      <c r="G661" s="6">
        <v>60.481099999999998</v>
      </c>
      <c r="H661" s="6"/>
      <c r="I661" s="6"/>
      <c r="J661" s="6"/>
      <c r="K661" s="2"/>
      <c r="L661" s="2"/>
      <c r="M661" s="2"/>
      <c r="N661" s="2"/>
      <c r="O661" s="2"/>
      <c r="P661" s="2"/>
      <c r="Q661" s="2" t="str">
        <f t="shared" si="20"/>
        <v/>
      </c>
      <c r="R661" t="str">
        <f t="shared" si="21"/>
        <v>Sem leitura</v>
      </c>
      <c r="S661" t="s">
        <v>271</v>
      </c>
      <c r="T661">
        <v>19</v>
      </c>
    </row>
    <row r="662" spans="1:20">
      <c r="A662" s="1">
        <v>46051</v>
      </c>
      <c r="B662">
        <v>23</v>
      </c>
      <c r="C662" t="s">
        <v>82</v>
      </c>
      <c r="D662" t="s">
        <v>70</v>
      </c>
      <c r="E662" s="6">
        <v>5005.8838999999998</v>
      </c>
      <c r="F662" s="6">
        <v>5063.7007999999996</v>
      </c>
      <c r="G662" s="6">
        <v>59.329300000000003</v>
      </c>
      <c r="H662" s="6"/>
      <c r="I662" s="6"/>
      <c r="J662" s="6"/>
      <c r="K662" s="2"/>
      <c r="L662" s="2"/>
      <c r="M662" s="2"/>
      <c r="N662" s="2"/>
      <c r="O662" s="2"/>
      <c r="P662" s="2"/>
      <c r="Q662" s="2" t="str">
        <f t="shared" si="20"/>
        <v/>
      </c>
      <c r="R662" t="str">
        <f t="shared" si="21"/>
        <v>Sem leitura</v>
      </c>
      <c r="S662" t="s">
        <v>271</v>
      </c>
      <c r="T662">
        <v>19</v>
      </c>
    </row>
    <row r="663" spans="1:20">
      <c r="A663" s="1">
        <v>46051</v>
      </c>
      <c r="B663">
        <v>23</v>
      </c>
      <c r="C663" t="s">
        <v>83</v>
      </c>
      <c r="D663" t="s">
        <v>84</v>
      </c>
      <c r="E663" s="6">
        <v>5055.3705</v>
      </c>
      <c r="F663" s="6">
        <v>5037.6908000000003</v>
      </c>
      <c r="G663" s="6">
        <v>55.834499999999998</v>
      </c>
      <c r="H663" s="6">
        <v>5055.3528999999999</v>
      </c>
      <c r="I663" s="6">
        <v>5037.6936999999998</v>
      </c>
      <c r="J663" s="6">
        <v>55.838099999999997</v>
      </c>
      <c r="K663" s="2">
        <v>-1.2</v>
      </c>
      <c r="L663" s="2">
        <v>1.6</v>
      </c>
      <c r="M663" s="2">
        <v>0.2</v>
      </c>
      <c r="N663" s="2">
        <v>-17.600000000000001</v>
      </c>
      <c r="O663" s="2">
        <v>2.9</v>
      </c>
      <c r="P663" s="2">
        <v>3.6</v>
      </c>
      <c r="Q663" s="2">
        <f t="shared" si="20"/>
        <v>17.837320426566318</v>
      </c>
      <c r="R663" t="str">
        <f t="shared" si="21"/>
        <v>Alerta</v>
      </c>
      <c r="S663" t="s">
        <v>271</v>
      </c>
      <c r="T663">
        <v>19</v>
      </c>
    </row>
    <row r="664" spans="1:20">
      <c r="A664" s="1">
        <v>46051</v>
      </c>
      <c r="B664">
        <v>23</v>
      </c>
      <c r="C664" t="s">
        <v>85</v>
      </c>
      <c r="D664" t="s">
        <v>84</v>
      </c>
      <c r="E664" s="6">
        <v>5055.3611000000001</v>
      </c>
      <c r="F664" s="6">
        <v>5037.652</v>
      </c>
      <c r="G664" s="6">
        <v>53.920200000000001</v>
      </c>
      <c r="H664" s="6">
        <v>5055.3446999999996</v>
      </c>
      <c r="I664" s="6">
        <v>5037.6498000000001</v>
      </c>
      <c r="J664" s="6">
        <v>53.923699999999997</v>
      </c>
      <c r="K664" s="2">
        <v>-2.2000000000000002</v>
      </c>
      <c r="L664" s="2">
        <v>-0.4</v>
      </c>
      <c r="M664" s="2">
        <v>-0.2</v>
      </c>
      <c r="N664" s="2">
        <v>-16.399999999999999</v>
      </c>
      <c r="O664" s="2">
        <v>-2.2000000000000002</v>
      </c>
      <c r="P664" s="2">
        <v>3.5</v>
      </c>
      <c r="Q664" s="2">
        <f t="shared" si="20"/>
        <v>16.546903033498442</v>
      </c>
      <c r="R664" t="str">
        <f t="shared" si="21"/>
        <v>Alerta</v>
      </c>
      <c r="S664" t="s">
        <v>271</v>
      </c>
      <c r="T664">
        <v>19</v>
      </c>
    </row>
    <row r="665" spans="1:20">
      <c r="A665" s="1">
        <v>46051</v>
      </c>
      <c r="B665">
        <v>23</v>
      </c>
      <c r="C665" t="s">
        <v>86</v>
      </c>
      <c r="D665" t="s">
        <v>84</v>
      </c>
      <c r="E665" s="6">
        <v>5053.1266999999998</v>
      </c>
      <c r="F665" s="6">
        <v>5028.5694000000003</v>
      </c>
      <c r="G665" s="6">
        <v>55.876899999999999</v>
      </c>
      <c r="H665" s="6">
        <v>5053.1100999999999</v>
      </c>
      <c r="I665" s="6">
        <v>5028.5736999999999</v>
      </c>
      <c r="J665" s="6">
        <v>55.880600000000001</v>
      </c>
      <c r="K665" s="2">
        <v>-0.9</v>
      </c>
      <c r="L665" s="2">
        <v>1.2</v>
      </c>
      <c r="M665" s="2">
        <v>0.5</v>
      </c>
      <c r="N665" s="2">
        <v>-16.600000000000001</v>
      </c>
      <c r="O665" s="2">
        <v>4.3</v>
      </c>
      <c r="P665" s="2">
        <v>3.7</v>
      </c>
      <c r="Q665" s="2">
        <f t="shared" si="20"/>
        <v>17.147886167105263</v>
      </c>
      <c r="R665" t="str">
        <f t="shared" si="21"/>
        <v>Alerta</v>
      </c>
      <c r="S665" t="s">
        <v>271</v>
      </c>
      <c r="T665">
        <v>19</v>
      </c>
    </row>
    <row r="666" spans="1:20">
      <c r="A666" s="1">
        <v>46051</v>
      </c>
      <c r="B666">
        <v>23</v>
      </c>
      <c r="C666" t="s">
        <v>87</v>
      </c>
      <c r="D666" t="s">
        <v>84</v>
      </c>
      <c r="E666" s="6">
        <v>5053.1229999999996</v>
      </c>
      <c r="F666" s="6">
        <v>5028.5785999999998</v>
      </c>
      <c r="G666" s="6">
        <v>54.159100000000002</v>
      </c>
      <c r="H666" s="6">
        <v>5053.1073999999999</v>
      </c>
      <c r="I666" s="6">
        <v>5028.5798999999997</v>
      </c>
      <c r="J666" s="6">
        <v>54.162599999999998</v>
      </c>
      <c r="K666" s="2">
        <v>-0.5</v>
      </c>
      <c r="L666" s="2">
        <v>1.1000000000000001</v>
      </c>
      <c r="M666" s="2">
        <v>0.3</v>
      </c>
      <c r="N666" s="2">
        <v>-15.6</v>
      </c>
      <c r="O666" s="2">
        <v>1.3</v>
      </c>
      <c r="P666" s="2">
        <v>3.5</v>
      </c>
      <c r="Q666" s="2">
        <f t="shared" si="20"/>
        <v>15.654072952429983</v>
      </c>
      <c r="R666" t="str">
        <f t="shared" si="21"/>
        <v>Alerta</v>
      </c>
      <c r="S666" t="s">
        <v>271</v>
      </c>
      <c r="T666">
        <v>19</v>
      </c>
    </row>
    <row r="667" spans="1:20">
      <c r="A667" s="1">
        <v>46051</v>
      </c>
      <c r="B667">
        <v>23</v>
      </c>
      <c r="C667" t="s">
        <v>88</v>
      </c>
      <c r="D667" t="s">
        <v>89</v>
      </c>
      <c r="E667" s="6">
        <v>5051.1406999999999</v>
      </c>
      <c r="F667" s="6">
        <v>5062.3236999999999</v>
      </c>
      <c r="G667" s="6">
        <v>63.001399999999997</v>
      </c>
      <c r="H667" s="6">
        <v>5051.1274000000003</v>
      </c>
      <c r="I667" s="6">
        <v>5062.3217999999997</v>
      </c>
      <c r="J667" s="6">
        <v>62.999600000000001</v>
      </c>
      <c r="K667" s="2">
        <v>0</v>
      </c>
      <c r="L667" s="2">
        <v>0.5</v>
      </c>
      <c r="M667" s="2">
        <v>-0.2</v>
      </c>
      <c r="N667" s="2">
        <v>-13.3</v>
      </c>
      <c r="O667" s="2">
        <v>-1.9</v>
      </c>
      <c r="P667" s="2">
        <v>-1.8</v>
      </c>
      <c r="Q667" s="2">
        <f t="shared" si="20"/>
        <v>13.435028842544405</v>
      </c>
      <c r="R667" t="str">
        <f t="shared" si="21"/>
        <v>Regular</v>
      </c>
      <c r="S667" t="s">
        <v>271</v>
      </c>
      <c r="T667">
        <v>19</v>
      </c>
    </row>
    <row r="668" spans="1:20">
      <c r="A668" s="1">
        <v>46051</v>
      </c>
      <c r="B668">
        <v>23</v>
      </c>
      <c r="C668" t="s">
        <v>90</v>
      </c>
      <c r="D668" t="s">
        <v>89</v>
      </c>
      <c r="E668" s="6">
        <v>5051.0086000000001</v>
      </c>
      <c r="F668" s="6">
        <v>5062.4333999999999</v>
      </c>
      <c r="G668" s="6">
        <v>56.898000000000003</v>
      </c>
      <c r="H668" s="6">
        <v>5050.9969000000001</v>
      </c>
      <c r="I668" s="6">
        <v>5062.4312</v>
      </c>
      <c r="J668" s="6">
        <v>56.898499999999999</v>
      </c>
      <c r="K668" s="2">
        <v>-0.8</v>
      </c>
      <c r="L668" s="2">
        <v>0.2</v>
      </c>
      <c r="M668" s="2">
        <v>0.2</v>
      </c>
      <c r="N668" s="2">
        <v>-11.7</v>
      </c>
      <c r="O668" s="2">
        <v>-2.2000000000000002</v>
      </c>
      <c r="P668" s="2">
        <v>0.5</v>
      </c>
      <c r="Q668" s="2">
        <f t="shared" si="20"/>
        <v>11.905040949110591</v>
      </c>
      <c r="R668" t="str">
        <f t="shared" si="21"/>
        <v>Regular</v>
      </c>
      <c r="S668" t="s">
        <v>271</v>
      </c>
      <c r="T668">
        <v>19</v>
      </c>
    </row>
    <row r="669" spans="1:20">
      <c r="A669" s="1">
        <v>46051</v>
      </c>
      <c r="B669">
        <v>23</v>
      </c>
      <c r="C669" t="s">
        <v>91</v>
      </c>
      <c r="D669" t="s">
        <v>89</v>
      </c>
      <c r="E669" s="6">
        <v>5058.5258999999996</v>
      </c>
      <c r="F669" s="6">
        <v>5053.1760000000004</v>
      </c>
      <c r="G669" s="6">
        <v>63.525199999999998</v>
      </c>
      <c r="H669" s="6">
        <v>5058.5120999999999</v>
      </c>
      <c r="I669" s="6">
        <v>5053.1742999999997</v>
      </c>
      <c r="J669" s="6">
        <v>63.528199999999998</v>
      </c>
      <c r="K669" s="2">
        <v>-0.6</v>
      </c>
      <c r="L669" s="2">
        <v>0.8</v>
      </c>
      <c r="M669" s="2">
        <v>0.4</v>
      </c>
      <c r="N669" s="2">
        <v>-13.8</v>
      </c>
      <c r="O669" s="2">
        <v>-1.7</v>
      </c>
      <c r="P669" s="2">
        <v>3</v>
      </c>
      <c r="Q669" s="2">
        <f t="shared" si="20"/>
        <v>13.904315876734103</v>
      </c>
      <c r="R669" t="str">
        <f t="shared" si="21"/>
        <v>Regular</v>
      </c>
      <c r="S669" t="s">
        <v>271</v>
      </c>
      <c r="T669">
        <v>19</v>
      </c>
    </row>
    <row r="670" spans="1:20">
      <c r="A670" s="1">
        <v>46051</v>
      </c>
      <c r="B670">
        <v>23</v>
      </c>
      <c r="C670" t="s">
        <v>92</v>
      </c>
      <c r="D670" t="s">
        <v>89</v>
      </c>
      <c r="E670" s="6">
        <v>5060.2732999999998</v>
      </c>
      <c r="F670" s="6">
        <v>5059.0944</v>
      </c>
      <c r="G670" s="6">
        <v>58.7943</v>
      </c>
      <c r="H670" s="6">
        <v>5060.2578000000003</v>
      </c>
      <c r="I670" s="6">
        <v>5059.0944</v>
      </c>
      <c r="J670" s="6">
        <v>58.795999999999999</v>
      </c>
      <c r="K670" s="2">
        <v>-1.2</v>
      </c>
      <c r="L670" s="2">
        <v>1.1000000000000001</v>
      </c>
      <c r="M670" s="2">
        <v>0.7</v>
      </c>
      <c r="N670" s="2">
        <v>-15.5</v>
      </c>
      <c r="O670" s="2">
        <v>0</v>
      </c>
      <c r="P670" s="2">
        <v>1.7</v>
      </c>
      <c r="Q670" s="2">
        <f t="shared" si="20"/>
        <v>15.5</v>
      </c>
      <c r="R670" t="str">
        <f t="shared" si="21"/>
        <v>Alerta</v>
      </c>
      <c r="S670" t="s">
        <v>271</v>
      </c>
      <c r="T670">
        <v>19</v>
      </c>
    </row>
    <row r="671" spans="1:20">
      <c r="A671" s="1">
        <v>46051</v>
      </c>
      <c r="B671">
        <v>23</v>
      </c>
      <c r="C671" t="s">
        <v>114</v>
      </c>
      <c r="D671" t="s">
        <v>70</v>
      </c>
      <c r="E671" s="6">
        <v>5005.4053999999996</v>
      </c>
      <c r="F671" s="6">
        <v>5054.1601000000001</v>
      </c>
      <c r="G671" s="6">
        <v>59.572699999999998</v>
      </c>
      <c r="H671" s="6">
        <v>5005.4243999999999</v>
      </c>
      <c r="I671" s="6">
        <v>5054.1315999999997</v>
      </c>
      <c r="J671" s="6">
        <v>59.5535</v>
      </c>
      <c r="K671" s="2">
        <v>0.5</v>
      </c>
      <c r="L671" s="2">
        <v>-0.8</v>
      </c>
      <c r="M671" s="2">
        <v>-0.3</v>
      </c>
      <c r="N671" s="2">
        <v>19</v>
      </c>
      <c r="O671" s="2">
        <v>-28.5</v>
      </c>
      <c r="P671" s="2">
        <v>-19.2</v>
      </c>
      <c r="Q671" s="2">
        <f t="shared" si="20"/>
        <v>34.252737116907902</v>
      </c>
      <c r="R671" t="str">
        <f t="shared" si="21"/>
        <v>Alarme</v>
      </c>
      <c r="S671" t="s">
        <v>271</v>
      </c>
      <c r="T671">
        <v>19</v>
      </c>
    </row>
    <row r="672" spans="1:20">
      <c r="A672" s="1">
        <v>46051</v>
      </c>
      <c r="B672">
        <v>23</v>
      </c>
      <c r="C672" t="s">
        <v>116</v>
      </c>
      <c r="D672" t="s">
        <v>70</v>
      </c>
      <c r="E672" s="6">
        <v>5005.4237999999996</v>
      </c>
      <c r="F672" s="6">
        <v>5054.4835999999996</v>
      </c>
      <c r="G672" s="6">
        <v>58.357300000000002</v>
      </c>
      <c r="H672" s="6">
        <v>5005.4413000000004</v>
      </c>
      <c r="I672" s="6">
        <v>5054.4548999999997</v>
      </c>
      <c r="J672" s="6">
        <v>58.3386</v>
      </c>
      <c r="K672" s="2">
        <v>-0.4</v>
      </c>
      <c r="L672" s="2">
        <v>-0.9</v>
      </c>
      <c r="M672" s="2">
        <v>-0.5</v>
      </c>
      <c r="N672" s="2">
        <v>17.5</v>
      </c>
      <c r="O672" s="2">
        <v>-28.7</v>
      </c>
      <c r="P672" s="2">
        <v>-18.7</v>
      </c>
      <c r="Q672" s="2">
        <f t="shared" si="20"/>
        <v>33.614580169920316</v>
      </c>
      <c r="R672" t="str">
        <f t="shared" si="21"/>
        <v>Alarme</v>
      </c>
      <c r="S672" t="s">
        <v>271</v>
      </c>
      <c r="T672">
        <v>19</v>
      </c>
    </row>
    <row r="673" spans="1:20">
      <c r="A673" s="1">
        <v>46051</v>
      </c>
      <c r="B673">
        <v>23</v>
      </c>
      <c r="C673" t="s">
        <v>117</v>
      </c>
      <c r="D673" t="s">
        <v>70</v>
      </c>
      <c r="E673" s="6">
        <v>5005.9258</v>
      </c>
      <c r="F673" s="6">
        <v>5064.1066000000001</v>
      </c>
      <c r="G673" s="6">
        <v>60.544499999999999</v>
      </c>
      <c r="H673" s="6">
        <v>5005.9439000000002</v>
      </c>
      <c r="I673" s="6">
        <v>5064.0798999999997</v>
      </c>
      <c r="J673" s="6">
        <v>60.523200000000003</v>
      </c>
      <c r="K673" s="2">
        <v>0.1</v>
      </c>
      <c r="L673" s="2">
        <v>-0.9</v>
      </c>
      <c r="M673" s="2">
        <v>-0.8</v>
      </c>
      <c r="N673" s="2">
        <v>18.100000000000001</v>
      </c>
      <c r="O673" s="2">
        <v>-26.7</v>
      </c>
      <c r="P673" s="2">
        <v>-21.3</v>
      </c>
      <c r="Q673" s="2">
        <f t="shared" si="20"/>
        <v>32.256782232578622</v>
      </c>
      <c r="R673" t="str">
        <f t="shared" si="21"/>
        <v>Alarme</v>
      </c>
      <c r="S673" t="s">
        <v>271</v>
      </c>
      <c r="T673">
        <v>19</v>
      </c>
    </row>
    <row r="674" spans="1:20">
      <c r="A674" s="1">
        <v>46051</v>
      </c>
      <c r="B674">
        <v>23</v>
      </c>
      <c r="C674" t="s">
        <v>118</v>
      </c>
      <c r="D674" t="s">
        <v>70</v>
      </c>
      <c r="E674" s="6">
        <v>5005.8734999999997</v>
      </c>
      <c r="F674" s="6">
        <v>5063.2722999999996</v>
      </c>
      <c r="G674" s="6">
        <v>58.732500000000002</v>
      </c>
      <c r="H674" s="6">
        <v>5005.8891000000003</v>
      </c>
      <c r="I674" s="6">
        <v>5063.2453999999998</v>
      </c>
      <c r="J674" s="6">
        <v>58.711500000000001</v>
      </c>
      <c r="K674" s="2">
        <v>0.2</v>
      </c>
      <c r="L674" s="2">
        <v>-0.7</v>
      </c>
      <c r="M674" s="2">
        <v>-0.3</v>
      </c>
      <c r="N674" s="2">
        <v>15.6</v>
      </c>
      <c r="O674" s="2">
        <v>-26.9</v>
      </c>
      <c r="P674" s="2">
        <v>-21</v>
      </c>
      <c r="Q674" s="2">
        <f t="shared" si="20"/>
        <v>31.096141239710111</v>
      </c>
      <c r="R674" t="str">
        <f t="shared" si="21"/>
        <v>Alarme</v>
      </c>
      <c r="S674" t="s">
        <v>271</v>
      </c>
      <c r="T674">
        <v>19</v>
      </c>
    </row>
    <row r="675" spans="1:20">
      <c r="A675" s="1">
        <v>46051</v>
      </c>
      <c r="B675">
        <v>18</v>
      </c>
      <c r="C675" t="s">
        <v>119</v>
      </c>
      <c r="D675" t="s">
        <v>120</v>
      </c>
      <c r="E675" s="6">
        <v>5019.7240000000002</v>
      </c>
      <c r="F675" s="6">
        <v>5017.4448000000002</v>
      </c>
      <c r="G675" s="6">
        <v>48.267099999999999</v>
      </c>
      <c r="H675" s="6"/>
      <c r="I675" s="6"/>
      <c r="J675" s="6"/>
      <c r="K675" s="2"/>
      <c r="L675" s="2"/>
      <c r="M675" s="2"/>
      <c r="N675" s="2"/>
      <c r="O675" s="2"/>
      <c r="P675" s="2"/>
      <c r="Q675" s="2" t="str">
        <f t="shared" si="20"/>
        <v/>
      </c>
      <c r="R675" t="str">
        <f t="shared" si="21"/>
        <v>Sem leitura</v>
      </c>
      <c r="S675" t="s">
        <v>271</v>
      </c>
      <c r="T675">
        <v>50</v>
      </c>
    </row>
    <row r="676" spans="1:20">
      <c r="A676" s="1">
        <v>46051</v>
      </c>
      <c r="B676">
        <v>18</v>
      </c>
      <c r="C676" t="s">
        <v>122</v>
      </c>
      <c r="D676" t="s">
        <v>123</v>
      </c>
      <c r="E676" s="6">
        <v>4982.3819999999996</v>
      </c>
      <c r="F676" s="6">
        <v>5027.9636</v>
      </c>
      <c r="G676" s="6">
        <v>48.275500000000001</v>
      </c>
      <c r="H676" s="6">
        <v>4982.4053000000004</v>
      </c>
      <c r="I676" s="6">
        <v>5027.9650000000001</v>
      </c>
      <c r="J676" s="6">
        <v>48.283000000000001</v>
      </c>
      <c r="K676" s="2">
        <v>-0.8</v>
      </c>
      <c r="L676" s="2">
        <v>1</v>
      </c>
      <c r="M676" s="2">
        <v>0.7</v>
      </c>
      <c r="N676" s="2">
        <v>23.3</v>
      </c>
      <c r="O676" s="2">
        <v>1.4</v>
      </c>
      <c r="P676" s="2">
        <v>7.5</v>
      </c>
      <c r="Q676" s="2">
        <f t="shared" si="20"/>
        <v>23.3420221917468</v>
      </c>
      <c r="R676" t="str">
        <f t="shared" si="21"/>
        <v>Alerta</v>
      </c>
      <c r="S676" t="s">
        <v>271</v>
      </c>
      <c r="T676">
        <v>50</v>
      </c>
    </row>
    <row r="677" spans="1:20">
      <c r="A677" s="1">
        <v>46051</v>
      </c>
      <c r="B677">
        <v>18</v>
      </c>
      <c r="C677" t="s">
        <v>124</v>
      </c>
      <c r="D677" t="s">
        <v>125</v>
      </c>
      <c r="E677" s="6">
        <v>4986.2775000000001</v>
      </c>
      <c r="F677" s="6">
        <v>5019.8639000000003</v>
      </c>
      <c r="G677" s="6">
        <v>50.872999999999998</v>
      </c>
      <c r="H677" s="6">
        <v>4986.2821999999996</v>
      </c>
      <c r="I677" s="6">
        <v>5019.8635000000004</v>
      </c>
      <c r="J677" s="6">
        <v>50.874499999999998</v>
      </c>
      <c r="K677" s="2">
        <v>-0.9</v>
      </c>
      <c r="L677" s="2">
        <v>0.4</v>
      </c>
      <c r="M677" s="2">
        <v>-0.2</v>
      </c>
      <c r="N677" s="2">
        <v>4.7</v>
      </c>
      <c r="O677" s="2">
        <v>-0.4</v>
      </c>
      <c r="P677" s="2">
        <v>1.5</v>
      </c>
      <c r="Q677" s="2">
        <f t="shared" si="20"/>
        <v>4.7169905660283025</v>
      </c>
      <c r="R677" t="str">
        <f t="shared" si="21"/>
        <v>Regular</v>
      </c>
      <c r="S677" t="s">
        <v>271</v>
      </c>
      <c r="T677">
        <v>50</v>
      </c>
    </row>
    <row r="678" spans="1:20">
      <c r="A678" s="1">
        <v>46051</v>
      </c>
      <c r="B678">
        <v>18</v>
      </c>
      <c r="C678" t="s">
        <v>126</v>
      </c>
      <c r="D678" t="s">
        <v>125</v>
      </c>
      <c r="E678" s="6">
        <v>4977.5057999999999</v>
      </c>
      <c r="F678" s="6">
        <v>5027.6043</v>
      </c>
      <c r="G678" s="6">
        <v>52.208399999999997</v>
      </c>
      <c r="H678" s="6">
        <v>4977.5078999999996</v>
      </c>
      <c r="I678" s="6">
        <v>5027.6000000000004</v>
      </c>
      <c r="J678" s="6">
        <v>52.209600000000002</v>
      </c>
      <c r="K678" s="2">
        <v>-0.8</v>
      </c>
      <c r="L678" s="2">
        <v>1</v>
      </c>
      <c r="M678" s="2">
        <v>0.3</v>
      </c>
      <c r="N678" s="2">
        <v>2.1</v>
      </c>
      <c r="O678" s="2">
        <v>-4.3</v>
      </c>
      <c r="P678" s="2">
        <v>1.2</v>
      </c>
      <c r="Q678" s="2">
        <f t="shared" si="20"/>
        <v>4.7853944456021598</v>
      </c>
      <c r="R678" t="str">
        <f t="shared" si="21"/>
        <v>Regular</v>
      </c>
      <c r="S678" t="s">
        <v>271</v>
      </c>
      <c r="T678">
        <v>50</v>
      </c>
    </row>
    <row r="679" spans="1:20">
      <c r="A679" s="1">
        <v>46051</v>
      </c>
      <c r="B679">
        <v>18</v>
      </c>
      <c r="C679" t="s">
        <v>127</v>
      </c>
      <c r="D679" t="s">
        <v>128</v>
      </c>
      <c r="E679" s="6">
        <v>4974.3924999999999</v>
      </c>
      <c r="F679" s="6">
        <v>5039.5325999999995</v>
      </c>
      <c r="G679" s="6">
        <v>53.556800000000003</v>
      </c>
      <c r="H679" s="6">
        <v>4974.3975</v>
      </c>
      <c r="I679" s="6">
        <v>5039.5320000000002</v>
      </c>
      <c r="J679" s="6">
        <v>53.558599999999998</v>
      </c>
      <c r="K679" s="2">
        <v>-0.4</v>
      </c>
      <c r="L679" s="2">
        <v>0.1</v>
      </c>
      <c r="M679" s="2">
        <v>-0.1</v>
      </c>
      <c r="N679" s="2">
        <v>5</v>
      </c>
      <c r="O679" s="2">
        <v>-0.6</v>
      </c>
      <c r="P679" s="2">
        <v>1.8</v>
      </c>
      <c r="Q679" s="2">
        <f t="shared" si="20"/>
        <v>5.0358713248056688</v>
      </c>
      <c r="R679" t="str">
        <f t="shared" si="21"/>
        <v>Regular</v>
      </c>
      <c r="S679" t="s">
        <v>271</v>
      </c>
      <c r="T679">
        <v>50</v>
      </c>
    </row>
    <row r="680" spans="1:20">
      <c r="A680" s="1">
        <v>46051</v>
      </c>
      <c r="B680">
        <v>18</v>
      </c>
      <c r="C680" t="s">
        <v>129</v>
      </c>
      <c r="D680" t="s">
        <v>130</v>
      </c>
      <c r="E680" s="6">
        <v>4981.8689000000004</v>
      </c>
      <c r="F680" s="6">
        <v>5046.9902000000002</v>
      </c>
      <c r="G680" s="6">
        <v>53.966500000000003</v>
      </c>
      <c r="H680" s="6">
        <v>4981.8815000000004</v>
      </c>
      <c r="I680" s="6">
        <v>5046.9777999999997</v>
      </c>
      <c r="J680" s="6">
        <v>53.970700000000001</v>
      </c>
      <c r="K680" s="2">
        <v>0.2</v>
      </c>
      <c r="L680" s="2">
        <v>-0.6</v>
      </c>
      <c r="M680" s="2">
        <v>0.2</v>
      </c>
      <c r="N680" s="2">
        <v>12.6</v>
      </c>
      <c r="O680" s="2">
        <v>-12.4</v>
      </c>
      <c r="P680" s="2">
        <v>4.2</v>
      </c>
      <c r="Q680" s="2">
        <f t="shared" si="20"/>
        <v>17.678235206037961</v>
      </c>
      <c r="R680" t="str">
        <f t="shared" si="21"/>
        <v>Regular</v>
      </c>
      <c r="S680" t="s">
        <v>271</v>
      </c>
      <c r="T680">
        <v>50</v>
      </c>
    </row>
    <row r="681" spans="1:20">
      <c r="A681" s="1">
        <v>46051</v>
      </c>
      <c r="B681">
        <v>18</v>
      </c>
      <c r="C681" t="s">
        <v>131</v>
      </c>
      <c r="D681" t="s">
        <v>130</v>
      </c>
      <c r="E681" s="6">
        <v>4993.0258000000003</v>
      </c>
      <c r="F681" s="6">
        <v>5045.3909000000003</v>
      </c>
      <c r="G681" s="6">
        <v>53.905200000000001</v>
      </c>
      <c r="H681" s="6">
        <v>4993.0357999999997</v>
      </c>
      <c r="I681" s="6">
        <v>5045.3710000000001</v>
      </c>
      <c r="J681" s="6">
        <v>53.907400000000003</v>
      </c>
      <c r="K681" s="2">
        <v>-0.2</v>
      </c>
      <c r="L681" s="2">
        <v>-1</v>
      </c>
      <c r="M681" s="2">
        <v>0.1</v>
      </c>
      <c r="N681" s="2">
        <v>10</v>
      </c>
      <c r="O681" s="2">
        <v>-19.899999999999999</v>
      </c>
      <c r="P681" s="2">
        <v>2.2000000000000002</v>
      </c>
      <c r="Q681" s="2">
        <f t="shared" si="20"/>
        <v>22.271281956816047</v>
      </c>
      <c r="R681" t="str">
        <f t="shared" si="21"/>
        <v>Regular</v>
      </c>
      <c r="S681" t="s">
        <v>271</v>
      </c>
      <c r="T681">
        <v>50</v>
      </c>
    </row>
    <row r="682" spans="1:20">
      <c r="A682" s="1">
        <v>46051</v>
      </c>
      <c r="B682">
        <v>18</v>
      </c>
      <c r="C682" t="s">
        <v>132</v>
      </c>
      <c r="D682" t="s">
        <v>130</v>
      </c>
      <c r="E682" s="6">
        <v>5002.4090999999999</v>
      </c>
      <c r="F682" s="6">
        <v>5044.0244000000002</v>
      </c>
      <c r="G682" s="6">
        <v>53.889200000000002</v>
      </c>
      <c r="H682" s="6">
        <v>5002.4159</v>
      </c>
      <c r="I682" s="6">
        <v>5043.9858000000004</v>
      </c>
      <c r="J682" s="6">
        <v>53.8947</v>
      </c>
      <c r="K682" s="2">
        <v>-0.2</v>
      </c>
      <c r="L682" s="2">
        <v>-1.9</v>
      </c>
      <c r="M682" s="2">
        <v>-0.2</v>
      </c>
      <c r="N682" s="2">
        <v>6.8</v>
      </c>
      <c r="O682" s="2">
        <v>-38.6</v>
      </c>
      <c r="P682" s="2">
        <v>5.5</v>
      </c>
      <c r="Q682" s="2">
        <f t="shared" si="20"/>
        <v>39.19438735329333</v>
      </c>
      <c r="R682" t="str">
        <f t="shared" si="21"/>
        <v>Alerta</v>
      </c>
      <c r="S682" t="s">
        <v>271</v>
      </c>
      <c r="T682">
        <v>50</v>
      </c>
    </row>
    <row r="683" spans="1:20">
      <c r="A683" s="1">
        <v>46051</v>
      </c>
      <c r="B683">
        <v>18</v>
      </c>
      <c r="C683" t="s">
        <v>133</v>
      </c>
      <c r="D683" t="s">
        <v>134</v>
      </c>
      <c r="E683" s="6">
        <v>5012.8994000000002</v>
      </c>
      <c r="F683" s="6">
        <v>5060.6997000000001</v>
      </c>
      <c r="G683" s="6">
        <v>52.496299999999998</v>
      </c>
      <c r="H683" s="6">
        <v>5012.8900999999996</v>
      </c>
      <c r="I683" s="6">
        <v>5060.6728999999996</v>
      </c>
      <c r="J683" s="6">
        <v>52.504600000000003</v>
      </c>
      <c r="K683" s="2">
        <v>-2.2999999999999998</v>
      </c>
      <c r="L683" s="2">
        <v>0.8</v>
      </c>
      <c r="M683" s="2">
        <v>0.1</v>
      </c>
      <c r="N683" s="2">
        <v>-9.3000000000000007</v>
      </c>
      <c r="O683" s="2">
        <v>-26.8</v>
      </c>
      <c r="P683" s="2">
        <v>8.3000000000000007</v>
      </c>
      <c r="Q683" s="2">
        <f t="shared" si="20"/>
        <v>28.367763394388355</v>
      </c>
      <c r="R683" t="str">
        <f t="shared" si="21"/>
        <v>Regular</v>
      </c>
      <c r="S683" t="s">
        <v>271</v>
      </c>
      <c r="T683">
        <v>50</v>
      </c>
    </row>
    <row r="684" spans="1:20">
      <c r="A684" s="1">
        <v>46051</v>
      </c>
      <c r="B684">
        <v>18</v>
      </c>
      <c r="C684" t="s">
        <v>135</v>
      </c>
      <c r="D684" t="s">
        <v>136</v>
      </c>
      <c r="E684" s="6">
        <v>5026.7076999999999</v>
      </c>
      <c r="F684" s="6">
        <v>5072.3888999999999</v>
      </c>
      <c r="G684" s="6">
        <v>53.761400000000002</v>
      </c>
      <c r="H684" s="6">
        <v>5026.6993000000002</v>
      </c>
      <c r="I684" s="6">
        <v>5072.3676999999998</v>
      </c>
      <c r="J684" s="6">
        <v>53.768000000000001</v>
      </c>
      <c r="K684" s="2">
        <v>-2</v>
      </c>
      <c r="L684" s="2">
        <v>1.3</v>
      </c>
      <c r="M684" s="2">
        <v>0.6</v>
      </c>
      <c r="N684" s="2">
        <v>-8.4</v>
      </c>
      <c r="O684" s="2">
        <v>-21.2</v>
      </c>
      <c r="P684" s="2">
        <v>6.6</v>
      </c>
      <c r="Q684" s="2">
        <f t="shared" si="20"/>
        <v>22.803508501982758</v>
      </c>
      <c r="R684" t="str">
        <f t="shared" si="21"/>
        <v>Regular</v>
      </c>
      <c r="S684" t="s">
        <v>271</v>
      </c>
      <c r="T684">
        <v>50</v>
      </c>
    </row>
    <row r="685" spans="1:20">
      <c r="A685" s="1">
        <v>46051</v>
      </c>
      <c r="B685">
        <v>18</v>
      </c>
      <c r="C685" t="s">
        <v>137</v>
      </c>
      <c r="D685" t="s">
        <v>138</v>
      </c>
      <c r="E685" s="6">
        <v>5046.1882999999998</v>
      </c>
      <c r="F685" s="6">
        <v>5033.5622999999996</v>
      </c>
      <c r="G685" s="6">
        <v>48.999099999999999</v>
      </c>
      <c r="H685" s="6">
        <v>5046.1668</v>
      </c>
      <c r="I685" s="6">
        <v>5033.5621000000001</v>
      </c>
      <c r="J685" s="6">
        <v>49.000300000000003</v>
      </c>
      <c r="K685" s="2">
        <v>-0.6</v>
      </c>
      <c r="L685" s="2">
        <v>1.3</v>
      </c>
      <c r="M685" s="2">
        <v>0</v>
      </c>
      <c r="N685" s="2">
        <v>-21.5</v>
      </c>
      <c r="O685" s="2">
        <v>-0.2</v>
      </c>
      <c r="P685" s="2">
        <v>1.2</v>
      </c>
      <c r="Q685" s="2">
        <f t="shared" si="20"/>
        <v>21.500930212434998</v>
      </c>
      <c r="R685" t="str">
        <f t="shared" si="21"/>
        <v>Alerta</v>
      </c>
      <c r="S685" t="s">
        <v>271</v>
      </c>
      <c r="T685">
        <v>50</v>
      </c>
    </row>
    <row r="686" spans="1:20">
      <c r="A686" s="1">
        <v>46051</v>
      </c>
      <c r="B686">
        <v>18</v>
      </c>
      <c r="C686" t="s">
        <v>139</v>
      </c>
      <c r="D686" t="s">
        <v>134</v>
      </c>
      <c r="E686" s="6">
        <v>5010.7592999999997</v>
      </c>
      <c r="F686" s="6">
        <v>5050.9463999999998</v>
      </c>
      <c r="G686" s="6">
        <v>52.517400000000002</v>
      </c>
      <c r="H686" s="6">
        <v>5010.7451000000001</v>
      </c>
      <c r="I686" s="6">
        <v>5050.9225999999999</v>
      </c>
      <c r="J686" s="6">
        <v>52.5289</v>
      </c>
      <c r="K686" s="2">
        <v>-1.2</v>
      </c>
      <c r="L686" s="2">
        <v>0.4</v>
      </c>
      <c r="M686" s="2">
        <v>0.8</v>
      </c>
      <c r="N686" s="2">
        <v>-14.2</v>
      </c>
      <c r="O686" s="2">
        <v>-23.8</v>
      </c>
      <c r="P686" s="2">
        <v>11.5</v>
      </c>
      <c r="Q686" s="2">
        <f t="shared" si="20"/>
        <v>27.71425625918906</v>
      </c>
      <c r="R686" t="str">
        <f t="shared" si="21"/>
        <v>Alerta</v>
      </c>
      <c r="S686" t="s">
        <v>271</v>
      </c>
      <c r="T686">
        <v>50</v>
      </c>
    </row>
    <row r="687" spans="1:20">
      <c r="A687" s="1">
        <v>46051</v>
      </c>
      <c r="B687">
        <v>18</v>
      </c>
      <c r="C687" t="s">
        <v>140</v>
      </c>
      <c r="D687" t="s">
        <v>128</v>
      </c>
      <c r="E687" s="6">
        <v>4976.0573000000004</v>
      </c>
      <c r="F687" s="6">
        <v>5040.5965999999999</v>
      </c>
      <c r="G687" s="6">
        <v>48.214799999999997</v>
      </c>
      <c r="H687" s="6">
        <v>4976.0679</v>
      </c>
      <c r="I687" s="6">
        <v>5040.5929999999998</v>
      </c>
      <c r="J687" s="6">
        <v>48.217500000000001</v>
      </c>
      <c r="K687" s="2">
        <v>-0.1</v>
      </c>
      <c r="L687" s="2">
        <v>-0.8</v>
      </c>
      <c r="M687" s="2">
        <v>0</v>
      </c>
      <c r="N687" s="2">
        <v>10.6</v>
      </c>
      <c r="O687" s="2">
        <v>-3.6</v>
      </c>
      <c r="P687" s="2">
        <v>2.7</v>
      </c>
      <c r="Q687" s="2">
        <f t="shared" si="20"/>
        <v>11.194641575325223</v>
      </c>
      <c r="R687" t="str">
        <f t="shared" si="21"/>
        <v>Regular</v>
      </c>
      <c r="S687" t="s">
        <v>271</v>
      </c>
      <c r="T687">
        <v>50</v>
      </c>
    </row>
    <row r="688" spans="1:20">
      <c r="A688" s="1">
        <v>46051</v>
      </c>
      <c r="B688">
        <v>18</v>
      </c>
      <c r="C688" t="s">
        <v>141</v>
      </c>
      <c r="D688" t="s">
        <v>130</v>
      </c>
      <c r="E688" s="6">
        <v>4987.9621999999999</v>
      </c>
      <c r="F688" s="6">
        <v>5045.3176000000003</v>
      </c>
      <c r="G688" s="6">
        <v>47.637599999999999</v>
      </c>
      <c r="H688" s="6">
        <v>4987.9691000000003</v>
      </c>
      <c r="I688" s="6">
        <v>5045.2929999999997</v>
      </c>
      <c r="J688" s="6">
        <v>47.641300000000001</v>
      </c>
      <c r="K688" s="2">
        <v>-1.1000000000000001</v>
      </c>
      <c r="L688" s="2">
        <v>-1.4</v>
      </c>
      <c r="M688" s="2">
        <v>0.4</v>
      </c>
      <c r="N688" s="2">
        <v>6.9</v>
      </c>
      <c r="O688" s="2">
        <v>-24.6</v>
      </c>
      <c r="P688" s="2">
        <v>3.7</v>
      </c>
      <c r="Q688" s="2">
        <f t="shared" si="20"/>
        <v>25.549363984256047</v>
      </c>
      <c r="R688" t="str">
        <f t="shared" si="21"/>
        <v>Regular</v>
      </c>
      <c r="S688" t="s">
        <v>271</v>
      </c>
      <c r="T688">
        <v>50</v>
      </c>
    </row>
    <row r="689" spans="1:20">
      <c r="A689" s="1">
        <v>46051</v>
      </c>
      <c r="B689">
        <v>18</v>
      </c>
      <c r="C689" t="s">
        <v>142</v>
      </c>
      <c r="D689" t="s">
        <v>130</v>
      </c>
      <c r="E689" s="6">
        <v>5002.5304999999998</v>
      </c>
      <c r="F689" s="6">
        <v>5043.4611000000004</v>
      </c>
      <c r="G689" s="6">
        <v>47.537100000000002</v>
      </c>
      <c r="H689" s="6">
        <v>5002.5366000000004</v>
      </c>
      <c r="I689" s="6">
        <v>5043.4224999999997</v>
      </c>
      <c r="J689" s="6">
        <v>47.5426</v>
      </c>
      <c r="K689" s="2">
        <v>-0.4</v>
      </c>
      <c r="L689" s="2">
        <v>-0.4</v>
      </c>
      <c r="M689" s="2">
        <v>0.1</v>
      </c>
      <c r="N689" s="2">
        <v>6.1</v>
      </c>
      <c r="O689" s="2">
        <v>-38.6</v>
      </c>
      <c r="P689" s="2">
        <v>5.5</v>
      </c>
      <c r="Q689" s="2">
        <f t="shared" si="20"/>
        <v>39.079022505687114</v>
      </c>
      <c r="R689" t="str">
        <f t="shared" si="21"/>
        <v>Alerta</v>
      </c>
      <c r="S689" t="s">
        <v>271</v>
      </c>
      <c r="T689">
        <v>50</v>
      </c>
    </row>
    <row r="690" spans="1:20">
      <c r="A690" s="1">
        <v>46051</v>
      </c>
      <c r="B690">
        <v>18</v>
      </c>
      <c r="C690" t="s">
        <v>143</v>
      </c>
      <c r="D690" t="s">
        <v>136</v>
      </c>
      <c r="E690" s="6">
        <v>5027.4714000000004</v>
      </c>
      <c r="F690" s="6">
        <v>5072.2404999999999</v>
      </c>
      <c r="G690" s="6">
        <v>51.143700000000003</v>
      </c>
      <c r="H690" s="6">
        <v>5027.4663</v>
      </c>
      <c r="I690" s="6">
        <v>5072.2209000000003</v>
      </c>
      <c r="J690" s="6">
        <v>51.1492</v>
      </c>
      <c r="K690" s="2">
        <v>-1.1000000000000001</v>
      </c>
      <c r="L690" s="2">
        <v>1.4</v>
      </c>
      <c r="M690" s="2">
        <v>0</v>
      </c>
      <c r="N690" s="2">
        <v>-5.0999999999999996</v>
      </c>
      <c r="O690" s="2">
        <v>-19.600000000000001</v>
      </c>
      <c r="P690" s="2">
        <v>5.5</v>
      </c>
      <c r="Q690" s="2">
        <f t="shared" si="20"/>
        <v>20.252654147049469</v>
      </c>
      <c r="R690" t="str">
        <f t="shared" si="21"/>
        <v>Regular</v>
      </c>
      <c r="S690" t="s">
        <v>271</v>
      </c>
      <c r="T690">
        <v>50</v>
      </c>
    </row>
    <row r="691" spans="1:20">
      <c r="A691" s="1">
        <v>46051</v>
      </c>
      <c r="B691">
        <v>18</v>
      </c>
      <c r="C691" t="s">
        <v>144</v>
      </c>
      <c r="D691" t="s">
        <v>145</v>
      </c>
      <c r="E691" s="6">
        <v>5041.9629000000004</v>
      </c>
      <c r="F691" s="6">
        <v>5043.3289999999997</v>
      </c>
      <c r="G691" s="6">
        <v>52.0655</v>
      </c>
      <c r="H691" s="6">
        <v>5041.9522999999999</v>
      </c>
      <c r="I691" s="6">
        <v>5043.3240999999998</v>
      </c>
      <c r="J691" s="6">
        <v>52.067300000000003</v>
      </c>
      <c r="K691" s="2">
        <v>-0.7</v>
      </c>
      <c r="L691" s="2">
        <v>0.7</v>
      </c>
      <c r="M691" s="2">
        <v>0.7</v>
      </c>
      <c r="N691" s="2">
        <v>-10.6</v>
      </c>
      <c r="O691" s="2">
        <v>-4.9000000000000004</v>
      </c>
      <c r="P691" s="2">
        <v>1.8</v>
      </c>
      <c r="Q691" s="2">
        <f t="shared" si="20"/>
        <v>11.677756633874505</v>
      </c>
      <c r="R691" t="str">
        <f t="shared" si="21"/>
        <v>Regular</v>
      </c>
      <c r="S691" t="s">
        <v>271</v>
      </c>
      <c r="T691">
        <v>50</v>
      </c>
    </row>
    <row r="692" spans="1:20">
      <c r="A692" s="1">
        <v>46051</v>
      </c>
      <c r="B692">
        <v>18</v>
      </c>
      <c r="C692" t="s">
        <v>166</v>
      </c>
      <c r="D692" t="s">
        <v>167</v>
      </c>
      <c r="E692" s="6">
        <v>5037.8409000000001</v>
      </c>
      <c r="F692" s="6">
        <v>5046.2614999999996</v>
      </c>
      <c r="G692" s="6">
        <v>51.521099999999997</v>
      </c>
      <c r="H692" s="6">
        <v>5037.8289000000004</v>
      </c>
      <c r="I692" s="6">
        <v>5046.2551000000003</v>
      </c>
      <c r="J692" s="6">
        <v>51.525300000000001</v>
      </c>
      <c r="K692" s="2">
        <v>-0.3</v>
      </c>
      <c r="L692" s="2">
        <v>0.2</v>
      </c>
      <c r="M692" s="2">
        <v>0.2</v>
      </c>
      <c r="N692" s="2">
        <v>-12</v>
      </c>
      <c r="O692" s="2">
        <v>-6.4</v>
      </c>
      <c r="P692" s="2">
        <v>4.2</v>
      </c>
      <c r="Q692" s="2">
        <f t="shared" si="20"/>
        <v>13.6</v>
      </c>
      <c r="R692" t="str">
        <f t="shared" si="21"/>
        <v>Regular</v>
      </c>
      <c r="S692" t="s">
        <v>271</v>
      </c>
      <c r="T692">
        <v>50</v>
      </c>
    </row>
    <row r="693" spans="1:20">
      <c r="A693" s="1">
        <v>46051</v>
      </c>
      <c r="B693">
        <v>18</v>
      </c>
      <c r="C693" t="s">
        <v>154</v>
      </c>
      <c r="D693" t="s">
        <v>123</v>
      </c>
      <c r="E693" s="6">
        <v>4983.0880999999999</v>
      </c>
      <c r="F693" s="6">
        <v>5028.2978000000003</v>
      </c>
      <c r="G693" s="6">
        <v>42.8752</v>
      </c>
      <c r="H693" s="6"/>
      <c r="I693" s="6"/>
      <c r="J693" s="6"/>
      <c r="K693" s="2"/>
      <c r="L693" s="2"/>
      <c r="M693" s="2"/>
      <c r="N693" s="2"/>
      <c r="O693" s="2"/>
      <c r="P693" s="2"/>
      <c r="Q693" s="2" t="str">
        <f t="shared" si="20"/>
        <v/>
      </c>
      <c r="R693" t="str">
        <f t="shared" si="21"/>
        <v>Sem leitura</v>
      </c>
      <c r="S693" t="s">
        <v>271</v>
      </c>
      <c r="T693">
        <v>50</v>
      </c>
    </row>
    <row r="694" spans="1:20">
      <c r="A694" s="1">
        <v>46051</v>
      </c>
      <c r="B694">
        <v>18</v>
      </c>
      <c r="C694" t="s">
        <v>163</v>
      </c>
      <c r="D694" t="s">
        <v>134</v>
      </c>
      <c r="E694" s="6">
        <v>5013.4206999999997</v>
      </c>
      <c r="F694" s="6">
        <v>5061.5992999999999</v>
      </c>
      <c r="G694" s="6">
        <v>47.2774</v>
      </c>
      <c r="H694" s="6"/>
      <c r="I694" s="6"/>
      <c r="J694" s="6"/>
      <c r="K694" s="2"/>
      <c r="L694" s="2"/>
      <c r="M694" s="2"/>
      <c r="N694" s="2"/>
      <c r="O694" s="2"/>
      <c r="P694" s="2"/>
      <c r="Q694" s="2" t="str">
        <f t="shared" si="20"/>
        <v/>
      </c>
      <c r="R694" t="str">
        <f t="shared" si="21"/>
        <v>Sem leitura</v>
      </c>
      <c r="S694" t="s">
        <v>271</v>
      </c>
      <c r="T694">
        <v>50</v>
      </c>
    </row>
    <row r="695" spans="1:20">
      <c r="A695" s="1">
        <v>46051</v>
      </c>
      <c r="B695">
        <v>18</v>
      </c>
      <c r="C695" t="s">
        <v>164</v>
      </c>
      <c r="D695" t="s">
        <v>136</v>
      </c>
      <c r="E695" s="6">
        <v>5026.8990000000003</v>
      </c>
      <c r="F695" s="6">
        <v>5072.0330000000004</v>
      </c>
      <c r="G695" s="6">
        <v>44.739800000000002</v>
      </c>
      <c r="H695" s="6">
        <v>5026.8955999999998</v>
      </c>
      <c r="I695" s="6">
        <v>5072.0194000000001</v>
      </c>
      <c r="J695" s="6">
        <v>44.745699999999999</v>
      </c>
      <c r="K695" s="2">
        <v>-0.7</v>
      </c>
      <c r="L695" s="2">
        <v>2.5</v>
      </c>
      <c r="M695" s="2">
        <v>0.4</v>
      </c>
      <c r="N695" s="2">
        <v>-3.4</v>
      </c>
      <c r="O695" s="2">
        <v>-13.6</v>
      </c>
      <c r="P695" s="2">
        <v>5.9</v>
      </c>
      <c r="Q695" s="2">
        <f t="shared" si="20"/>
        <v>14.018559127100046</v>
      </c>
      <c r="R695" t="str">
        <f t="shared" si="21"/>
        <v>Regular</v>
      </c>
      <c r="S695" t="s">
        <v>271</v>
      </c>
      <c r="T695">
        <v>50</v>
      </c>
    </row>
    <row r="696" spans="1:20">
      <c r="A696" s="1">
        <v>46051</v>
      </c>
      <c r="B696">
        <v>18</v>
      </c>
      <c r="C696" t="s">
        <v>169</v>
      </c>
      <c r="D696" t="s">
        <v>145</v>
      </c>
      <c r="E696" s="6">
        <v>5042.0578999999998</v>
      </c>
      <c r="F696" s="6">
        <v>5042.7259000000004</v>
      </c>
      <c r="G696" s="6">
        <v>42.933700000000002</v>
      </c>
      <c r="H696" s="6">
        <v>5042.0482000000002</v>
      </c>
      <c r="I696" s="6">
        <v>5042.7281000000003</v>
      </c>
      <c r="J696" s="6">
        <v>42.937800000000003</v>
      </c>
      <c r="K696" s="2">
        <v>-1.6</v>
      </c>
      <c r="L696" s="2">
        <v>2.5</v>
      </c>
      <c r="M696" s="2">
        <v>0.4</v>
      </c>
      <c r="N696" s="2">
        <v>-9.6999999999999993</v>
      </c>
      <c r="O696" s="2">
        <v>2.2000000000000002</v>
      </c>
      <c r="P696" s="2">
        <v>4.0999999999999996</v>
      </c>
      <c r="Q696" s="2">
        <f t="shared" si="20"/>
        <v>9.9463561166891665</v>
      </c>
      <c r="R696" t="str">
        <f t="shared" si="21"/>
        <v>Regular</v>
      </c>
      <c r="S696" t="s">
        <v>271</v>
      </c>
      <c r="T696">
        <v>50</v>
      </c>
    </row>
    <row r="697" spans="1:20">
      <c r="A697" s="1">
        <v>46051</v>
      </c>
      <c r="B697">
        <v>18</v>
      </c>
      <c r="C697" t="s">
        <v>170</v>
      </c>
      <c r="D697" t="s">
        <v>138</v>
      </c>
      <c r="E697" s="6">
        <v>5045.8157000000001</v>
      </c>
      <c r="F697" s="6">
        <v>5033.7070000000003</v>
      </c>
      <c r="G697" s="6">
        <v>42.660600000000002</v>
      </c>
      <c r="H697" s="6">
        <v>5045.8056999999999</v>
      </c>
      <c r="I697" s="6">
        <v>5033.7101000000002</v>
      </c>
      <c r="J697" s="6">
        <v>42.663899999999998</v>
      </c>
      <c r="K697" s="2">
        <v>-1.6</v>
      </c>
      <c r="L697" s="2">
        <v>1.7</v>
      </c>
      <c r="M697" s="2">
        <v>0.4</v>
      </c>
      <c r="N697" s="2">
        <v>-10</v>
      </c>
      <c r="O697" s="2">
        <v>3.1</v>
      </c>
      <c r="P697" s="2">
        <v>3.3</v>
      </c>
      <c r="Q697" s="2">
        <f t="shared" si="20"/>
        <v>10.469479452198184</v>
      </c>
      <c r="R697" t="str">
        <f t="shared" si="21"/>
        <v>Regular</v>
      </c>
      <c r="S697" t="s">
        <v>271</v>
      </c>
      <c r="T697">
        <v>50</v>
      </c>
    </row>
    <row r="698" spans="1:20">
      <c r="A698" s="1">
        <v>46051</v>
      </c>
      <c r="B698">
        <v>18</v>
      </c>
      <c r="C698" t="s">
        <v>149</v>
      </c>
      <c r="D698" t="s">
        <v>120</v>
      </c>
      <c r="E698" s="6">
        <v>5017.3522999999996</v>
      </c>
      <c r="F698" s="6">
        <v>5017.7930999999999</v>
      </c>
      <c r="G698" s="6">
        <v>47.4587</v>
      </c>
      <c r="H698" s="6">
        <v>5017.3483999999999</v>
      </c>
      <c r="I698" s="6">
        <v>5017.7960999999996</v>
      </c>
      <c r="J698" s="6">
        <v>47.463900000000002</v>
      </c>
      <c r="K698" s="2">
        <v>-0.9</v>
      </c>
      <c r="L698" s="2">
        <v>2.4</v>
      </c>
      <c r="M698" s="2">
        <v>0.9</v>
      </c>
      <c r="N698" s="2">
        <v>-3.9</v>
      </c>
      <c r="O698" s="2">
        <v>3</v>
      </c>
      <c r="P698" s="2">
        <v>5.2</v>
      </c>
      <c r="Q698" s="2">
        <f t="shared" si="20"/>
        <v>4.920365840057018</v>
      </c>
      <c r="R698" t="str">
        <f t="shared" si="21"/>
        <v>Regular</v>
      </c>
      <c r="S698" t="s">
        <v>271</v>
      </c>
      <c r="T698">
        <v>50</v>
      </c>
    </row>
    <row r="699" spans="1:20">
      <c r="A699" s="1">
        <v>46051</v>
      </c>
      <c r="B699">
        <v>18</v>
      </c>
      <c r="C699" t="s">
        <v>151</v>
      </c>
      <c r="D699" t="s">
        <v>120</v>
      </c>
      <c r="E699" s="6">
        <v>5017.2749000000003</v>
      </c>
      <c r="F699" s="6">
        <v>5018.2057000000004</v>
      </c>
      <c r="G699" s="6">
        <v>43.061300000000003</v>
      </c>
      <c r="H699" s="6"/>
      <c r="I699" s="6"/>
      <c r="J699" s="6"/>
      <c r="K699" s="2"/>
      <c r="L699" s="2"/>
      <c r="M699" s="2"/>
      <c r="N699" s="2"/>
      <c r="O699" s="2"/>
      <c r="P699" s="2"/>
      <c r="Q699" s="2" t="str">
        <f t="shared" si="20"/>
        <v/>
      </c>
      <c r="R699" t="str">
        <f t="shared" si="21"/>
        <v>Sem leitura</v>
      </c>
      <c r="S699" t="s">
        <v>271</v>
      </c>
      <c r="T699">
        <v>50</v>
      </c>
    </row>
    <row r="700" spans="1:20">
      <c r="A700" s="1">
        <v>46051</v>
      </c>
      <c r="B700">
        <v>18</v>
      </c>
      <c r="C700" t="s">
        <v>159</v>
      </c>
      <c r="D700" t="s">
        <v>128</v>
      </c>
      <c r="E700" s="6">
        <v>4976.0536000000002</v>
      </c>
      <c r="F700" s="6">
        <v>5040.1774999999998</v>
      </c>
      <c r="G700" s="6">
        <v>43.505000000000003</v>
      </c>
      <c r="H700" s="6"/>
      <c r="I700" s="6"/>
      <c r="J700" s="6"/>
      <c r="K700" s="2"/>
      <c r="L700" s="2"/>
      <c r="M700" s="2"/>
      <c r="N700" s="2"/>
      <c r="O700" s="2"/>
      <c r="P700" s="2"/>
      <c r="Q700" s="2" t="str">
        <f t="shared" si="20"/>
        <v/>
      </c>
      <c r="R700" t="str">
        <f t="shared" si="21"/>
        <v>Sem leitura</v>
      </c>
      <c r="S700" t="s">
        <v>271</v>
      </c>
      <c r="T700">
        <v>50</v>
      </c>
    </row>
    <row r="701" spans="1:20">
      <c r="A701" s="1">
        <v>46051</v>
      </c>
      <c r="B701">
        <v>18</v>
      </c>
      <c r="C701" t="s">
        <v>160</v>
      </c>
      <c r="D701" t="s">
        <v>128</v>
      </c>
      <c r="E701" s="6">
        <v>4976.0869000000002</v>
      </c>
      <c r="F701" s="6">
        <v>5040.6423000000004</v>
      </c>
      <c r="G701" s="6">
        <v>43.351300000000002</v>
      </c>
      <c r="H701" s="6">
        <v>4976.0897999999997</v>
      </c>
      <c r="I701" s="6">
        <v>5040.6395000000002</v>
      </c>
      <c r="J701" s="6">
        <v>43.354500000000002</v>
      </c>
      <c r="K701" s="2">
        <v>0.2</v>
      </c>
      <c r="L701" s="2">
        <v>-0.1</v>
      </c>
      <c r="M701" s="2">
        <v>0</v>
      </c>
      <c r="N701" s="2">
        <v>2.9</v>
      </c>
      <c r="O701" s="2">
        <v>-2.8</v>
      </c>
      <c r="P701" s="2">
        <v>3.2</v>
      </c>
      <c r="Q701" s="2">
        <f t="shared" si="20"/>
        <v>4.0311288741492746</v>
      </c>
      <c r="R701" t="str">
        <f t="shared" si="21"/>
        <v>Regular</v>
      </c>
      <c r="S701" t="s">
        <v>271</v>
      </c>
      <c r="T701">
        <v>50</v>
      </c>
    </row>
    <row r="702" spans="1:20">
      <c r="A702" s="1">
        <v>46051</v>
      </c>
      <c r="B702">
        <v>18</v>
      </c>
      <c r="C702" t="s">
        <v>168</v>
      </c>
      <c r="D702" t="s">
        <v>167</v>
      </c>
      <c r="E702" s="6">
        <v>5037.7052999999996</v>
      </c>
      <c r="F702" s="6">
        <v>5047.0955999999996</v>
      </c>
      <c r="G702" s="6">
        <v>42.919199999999996</v>
      </c>
      <c r="H702" s="6">
        <v>5037.6980000000003</v>
      </c>
      <c r="I702" s="6">
        <v>5047.0962</v>
      </c>
      <c r="J702" s="6">
        <v>42.921199999999999</v>
      </c>
      <c r="K702" s="2">
        <v>-1.2</v>
      </c>
      <c r="L702" s="2">
        <v>0.8</v>
      </c>
      <c r="M702" s="2">
        <v>-0.3</v>
      </c>
      <c r="N702" s="2">
        <v>-7.3</v>
      </c>
      <c r="O702" s="2">
        <v>0.6</v>
      </c>
      <c r="P702" s="2">
        <v>2</v>
      </c>
      <c r="Q702" s="2">
        <f t="shared" si="20"/>
        <v>7.3246160308919945</v>
      </c>
      <c r="R702" t="str">
        <f t="shared" si="21"/>
        <v>Regular</v>
      </c>
      <c r="S702" t="s">
        <v>271</v>
      </c>
      <c r="T702">
        <v>50</v>
      </c>
    </row>
    <row r="703" spans="1:20">
      <c r="A703" s="1">
        <v>46051</v>
      </c>
      <c r="B703">
        <v>18</v>
      </c>
      <c r="C703" t="s">
        <v>155</v>
      </c>
      <c r="D703" t="s">
        <v>156</v>
      </c>
      <c r="E703" s="6">
        <v>4980.2689</v>
      </c>
      <c r="F703" s="6">
        <v>5031.7997999999998</v>
      </c>
      <c r="G703" s="6">
        <v>48.331200000000003</v>
      </c>
      <c r="H703" s="6">
        <v>4980.2704000000003</v>
      </c>
      <c r="I703" s="6">
        <v>5031.7995000000001</v>
      </c>
      <c r="J703" s="6">
        <v>48.334299999999999</v>
      </c>
      <c r="K703" s="2">
        <v>-0.7</v>
      </c>
      <c r="L703" s="2">
        <v>0.6</v>
      </c>
      <c r="M703" s="2">
        <v>0.4</v>
      </c>
      <c r="N703" s="2">
        <v>1.5</v>
      </c>
      <c r="O703" s="2">
        <v>-0.3</v>
      </c>
      <c r="P703" s="2">
        <v>3.1</v>
      </c>
      <c r="Q703" s="2">
        <f t="shared" si="20"/>
        <v>1.5297058540778354</v>
      </c>
      <c r="R703" t="str">
        <f t="shared" si="21"/>
        <v>Regular</v>
      </c>
      <c r="S703" t="s">
        <v>271</v>
      </c>
      <c r="T703">
        <v>50</v>
      </c>
    </row>
    <row r="704" spans="1:20">
      <c r="A704" s="1">
        <v>46051</v>
      </c>
      <c r="B704">
        <v>18</v>
      </c>
      <c r="C704" t="s">
        <v>153</v>
      </c>
      <c r="D704" t="s">
        <v>120</v>
      </c>
      <c r="E704" s="6">
        <v>5017.2718999999997</v>
      </c>
      <c r="F704" s="6">
        <v>5018.1959999999999</v>
      </c>
      <c r="G704" s="6">
        <v>43.055799999999998</v>
      </c>
      <c r="H704" s="6">
        <v>5017.2703000000001</v>
      </c>
      <c r="I704" s="6">
        <v>5018.2030999999997</v>
      </c>
      <c r="J704" s="6">
        <v>43.058700000000002</v>
      </c>
      <c r="K704" s="2">
        <v>-1.6</v>
      </c>
      <c r="L704" s="2">
        <v>2.8</v>
      </c>
      <c r="M704" s="2">
        <v>0.6</v>
      </c>
      <c r="N704" s="2">
        <v>-1.6</v>
      </c>
      <c r="O704" s="2">
        <v>7.1</v>
      </c>
      <c r="P704" s="2">
        <v>2.9</v>
      </c>
      <c r="Q704" s="2">
        <f t="shared" si="20"/>
        <v>7.2780491891715045</v>
      </c>
      <c r="R704" t="str">
        <f t="shared" si="21"/>
        <v>Regular</v>
      </c>
      <c r="S704" t="s">
        <v>271</v>
      </c>
      <c r="T704">
        <v>50</v>
      </c>
    </row>
    <row r="705" spans="1:20">
      <c r="A705" s="1">
        <v>46051</v>
      </c>
      <c r="B705">
        <v>18</v>
      </c>
      <c r="C705" t="s">
        <v>157</v>
      </c>
      <c r="D705" t="s">
        <v>156</v>
      </c>
      <c r="E705" s="6">
        <v>4980.6113999999998</v>
      </c>
      <c r="F705" s="6">
        <v>5031.9393</v>
      </c>
      <c r="G705" s="6">
        <v>42.979900000000001</v>
      </c>
      <c r="H705" s="6"/>
      <c r="I705" s="6"/>
      <c r="J705" s="6"/>
      <c r="K705" s="2"/>
      <c r="L705" s="2"/>
      <c r="M705" s="2"/>
      <c r="N705" s="2"/>
      <c r="O705" s="2"/>
      <c r="P705" s="2"/>
      <c r="Q705" s="2" t="str">
        <f t="shared" si="20"/>
        <v/>
      </c>
      <c r="R705" t="str">
        <f t="shared" si="21"/>
        <v>Sem leitura</v>
      </c>
      <c r="S705" t="s">
        <v>271</v>
      </c>
      <c r="T705">
        <v>50</v>
      </c>
    </row>
    <row r="706" spans="1:20">
      <c r="A706" s="1">
        <v>46051</v>
      </c>
      <c r="B706">
        <v>18</v>
      </c>
      <c r="C706" t="s">
        <v>161</v>
      </c>
      <c r="D706" t="s">
        <v>130</v>
      </c>
      <c r="E706" s="6">
        <v>4988.3298000000004</v>
      </c>
      <c r="F706" s="6">
        <v>5045.2532000000001</v>
      </c>
      <c r="G706" s="6">
        <v>42.8264</v>
      </c>
      <c r="H706" s="6">
        <v>4988.3310000000001</v>
      </c>
      <c r="I706" s="6">
        <v>5045.2413999999999</v>
      </c>
      <c r="J706" s="6">
        <v>42.8279</v>
      </c>
      <c r="K706" s="2">
        <v>-0.7</v>
      </c>
      <c r="L706" s="2">
        <v>-1.6</v>
      </c>
      <c r="M706" s="2">
        <v>0.6</v>
      </c>
      <c r="N706" s="2">
        <v>1.2</v>
      </c>
      <c r="O706" s="2">
        <v>-11.8</v>
      </c>
      <c r="P706" s="2">
        <v>1.5</v>
      </c>
      <c r="Q706" s="2">
        <f t="shared" ref="Q706:Q769" si="22">IF(COUNT(N706:O706)&lt;2,"",SQRT(N706^2+O706^2))</f>
        <v>11.86086000254619</v>
      </c>
      <c r="R706" t="str">
        <f t="shared" ref="R706:R769" si="23">IF(COUNT(H706:P706)=0,"Sem leitura",IF(ISNUMBER(SEARCH("Escavação",D706)),IF(OR(Q706&gt;=40,ABS(P706)&gt;=15),"Alarme",IF(OR(Q706&gt;=IF(OR(ISNUMBER(SEARCH("Alçado AB",D706)),ISNUMBER(SEARCH("Alçado CD",D706)),ISNUMBER(SEARCH("Alçado BF",D706)),ISNUMBER(SEARCH("Alçado PQ",D706))),20,30),ABS(P706)&gt;=10),"Alerta","Regular")),IF(OR(Q706&gt;=25,ABS(P706)&gt;=20),"Alarme",IF(OR(Q706&gt;=15,ABS(P706)&gt;=10),"Alerta","Regular"))))</f>
        <v>Regular</v>
      </c>
      <c r="S706" t="s">
        <v>271</v>
      </c>
      <c r="T706">
        <v>50</v>
      </c>
    </row>
    <row r="707" spans="1:20">
      <c r="A707" s="1">
        <v>46051</v>
      </c>
      <c r="B707">
        <v>18</v>
      </c>
      <c r="C707" t="s">
        <v>162</v>
      </c>
      <c r="D707" t="s">
        <v>130</v>
      </c>
      <c r="E707" s="6">
        <v>4998.6503000000002</v>
      </c>
      <c r="F707" s="6">
        <v>5043.7455</v>
      </c>
      <c r="G707" s="6">
        <v>42.848300000000002</v>
      </c>
      <c r="H707" s="6">
        <v>4998.6508000000003</v>
      </c>
      <c r="I707" s="6">
        <v>5043.7316000000001</v>
      </c>
      <c r="J707" s="6">
        <v>42.849699999999999</v>
      </c>
      <c r="K707" s="2">
        <v>-0.3</v>
      </c>
      <c r="L707" s="2">
        <v>-1.6</v>
      </c>
      <c r="M707" s="2">
        <v>0.2</v>
      </c>
      <c r="N707" s="2">
        <v>0.5</v>
      </c>
      <c r="O707" s="2">
        <v>-13.9</v>
      </c>
      <c r="P707" s="2">
        <v>1.4</v>
      </c>
      <c r="Q707" s="2">
        <f t="shared" si="22"/>
        <v>13.908989898623121</v>
      </c>
      <c r="R707" t="str">
        <f t="shared" si="23"/>
        <v>Regular</v>
      </c>
      <c r="S707" t="s">
        <v>271</v>
      </c>
      <c r="T707">
        <v>50</v>
      </c>
    </row>
    <row r="708" spans="1:20">
      <c r="A708" s="1">
        <v>46051</v>
      </c>
      <c r="B708">
        <v>18</v>
      </c>
      <c r="C708" t="s">
        <v>165</v>
      </c>
      <c r="D708" t="s">
        <v>136</v>
      </c>
      <c r="E708" s="6">
        <v>5026.6471000000001</v>
      </c>
      <c r="F708" s="6">
        <v>5071.8581999999997</v>
      </c>
      <c r="G708" s="6">
        <v>41.8752</v>
      </c>
      <c r="H708" s="6">
        <v>5026.6441000000004</v>
      </c>
      <c r="I708" s="6">
        <v>5071.8540999999996</v>
      </c>
      <c r="J708" s="6">
        <v>41.8797</v>
      </c>
      <c r="K708" s="2">
        <v>-1.3</v>
      </c>
      <c r="L708" s="2">
        <v>1.8</v>
      </c>
      <c r="M708" s="2">
        <v>0.2</v>
      </c>
      <c r="N708" s="2">
        <v>-3</v>
      </c>
      <c r="O708" s="2">
        <v>-4.0999999999999996</v>
      </c>
      <c r="P708" s="2">
        <v>4.5</v>
      </c>
      <c r="Q708" s="2">
        <f t="shared" si="22"/>
        <v>5.0803543183522146</v>
      </c>
      <c r="R708" t="str">
        <f t="shared" si="23"/>
        <v>Regular</v>
      </c>
      <c r="S708" t="s">
        <v>271</v>
      </c>
      <c r="T708">
        <v>50</v>
      </c>
    </row>
    <row r="709" spans="1:20">
      <c r="A709" s="1">
        <v>46051</v>
      </c>
      <c r="B709">
        <v>18</v>
      </c>
      <c r="C709" t="s">
        <v>158</v>
      </c>
      <c r="D709" t="s">
        <v>156</v>
      </c>
      <c r="E709" s="6">
        <v>4980.5802999999996</v>
      </c>
      <c r="F709" s="6">
        <v>5031.6513999999997</v>
      </c>
      <c r="G709" s="6">
        <v>42.887999999999998</v>
      </c>
      <c r="H709" s="6">
        <v>4980.5834000000004</v>
      </c>
      <c r="I709" s="6">
        <v>5031.6535000000003</v>
      </c>
      <c r="J709" s="6">
        <v>42.8902</v>
      </c>
      <c r="K709" s="2">
        <v>-0.7</v>
      </c>
      <c r="L709" s="2">
        <v>0.9</v>
      </c>
      <c r="M709" s="2">
        <v>0.4</v>
      </c>
      <c r="N709" s="2">
        <v>3.1</v>
      </c>
      <c r="O709" s="2">
        <v>2.1</v>
      </c>
      <c r="P709" s="2">
        <v>2.2000000000000002</v>
      </c>
      <c r="Q709" s="2">
        <f t="shared" si="22"/>
        <v>3.744329045369811</v>
      </c>
      <c r="R709" t="str">
        <f t="shared" si="23"/>
        <v>Regular</v>
      </c>
      <c r="S709" t="s">
        <v>271</v>
      </c>
      <c r="T709">
        <v>50</v>
      </c>
    </row>
    <row r="710" spans="1:20">
      <c r="A710" s="1">
        <v>46051</v>
      </c>
      <c r="B710">
        <v>18</v>
      </c>
      <c r="C710" t="s">
        <v>171</v>
      </c>
      <c r="D710" t="s">
        <v>123</v>
      </c>
      <c r="E710" s="6">
        <v>4982.7381999999998</v>
      </c>
      <c r="F710" s="6">
        <v>5028.3501999999999</v>
      </c>
      <c r="G710" s="6">
        <v>42.705800000000004</v>
      </c>
      <c r="H710" s="6">
        <v>4982.7421999999997</v>
      </c>
      <c r="I710" s="6">
        <v>5028.3519999999999</v>
      </c>
      <c r="J710" s="6">
        <v>42.707099999999997</v>
      </c>
      <c r="K710" s="2">
        <v>-0.2</v>
      </c>
      <c r="L710" s="2">
        <v>0.2</v>
      </c>
      <c r="M710" s="2">
        <v>0.2</v>
      </c>
      <c r="N710" s="2">
        <v>4</v>
      </c>
      <c r="O710" s="2">
        <v>1.8</v>
      </c>
      <c r="P710" s="2">
        <v>1.3</v>
      </c>
      <c r="Q710" s="2">
        <f t="shared" si="22"/>
        <v>4.3863424398922621</v>
      </c>
      <c r="R710" t="str">
        <f t="shared" si="23"/>
        <v>Regular</v>
      </c>
      <c r="S710" t="s">
        <v>271</v>
      </c>
      <c r="T710">
        <v>50</v>
      </c>
    </row>
    <row r="711" spans="1:20">
      <c r="A711" s="1">
        <v>46051</v>
      </c>
      <c r="B711">
        <v>18</v>
      </c>
      <c r="C711" t="s">
        <v>173</v>
      </c>
      <c r="D711" t="s">
        <v>123</v>
      </c>
      <c r="E711" s="6">
        <v>4982.2178000000004</v>
      </c>
      <c r="F711" s="6">
        <v>5028.4342999999999</v>
      </c>
      <c r="G711" s="6">
        <v>39.473500000000001</v>
      </c>
      <c r="H711" s="6">
        <v>4982.2182000000003</v>
      </c>
      <c r="I711" s="6">
        <v>5028.4340000000002</v>
      </c>
      <c r="J711" s="6">
        <v>39.473100000000002</v>
      </c>
      <c r="K711" s="2">
        <v>0.4</v>
      </c>
      <c r="L711" s="2">
        <v>-0.3</v>
      </c>
      <c r="M711" s="2">
        <v>-0.4</v>
      </c>
      <c r="N711" s="2">
        <v>0.4</v>
      </c>
      <c r="O711" s="2">
        <v>-0.3</v>
      </c>
      <c r="P711" s="2">
        <v>-0.4</v>
      </c>
      <c r="Q711" s="2">
        <f t="shared" si="22"/>
        <v>0.5</v>
      </c>
      <c r="R711" t="str">
        <f t="shared" si="23"/>
        <v>Regular</v>
      </c>
      <c r="S711" t="s">
        <v>271</v>
      </c>
      <c r="T711">
        <v>50</v>
      </c>
    </row>
    <row r="712" spans="1:20">
      <c r="A712" s="1">
        <v>46051</v>
      </c>
      <c r="B712">
        <v>18</v>
      </c>
      <c r="C712" t="s">
        <v>175</v>
      </c>
      <c r="D712" t="s">
        <v>156</v>
      </c>
      <c r="E712" s="6">
        <v>4980.7398999999996</v>
      </c>
      <c r="F712" s="6">
        <v>5032.9142000000002</v>
      </c>
      <c r="G712" s="6">
        <v>39.535899999999998</v>
      </c>
      <c r="H712" s="6">
        <v>4980.7398999999996</v>
      </c>
      <c r="I712" s="6">
        <v>5032.9142000000002</v>
      </c>
      <c r="J712" s="6">
        <v>39.535200000000003</v>
      </c>
      <c r="K712" s="2">
        <v>0</v>
      </c>
      <c r="L712" s="2">
        <v>0</v>
      </c>
      <c r="M712" s="2">
        <v>-0.7</v>
      </c>
      <c r="N712" s="2">
        <v>0</v>
      </c>
      <c r="O712" s="2">
        <v>0</v>
      </c>
      <c r="P712" s="2">
        <v>-0.7</v>
      </c>
      <c r="Q712" s="2">
        <f t="shared" si="22"/>
        <v>0</v>
      </c>
      <c r="R712" t="str">
        <f t="shared" si="23"/>
        <v>Regular</v>
      </c>
      <c r="S712" t="s">
        <v>271</v>
      </c>
      <c r="T712">
        <v>50</v>
      </c>
    </row>
    <row r="713" spans="1:20">
      <c r="A713" s="1">
        <v>46051</v>
      </c>
      <c r="B713">
        <v>18</v>
      </c>
      <c r="C713" t="s">
        <v>176</v>
      </c>
      <c r="D713" t="s">
        <v>128</v>
      </c>
      <c r="E713" s="6">
        <v>4974.8552</v>
      </c>
      <c r="F713" s="6">
        <v>5040.1602999999996</v>
      </c>
      <c r="G713" s="6">
        <v>39.188800000000001</v>
      </c>
      <c r="H713" s="6">
        <v>4974.8550999999998</v>
      </c>
      <c r="I713" s="6">
        <v>5040.16</v>
      </c>
      <c r="J713" s="6">
        <v>39.189100000000003</v>
      </c>
      <c r="K713" s="2">
        <v>-0.1</v>
      </c>
      <c r="L713" s="2">
        <v>-0.3</v>
      </c>
      <c r="M713" s="2">
        <v>0.3</v>
      </c>
      <c r="N713" s="2">
        <v>-0.1</v>
      </c>
      <c r="O713" s="2">
        <v>-0.3</v>
      </c>
      <c r="P713" s="2">
        <v>0.3</v>
      </c>
      <c r="Q713" s="2">
        <f t="shared" si="22"/>
        <v>0.31622776601683794</v>
      </c>
      <c r="R713" t="str">
        <f t="shared" si="23"/>
        <v>Regular</v>
      </c>
      <c r="S713" t="s">
        <v>271</v>
      </c>
      <c r="T713">
        <v>50</v>
      </c>
    </row>
    <row r="714" spans="1:20">
      <c r="A714" s="1">
        <v>46051</v>
      </c>
      <c r="B714">
        <v>18</v>
      </c>
      <c r="C714" t="s">
        <v>177</v>
      </c>
      <c r="D714" t="s">
        <v>130</v>
      </c>
      <c r="E714" s="6">
        <v>4988.0146000000004</v>
      </c>
      <c r="F714" s="6">
        <v>5045.2892000000002</v>
      </c>
      <c r="G714" s="6">
        <v>39.487099999999998</v>
      </c>
      <c r="H714" s="6">
        <v>4988.0142999999998</v>
      </c>
      <c r="I714" s="6">
        <v>5045.2873</v>
      </c>
      <c r="J714" s="6">
        <v>39.486899999999999</v>
      </c>
      <c r="K714" s="2">
        <v>-0.3</v>
      </c>
      <c r="L714" s="2">
        <v>-1.9</v>
      </c>
      <c r="M714" s="2">
        <v>-0.2</v>
      </c>
      <c r="N714" s="2">
        <v>-0.3</v>
      </c>
      <c r="O714" s="2">
        <v>-1.9</v>
      </c>
      <c r="P714" s="2">
        <v>-0.2</v>
      </c>
      <c r="Q714" s="2">
        <f t="shared" si="22"/>
        <v>1.9235384061671343</v>
      </c>
      <c r="R714" t="str">
        <f t="shared" si="23"/>
        <v>Regular</v>
      </c>
      <c r="S714" t="s">
        <v>271</v>
      </c>
      <c r="T714">
        <v>50</v>
      </c>
    </row>
    <row r="715" spans="1:20">
      <c r="A715" s="1">
        <v>46051</v>
      </c>
      <c r="B715">
        <v>18</v>
      </c>
      <c r="C715" t="s">
        <v>178</v>
      </c>
      <c r="D715" t="s">
        <v>130</v>
      </c>
      <c r="E715" s="6">
        <v>4998.3825999999999</v>
      </c>
      <c r="F715" s="6">
        <v>5043.7443999999996</v>
      </c>
      <c r="G715" s="6">
        <v>39.476599999999998</v>
      </c>
      <c r="H715" s="6">
        <v>4998.3825999999999</v>
      </c>
      <c r="I715" s="6">
        <v>5043.7430000000004</v>
      </c>
      <c r="J715" s="6">
        <v>39.476700000000001</v>
      </c>
      <c r="K715" s="2">
        <v>0</v>
      </c>
      <c r="L715" s="2">
        <v>-1.4</v>
      </c>
      <c r="M715" s="2">
        <v>0.1</v>
      </c>
      <c r="N715" s="2">
        <v>0</v>
      </c>
      <c r="O715" s="2">
        <v>-1.4</v>
      </c>
      <c r="P715" s="2">
        <v>0.1</v>
      </c>
      <c r="Q715" s="2">
        <f t="shared" si="22"/>
        <v>1.4</v>
      </c>
      <c r="R715" t="str">
        <f t="shared" si="23"/>
        <v>Regular</v>
      </c>
      <c r="S715" t="s">
        <v>271</v>
      </c>
      <c r="T715">
        <v>50</v>
      </c>
    </row>
    <row r="716" spans="1:20">
      <c r="A716" s="1">
        <v>46051</v>
      </c>
      <c r="B716">
        <v>18</v>
      </c>
      <c r="C716" t="s">
        <v>179</v>
      </c>
      <c r="D716" t="s">
        <v>134</v>
      </c>
      <c r="E716" s="6">
        <v>5011.4696000000004</v>
      </c>
      <c r="F716" s="6">
        <v>5051.8035</v>
      </c>
      <c r="G716" s="6">
        <v>48.342599999999997</v>
      </c>
      <c r="H716" s="6">
        <v>5011.4674999999997</v>
      </c>
      <c r="I716" s="6">
        <v>5051.8045000000002</v>
      </c>
      <c r="J716" s="6">
        <v>48.343200000000003</v>
      </c>
      <c r="K716" s="2">
        <v>-2.1</v>
      </c>
      <c r="L716" s="2">
        <v>1</v>
      </c>
      <c r="M716" s="2">
        <v>0.6</v>
      </c>
      <c r="N716" s="2">
        <v>-2.1</v>
      </c>
      <c r="O716" s="2">
        <v>1</v>
      </c>
      <c r="P716" s="2">
        <v>0.6</v>
      </c>
      <c r="Q716" s="2">
        <f t="shared" si="22"/>
        <v>2.3259406699226015</v>
      </c>
      <c r="R716" t="str">
        <f t="shared" si="23"/>
        <v>Regular</v>
      </c>
      <c r="S716" t="s">
        <v>271</v>
      </c>
      <c r="T716">
        <v>50</v>
      </c>
    </row>
    <row r="717" spans="1:20">
      <c r="A717" s="1">
        <v>46051</v>
      </c>
      <c r="B717">
        <v>18</v>
      </c>
      <c r="C717" t="s">
        <v>180</v>
      </c>
      <c r="D717" t="s">
        <v>134</v>
      </c>
      <c r="E717" s="6">
        <v>5013.4205000000002</v>
      </c>
      <c r="F717" s="6">
        <v>5061.5536000000002</v>
      </c>
      <c r="G717" s="6">
        <v>47.226599999999998</v>
      </c>
      <c r="H717" s="6">
        <v>5013.4183999999996</v>
      </c>
      <c r="I717" s="6">
        <v>5061.5551999999998</v>
      </c>
      <c r="J717" s="6">
        <v>47.226700000000001</v>
      </c>
      <c r="K717" s="2">
        <v>-2.1</v>
      </c>
      <c r="L717" s="2">
        <v>1.6</v>
      </c>
      <c r="M717" s="2">
        <v>0.1</v>
      </c>
      <c r="N717" s="2">
        <v>-2.1</v>
      </c>
      <c r="O717" s="2">
        <v>1.6</v>
      </c>
      <c r="P717" s="2">
        <v>0.1</v>
      </c>
      <c r="Q717" s="2">
        <f t="shared" si="22"/>
        <v>2.6400757564888173</v>
      </c>
      <c r="R717" t="str">
        <f t="shared" si="23"/>
        <v>Regular</v>
      </c>
      <c r="S717" t="s">
        <v>271</v>
      </c>
      <c r="T717">
        <v>50</v>
      </c>
    </row>
    <row r="718" spans="1:20">
      <c r="A718" s="1">
        <v>46055</v>
      </c>
      <c r="B718">
        <v>24</v>
      </c>
      <c r="C718" t="s">
        <v>69</v>
      </c>
      <c r="D718" t="s">
        <v>70</v>
      </c>
      <c r="E718" s="6">
        <v>4990.9656999999997</v>
      </c>
      <c r="F718" s="6">
        <v>5053.7449999999999</v>
      </c>
      <c r="G718" s="6">
        <v>60.553600000000003</v>
      </c>
      <c r="H718" s="6">
        <v>4990.9836999999998</v>
      </c>
      <c r="I718" s="6">
        <v>5053.7026999999998</v>
      </c>
      <c r="J718" s="6">
        <v>60.543399999999998</v>
      </c>
      <c r="K718" s="2">
        <v>-0.4</v>
      </c>
      <c r="L718" s="2">
        <v>-2.5</v>
      </c>
      <c r="M718" s="2">
        <v>-1.5</v>
      </c>
      <c r="N718" s="2">
        <v>18</v>
      </c>
      <c r="O718" s="2">
        <v>-42.3</v>
      </c>
      <c r="P718" s="2">
        <v>-10.199999999999999</v>
      </c>
      <c r="Q718" s="2">
        <f t="shared" si="22"/>
        <v>45.970534040839681</v>
      </c>
      <c r="R718" t="str">
        <f t="shared" si="23"/>
        <v>Alarme</v>
      </c>
      <c r="S718" t="s">
        <v>182</v>
      </c>
      <c r="T718">
        <v>19</v>
      </c>
    </row>
    <row r="719" spans="1:20">
      <c r="A719" s="1">
        <v>46055</v>
      </c>
      <c r="B719">
        <v>24</v>
      </c>
      <c r="C719" t="s">
        <v>75</v>
      </c>
      <c r="D719" t="s">
        <v>70</v>
      </c>
      <c r="E719" s="6">
        <v>4990.9760999999999</v>
      </c>
      <c r="F719" s="6">
        <v>5053.7455</v>
      </c>
      <c r="G719" s="6">
        <v>59.095199999999998</v>
      </c>
      <c r="H719" s="6">
        <v>4990.9926999999998</v>
      </c>
      <c r="I719" s="6">
        <v>5053.7048999999997</v>
      </c>
      <c r="J719" s="6">
        <v>59.0869</v>
      </c>
      <c r="K719" s="2">
        <v>0.5</v>
      </c>
      <c r="L719" s="2">
        <v>-3</v>
      </c>
      <c r="M719" s="2">
        <v>-2.1</v>
      </c>
      <c r="N719" s="2">
        <v>16.600000000000001</v>
      </c>
      <c r="O719" s="2">
        <v>-40.6</v>
      </c>
      <c r="P719" s="2">
        <v>-8.3000000000000007</v>
      </c>
      <c r="Q719" s="2">
        <f t="shared" si="22"/>
        <v>43.862512467937812</v>
      </c>
      <c r="R719" t="str">
        <f t="shared" si="23"/>
        <v>Alarme</v>
      </c>
      <c r="S719" t="s">
        <v>182</v>
      </c>
      <c r="T719">
        <v>19</v>
      </c>
    </row>
    <row r="720" spans="1:20">
      <c r="A720" s="1">
        <v>46055</v>
      </c>
      <c r="B720">
        <v>24</v>
      </c>
      <c r="C720" t="s">
        <v>76</v>
      </c>
      <c r="D720" t="s">
        <v>70</v>
      </c>
      <c r="E720" s="6">
        <v>5001.0812999999998</v>
      </c>
      <c r="F720" s="6">
        <v>5053.5291999999999</v>
      </c>
      <c r="G720" s="6">
        <v>60.621899999999997</v>
      </c>
      <c r="H720" s="6">
        <v>5001.1036000000004</v>
      </c>
      <c r="I720" s="6">
        <v>5053.4829</v>
      </c>
      <c r="J720" s="6">
        <v>60.599600000000002</v>
      </c>
      <c r="K720" s="2">
        <v>0.1</v>
      </c>
      <c r="L720" s="2">
        <v>-2.4</v>
      </c>
      <c r="M720" s="2">
        <v>-1.3</v>
      </c>
      <c r="N720" s="2">
        <v>22.3</v>
      </c>
      <c r="O720" s="2">
        <v>-46.3</v>
      </c>
      <c r="P720" s="2">
        <v>-22.3</v>
      </c>
      <c r="Q720" s="2">
        <f t="shared" si="22"/>
        <v>51.390466041864222</v>
      </c>
      <c r="R720" t="str">
        <f t="shared" si="23"/>
        <v>Alarme</v>
      </c>
      <c r="S720" t="s">
        <v>182</v>
      </c>
      <c r="T720">
        <v>19</v>
      </c>
    </row>
    <row r="721" spans="1:20">
      <c r="A721" s="1">
        <v>46055</v>
      </c>
      <c r="B721">
        <v>24</v>
      </c>
      <c r="C721" t="s">
        <v>77</v>
      </c>
      <c r="D721" t="s">
        <v>70</v>
      </c>
      <c r="E721" s="6">
        <v>5001.0428000000002</v>
      </c>
      <c r="F721" s="6">
        <v>5053.5321999999996</v>
      </c>
      <c r="G721" s="6">
        <v>58.677799999999998</v>
      </c>
      <c r="H721" s="6">
        <v>5001.0640999999996</v>
      </c>
      <c r="I721" s="6">
        <v>5053.4876000000004</v>
      </c>
      <c r="J721" s="6">
        <v>58.654499999999999</v>
      </c>
      <c r="K721" s="2">
        <v>-0.2</v>
      </c>
      <c r="L721" s="2">
        <v>-2.2000000000000002</v>
      </c>
      <c r="M721" s="2">
        <v>-1.6</v>
      </c>
      <c r="N721" s="2">
        <v>21.3</v>
      </c>
      <c r="O721" s="2">
        <v>-44.6</v>
      </c>
      <c r="P721" s="2">
        <v>-23.3</v>
      </c>
      <c r="Q721" s="2">
        <f t="shared" si="22"/>
        <v>49.425196003657895</v>
      </c>
      <c r="R721" t="str">
        <f t="shared" si="23"/>
        <v>Alarme</v>
      </c>
      <c r="S721" t="s">
        <v>182</v>
      </c>
      <c r="T721">
        <v>19</v>
      </c>
    </row>
    <row r="722" spans="1:20">
      <c r="A722" s="1">
        <v>46055</v>
      </c>
      <c r="B722">
        <v>24</v>
      </c>
      <c r="C722" t="s">
        <v>78</v>
      </c>
      <c r="D722" t="s">
        <v>70</v>
      </c>
      <c r="E722" s="6">
        <v>5005.4017999999996</v>
      </c>
      <c r="F722" s="6">
        <v>5054.5141000000003</v>
      </c>
      <c r="G722" s="6">
        <v>60.181899999999999</v>
      </c>
      <c r="H722" s="6"/>
      <c r="I722" s="6"/>
      <c r="J722" s="6"/>
      <c r="K722" s="2"/>
      <c r="L722" s="2"/>
      <c r="M722" s="2"/>
      <c r="N722" s="2"/>
      <c r="O722" s="2"/>
      <c r="P722" s="2"/>
      <c r="Q722" s="2" t="str">
        <f t="shared" si="22"/>
        <v/>
      </c>
      <c r="R722" t="str">
        <f t="shared" si="23"/>
        <v>Sem leitura</v>
      </c>
      <c r="S722" t="s">
        <v>182</v>
      </c>
      <c r="T722">
        <v>19</v>
      </c>
    </row>
    <row r="723" spans="1:20">
      <c r="A723" s="1">
        <v>46055</v>
      </c>
      <c r="B723">
        <v>24</v>
      </c>
      <c r="C723" t="s">
        <v>80</v>
      </c>
      <c r="D723" t="s">
        <v>70</v>
      </c>
      <c r="E723" s="6">
        <v>5005.4050999999999</v>
      </c>
      <c r="F723" s="6">
        <v>5054.5766999999996</v>
      </c>
      <c r="G723" s="6">
        <v>58.646999999999998</v>
      </c>
      <c r="H723" s="6"/>
      <c r="I723" s="6"/>
      <c r="J723" s="6"/>
      <c r="K723" s="2"/>
      <c r="L723" s="2"/>
      <c r="M723" s="2"/>
      <c r="N723" s="2"/>
      <c r="O723" s="2"/>
      <c r="P723" s="2"/>
      <c r="Q723" s="2" t="str">
        <f t="shared" si="22"/>
        <v/>
      </c>
      <c r="R723" t="str">
        <f t="shared" si="23"/>
        <v>Sem leitura</v>
      </c>
      <c r="S723" t="s">
        <v>182</v>
      </c>
      <c r="T723">
        <v>19</v>
      </c>
    </row>
    <row r="724" spans="1:20">
      <c r="A724" s="1">
        <v>46055</v>
      </c>
      <c r="B724">
        <v>24</v>
      </c>
      <c r="C724" t="s">
        <v>81</v>
      </c>
      <c r="D724" t="s">
        <v>70</v>
      </c>
      <c r="E724" s="6">
        <v>5005.8755000000001</v>
      </c>
      <c r="F724" s="6">
        <v>5063.3173999999999</v>
      </c>
      <c r="G724" s="6">
        <v>60.481099999999998</v>
      </c>
      <c r="H724" s="6"/>
      <c r="I724" s="6"/>
      <c r="J724" s="6"/>
      <c r="K724" s="2"/>
      <c r="L724" s="2"/>
      <c r="M724" s="2"/>
      <c r="N724" s="2"/>
      <c r="O724" s="2"/>
      <c r="P724" s="2"/>
      <c r="Q724" s="2" t="str">
        <f t="shared" si="22"/>
        <v/>
      </c>
      <c r="R724" t="str">
        <f t="shared" si="23"/>
        <v>Sem leitura</v>
      </c>
      <c r="S724" t="s">
        <v>182</v>
      </c>
      <c r="T724">
        <v>19</v>
      </c>
    </row>
    <row r="725" spans="1:20">
      <c r="A725" s="1">
        <v>46055</v>
      </c>
      <c r="B725">
        <v>24</v>
      </c>
      <c r="C725" t="s">
        <v>82</v>
      </c>
      <c r="D725" t="s">
        <v>70</v>
      </c>
      <c r="E725" s="6">
        <v>5005.8838999999998</v>
      </c>
      <c r="F725" s="6">
        <v>5063.7007999999996</v>
      </c>
      <c r="G725" s="6">
        <v>59.329300000000003</v>
      </c>
      <c r="H725" s="6"/>
      <c r="I725" s="6"/>
      <c r="J725" s="6"/>
      <c r="K725" s="2"/>
      <c r="L725" s="2"/>
      <c r="M725" s="2"/>
      <c r="N725" s="2"/>
      <c r="O725" s="2"/>
      <c r="P725" s="2"/>
      <c r="Q725" s="2" t="str">
        <f t="shared" si="22"/>
        <v/>
      </c>
      <c r="R725" t="str">
        <f t="shared" si="23"/>
        <v>Sem leitura</v>
      </c>
      <c r="S725" t="s">
        <v>182</v>
      </c>
      <c r="T725">
        <v>19</v>
      </c>
    </row>
    <row r="726" spans="1:20">
      <c r="A726" s="1">
        <v>46055</v>
      </c>
      <c r="B726">
        <v>24</v>
      </c>
      <c r="C726" t="s">
        <v>83</v>
      </c>
      <c r="D726" t="s">
        <v>84</v>
      </c>
      <c r="E726" s="6">
        <v>5055.3705</v>
      </c>
      <c r="F726" s="6">
        <v>5037.6908000000003</v>
      </c>
      <c r="G726" s="6">
        <v>55.834499999999998</v>
      </c>
      <c r="H726" s="6">
        <v>5055.3518000000004</v>
      </c>
      <c r="I726" s="6">
        <v>5037.6953999999996</v>
      </c>
      <c r="J726" s="6">
        <v>55.838299999999997</v>
      </c>
      <c r="K726" s="2">
        <v>-1.1000000000000001</v>
      </c>
      <c r="L726" s="2">
        <v>1.7</v>
      </c>
      <c r="M726" s="2">
        <v>0.2</v>
      </c>
      <c r="N726" s="2">
        <v>-18.7</v>
      </c>
      <c r="O726" s="2">
        <v>4.5999999999999996</v>
      </c>
      <c r="P726" s="2">
        <v>3.8</v>
      </c>
      <c r="Q726" s="2">
        <f t="shared" si="22"/>
        <v>19.257466084612481</v>
      </c>
      <c r="R726" t="str">
        <f t="shared" si="23"/>
        <v>Alerta</v>
      </c>
      <c r="S726" t="s">
        <v>182</v>
      </c>
      <c r="T726">
        <v>19</v>
      </c>
    </row>
    <row r="727" spans="1:20">
      <c r="A727" s="1">
        <v>46055</v>
      </c>
      <c r="B727">
        <v>24</v>
      </c>
      <c r="C727" t="s">
        <v>85</v>
      </c>
      <c r="D727" t="s">
        <v>84</v>
      </c>
      <c r="E727" s="6">
        <v>5055.3611000000001</v>
      </c>
      <c r="F727" s="6">
        <v>5037.652</v>
      </c>
      <c r="G727" s="6">
        <v>53.920200000000001</v>
      </c>
      <c r="H727" s="6">
        <v>5055.3441000000003</v>
      </c>
      <c r="I727" s="6">
        <v>5037.6525000000001</v>
      </c>
      <c r="J727" s="6">
        <v>53.924100000000003</v>
      </c>
      <c r="K727" s="2">
        <v>-0.6</v>
      </c>
      <c r="L727" s="2">
        <v>2.7</v>
      </c>
      <c r="M727" s="2">
        <v>0.4</v>
      </c>
      <c r="N727" s="2">
        <v>-17</v>
      </c>
      <c r="O727" s="2">
        <v>0.5</v>
      </c>
      <c r="P727" s="2">
        <v>3.9</v>
      </c>
      <c r="Q727" s="2">
        <f t="shared" si="22"/>
        <v>17.00735135169495</v>
      </c>
      <c r="R727" t="str">
        <f t="shared" si="23"/>
        <v>Alerta</v>
      </c>
      <c r="S727" t="s">
        <v>182</v>
      </c>
      <c r="T727">
        <v>19</v>
      </c>
    </row>
    <row r="728" spans="1:20">
      <c r="A728" s="1">
        <v>46055</v>
      </c>
      <c r="B728">
        <v>24</v>
      </c>
      <c r="C728" t="s">
        <v>86</v>
      </c>
      <c r="D728" t="s">
        <v>84</v>
      </c>
      <c r="E728" s="6">
        <v>5053.1266999999998</v>
      </c>
      <c r="F728" s="6">
        <v>5028.5694000000003</v>
      </c>
      <c r="G728" s="6">
        <v>55.876899999999999</v>
      </c>
      <c r="H728" s="6">
        <v>5053.1091999999999</v>
      </c>
      <c r="I728" s="6">
        <v>5028.5749999999998</v>
      </c>
      <c r="J728" s="6">
        <v>55.880899999999997</v>
      </c>
      <c r="K728" s="2">
        <v>-0.9</v>
      </c>
      <c r="L728" s="2">
        <v>1.3</v>
      </c>
      <c r="M728" s="2">
        <v>0.3</v>
      </c>
      <c r="N728" s="2">
        <v>-17.5</v>
      </c>
      <c r="O728" s="2">
        <v>5.6</v>
      </c>
      <c r="P728" s="2">
        <v>4</v>
      </c>
      <c r="Q728" s="2">
        <f t="shared" si="22"/>
        <v>18.374166647769364</v>
      </c>
      <c r="R728" t="str">
        <f t="shared" si="23"/>
        <v>Alerta</v>
      </c>
      <c r="S728" t="s">
        <v>182</v>
      </c>
      <c r="T728">
        <v>19</v>
      </c>
    </row>
    <row r="729" spans="1:20">
      <c r="A729" s="1">
        <v>46055</v>
      </c>
      <c r="B729">
        <v>24</v>
      </c>
      <c r="C729" t="s">
        <v>87</v>
      </c>
      <c r="D729" t="s">
        <v>84</v>
      </c>
      <c r="E729" s="6">
        <v>5053.1229999999996</v>
      </c>
      <c r="F729" s="6">
        <v>5028.5785999999998</v>
      </c>
      <c r="G729" s="6">
        <v>54.159100000000002</v>
      </c>
      <c r="H729" s="6">
        <v>5053.1063000000004</v>
      </c>
      <c r="I729" s="6">
        <v>5028.5811999999996</v>
      </c>
      <c r="J729" s="6">
        <v>54.162700000000001</v>
      </c>
      <c r="K729" s="2">
        <v>-1.1000000000000001</v>
      </c>
      <c r="L729" s="2">
        <v>1.3</v>
      </c>
      <c r="M729" s="2">
        <v>0.1</v>
      </c>
      <c r="N729" s="2">
        <v>-16.7</v>
      </c>
      <c r="O729" s="2">
        <v>2.6</v>
      </c>
      <c r="P729" s="2">
        <v>3.6</v>
      </c>
      <c r="Q729" s="2">
        <f t="shared" si="22"/>
        <v>16.90118339052032</v>
      </c>
      <c r="R729" t="str">
        <f t="shared" si="23"/>
        <v>Alerta</v>
      </c>
      <c r="S729" t="s">
        <v>182</v>
      </c>
      <c r="T729">
        <v>19</v>
      </c>
    </row>
    <row r="730" spans="1:20">
      <c r="A730" s="1">
        <v>46055</v>
      </c>
      <c r="B730">
        <v>24</v>
      </c>
      <c r="C730" t="s">
        <v>88</v>
      </c>
      <c r="D730" t="s">
        <v>89</v>
      </c>
      <c r="E730" s="6">
        <v>5051.1406999999999</v>
      </c>
      <c r="F730" s="6">
        <v>5062.3236999999999</v>
      </c>
      <c r="G730" s="6">
        <v>63.001399999999997</v>
      </c>
      <c r="H730" s="6">
        <v>5051.1242000000002</v>
      </c>
      <c r="I730" s="6">
        <v>5062.3215</v>
      </c>
      <c r="J730" s="6">
        <v>62.998800000000003</v>
      </c>
      <c r="K730" s="2">
        <v>-3.2</v>
      </c>
      <c r="L730" s="2">
        <v>-0.3</v>
      </c>
      <c r="M730" s="2">
        <v>-0.8</v>
      </c>
      <c r="N730" s="2">
        <v>-16.5</v>
      </c>
      <c r="O730" s="2">
        <v>-2.2000000000000002</v>
      </c>
      <c r="P730" s="2">
        <v>-2.6</v>
      </c>
      <c r="Q730" s="2">
        <f t="shared" si="22"/>
        <v>16.64602054546371</v>
      </c>
      <c r="R730" t="str">
        <f t="shared" si="23"/>
        <v>Alerta</v>
      </c>
      <c r="S730" t="s">
        <v>182</v>
      </c>
      <c r="T730">
        <v>19</v>
      </c>
    </row>
    <row r="731" spans="1:20">
      <c r="A731" s="1">
        <v>46055</v>
      </c>
      <c r="B731">
        <v>24</v>
      </c>
      <c r="C731" t="s">
        <v>90</v>
      </c>
      <c r="D731" t="s">
        <v>89</v>
      </c>
      <c r="E731" s="6">
        <v>5051.0086000000001</v>
      </c>
      <c r="F731" s="6">
        <v>5062.4333999999999</v>
      </c>
      <c r="G731" s="6">
        <v>56.898000000000003</v>
      </c>
      <c r="H731" s="6">
        <v>5050.9944999999998</v>
      </c>
      <c r="I731" s="6">
        <v>5062.4313000000002</v>
      </c>
      <c r="J731" s="6">
        <v>56.898299999999999</v>
      </c>
      <c r="K731" s="2">
        <v>-2.4</v>
      </c>
      <c r="L731" s="2">
        <v>0.1</v>
      </c>
      <c r="M731" s="2">
        <v>-0.2</v>
      </c>
      <c r="N731" s="2">
        <v>-14.1</v>
      </c>
      <c r="O731" s="2">
        <v>-2.1</v>
      </c>
      <c r="P731" s="2">
        <v>0.3</v>
      </c>
      <c r="Q731" s="2">
        <f t="shared" si="22"/>
        <v>14.255525244620067</v>
      </c>
      <c r="R731" t="str">
        <f t="shared" si="23"/>
        <v>Regular</v>
      </c>
      <c r="S731" t="s">
        <v>182</v>
      </c>
      <c r="T731">
        <v>19</v>
      </c>
    </row>
    <row r="732" spans="1:20">
      <c r="A732" s="1">
        <v>46055</v>
      </c>
      <c r="B732">
        <v>24</v>
      </c>
      <c r="C732" t="s">
        <v>91</v>
      </c>
      <c r="D732" t="s">
        <v>89</v>
      </c>
      <c r="E732" s="6">
        <v>5058.5258999999996</v>
      </c>
      <c r="F732" s="6">
        <v>5053.1760000000004</v>
      </c>
      <c r="G732" s="6">
        <v>63.525199999999998</v>
      </c>
      <c r="H732" s="6">
        <v>5058.509</v>
      </c>
      <c r="I732" s="6">
        <v>5053.1738999999998</v>
      </c>
      <c r="J732" s="6">
        <v>63.5276</v>
      </c>
      <c r="K732" s="2">
        <v>-3.1</v>
      </c>
      <c r="L732" s="2">
        <v>-0.4</v>
      </c>
      <c r="M732" s="2">
        <v>-0.6</v>
      </c>
      <c r="N732" s="2">
        <v>-16.899999999999999</v>
      </c>
      <c r="O732" s="2">
        <v>-2.1</v>
      </c>
      <c r="P732" s="2">
        <v>2.4</v>
      </c>
      <c r="Q732" s="2">
        <f t="shared" si="22"/>
        <v>17.029973576021778</v>
      </c>
      <c r="R732" t="str">
        <f t="shared" si="23"/>
        <v>Alerta</v>
      </c>
      <c r="S732" t="s">
        <v>182</v>
      </c>
      <c r="T732">
        <v>19</v>
      </c>
    </row>
    <row r="733" spans="1:20">
      <c r="A733" s="1">
        <v>46055</v>
      </c>
      <c r="B733">
        <v>24</v>
      </c>
      <c r="C733" t="s">
        <v>92</v>
      </c>
      <c r="D733" t="s">
        <v>89</v>
      </c>
      <c r="E733" s="6">
        <v>5060.2732999999998</v>
      </c>
      <c r="F733" s="6">
        <v>5059.0944</v>
      </c>
      <c r="G733" s="6">
        <v>58.7943</v>
      </c>
      <c r="H733" s="6">
        <v>5060.2560999999996</v>
      </c>
      <c r="I733" s="6">
        <v>5059.0945000000002</v>
      </c>
      <c r="J733" s="6">
        <v>58.7941</v>
      </c>
      <c r="K733" s="2">
        <v>-1.7</v>
      </c>
      <c r="L733" s="2">
        <v>0.1</v>
      </c>
      <c r="M733" s="2">
        <v>-1.9</v>
      </c>
      <c r="N733" s="2">
        <v>-17.2</v>
      </c>
      <c r="O733" s="2">
        <v>0.1</v>
      </c>
      <c r="P733" s="2">
        <v>-0.2</v>
      </c>
      <c r="Q733" s="2">
        <f t="shared" si="22"/>
        <v>17.200290695217916</v>
      </c>
      <c r="R733" t="str">
        <f t="shared" si="23"/>
        <v>Alerta</v>
      </c>
      <c r="S733" t="s">
        <v>182</v>
      </c>
      <c r="T733">
        <v>19</v>
      </c>
    </row>
    <row r="734" spans="1:20">
      <c r="A734" s="1">
        <v>46055</v>
      </c>
      <c r="B734">
        <v>24</v>
      </c>
      <c r="C734" t="s">
        <v>114</v>
      </c>
      <c r="D734" t="s">
        <v>70</v>
      </c>
      <c r="E734" s="6">
        <v>5005.4053999999996</v>
      </c>
      <c r="F734" s="6">
        <v>5054.1601000000001</v>
      </c>
      <c r="G734" s="6">
        <v>59.572699999999998</v>
      </c>
      <c r="H734" s="6">
        <v>5005.4245000000001</v>
      </c>
      <c r="I734" s="6">
        <v>5054.1293999999998</v>
      </c>
      <c r="J734" s="6">
        <v>59.5518</v>
      </c>
      <c r="K734" s="2">
        <v>0.1</v>
      </c>
      <c r="L734" s="2">
        <v>-2.2000000000000002</v>
      </c>
      <c r="M734" s="2">
        <v>-1.7</v>
      </c>
      <c r="N734" s="2">
        <v>19.100000000000001</v>
      </c>
      <c r="O734" s="2">
        <v>-30.7</v>
      </c>
      <c r="P734" s="2">
        <v>-20.9</v>
      </c>
      <c r="Q734" s="2">
        <f t="shared" si="22"/>
        <v>36.156603822815001</v>
      </c>
      <c r="R734" t="str">
        <f t="shared" si="23"/>
        <v>Alarme</v>
      </c>
      <c r="S734" t="s">
        <v>182</v>
      </c>
      <c r="T734">
        <v>19</v>
      </c>
    </row>
    <row r="735" spans="1:20">
      <c r="A735" s="1">
        <v>46055</v>
      </c>
      <c r="B735">
        <v>24</v>
      </c>
      <c r="C735" t="s">
        <v>116</v>
      </c>
      <c r="D735" t="s">
        <v>70</v>
      </c>
      <c r="E735" s="6">
        <v>5005.4237999999996</v>
      </c>
      <c r="F735" s="6">
        <v>5054.4835999999996</v>
      </c>
      <c r="G735" s="6">
        <v>58.357300000000002</v>
      </c>
      <c r="H735" s="6">
        <v>5005.4411</v>
      </c>
      <c r="I735" s="6">
        <v>5054.4530000000004</v>
      </c>
      <c r="J735" s="6">
        <v>58.336799999999997</v>
      </c>
      <c r="K735" s="2">
        <v>-0.2</v>
      </c>
      <c r="L735" s="2">
        <v>-1.9</v>
      </c>
      <c r="M735" s="2">
        <v>-1.8</v>
      </c>
      <c r="N735" s="2">
        <v>17.3</v>
      </c>
      <c r="O735" s="2">
        <v>-30.6</v>
      </c>
      <c r="P735" s="2">
        <v>-20.5</v>
      </c>
      <c r="Q735" s="2">
        <f t="shared" si="22"/>
        <v>35.151813608973292</v>
      </c>
      <c r="R735" t="str">
        <f t="shared" si="23"/>
        <v>Alarme</v>
      </c>
      <c r="S735" t="s">
        <v>182</v>
      </c>
      <c r="T735">
        <v>19</v>
      </c>
    </row>
    <row r="736" spans="1:20">
      <c r="A736" s="1">
        <v>46055</v>
      </c>
      <c r="B736">
        <v>24</v>
      </c>
      <c r="C736" t="s">
        <v>117</v>
      </c>
      <c r="D736" t="s">
        <v>70</v>
      </c>
      <c r="E736" s="6">
        <v>5005.9258</v>
      </c>
      <c r="F736" s="6">
        <v>5064.1066000000001</v>
      </c>
      <c r="G736" s="6">
        <v>60.544499999999999</v>
      </c>
      <c r="H736" s="6">
        <v>5005.9439000000002</v>
      </c>
      <c r="I736" s="6">
        <v>5064.0775999999996</v>
      </c>
      <c r="J736" s="6">
        <v>60.521900000000002</v>
      </c>
      <c r="K736" s="2">
        <v>0</v>
      </c>
      <c r="L736" s="2">
        <v>-2.2999999999999998</v>
      </c>
      <c r="M736" s="2">
        <v>-1.3</v>
      </c>
      <c r="N736" s="2">
        <v>18.100000000000001</v>
      </c>
      <c r="O736" s="2">
        <v>-29</v>
      </c>
      <c r="P736" s="2">
        <v>-22.6</v>
      </c>
      <c r="Q736" s="2">
        <f t="shared" si="22"/>
        <v>34.18493820383474</v>
      </c>
      <c r="R736" t="str">
        <f t="shared" si="23"/>
        <v>Alarme</v>
      </c>
      <c r="S736" t="s">
        <v>182</v>
      </c>
      <c r="T736">
        <v>19</v>
      </c>
    </row>
    <row r="737" spans="1:20">
      <c r="A737" s="1">
        <v>46055</v>
      </c>
      <c r="B737">
        <v>24</v>
      </c>
      <c r="C737" t="s">
        <v>118</v>
      </c>
      <c r="D737" t="s">
        <v>70</v>
      </c>
      <c r="E737" s="6">
        <v>5005.8734999999997</v>
      </c>
      <c r="F737" s="6">
        <v>5063.2722999999996</v>
      </c>
      <c r="G737" s="6">
        <v>58.732500000000002</v>
      </c>
      <c r="H737" s="6">
        <v>5005.8888999999999</v>
      </c>
      <c r="I737" s="6">
        <v>5063.2434999999996</v>
      </c>
      <c r="J737" s="6">
        <v>58.710500000000003</v>
      </c>
      <c r="K737" s="2">
        <v>-0.2</v>
      </c>
      <c r="L737" s="2">
        <v>-1.9</v>
      </c>
      <c r="M737" s="2">
        <v>-1</v>
      </c>
      <c r="N737" s="2">
        <v>15.4</v>
      </c>
      <c r="O737" s="2">
        <v>-28.8</v>
      </c>
      <c r="P737" s="2">
        <v>-22</v>
      </c>
      <c r="Q737" s="2">
        <f t="shared" si="22"/>
        <v>32.658842600435186</v>
      </c>
      <c r="R737" t="str">
        <f t="shared" si="23"/>
        <v>Alarme</v>
      </c>
      <c r="S737" t="s">
        <v>182</v>
      </c>
      <c r="T737">
        <v>19</v>
      </c>
    </row>
    <row r="738" spans="1:20">
      <c r="A738" s="1">
        <v>46055</v>
      </c>
      <c r="B738">
        <v>19</v>
      </c>
      <c r="C738" t="s">
        <v>119</v>
      </c>
      <c r="D738" t="s">
        <v>120</v>
      </c>
      <c r="E738" s="6">
        <v>5019.7240000000002</v>
      </c>
      <c r="F738" s="6">
        <v>5017.4448000000002</v>
      </c>
      <c r="G738" s="6">
        <v>48.267099999999999</v>
      </c>
      <c r="H738" s="6"/>
      <c r="I738" s="6"/>
      <c r="J738" s="6"/>
      <c r="K738" s="2"/>
      <c r="L738" s="2"/>
      <c r="M738" s="2"/>
      <c r="N738" s="2"/>
      <c r="O738" s="2"/>
      <c r="P738" s="2"/>
      <c r="Q738" s="2" t="str">
        <f t="shared" si="22"/>
        <v/>
      </c>
      <c r="R738" t="str">
        <f t="shared" si="23"/>
        <v>Sem leitura</v>
      </c>
      <c r="S738" t="s">
        <v>182</v>
      </c>
      <c r="T738">
        <v>50</v>
      </c>
    </row>
    <row r="739" spans="1:20">
      <c r="A739" s="1">
        <v>46055</v>
      </c>
      <c r="B739">
        <v>19</v>
      </c>
      <c r="C739" t="s">
        <v>122</v>
      </c>
      <c r="D739" t="s">
        <v>123</v>
      </c>
      <c r="E739" s="6">
        <v>4982.3819999999996</v>
      </c>
      <c r="F739" s="6">
        <v>5027.9636</v>
      </c>
      <c r="G739" s="6">
        <v>48.275500000000001</v>
      </c>
      <c r="H739" s="6">
        <v>4982.4066000000003</v>
      </c>
      <c r="I739" s="6">
        <v>5027.9645</v>
      </c>
      <c r="J739" s="6">
        <v>48.2836</v>
      </c>
      <c r="K739" s="2">
        <v>1.3</v>
      </c>
      <c r="L739" s="2">
        <v>-0.5</v>
      </c>
      <c r="M739" s="2">
        <v>0.6</v>
      </c>
      <c r="N739" s="2">
        <v>24.6</v>
      </c>
      <c r="O739" s="2">
        <v>0.9</v>
      </c>
      <c r="P739" s="2">
        <v>8.1</v>
      </c>
      <c r="Q739" s="2">
        <f t="shared" si="22"/>
        <v>24.616457909293125</v>
      </c>
      <c r="R739" t="str">
        <f t="shared" si="23"/>
        <v>Alerta</v>
      </c>
      <c r="S739" t="s">
        <v>182</v>
      </c>
      <c r="T739">
        <v>50</v>
      </c>
    </row>
    <row r="740" spans="1:20">
      <c r="A740" s="1">
        <v>46055</v>
      </c>
      <c r="B740">
        <v>19</v>
      </c>
      <c r="C740" t="s">
        <v>124</v>
      </c>
      <c r="D740" t="s">
        <v>125</v>
      </c>
      <c r="E740" s="6">
        <v>4986.2775000000001</v>
      </c>
      <c r="F740" s="6">
        <v>5019.8639000000003</v>
      </c>
      <c r="G740" s="6">
        <v>50.872999999999998</v>
      </c>
      <c r="H740" s="6">
        <v>4986.2826999999997</v>
      </c>
      <c r="I740" s="6">
        <v>5019.8642</v>
      </c>
      <c r="J740" s="6">
        <v>50.874600000000001</v>
      </c>
      <c r="K740" s="2">
        <v>0.5</v>
      </c>
      <c r="L740" s="2">
        <v>0.7</v>
      </c>
      <c r="M740" s="2">
        <v>0.1</v>
      </c>
      <c r="N740" s="2">
        <v>5.2</v>
      </c>
      <c r="O740" s="2">
        <v>0.3</v>
      </c>
      <c r="P740" s="2">
        <v>1.6</v>
      </c>
      <c r="Q740" s="2">
        <f t="shared" si="22"/>
        <v>5.2086466572421672</v>
      </c>
      <c r="R740" t="str">
        <f t="shared" si="23"/>
        <v>Regular</v>
      </c>
      <c r="S740" t="s">
        <v>182</v>
      </c>
      <c r="T740">
        <v>50</v>
      </c>
    </row>
    <row r="741" spans="1:20">
      <c r="A741" s="1">
        <v>46055</v>
      </c>
      <c r="B741">
        <v>19</v>
      </c>
      <c r="C741" t="s">
        <v>126</v>
      </c>
      <c r="D741" t="s">
        <v>125</v>
      </c>
      <c r="E741" s="6">
        <v>4977.5057999999999</v>
      </c>
      <c r="F741" s="6">
        <v>5027.6043</v>
      </c>
      <c r="G741" s="6">
        <v>52.208399999999997</v>
      </c>
      <c r="H741" s="6">
        <v>4977.5082000000002</v>
      </c>
      <c r="I741" s="6">
        <v>5027.5994000000001</v>
      </c>
      <c r="J741" s="6">
        <v>52.209899999999998</v>
      </c>
      <c r="K741" s="2">
        <v>0.3</v>
      </c>
      <c r="L741" s="2">
        <v>-0.6</v>
      </c>
      <c r="M741" s="2">
        <v>0.3</v>
      </c>
      <c r="N741" s="2">
        <v>2.4</v>
      </c>
      <c r="O741" s="2">
        <v>-4.9000000000000004</v>
      </c>
      <c r="P741" s="2">
        <v>1.5</v>
      </c>
      <c r="Q741" s="2">
        <f t="shared" si="22"/>
        <v>5.4561891462814964</v>
      </c>
      <c r="R741" t="str">
        <f t="shared" si="23"/>
        <v>Regular</v>
      </c>
      <c r="S741" t="s">
        <v>182</v>
      </c>
      <c r="T741">
        <v>50</v>
      </c>
    </row>
    <row r="742" spans="1:20">
      <c r="A742" s="1">
        <v>46055</v>
      </c>
      <c r="B742">
        <v>19</v>
      </c>
      <c r="C742" t="s">
        <v>127</v>
      </c>
      <c r="D742" t="s">
        <v>128</v>
      </c>
      <c r="E742" s="6">
        <v>4974.3924999999999</v>
      </c>
      <c r="F742" s="6">
        <v>5039.5325999999995</v>
      </c>
      <c r="G742" s="6">
        <v>53.556800000000003</v>
      </c>
      <c r="H742" s="6">
        <v>4974.3972999999996</v>
      </c>
      <c r="I742" s="6">
        <v>5039.5317999999997</v>
      </c>
      <c r="J742" s="6">
        <v>53.558700000000002</v>
      </c>
      <c r="K742" s="2">
        <v>-0.2</v>
      </c>
      <c r="L742" s="2">
        <v>-0.2</v>
      </c>
      <c r="M742" s="2">
        <v>0.1</v>
      </c>
      <c r="N742" s="2">
        <v>4.8</v>
      </c>
      <c r="O742" s="2">
        <v>-0.8</v>
      </c>
      <c r="P742" s="2">
        <v>1.9</v>
      </c>
      <c r="Q742" s="2">
        <f t="shared" si="22"/>
        <v>4.8662100242385753</v>
      </c>
      <c r="R742" t="str">
        <f t="shared" si="23"/>
        <v>Regular</v>
      </c>
      <c r="S742" t="s">
        <v>182</v>
      </c>
      <c r="T742">
        <v>50</v>
      </c>
    </row>
    <row r="743" spans="1:20">
      <c r="A743" s="1">
        <v>46055</v>
      </c>
      <c r="B743">
        <v>19</v>
      </c>
      <c r="C743" t="s">
        <v>129</v>
      </c>
      <c r="D743" t="s">
        <v>130</v>
      </c>
      <c r="E743" s="6">
        <v>4981.8689000000004</v>
      </c>
      <c r="F743" s="6">
        <v>5046.9902000000002</v>
      </c>
      <c r="G743" s="6">
        <v>53.966500000000003</v>
      </c>
      <c r="H743" s="6">
        <v>4981.8828999999996</v>
      </c>
      <c r="I743" s="6">
        <v>5046.9758000000002</v>
      </c>
      <c r="J743" s="6">
        <v>53.9709</v>
      </c>
      <c r="K743" s="2">
        <v>1.4</v>
      </c>
      <c r="L743" s="2">
        <v>-2</v>
      </c>
      <c r="M743" s="2">
        <v>0.2</v>
      </c>
      <c r="N743" s="2">
        <v>14</v>
      </c>
      <c r="O743" s="2">
        <v>-14.4</v>
      </c>
      <c r="P743" s="2">
        <v>4.4000000000000004</v>
      </c>
      <c r="Q743" s="2">
        <f t="shared" si="22"/>
        <v>20.083824337013109</v>
      </c>
      <c r="R743" t="str">
        <f t="shared" si="23"/>
        <v>Regular</v>
      </c>
      <c r="S743" t="s">
        <v>182</v>
      </c>
      <c r="T743">
        <v>50</v>
      </c>
    </row>
    <row r="744" spans="1:20">
      <c r="A744" s="1">
        <v>46055</v>
      </c>
      <c r="B744">
        <v>19</v>
      </c>
      <c r="C744" t="s">
        <v>131</v>
      </c>
      <c r="D744" t="s">
        <v>130</v>
      </c>
      <c r="E744" s="6">
        <v>4993.0258000000003</v>
      </c>
      <c r="F744" s="6">
        <v>5045.3909000000003</v>
      </c>
      <c r="G744" s="6">
        <v>53.905200000000001</v>
      </c>
      <c r="H744" s="6">
        <v>4993.0361999999996</v>
      </c>
      <c r="I744" s="6">
        <v>5045.3689999999997</v>
      </c>
      <c r="J744" s="6">
        <v>53.907299999999999</v>
      </c>
      <c r="K744" s="2">
        <v>0.4</v>
      </c>
      <c r="L744" s="2">
        <v>-2</v>
      </c>
      <c r="M744" s="2">
        <v>-0.1</v>
      </c>
      <c r="N744" s="2">
        <v>10.4</v>
      </c>
      <c r="O744" s="2">
        <v>-21.9</v>
      </c>
      <c r="P744" s="2">
        <v>2.1</v>
      </c>
      <c r="Q744" s="2">
        <f t="shared" si="22"/>
        <v>24.24396832203837</v>
      </c>
      <c r="R744" t="str">
        <f t="shared" si="23"/>
        <v>Regular</v>
      </c>
      <c r="S744" t="s">
        <v>182</v>
      </c>
      <c r="T744">
        <v>50</v>
      </c>
    </row>
    <row r="745" spans="1:20">
      <c r="A745" s="1">
        <v>46055</v>
      </c>
      <c r="B745">
        <v>19</v>
      </c>
      <c r="C745" t="s">
        <v>132</v>
      </c>
      <c r="D745" t="s">
        <v>130</v>
      </c>
      <c r="E745" s="6">
        <v>5002.4090999999999</v>
      </c>
      <c r="F745" s="6">
        <v>5044.0244000000002</v>
      </c>
      <c r="G745" s="6">
        <v>53.889200000000002</v>
      </c>
      <c r="H745" s="6">
        <v>5002.4156999999996</v>
      </c>
      <c r="I745" s="6">
        <v>5043.9848000000002</v>
      </c>
      <c r="J745" s="6">
        <v>53.895000000000003</v>
      </c>
      <c r="K745" s="2">
        <v>-0.2</v>
      </c>
      <c r="L745" s="2">
        <v>-1</v>
      </c>
      <c r="M745" s="2">
        <v>0.3</v>
      </c>
      <c r="N745" s="2">
        <v>6.6</v>
      </c>
      <c r="O745" s="2">
        <v>-39.6</v>
      </c>
      <c r="P745" s="2">
        <v>5.8</v>
      </c>
      <c r="Q745" s="2">
        <f t="shared" si="22"/>
        <v>40.146232699968252</v>
      </c>
      <c r="R745" t="str">
        <f t="shared" si="23"/>
        <v>Alarme</v>
      </c>
      <c r="S745" t="s">
        <v>182</v>
      </c>
      <c r="T745">
        <v>50</v>
      </c>
    </row>
    <row r="746" spans="1:20">
      <c r="A746" s="1">
        <v>46055</v>
      </c>
      <c r="B746">
        <v>19</v>
      </c>
      <c r="C746" t="s">
        <v>133</v>
      </c>
      <c r="D746" t="s">
        <v>134</v>
      </c>
      <c r="E746" s="6">
        <v>5012.8994000000002</v>
      </c>
      <c r="F746" s="6">
        <v>5060.6997000000001</v>
      </c>
      <c r="G746" s="6">
        <v>52.496299999999998</v>
      </c>
      <c r="H746" s="6">
        <v>5012.8900000000003</v>
      </c>
      <c r="I746" s="6">
        <v>5060.6715000000004</v>
      </c>
      <c r="J746" s="6">
        <v>52.505099999999999</v>
      </c>
      <c r="K746" s="2">
        <v>-0.1</v>
      </c>
      <c r="L746" s="2">
        <v>-1.4</v>
      </c>
      <c r="M746" s="2">
        <v>0.5</v>
      </c>
      <c r="N746" s="2">
        <v>-9.4</v>
      </c>
      <c r="O746" s="2">
        <v>-28.2</v>
      </c>
      <c r="P746" s="2">
        <v>8.8000000000000007</v>
      </c>
      <c r="Q746" s="2">
        <f t="shared" si="22"/>
        <v>29.725410005582766</v>
      </c>
      <c r="R746" t="str">
        <f t="shared" si="23"/>
        <v>Regular</v>
      </c>
      <c r="S746" t="s">
        <v>182</v>
      </c>
      <c r="T746">
        <v>50</v>
      </c>
    </row>
    <row r="747" spans="1:20">
      <c r="A747" s="1">
        <v>46055</v>
      </c>
      <c r="B747">
        <v>19</v>
      </c>
      <c r="C747" t="s">
        <v>135</v>
      </c>
      <c r="D747" t="s">
        <v>136</v>
      </c>
      <c r="E747" s="6">
        <v>5026.7076999999999</v>
      </c>
      <c r="F747" s="6">
        <v>5072.3888999999999</v>
      </c>
      <c r="G747" s="6">
        <v>53.761400000000002</v>
      </c>
      <c r="H747" s="6">
        <v>5026.6986999999999</v>
      </c>
      <c r="I747" s="6">
        <v>5072.366</v>
      </c>
      <c r="J747" s="6">
        <v>53.768599999999999</v>
      </c>
      <c r="K747" s="2">
        <v>-0.6</v>
      </c>
      <c r="L747" s="2">
        <v>-1.7</v>
      </c>
      <c r="M747" s="2">
        <v>0.6</v>
      </c>
      <c r="N747" s="2">
        <v>-9</v>
      </c>
      <c r="O747" s="2">
        <v>-22.9</v>
      </c>
      <c r="P747" s="2">
        <v>7.2</v>
      </c>
      <c r="Q747" s="2">
        <f t="shared" si="22"/>
        <v>24.605080776132397</v>
      </c>
      <c r="R747" t="str">
        <f t="shared" si="23"/>
        <v>Regular</v>
      </c>
      <c r="S747" t="s">
        <v>182</v>
      </c>
      <c r="T747">
        <v>50</v>
      </c>
    </row>
    <row r="748" spans="1:20">
      <c r="A748" s="1">
        <v>46055</v>
      </c>
      <c r="B748">
        <v>19</v>
      </c>
      <c r="C748" t="s">
        <v>137</v>
      </c>
      <c r="D748" t="s">
        <v>138</v>
      </c>
      <c r="E748" s="6">
        <v>5046.1882999999998</v>
      </c>
      <c r="F748" s="6">
        <v>5033.5622999999996</v>
      </c>
      <c r="G748" s="6">
        <v>48.999099999999999</v>
      </c>
      <c r="H748" s="6">
        <v>5046.1647999999996</v>
      </c>
      <c r="I748" s="6">
        <v>5033.5618000000004</v>
      </c>
      <c r="J748" s="6">
        <v>49.000599999999999</v>
      </c>
      <c r="K748" s="2">
        <v>-2</v>
      </c>
      <c r="L748" s="2">
        <v>-0.3</v>
      </c>
      <c r="M748" s="2">
        <v>0.3</v>
      </c>
      <c r="N748" s="2">
        <v>-23.5</v>
      </c>
      <c r="O748" s="2">
        <v>-0.5</v>
      </c>
      <c r="P748" s="2">
        <v>1.5</v>
      </c>
      <c r="Q748" s="2">
        <f t="shared" si="22"/>
        <v>23.505318547086318</v>
      </c>
      <c r="R748" t="str">
        <f t="shared" si="23"/>
        <v>Alerta</v>
      </c>
      <c r="S748" t="s">
        <v>182</v>
      </c>
      <c r="T748">
        <v>50</v>
      </c>
    </row>
    <row r="749" spans="1:20">
      <c r="A749" s="1">
        <v>46055</v>
      </c>
      <c r="B749">
        <v>19</v>
      </c>
      <c r="C749" t="s">
        <v>139</v>
      </c>
      <c r="D749" t="s">
        <v>134</v>
      </c>
      <c r="E749" s="6">
        <v>5010.7592999999997</v>
      </c>
      <c r="F749" s="6">
        <v>5050.9463999999998</v>
      </c>
      <c r="G749" s="6">
        <v>52.517400000000002</v>
      </c>
      <c r="H749" s="6">
        <v>5010.7442000000001</v>
      </c>
      <c r="I749" s="6">
        <v>5050.9215999999997</v>
      </c>
      <c r="J749" s="6">
        <v>52.5291</v>
      </c>
      <c r="K749" s="2">
        <v>-0.9</v>
      </c>
      <c r="L749" s="2">
        <v>-1</v>
      </c>
      <c r="M749" s="2">
        <v>0.2</v>
      </c>
      <c r="N749" s="2">
        <v>-15.1</v>
      </c>
      <c r="O749" s="2">
        <v>-24.8</v>
      </c>
      <c r="P749" s="2">
        <v>11.7</v>
      </c>
      <c r="Q749" s="2">
        <f t="shared" si="22"/>
        <v>29.035323314886647</v>
      </c>
      <c r="R749" t="str">
        <f t="shared" si="23"/>
        <v>Alerta</v>
      </c>
      <c r="S749" t="s">
        <v>182</v>
      </c>
      <c r="T749">
        <v>50</v>
      </c>
    </row>
    <row r="750" spans="1:20">
      <c r="A750" s="1">
        <v>46055</v>
      </c>
      <c r="B750">
        <v>19</v>
      </c>
      <c r="C750" t="s">
        <v>140</v>
      </c>
      <c r="D750" t="s">
        <v>128</v>
      </c>
      <c r="E750" s="6">
        <v>4976.0573000000004</v>
      </c>
      <c r="F750" s="6">
        <v>5040.5965999999999</v>
      </c>
      <c r="G750" s="6">
        <v>48.214799999999997</v>
      </c>
      <c r="H750" s="6">
        <v>4976.0679</v>
      </c>
      <c r="I750" s="6">
        <v>5040.5928000000004</v>
      </c>
      <c r="J750" s="6">
        <v>48.217500000000001</v>
      </c>
      <c r="K750" s="2">
        <v>0</v>
      </c>
      <c r="L750" s="2">
        <v>-0.2</v>
      </c>
      <c r="M750" s="2">
        <v>0</v>
      </c>
      <c r="N750" s="2">
        <v>10.6</v>
      </c>
      <c r="O750" s="2">
        <v>-3.8</v>
      </c>
      <c r="P750" s="2">
        <v>2.7</v>
      </c>
      <c r="Q750" s="2">
        <f t="shared" si="22"/>
        <v>11.260550608207398</v>
      </c>
      <c r="R750" t="str">
        <f t="shared" si="23"/>
        <v>Regular</v>
      </c>
      <c r="S750" t="s">
        <v>182</v>
      </c>
      <c r="T750">
        <v>50</v>
      </c>
    </row>
    <row r="751" spans="1:20">
      <c r="A751" s="1">
        <v>46055</v>
      </c>
      <c r="B751">
        <v>19</v>
      </c>
      <c r="C751" t="s">
        <v>141</v>
      </c>
      <c r="D751" t="s">
        <v>130</v>
      </c>
      <c r="E751" s="6">
        <v>4987.9621999999999</v>
      </c>
      <c r="F751" s="6">
        <v>5045.3176000000003</v>
      </c>
      <c r="G751" s="6">
        <v>47.637599999999999</v>
      </c>
      <c r="H751" s="6">
        <v>4987.9692999999997</v>
      </c>
      <c r="I751" s="6">
        <v>5045.2907999999998</v>
      </c>
      <c r="J751" s="6">
        <v>47.6417</v>
      </c>
      <c r="K751" s="2">
        <v>0.2</v>
      </c>
      <c r="L751" s="2">
        <v>-2.2000000000000002</v>
      </c>
      <c r="M751" s="2">
        <v>0.4</v>
      </c>
      <c r="N751" s="2">
        <v>7.1</v>
      </c>
      <c r="O751" s="2">
        <v>-26.8</v>
      </c>
      <c r="P751" s="2">
        <v>4.0999999999999996</v>
      </c>
      <c r="Q751" s="2">
        <f t="shared" si="22"/>
        <v>27.724537868105212</v>
      </c>
      <c r="R751" t="str">
        <f t="shared" si="23"/>
        <v>Regular</v>
      </c>
      <c r="S751" t="s">
        <v>182</v>
      </c>
      <c r="T751">
        <v>50</v>
      </c>
    </row>
    <row r="752" spans="1:20">
      <c r="A752" s="1">
        <v>46055</v>
      </c>
      <c r="B752">
        <v>19</v>
      </c>
      <c r="C752" t="s">
        <v>142</v>
      </c>
      <c r="D752" t="s">
        <v>130</v>
      </c>
      <c r="E752" s="6">
        <v>5002.5304999999998</v>
      </c>
      <c r="F752" s="6">
        <v>5043.4611000000004</v>
      </c>
      <c r="G752" s="6">
        <v>47.537100000000002</v>
      </c>
      <c r="H752" s="6">
        <v>5002.5362999999998</v>
      </c>
      <c r="I752" s="6">
        <v>5043.4196000000002</v>
      </c>
      <c r="J752" s="6">
        <v>47.5426</v>
      </c>
      <c r="K752" s="2">
        <v>-0.3</v>
      </c>
      <c r="L752" s="2">
        <v>-2.9</v>
      </c>
      <c r="M752" s="2">
        <v>0</v>
      </c>
      <c r="N752" s="2">
        <v>5.8</v>
      </c>
      <c r="O752" s="2">
        <v>-41.5</v>
      </c>
      <c r="P752" s="2">
        <v>5.5</v>
      </c>
      <c r="Q752" s="2">
        <f t="shared" si="22"/>
        <v>41.903341155568967</v>
      </c>
      <c r="R752" t="str">
        <f t="shared" si="23"/>
        <v>Alarme</v>
      </c>
      <c r="S752" t="s">
        <v>182</v>
      </c>
      <c r="T752">
        <v>50</v>
      </c>
    </row>
    <row r="753" spans="1:20">
      <c r="A753" s="1">
        <v>46055</v>
      </c>
      <c r="B753">
        <v>19</v>
      </c>
      <c r="C753" t="s">
        <v>143</v>
      </c>
      <c r="D753" t="s">
        <v>136</v>
      </c>
      <c r="E753" s="6">
        <v>5027.4714000000004</v>
      </c>
      <c r="F753" s="6">
        <v>5072.2404999999999</v>
      </c>
      <c r="G753" s="6">
        <v>51.143700000000003</v>
      </c>
      <c r="H753" s="6">
        <v>5027.4647999999997</v>
      </c>
      <c r="I753" s="6">
        <v>5072.2203</v>
      </c>
      <c r="J753" s="6">
        <v>51.149799999999999</v>
      </c>
      <c r="K753" s="2">
        <v>-1.5</v>
      </c>
      <c r="L753" s="2">
        <v>-0.6</v>
      </c>
      <c r="M753" s="2">
        <v>0.6</v>
      </c>
      <c r="N753" s="2">
        <v>-6.6</v>
      </c>
      <c r="O753" s="2">
        <v>-20.2</v>
      </c>
      <c r="P753" s="2">
        <v>6.1</v>
      </c>
      <c r="Q753" s="2">
        <f t="shared" si="22"/>
        <v>21.250882334623189</v>
      </c>
      <c r="R753" t="str">
        <f t="shared" si="23"/>
        <v>Regular</v>
      </c>
      <c r="S753" t="s">
        <v>182</v>
      </c>
      <c r="T753">
        <v>50</v>
      </c>
    </row>
    <row r="754" spans="1:20">
      <c r="A754" s="1">
        <v>46055</v>
      </c>
      <c r="B754">
        <v>19</v>
      </c>
      <c r="C754" t="s">
        <v>144</v>
      </c>
      <c r="D754" t="s">
        <v>145</v>
      </c>
      <c r="E754" s="6">
        <v>5041.9629000000004</v>
      </c>
      <c r="F754" s="6">
        <v>5043.3289999999997</v>
      </c>
      <c r="G754" s="6">
        <v>52.0655</v>
      </c>
      <c r="H754" s="6">
        <v>5041.9515000000001</v>
      </c>
      <c r="I754" s="6">
        <v>5043.3235000000004</v>
      </c>
      <c r="J754" s="6">
        <v>52.067100000000003</v>
      </c>
      <c r="K754" s="2">
        <v>-0.8</v>
      </c>
      <c r="L754" s="2">
        <v>-0.6</v>
      </c>
      <c r="M754" s="2">
        <v>-0.2</v>
      </c>
      <c r="N754" s="2">
        <v>-11.4</v>
      </c>
      <c r="O754" s="2">
        <v>-5.5</v>
      </c>
      <c r="P754" s="2">
        <v>1.6</v>
      </c>
      <c r="Q754" s="2">
        <f t="shared" si="22"/>
        <v>12.657408897558774</v>
      </c>
      <c r="R754" t="str">
        <f t="shared" si="23"/>
        <v>Regular</v>
      </c>
      <c r="S754" t="s">
        <v>182</v>
      </c>
      <c r="T754">
        <v>50</v>
      </c>
    </row>
    <row r="755" spans="1:20">
      <c r="A755" s="1">
        <v>46055</v>
      </c>
      <c r="B755">
        <v>19</v>
      </c>
      <c r="C755" t="s">
        <v>166</v>
      </c>
      <c r="D755" t="s">
        <v>167</v>
      </c>
      <c r="E755" s="6">
        <v>5037.8409000000001</v>
      </c>
      <c r="F755" s="6">
        <v>5046.2614999999996</v>
      </c>
      <c r="G755" s="6">
        <v>51.521099999999997</v>
      </c>
      <c r="H755" s="6">
        <v>5037.8275999999996</v>
      </c>
      <c r="I755" s="6">
        <v>5046.2545</v>
      </c>
      <c r="J755" s="6">
        <v>51.524500000000003</v>
      </c>
      <c r="K755" s="2">
        <v>-1.3</v>
      </c>
      <c r="L755" s="2">
        <v>-0.6</v>
      </c>
      <c r="M755" s="2">
        <v>-0.8</v>
      </c>
      <c r="N755" s="2">
        <v>-13.3</v>
      </c>
      <c r="O755" s="2">
        <v>-7</v>
      </c>
      <c r="P755" s="2">
        <v>3.4</v>
      </c>
      <c r="Q755" s="2">
        <f t="shared" si="22"/>
        <v>15.029637387508723</v>
      </c>
      <c r="R755" t="str">
        <f t="shared" si="23"/>
        <v>Regular</v>
      </c>
      <c r="S755" t="s">
        <v>182</v>
      </c>
      <c r="T755">
        <v>50</v>
      </c>
    </row>
    <row r="756" spans="1:20">
      <c r="A756" s="1">
        <v>46055</v>
      </c>
      <c r="B756">
        <v>19</v>
      </c>
      <c r="C756" t="s">
        <v>154</v>
      </c>
      <c r="D756" t="s">
        <v>123</v>
      </c>
      <c r="E756" s="6">
        <v>4983.0880999999999</v>
      </c>
      <c r="F756" s="6">
        <v>5028.2978000000003</v>
      </c>
      <c r="G756" s="6">
        <v>42.8752</v>
      </c>
      <c r="H756" s="6"/>
      <c r="I756" s="6"/>
      <c r="J756" s="6"/>
      <c r="K756" s="2"/>
      <c r="L756" s="2"/>
      <c r="M756" s="2"/>
      <c r="N756" s="2"/>
      <c r="O756" s="2"/>
      <c r="P756" s="2"/>
      <c r="Q756" s="2" t="str">
        <f t="shared" si="22"/>
        <v/>
      </c>
      <c r="R756" t="str">
        <f t="shared" si="23"/>
        <v>Sem leitura</v>
      </c>
      <c r="S756" t="s">
        <v>182</v>
      </c>
      <c r="T756">
        <v>50</v>
      </c>
    </row>
    <row r="757" spans="1:20">
      <c r="A757" s="1">
        <v>46055</v>
      </c>
      <c r="B757">
        <v>19</v>
      </c>
      <c r="C757" t="s">
        <v>163</v>
      </c>
      <c r="D757" t="s">
        <v>134</v>
      </c>
      <c r="E757" s="6">
        <v>5013.4206999999997</v>
      </c>
      <c r="F757" s="6">
        <v>5061.5992999999999</v>
      </c>
      <c r="G757" s="6">
        <v>47.2774</v>
      </c>
      <c r="H757" s="6"/>
      <c r="I757" s="6"/>
      <c r="J757" s="6"/>
      <c r="K757" s="2"/>
      <c r="L757" s="2"/>
      <c r="M757" s="2"/>
      <c r="N757" s="2"/>
      <c r="O757" s="2"/>
      <c r="P757" s="2"/>
      <c r="Q757" s="2" t="str">
        <f t="shared" si="22"/>
        <v/>
      </c>
      <c r="R757" t="str">
        <f t="shared" si="23"/>
        <v>Sem leitura</v>
      </c>
      <c r="S757" t="s">
        <v>182</v>
      </c>
      <c r="T757">
        <v>50</v>
      </c>
    </row>
    <row r="758" spans="1:20">
      <c r="A758" s="1">
        <v>46055</v>
      </c>
      <c r="B758">
        <v>19</v>
      </c>
      <c r="C758" t="s">
        <v>164</v>
      </c>
      <c r="D758" t="s">
        <v>136</v>
      </c>
      <c r="E758" s="6">
        <v>5026.8990000000003</v>
      </c>
      <c r="F758" s="6">
        <v>5072.0330000000004</v>
      </c>
      <c r="G758" s="6">
        <v>44.739800000000002</v>
      </c>
      <c r="H758" s="6">
        <v>5026.8928999999998</v>
      </c>
      <c r="I758" s="6">
        <v>5072.0168999999996</v>
      </c>
      <c r="J758" s="6">
        <v>44.746499999999997</v>
      </c>
      <c r="K758" s="2">
        <v>-2.7</v>
      </c>
      <c r="L758" s="2">
        <v>-2.5</v>
      </c>
      <c r="M758" s="2">
        <v>0.8</v>
      </c>
      <c r="N758" s="2">
        <v>-6.1</v>
      </c>
      <c r="O758" s="2">
        <v>-16.100000000000001</v>
      </c>
      <c r="P758" s="2">
        <v>6.7</v>
      </c>
      <c r="Q758" s="2">
        <f t="shared" si="22"/>
        <v>17.216852209390659</v>
      </c>
      <c r="R758" t="str">
        <f t="shared" si="23"/>
        <v>Regular</v>
      </c>
      <c r="S758" t="s">
        <v>182</v>
      </c>
      <c r="T758">
        <v>50</v>
      </c>
    </row>
    <row r="759" spans="1:20">
      <c r="A759" s="1">
        <v>46055</v>
      </c>
      <c r="B759">
        <v>19</v>
      </c>
      <c r="C759" t="s">
        <v>169</v>
      </c>
      <c r="D759" t="s">
        <v>145</v>
      </c>
      <c r="E759" s="6">
        <v>5042.0578999999998</v>
      </c>
      <c r="F759" s="6">
        <v>5042.7259000000004</v>
      </c>
      <c r="G759" s="6">
        <v>42.933700000000002</v>
      </c>
      <c r="H759" s="6">
        <v>5042.0466999999999</v>
      </c>
      <c r="I759" s="6">
        <v>5042.7284</v>
      </c>
      <c r="J759" s="6">
        <v>42.938000000000002</v>
      </c>
      <c r="K759" s="2">
        <v>-1.5</v>
      </c>
      <c r="L759" s="2">
        <v>0.3</v>
      </c>
      <c r="M759" s="2">
        <v>0.2</v>
      </c>
      <c r="N759" s="2">
        <v>-11.2</v>
      </c>
      <c r="O759" s="2">
        <v>2.5</v>
      </c>
      <c r="P759" s="2">
        <v>4.3</v>
      </c>
      <c r="Q759" s="2">
        <f t="shared" si="22"/>
        <v>11.475626344561764</v>
      </c>
      <c r="R759" t="str">
        <f t="shared" si="23"/>
        <v>Regular</v>
      </c>
      <c r="S759" t="s">
        <v>182</v>
      </c>
      <c r="T759">
        <v>50</v>
      </c>
    </row>
    <row r="760" spans="1:20">
      <c r="A760" s="1">
        <v>46055</v>
      </c>
      <c r="B760">
        <v>19</v>
      </c>
      <c r="C760" t="s">
        <v>170</v>
      </c>
      <c r="D760" t="s">
        <v>138</v>
      </c>
      <c r="E760" s="6">
        <v>5045.8157000000001</v>
      </c>
      <c r="F760" s="6">
        <v>5033.7070000000003</v>
      </c>
      <c r="G760" s="6">
        <v>42.660600000000002</v>
      </c>
      <c r="H760" s="6">
        <v>5045.8049000000001</v>
      </c>
      <c r="I760" s="6">
        <v>5033.7107999999998</v>
      </c>
      <c r="J760" s="6">
        <v>42.664000000000001</v>
      </c>
      <c r="K760" s="2">
        <v>-0.8</v>
      </c>
      <c r="L760" s="2">
        <v>0.7</v>
      </c>
      <c r="M760" s="2">
        <v>0.1</v>
      </c>
      <c r="N760" s="2">
        <v>-10.8</v>
      </c>
      <c r="O760" s="2">
        <v>3.8</v>
      </c>
      <c r="P760" s="2">
        <v>3.4</v>
      </c>
      <c r="Q760" s="2">
        <f t="shared" si="22"/>
        <v>11.449017425089369</v>
      </c>
      <c r="R760" t="str">
        <f t="shared" si="23"/>
        <v>Regular</v>
      </c>
      <c r="S760" t="s">
        <v>182</v>
      </c>
      <c r="T760">
        <v>50</v>
      </c>
    </row>
    <row r="761" spans="1:20">
      <c r="A761" s="1">
        <v>46055</v>
      </c>
      <c r="B761">
        <v>19</v>
      </c>
      <c r="C761" t="s">
        <v>149</v>
      </c>
      <c r="D761" t="s">
        <v>120</v>
      </c>
      <c r="E761" s="6">
        <v>5017.3522999999996</v>
      </c>
      <c r="F761" s="6">
        <v>5017.7930999999999</v>
      </c>
      <c r="G761" s="6">
        <v>47.4587</v>
      </c>
      <c r="H761" s="6">
        <v>5017.3481000000002</v>
      </c>
      <c r="I761" s="6">
        <v>5017.7960999999996</v>
      </c>
      <c r="J761" s="6">
        <v>47.463700000000003</v>
      </c>
      <c r="K761" s="2">
        <v>-0.3</v>
      </c>
      <c r="L761" s="2">
        <v>0</v>
      </c>
      <c r="M761" s="2">
        <v>-0.2</v>
      </c>
      <c r="N761" s="2">
        <v>-4.2</v>
      </c>
      <c r="O761" s="2">
        <v>3</v>
      </c>
      <c r="P761" s="2">
        <v>5</v>
      </c>
      <c r="Q761" s="2">
        <f t="shared" si="22"/>
        <v>5.1613951602255765</v>
      </c>
      <c r="R761" t="str">
        <f t="shared" si="23"/>
        <v>Regular</v>
      </c>
      <c r="S761" t="s">
        <v>182</v>
      </c>
      <c r="T761">
        <v>50</v>
      </c>
    </row>
    <row r="762" spans="1:20">
      <c r="A762" s="1">
        <v>46055</v>
      </c>
      <c r="B762">
        <v>19</v>
      </c>
      <c r="C762" t="s">
        <v>151</v>
      </c>
      <c r="D762" t="s">
        <v>120</v>
      </c>
      <c r="E762" s="6">
        <v>5017.2749000000003</v>
      </c>
      <c r="F762" s="6">
        <v>5018.2057000000004</v>
      </c>
      <c r="G762" s="6">
        <v>43.061300000000003</v>
      </c>
      <c r="H762" s="6"/>
      <c r="I762" s="6"/>
      <c r="J762" s="6"/>
      <c r="K762" s="2"/>
      <c r="L762" s="2"/>
      <c r="M762" s="2"/>
      <c r="N762" s="2"/>
      <c r="O762" s="2"/>
      <c r="P762" s="2"/>
      <c r="Q762" s="2" t="str">
        <f t="shared" si="22"/>
        <v/>
      </c>
      <c r="R762" t="str">
        <f t="shared" si="23"/>
        <v>Sem leitura</v>
      </c>
      <c r="S762" t="s">
        <v>182</v>
      </c>
      <c r="T762">
        <v>50</v>
      </c>
    </row>
    <row r="763" spans="1:20">
      <c r="A763" s="1">
        <v>46055</v>
      </c>
      <c r="B763">
        <v>19</v>
      </c>
      <c r="C763" t="s">
        <v>159</v>
      </c>
      <c r="D763" t="s">
        <v>128</v>
      </c>
      <c r="E763" s="6">
        <v>4976.0536000000002</v>
      </c>
      <c r="F763" s="6">
        <v>5040.1774999999998</v>
      </c>
      <c r="G763" s="6">
        <v>43.505000000000003</v>
      </c>
      <c r="H763" s="6"/>
      <c r="I763" s="6"/>
      <c r="J763" s="6"/>
      <c r="K763" s="2"/>
      <c r="L763" s="2"/>
      <c r="M763" s="2"/>
      <c r="N763" s="2"/>
      <c r="O763" s="2"/>
      <c r="P763" s="2"/>
      <c r="Q763" s="2" t="str">
        <f t="shared" si="22"/>
        <v/>
      </c>
      <c r="R763" t="str">
        <f t="shared" si="23"/>
        <v>Sem leitura</v>
      </c>
      <c r="S763" t="s">
        <v>182</v>
      </c>
      <c r="T763">
        <v>50</v>
      </c>
    </row>
    <row r="764" spans="1:20">
      <c r="A764" s="1">
        <v>46055</v>
      </c>
      <c r="B764">
        <v>19</v>
      </c>
      <c r="C764" t="s">
        <v>160</v>
      </c>
      <c r="D764" t="s">
        <v>128</v>
      </c>
      <c r="E764" s="6">
        <v>4976.0869000000002</v>
      </c>
      <c r="F764" s="6">
        <v>5040.6423000000004</v>
      </c>
      <c r="G764" s="6">
        <v>43.351300000000002</v>
      </c>
      <c r="H764" s="6">
        <v>4976.0904</v>
      </c>
      <c r="I764" s="6">
        <v>5040.6391000000003</v>
      </c>
      <c r="J764" s="6">
        <v>43.354999999999997</v>
      </c>
      <c r="K764" s="2">
        <v>0.6</v>
      </c>
      <c r="L764" s="2">
        <v>-0.4</v>
      </c>
      <c r="M764" s="2">
        <v>0.5</v>
      </c>
      <c r="N764" s="2">
        <v>3.5</v>
      </c>
      <c r="O764" s="2">
        <v>-3.2</v>
      </c>
      <c r="P764" s="2">
        <v>3.7</v>
      </c>
      <c r="Q764" s="2">
        <f t="shared" si="22"/>
        <v>4.7423622805517507</v>
      </c>
      <c r="R764" t="str">
        <f t="shared" si="23"/>
        <v>Regular</v>
      </c>
      <c r="S764" t="s">
        <v>182</v>
      </c>
      <c r="T764">
        <v>50</v>
      </c>
    </row>
    <row r="765" spans="1:20">
      <c r="A765" s="1">
        <v>46055</v>
      </c>
      <c r="B765">
        <v>19</v>
      </c>
      <c r="C765" t="s">
        <v>168</v>
      </c>
      <c r="D765" t="s">
        <v>167</v>
      </c>
      <c r="E765" s="6">
        <v>5037.7052999999996</v>
      </c>
      <c r="F765" s="6">
        <v>5047.0955999999996</v>
      </c>
      <c r="G765" s="6">
        <v>42.919199999999996</v>
      </c>
      <c r="H765" s="6">
        <v>5037.6956</v>
      </c>
      <c r="I765" s="6">
        <v>5047.0951999999997</v>
      </c>
      <c r="J765" s="6">
        <v>42.920699999999997</v>
      </c>
      <c r="K765" s="2">
        <v>-2.4</v>
      </c>
      <c r="L765" s="2">
        <v>-1</v>
      </c>
      <c r="M765" s="2">
        <v>-0.5</v>
      </c>
      <c r="N765" s="2">
        <v>-9.6999999999999993</v>
      </c>
      <c r="O765" s="2">
        <v>-0.4</v>
      </c>
      <c r="P765" s="2">
        <v>1.5</v>
      </c>
      <c r="Q765" s="2">
        <f t="shared" si="22"/>
        <v>9.7082439194737979</v>
      </c>
      <c r="R765" t="str">
        <f t="shared" si="23"/>
        <v>Regular</v>
      </c>
      <c r="S765" t="s">
        <v>182</v>
      </c>
      <c r="T765">
        <v>50</v>
      </c>
    </row>
    <row r="766" spans="1:20">
      <c r="A766" s="1">
        <v>46055</v>
      </c>
      <c r="B766">
        <v>19</v>
      </c>
      <c r="C766" t="s">
        <v>155</v>
      </c>
      <c r="D766" t="s">
        <v>156</v>
      </c>
      <c r="E766" s="6">
        <v>4980.2689</v>
      </c>
      <c r="F766" s="6">
        <v>5031.7997999999998</v>
      </c>
      <c r="G766" s="6">
        <v>48.331200000000003</v>
      </c>
      <c r="H766" s="6">
        <v>4980.2721000000001</v>
      </c>
      <c r="I766" s="6">
        <v>5031.7996999999996</v>
      </c>
      <c r="J766" s="6">
        <v>48.335500000000003</v>
      </c>
      <c r="K766" s="2">
        <v>1.7</v>
      </c>
      <c r="L766" s="2">
        <v>0.2</v>
      </c>
      <c r="M766" s="2">
        <v>1.2</v>
      </c>
      <c r="N766" s="2">
        <v>3.2</v>
      </c>
      <c r="O766" s="2">
        <v>-0.1</v>
      </c>
      <c r="P766" s="2">
        <v>4.3</v>
      </c>
      <c r="Q766" s="2">
        <f t="shared" si="22"/>
        <v>3.2015621187164247</v>
      </c>
      <c r="R766" t="str">
        <f t="shared" si="23"/>
        <v>Regular</v>
      </c>
      <c r="S766" t="s">
        <v>182</v>
      </c>
      <c r="T766">
        <v>50</v>
      </c>
    </row>
    <row r="767" spans="1:20">
      <c r="A767" s="1">
        <v>46055</v>
      </c>
      <c r="B767">
        <v>19</v>
      </c>
      <c r="C767" t="s">
        <v>153</v>
      </c>
      <c r="D767" t="s">
        <v>120</v>
      </c>
      <c r="E767" s="6">
        <v>5017.2718999999997</v>
      </c>
      <c r="F767" s="6">
        <v>5018.1959999999999</v>
      </c>
      <c r="G767" s="6">
        <v>43.055799999999998</v>
      </c>
      <c r="H767" s="6">
        <v>5017.2704999999996</v>
      </c>
      <c r="I767" s="6">
        <v>5018.2034000000003</v>
      </c>
      <c r="J767" s="6">
        <v>43.058599999999998</v>
      </c>
      <c r="K767" s="2">
        <v>0.2</v>
      </c>
      <c r="L767" s="2">
        <v>0.3</v>
      </c>
      <c r="M767" s="2">
        <v>-0.1</v>
      </c>
      <c r="N767" s="2">
        <v>-1.4</v>
      </c>
      <c r="O767" s="2">
        <v>7.4</v>
      </c>
      <c r="P767" s="2">
        <v>2.8</v>
      </c>
      <c r="Q767" s="2">
        <f t="shared" si="22"/>
        <v>7.5312681535050929</v>
      </c>
      <c r="R767" t="str">
        <f t="shared" si="23"/>
        <v>Regular</v>
      </c>
      <c r="S767" t="s">
        <v>182</v>
      </c>
      <c r="T767">
        <v>50</v>
      </c>
    </row>
    <row r="768" spans="1:20">
      <c r="A768" s="1">
        <v>46055</v>
      </c>
      <c r="B768">
        <v>19</v>
      </c>
      <c r="C768" t="s">
        <v>157</v>
      </c>
      <c r="D768" t="s">
        <v>156</v>
      </c>
      <c r="E768" s="6">
        <v>4980.6113999999998</v>
      </c>
      <c r="F768" s="6">
        <v>5031.9393</v>
      </c>
      <c r="G768" s="6">
        <v>42.979900000000001</v>
      </c>
      <c r="H768" s="6"/>
      <c r="I768" s="6"/>
      <c r="J768" s="6"/>
      <c r="K768" s="2"/>
      <c r="L768" s="2"/>
      <c r="M768" s="2"/>
      <c r="N768" s="2"/>
      <c r="O768" s="2"/>
      <c r="P768" s="2"/>
      <c r="Q768" s="2" t="str">
        <f t="shared" si="22"/>
        <v/>
      </c>
      <c r="R768" t="str">
        <f t="shared" si="23"/>
        <v>Sem leitura</v>
      </c>
      <c r="S768" t="s">
        <v>182</v>
      </c>
      <c r="T768">
        <v>50</v>
      </c>
    </row>
    <row r="769" spans="1:20">
      <c r="A769" s="1">
        <v>46055</v>
      </c>
      <c r="B769">
        <v>19</v>
      </c>
      <c r="C769" t="s">
        <v>161</v>
      </c>
      <c r="D769" t="s">
        <v>130</v>
      </c>
      <c r="E769" s="6">
        <v>4988.3298000000004</v>
      </c>
      <c r="F769" s="6">
        <v>5045.2532000000001</v>
      </c>
      <c r="G769" s="6">
        <v>42.8264</v>
      </c>
      <c r="H769" s="6">
        <v>4988.3311000000003</v>
      </c>
      <c r="I769" s="6">
        <v>5045.2389000000003</v>
      </c>
      <c r="J769" s="6">
        <v>42.828600000000002</v>
      </c>
      <c r="K769" s="2">
        <v>0.1</v>
      </c>
      <c r="L769" s="2">
        <v>-2.5</v>
      </c>
      <c r="M769" s="2">
        <v>0.7</v>
      </c>
      <c r="N769" s="2">
        <v>1.3</v>
      </c>
      <c r="O769" s="2">
        <v>-14.3</v>
      </c>
      <c r="P769" s="2">
        <v>2.2000000000000002</v>
      </c>
      <c r="Q769" s="2">
        <f t="shared" si="22"/>
        <v>14.358969322343439</v>
      </c>
      <c r="R769" t="str">
        <f t="shared" si="23"/>
        <v>Regular</v>
      </c>
      <c r="S769" t="s">
        <v>182</v>
      </c>
      <c r="T769">
        <v>50</v>
      </c>
    </row>
    <row r="770" spans="1:20">
      <c r="A770" s="1">
        <v>46055</v>
      </c>
      <c r="B770">
        <v>19</v>
      </c>
      <c r="C770" t="s">
        <v>162</v>
      </c>
      <c r="D770" t="s">
        <v>130</v>
      </c>
      <c r="E770" s="6">
        <v>4998.6503000000002</v>
      </c>
      <c r="F770" s="6">
        <v>5043.7455</v>
      </c>
      <c r="G770" s="6">
        <v>42.848300000000002</v>
      </c>
      <c r="H770" s="6">
        <v>4998.6508000000003</v>
      </c>
      <c r="I770" s="6">
        <v>5043.7284</v>
      </c>
      <c r="J770" s="6">
        <v>42.849699999999999</v>
      </c>
      <c r="K770" s="2">
        <v>0</v>
      </c>
      <c r="L770" s="2">
        <v>-3.2</v>
      </c>
      <c r="M770" s="2">
        <v>0</v>
      </c>
      <c r="N770" s="2">
        <v>0.5</v>
      </c>
      <c r="O770" s="2">
        <v>-17.100000000000001</v>
      </c>
      <c r="P770" s="2">
        <v>1.4</v>
      </c>
      <c r="Q770" s="2">
        <f t="shared" ref="Q770:Q833" si="24">IF(COUNT(N770:O770)&lt;2,"",SQRT(N770^2+O770^2))</f>
        <v>17.10730837975396</v>
      </c>
      <c r="R770" t="str">
        <f t="shared" ref="R770:R833" si="25">IF(COUNT(H770:P770)=0,"Sem leitura",IF(ISNUMBER(SEARCH("Escavação",D770)),IF(OR(Q770&gt;=40,ABS(P770)&gt;=15),"Alarme",IF(OR(Q770&gt;=IF(OR(ISNUMBER(SEARCH("Alçado AB",D770)),ISNUMBER(SEARCH("Alçado CD",D770)),ISNUMBER(SEARCH("Alçado BF",D770)),ISNUMBER(SEARCH("Alçado PQ",D770))),20,30),ABS(P770)&gt;=10),"Alerta","Regular")),IF(OR(Q770&gt;=25,ABS(P770)&gt;=20),"Alarme",IF(OR(Q770&gt;=15,ABS(P770)&gt;=10),"Alerta","Regular"))))</f>
        <v>Regular</v>
      </c>
      <c r="S770" t="s">
        <v>182</v>
      </c>
      <c r="T770">
        <v>50</v>
      </c>
    </row>
    <row r="771" spans="1:20">
      <c r="A771" s="1">
        <v>46055</v>
      </c>
      <c r="B771">
        <v>19</v>
      </c>
      <c r="C771" t="s">
        <v>165</v>
      </c>
      <c r="D771" t="s">
        <v>136</v>
      </c>
      <c r="E771" s="6">
        <v>5026.6471000000001</v>
      </c>
      <c r="F771" s="6">
        <v>5071.8581999999997</v>
      </c>
      <c r="G771" s="6">
        <v>41.8752</v>
      </c>
      <c r="H771" s="6"/>
      <c r="I771" s="6"/>
      <c r="J771" s="6"/>
      <c r="K771" s="2"/>
      <c r="L771" s="2"/>
      <c r="M771" s="2"/>
      <c r="N771" s="2"/>
      <c r="O771" s="2"/>
      <c r="P771" s="2"/>
      <c r="Q771" s="2" t="str">
        <f t="shared" si="24"/>
        <v/>
      </c>
      <c r="R771" t="str">
        <f t="shared" si="25"/>
        <v>Sem leitura</v>
      </c>
      <c r="S771" t="s">
        <v>182</v>
      </c>
      <c r="T771">
        <v>50</v>
      </c>
    </row>
    <row r="772" spans="1:20">
      <c r="A772" s="1">
        <v>46055</v>
      </c>
      <c r="B772">
        <v>19</v>
      </c>
      <c r="C772" t="s">
        <v>158</v>
      </c>
      <c r="D772" t="s">
        <v>156</v>
      </c>
      <c r="E772" s="6">
        <v>4980.5802999999996</v>
      </c>
      <c r="F772" s="6">
        <v>5031.6513999999997</v>
      </c>
      <c r="G772" s="6">
        <v>42.887999999999998</v>
      </c>
      <c r="H772" s="6">
        <v>4980.5843000000004</v>
      </c>
      <c r="I772" s="6">
        <v>5031.6532999999999</v>
      </c>
      <c r="J772" s="6">
        <v>42.890799999999999</v>
      </c>
      <c r="K772" s="2">
        <v>0.9</v>
      </c>
      <c r="L772" s="2">
        <v>-0.2</v>
      </c>
      <c r="M772" s="2">
        <v>0.6</v>
      </c>
      <c r="N772" s="2">
        <v>4</v>
      </c>
      <c r="O772" s="2">
        <v>1.9</v>
      </c>
      <c r="P772" s="2">
        <v>2.8</v>
      </c>
      <c r="Q772" s="2">
        <f t="shared" si="24"/>
        <v>4.4283179650969053</v>
      </c>
      <c r="R772" t="str">
        <f t="shared" si="25"/>
        <v>Regular</v>
      </c>
      <c r="S772" t="s">
        <v>182</v>
      </c>
      <c r="T772">
        <v>50</v>
      </c>
    </row>
    <row r="773" spans="1:20">
      <c r="A773" s="1">
        <v>46055</v>
      </c>
      <c r="B773">
        <v>19</v>
      </c>
      <c r="C773" t="s">
        <v>171</v>
      </c>
      <c r="D773" t="s">
        <v>123</v>
      </c>
      <c r="E773" s="6">
        <v>4982.7381999999998</v>
      </c>
      <c r="F773" s="6">
        <v>5028.3501999999999</v>
      </c>
      <c r="G773" s="6">
        <v>42.705800000000004</v>
      </c>
      <c r="H773" s="6">
        <v>4982.7430000000004</v>
      </c>
      <c r="I773" s="6">
        <v>5028.3522999999996</v>
      </c>
      <c r="J773" s="6">
        <v>42.707700000000003</v>
      </c>
      <c r="K773" s="2">
        <v>0.8</v>
      </c>
      <c r="L773" s="2">
        <v>0.3</v>
      </c>
      <c r="M773" s="2">
        <v>0.6</v>
      </c>
      <c r="N773" s="2">
        <v>4.8</v>
      </c>
      <c r="O773" s="2">
        <v>2.1</v>
      </c>
      <c r="P773" s="2">
        <v>1.9</v>
      </c>
      <c r="Q773" s="2">
        <f t="shared" si="24"/>
        <v>5.2392747589718942</v>
      </c>
      <c r="R773" t="str">
        <f t="shared" si="25"/>
        <v>Regular</v>
      </c>
      <c r="S773" t="s">
        <v>182</v>
      </c>
      <c r="T773">
        <v>50</v>
      </c>
    </row>
    <row r="774" spans="1:20">
      <c r="A774" s="1">
        <v>46055</v>
      </c>
      <c r="B774">
        <v>19</v>
      </c>
      <c r="C774" t="s">
        <v>173</v>
      </c>
      <c r="D774" t="s">
        <v>123</v>
      </c>
      <c r="E774" s="6">
        <v>4982.2178000000004</v>
      </c>
      <c r="F774" s="6">
        <v>5028.4342999999999</v>
      </c>
      <c r="G774" s="6">
        <v>39.473500000000001</v>
      </c>
      <c r="H774" s="6">
        <v>4982.22</v>
      </c>
      <c r="I774" s="6">
        <v>5028.4336999999996</v>
      </c>
      <c r="J774" s="6">
        <v>39.472700000000003</v>
      </c>
      <c r="K774" s="2">
        <v>1.8</v>
      </c>
      <c r="L774" s="2">
        <v>-0.3</v>
      </c>
      <c r="M774" s="2">
        <v>-0.4</v>
      </c>
      <c r="N774" s="2">
        <v>2.2000000000000002</v>
      </c>
      <c r="O774" s="2">
        <v>-0.6</v>
      </c>
      <c r="P774" s="2">
        <v>-0.8</v>
      </c>
      <c r="Q774" s="2">
        <f t="shared" si="24"/>
        <v>2.2803508501982761</v>
      </c>
      <c r="R774" t="str">
        <f t="shared" si="25"/>
        <v>Regular</v>
      </c>
      <c r="S774" t="s">
        <v>182</v>
      </c>
      <c r="T774">
        <v>50</v>
      </c>
    </row>
    <row r="775" spans="1:20">
      <c r="A775" s="1">
        <v>46055</v>
      </c>
      <c r="B775">
        <v>19</v>
      </c>
      <c r="C775" t="s">
        <v>175</v>
      </c>
      <c r="D775" t="s">
        <v>156</v>
      </c>
      <c r="E775" s="6">
        <v>4980.7398999999996</v>
      </c>
      <c r="F775" s="6">
        <v>5032.9142000000002</v>
      </c>
      <c r="G775" s="6">
        <v>39.535899999999998</v>
      </c>
      <c r="H775" s="6">
        <v>4980.7430000000004</v>
      </c>
      <c r="I775" s="6">
        <v>5032.9137000000001</v>
      </c>
      <c r="J775" s="6">
        <v>39.535299999999999</v>
      </c>
      <c r="K775" s="2">
        <v>3.1</v>
      </c>
      <c r="L775" s="2">
        <v>-0.5</v>
      </c>
      <c r="M775" s="2">
        <v>0.1</v>
      </c>
      <c r="N775" s="2">
        <v>3.1</v>
      </c>
      <c r="O775" s="2">
        <v>-0.5</v>
      </c>
      <c r="P775" s="2">
        <v>-0.6</v>
      </c>
      <c r="Q775" s="2">
        <f t="shared" si="24"/>
        <v>3.1400636936215167</v>
      </c>
      <c r="R775" t="str">
        <f t="shared" si="25"/>
        <v>Regular</v>
      </c>
      <c r="S775" t="s">
        <v>182</v>
      </c>
      <c r="T775">
        <v>50</v>
      </c>
    </row>
    <row r="776" spans="1:20">
      <c r="A776" s="1">
        <v>46055</v>
      </c>
      <c r="B776">
        <v>19</v>
      </c>
      <c r="C776" t="s">
        <v>176</v>
      </c>
      <c r="D776" t="s">
        <v>128</v>
      </c>
      <c r="E776" s="6">
        <v>4974.8552</v>
      </c>
      <c r="F776" s="6">
        <v>5040.1602999999996</v>
      </c>
      <c r="G776" s="6">
        <v>39.188800000000001</v>
      </c>
      <c r="H776" s="6">
        <v>4974.8567999999996</v>
      </c>
      <c r="I776" s="6">
        <v>5040.1598999999997</v>
      </c>
      <c r="J776" s="6">
        <v>39.188499999999998</v>
      </c>
      <c r="K776" s="2">
        <v>1.7</v>
      </c>
      <c r="L776" s="2">
        <v>-0.1</v>
      </c>
      <c r="M776" s="2">
        <v>-0.6</v>
      </c>
      <c r="N776" s="2">
        <v>1.6</v>
      </c>
      <c r="O776" s="2">
        <v>-0.4</v>
      </c>
      <c r="P776" s="2">
        <v>-0.3</v>
      </c>
      <c r="Q776" s="2">
        <f t="shared" si="24"/>
        <v>1.6492422502470645</v>
      </c>
      <c r="R776" t="str">
        <f t="shared" si="25"/>
        <v>Regular</v>
      </c>
      <c r="S776" t="s">
        <v>182</v>
      </c>
      <c r="T776">
        <v>50</v>
      </c>
    </row>
    <row r="777" spans="1:20">
      <c r="A777" s="1">
        <v>46055</v>
      </c>
      <c r="B777">
        <v>19</v>
      </c>
      <c r="C777" t="s">
        <v>177</v>
      </c>
      <c r="D777" t="s">
        <v>130</v>
      </c>
      <c r="E777" s="6">
        <v>4988.0146000000004</v>
      </c>
      <c r="F777" s="6">
        <v>5045.2892000000002</v>
      </c>
      <c r="G777" s="6">
        <v>39.487099999999998</v>
      </c>
      <c r="H777" s="6">
        <v>4988.0141999999996</v>
      </c>
      <c r="I777" s="6">
        <v>5045.2855</v>
      </c>
      <c r="J777" s="6">
        <v>39.487299999999998</v>
      </c>
      <c r="K777" s="2">
        <v>-0.1</v>
      </c>
      <c r="L777" s="2">
        <v>-1.8</v>
      </c>
      <c r="M777" s="2">
        <v>0.4</v>
      </c>
      <c r="N777" s="2">
        <v>-0.4</v>
      </c>
      <c r="O777" s="2">
        <v>-3.7</v>
      </c>
      <c r="P777" s="2">
        <v>0.2</v>
      </c>
      <c r="Q777" s="2">
        <f t="shared" si="24"/>
        <v>3.7215588131856792</v>
      </c>
      <c r="R777" t="str">
        <f t="shared" si="25"/>
        <v>Regular</v>
      </c>
      <c r="S777" t="s">
        <v>182</v>
      </c>
      <c r="T777">
        <v>50</v>
      </c>
    </row>
    <row r="778" spans="1:20">
      <c r="A778" s="1">
        <v>46055</v>
      </c>
      <c r="B778">
        <v>19</v>
      </c>
      <c r="C778" t="s">
        <v>178</v>
      </c>
      <c r="D778" t="s">
        <v>130</v>
      </c>
      <c r="E778" s="6">
        <v>4998.3825999999999</v>
      </c>
      <c r="F778" s="6">
        <v>5043.7443999999996</v>
      </c>
      <c r="G778" s="6">
        <v>39.476599999999998</v>
      </c>
      <c r="H778" s="6">
        <v>4998.3820999999998</v>
      </c>
      <c r="I778" s="6">
        <v>5043.7397000000001</v>
      </c>
      <c r="J778" s="6">
        <v>39.476900000000001</v>
      </c>
      <c r="K778" s="2">
        <v>-0.5</v>
      </c>
      <c r="L778" s="2">
        <v>-3.3</v>
      </c>
      <c r="M778" s="2">
        <v>0.2</v>
      </c>
      <c r="N778" s="2">
        <v>-0.5</v>
      </c>
      <c r="O778" s="2">
        <v>-4.7</v>
      </c>
      <c r="P778" s="2">
        <v>0.3</v>
      </c>
      <c r="Q778" s="2">
        <f t="shared" si="24"/>
        <v>4.72652091923859</v>
      </c>
      <c r="R778" t="str">
        <f t="shared" si="25"/>
        <v>Regular</v>
      </c>
      <c r="S778" t="s">
        <v>182</v>
      </c>
      <c r="T778">
        <v>50</v>
      </c>
    </row>
    <row r="779" spans="1:20">
      <c r="A779" s="1">
        <v>46055</v>
      </c>
      <c r="B779">
        <v>19</v>
      </c>
      <c r="C779" t="s">
        <v>179</v>
      </c>
      <c r="D779" t="s">
        <v>134</v>
      </c>
      <c r="E779" s="6">
        <v>5011.4696000000004</v>
      </c>
      <c r="F779" s="6">
        <v>5051.8035</v>
      </c>
      <c r="G779" s="6">
        <v>48.342599999999997</v>
      </c>
      <c r="H779" s="6">
        <v>5011.4670999999998</v>
      </c>
      <c r="I779" s="6">
        <v>5051.8032999999996</v>
      </c>
      <c r="J779" s="6">
        <v>48.343299999999999</v>
      </c>
      <c r="K779" s="2">
        <v>-0.4</v>
      </c>
      <c r="L779" s="2">
        <v>-1.2</v>
      </c>
      <c r="M779" s="2">
        <v>0.1</v>
      </c>
      <c r="N779" s="2">
        <v>-2.5</v>
      </c>
      <c r="O779" s="2">
        <v>-0.2</v>
      </c>
      <c r="P779" s="2">
        <v>0.7</v>
      </c>
      <c r="Q779" s="2">
        <f t="shared" si="24"/>
        <v>2.5079872407968904</v>
      </c>
      <c r="R779" t="str">
        <f t="shared" si="25"/>
        <v>Regular</v>
      </c>
      <c r="S779" t="s">
        <v>182</v>
      </c>
      <c r="T779">
        <v>50</v>
      </c>
    </row>
    <row r="780" spans="1:20">
      <c r="A780" s="1">
        <v>46055</v>
      </c>
      <c r="B780">
        <v>19</v>
      </c>
      <c r="C780" t="s">
        <v>180</v>
      </c>
      <c r="D780" t="s">
        <v>134</v>
      </c>
      <c r="E780" s="6">
        <v>5013.4205000000002</v>
      </c>
      <c r="F780" s="6">
        <v>5061.5536000000002</v>
      </c>
      <c r="G780" s="6">
        <v>47.226599999999998</v>
      </c>
      <c r="H780" s="6">
        <v>5013.4184999999998</v>
      </c>
      <c r="I780" s="6">
        <v>5061.5536000000002</v>
      </c>
      <c r="J780" s="6">
        <v>47.226900000000001</v>
      </c>
      <c r="K780" s="2">
        <v>0.1</v>
      </c>
      <c r="L780" s="2">
        <v>-1.6</v>
      </c>
      <c r="M780" s="2">
        <v>0.2</v>
      </c>
      <c r="N780" s="2">
        <v>-2</v>
      </c>
      <c r="O780" s="2">
        <v>0</v>
      </c>
      <c r="P780" s="2">
        <v>0.3</v>
      </c>
      <c r="Q780" s="2">
        <f t="shared" si="24"/>
        <v>2</v>
      </c>
      <c r="R780" t="str">
        <f t="shared" si="25"/>
        <v>Regular</v>
      </c>
      <c r="S780" t="s">
        <v>182</v>
      </c>
      <c r="T780">
        <v>50</v>
      </c>
    </row>
    <row r="781" spans="1:20">
      <c r="A781" s="1">
        <v>46055</v>
      </c>
      <c r="B781">
        <v>19</v>
      </c>
      <c r="C781" t="s">
        <v>181</v>
      </c>
      <c r="D781" t="s">
        <v>134</v>
      </c>
      <c r="E781" s="6">
        <v>5012.2750999999998</v>
      </c>
      <c r="F781" s="6">
        <v>5056.5322999999999</v>
      </c>
      <c r="G781" s="6">
        <v>42.882899999999999</v>
      </c>
      <c r="H781" s="6">
        <v>5012.2750999999998</v>
      </c>
      <c r="I781" s="6">
        <v>5056.5322999999999</v>
      </c>
      <c r="J781" s="6">
        <v>42.882899999999999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f t="shared" si="24"/>
        <v>0</v>
      </c>
      <c r="R781" t="str">
        <f t="shared" si="25"/>
        <v>Regular</v>
      </c>
      <c r="S781" t="s">
        <v>182</v>
      </c>
      <c r="T781">
        <v>50</v>
      </c>
    </row>
    <row r="782" spans="1:20">
      <c r="A782" s="1">
        <v>46055</v>
      </c>
      <c r="B782">
        <v>19</v>
      </c>
      <c r="C782" t="s">
        <v>183</v>
      </c>
      <c r="D782" t="s">
        <v>134</v>
      </c>
      <c r="E782" s="6">
        <v>5013.3993</v>
      </c>
      <c r="F782" s="6">
        <v>5061.4317000000001</v>
      </c>
      <c r="G782" s="6">
        <v>42.942900000000002</v>
      </c>
      <c r="H782" s="6">
        <v>5013.3993</v>
      </c>
      <c r="I782" s="6">
        <v>5061.4317000000001</v>
      </c>
      <c r="J782" s="6">
        <v>42.942900000000002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f t="shared" si="24"/>
        <v>0</v>
      </c>
      <c r="R782" t="str">
        <f t="shared" si="25"/>
        <v>Regular</v>
      </c>
      <c r="S782" t="s">
        <v>182</v>
      </c>
      <c r="T782">
        <v>50</v>
      </c>
    </row>
    <row r="783" spans="1:20">
      <c r="A783" s="1">
        <v>46058</v>
      </c>
      <c r="B783">
        <v>25</v>
      </c>
      <c r="C783" t="s">
        <v>69</v>
      </c>
      <c r="D783" t="s">
        <v>70</v>
      </c>
      <c r="E783" s="6">
        <v>4990.9656999999997</v>
      </c>
      <c r="F783" s="6">
        <v>5053.7449999999999</v>
      </c>
      <c r="G783" s="6">
        <v>60.553600000000003</v>
      </c>
      <c r="H783" s="6">
        <v>4990.9818999999998</v>
      </c>
      <c r="I783" s="6">
        <v>5053.7031999999999</v>
      </c>
      <c r="J783" s="6">
        <v>60.543599999999998</v>
      </c>
      <c r="K783" s="2">
        <v>-1.8</v>
      </c>
      <c r="L783" s="2">
        <v>0.5</v>
      </c>
      <c r="M783" s="2">
        <v>0.2</v>
      </c>
      <c r="N783" s="2">
        <v>16.2</v>
      </c>
      <c r="O783" s="2">
        <v>-41.8</v>
      </c>
      <c r="P783" s="2">
        <v>-10</v>
      </c>
      <c r="Q783" s="2">
        <f t="shared" si="24"/>
        <v>44.82945460297281</v>
      </c>
      <c r="R783" t="str">
        <f t="shared" si="25"/>
        <v>Alarme</v>
      </c>
      <c r="S783" t="s">
        <v>185</v>
      </c>
      <c r="T783">
        <v>19</v>
      </c>
    </row>
    <row r="784" spans="1:20">
      <c r="A784" s="1">
        <v>46058</v>
      </c>
      <c r="B784">
        <v>25</v>
      </c>
      <c r="C784" t="s">
        <v>75</v>
      </c>
      <c r="D784" t="s">
        <v>70</v>
      </c>
      <c r="E784" s="6">
        <v>4990.9760999999999</v>
      </c>
      <c r="F784" s="6">
        <v>5053.7455</v>
      </c>
      <c r="G784" s="6">
        <v>59.095199999999998</v>
      </c>
      <c r="H784" s="6">
        <v>4990.9907999999996</v>
      </c>
      <c r="I784" s="6">
        <v>5053.7049999999999</v>
      </c>
      <c r="J784" s="6">
        <v>59.087200000000003</v>
      </c>
      <c r="K784" s="2">
        <v>-1.9</v>
      </c>
      <c r="L784" s="2">
        <v>0.1</v>
      </c>
      <c r="M784" s="2">
        <v>0.3</v>
      </c>
      <c r="N784" s="2">
        <v>14.7</v>
      </c>
      <c r="O784" s="2">
        <v>-40.5</v>
      </c>
      <c r="P784" s="2">
        <v>-8</v>
      </c>
      <c r="Q784" s="2">
        <f t="shared" si="24"/>
        <v>43.08526430231106</v>
      </c>
      <c r="R784" t="str">
        <f t="shared" si="25"/>
        <v>Alarme</v>
      </c>
      <c r="S784" t="s">
        <v>185</v>
      </c>
      <c r="T784">
        <v>19</v>
      </c>
    </row>
    <row r="785" spans="1:20">
      <c r="A785" s="1">
        <v>46058</v>
      </c>
      <c r="B785">
        <v>25</v>
      </c>
      <c r="C785" t="s">
        <v>76</v>
      </c>
      <c r="D785" t="s">
        <v>70</v>
      </c>
      <c r="E785" s="6">
        <v>5001.0812999999998</v>
      </c>
      <c r="F785" s="6">
        <v>5053.5291999999999</v>
      </c>
      <c r="G785" s="6">
        <v>60.621899999999997</v>
      </c>
      <c r="H785" s="6">
        <v>5001.1035000000002</v>
      </c>
      <c r="I785" s="6">
        <v>5053.4831000000004</v>
      </c>
      <c r="J785" s="6">
        <v>60.600499999999997</v>
      </c>
      <c r="K785" s="2">
        <v>-0.1</v>
      </c>
      <c r="L785" s="2">
        <v>0.2</v>
      </c>
      <c r="M785" s="2">
        <v>0.9</v>
      </c>
      <c r="N785" s="2">
        <v>22.2</v>
      </c>
      <c r="O785" s="2">
        <v>-46.1</v>
      </c>
      <c r="P785" s="2">
        <v>-21.4</v>
      </c>
      <c r="Q785" s="2">
        <f t="shared" si="24"/>
        <v>51.16688382147187</v>
      </c>
      <c r="R785" t="str">
        <f t="shared" si="25"/>
        <v>Alarme</v>
      </c>
      <c r="S785" t="s">
        <v>185</v>
      </c>
      <c r="T785">
        <v>19</v>
      </c>
    </row>
    <row r="786" spans="1:20">
      <c r="A786" s="1">
        <v>46058</v>
      </c>
      <c r="B786">
        <v>25</v>
      </c>
      <c r="C786" t="s">
        <v>77</v>
      </c>
      <c r="D786" t="s">
        <v>70</v>
      </c>
      <c r="E786" s="6">
        <v>5001.0428000000002</v>
      </c>
      <c r="F786" s="6">
        <v>5053.5321999999996</v>
      </c>
      <c r="G786" s="6">
        <v>58.677799999999998</v>
      </c>
      <c r="H786" s="6">
        <v>5001.0635000000002</v>
      </c>
      <c r="I786" s="6">
        <v>5053.4888000000001</v>
      </c>
      <c r="J786" s="6">
        <v>58.655099999999997</v>
      </c>
      <c r="K786" s="2">
        <v>-0.6</v>
      </c>
      <c r="L786" s="2">
        <v>1.2</v>
      </c>
      <c r="M786" s="2">
        <v>0.6</v>
      </c>
      <c r="N786" s="2">
        <v>20.7</v>
      </c>
      <c r="O786" s="2">
        <v>-43.4</v>
      </c>
      <c r="P786" s="2">
        <v>-22.7</v>
      </c>
      <c r="Q786" s="2">
        <f t="shared" si="24"/>
        <v>48.083781049330966</v>
      </c>
      <c r="R786" t="str">
        <f t="shared" si="25"/>
        <v>Alarme</v>
      </c>
      <c r="S786" t="s">
        <v>185</v>
      </c>
      <c r="T786">
        <v>19</v>
      </c>
    </row>
    <row r="787" spans="1:20">
      <c r="A787" s="1">
        <v>46058</v>
      </c>
      <c r="B787">
        <v>25</v>
      </c>
      <c r="C787" t="s">
        <v>78</v>
      </c>
      <c r="D787" t="s">
        <v>70</v>
      </c>
      <c r="E787" s="6">
        <v>5005.4017999999996</v>
      </c>
      <c r="F787" s="6">
        <v>5054.5141000000003</v>
      </c>
      <c r="G787" s="6">
        <v>60.181899999999999</v>
      </c>
      <c r="H787" s="6"/>
      <c r="I787" s="6"/>
      <c r="J787" s="6"/>
      <c r="K787" s="2"/>
      <c r="L787" s="2"/>
      <c r="M787" s="2"/>
      <c r="N787" s="2"/>
      <c r="O787" s="2"/>
      <c r="P787" s="2"/>
      <c r="Q787" s="2" t="str">
        <f t="shared" si="24"/>
        <v/>
      </c>
      <c r="R787" t="str">
        <f t="shared" si="25"/>
        <v>Sem leitura</v>
      </c>
      <c r="S787" t="s">
        <v>185</v>
      </c>
      <c r="T787">
        <v>19</v>
      </c>
    </row>
    <row r="788" spans="1:20">
      <c r="A788" s="1">
        <v>46058</v>
      </c>
      <c r="B788">
        <v>25</v>
      </c>
      <c r="C788" t="s">
        <v>80</v>
      </c>
      <c r="D788" t="s">
        <v>70</v>
      </c>
      <c r="E788" s="6">
        <v>5005.4050999999999</v>
      </c>
      <c r="F788" s="6">
        <v>5054.5766999999996</v>
      </c>
      <c r="G788" s="6">
        <v>58.646999999999998</v>
      </c>
      <c r="H788" s="6"/>
      <c r="I788" s="6"/>
      <c r="J788" s="6"/>
      <c r="K788" s="2"/>
      <c r="L788" s="2"/>
      <c r="M788" s="2"/>
      <c r="N788" s="2"/>
      <c r="O788" s="2"/>
      <c r="P788" s="2"/>
      <c r="Q788" s="2" t="str">
        <f t="shared" si="24"/>
        <v/>
      </c>
      <c r="R788" t="str">
        <f t="shared" si="25"/>
        <v>Sem leitura</v>
      </c>
      <c r="S788" t="s">
        <v>185</v>
      </c>
      <c r="T788">
        <v>19</v>
      </c>
    </row>
    <row r="789" spans="1:20">
      <c r="A789" s="1">
        <v>46058</v>
      </c>
      <c r="B789">
        <v>25</v>
      </c>
      <c r="C789" t="s">
        <v>81</v>
      </c>
      <c r="D789" t="s">
        <v>70</v>
      </c>
      <c r="E789" s="6">
        <v>5005.8755000000001</v>
      </c>
      <c r="F789" s="6">
        <v>5063.3173999999999</v>
      </c>
      <c r="G789" s="6">
        <v>60.481099999999998</v>
      </c>
      <c r="H789" s="6"/>
      <c r="I789" s="6"/>
      <c r="J789" s="6"/>
      <c r="K789" s="2"/>
      <c r="L789" s="2"/>
      <c r="M789" s="2"/>
      <c r="N789" s="2"/>
      <c r="O789" s="2"/>
      <c r="P789" s="2"/>
      <c r="Q789" s="2" t="str">
        <f t="shared" si="24"/>
        <v/>
      </c>
      <c r="R789" t="str">
        <f t="shared" si="25"/>
        <v>Sem leitura</v>
      </c>
      <c r="S789" t="s">
        <v>185</v>
      </c>
      <c r="T789">
        <v>19</v>
      </c>
    </row>
    <row r="790" spans="1:20">
      <c r="A790" s="1">
        <v>46058</v>
      </c>
      <c r="B790">
        <v>25</v>
      </c>
      <c r="C790" t="s">
        <v>82</v>
      </c>
      <c r="D790" t="s">
        <v>70</v>
      </c>
      <c r="E790" s="6">
        <v>5005.8838999999998</v>
      </c>
      <c r="F790" s="6">
        <v>5063.7007999999996</v>
      </c>
      <c r="G790" s="6">
        <v>59.329300000000003</v>
      </c>
      <c r="H790" s="6"/>
      <c r="I790" s="6"/>
      <c r="J790" s="6"/>
      <c r="K790" s="2"/>
      <c r="L790" s="2"/>
      <c r="M790" s="2"/>
      <c r="N790" s="2"/>
      <c r="O790" s="2"/>
      <c r="P790" s="2"/>
      <c r="Q790" s="2" t="str">
        <f t="shared" si="24"/>
        <v/>
      </c>
      <c r="R790" t="str">
        <f t="shared" si="25"/>
        <v>Sem leitura</v>
      </c>
      <c r="S790" t="s">
        <v>185</v>
      </c>
      <c r="T790">
        <v>19</v>
      </c>
    </row>
    <row r="791" spans="1:20">
      <c r="A791" s="1">
        <v>46058</v>
      </c>
      <c r="B791">
        <v>25</v>
      </c>
      <c r="C791" t="s">
        <v>83</v>
      </c>
      <c r="D791" t="s">
        <v>84</v>
      </c>
      <c r="E791" s="6">
        <v>5055.3705</v>
      </c>
      <c r="F791" s="6">
        <v>5037.6908000000003</v>
      </c>
      <c r="G791" s="6">
        <v>55.834499999999998</v>
      </c>
      <c r="H791" s="6">
        <v>5055.3504000000003</v>
      </c>
      <c r="I791" s="6">
        <v>5037.6959999999999</v>
      </c>
      <c r="J791" s="6">
        <v>55.839300000000001</v>
      </c>
      <c r="K791" s="2">
        <v>-1.4</v>
      </c>
      <c r="L791" s="2">
        <v>0.6</v>
      </c>
      <c r="M791" s="2">
        <v>1</v>
      </c>
      <c r="N791" s="2">
        <v>-20.100000000000001</v>
      </c>
      <c r="O791" s="2">
        <v>5.2</v>
      </c>
      <c r="P791" s="2">
        <v>4.8</v>
      </c>
      <c r="Q791" s="2">
        <f t="shared" si="24"/>
        <v>20.761743664731053</v>
      </c>
      <c r="R791" t="str">
        <f t="shared" si="25"/>
        <v>Alerta</v>
      </c>
      <c r="S791" t="s">
        <v>185</v>
      </c>
      <c r="T791">
        <v>19</v>
      </c>
    </row>
    <row r="792" spans="1:20">
      <c r="A792" s="1">
        <v>46058</v>
      </c>
      <c r="B792">
        <v>25</v>
      </c>
      <c r="C792" t="s">
        <v>85</v>
      </c>
      <c r="D792" t="s">
        <v>84</v>
      </c>
      <c r="E792" s="6">
        <v>5055.3611000000001</v>
      </c>
      <c r="F792" s="6">
        <v>5037.652</v>
      </c>
      <c r="G792" s="6">
        <v>53.920200000000001</v>
      </c>
      <c r="H792" s="6">
        <v>5055.3425999999999</v>
      </c>
      <c r="I792" s="6">
        <v>5037.6539000000002</v>
      </c>
      <c r="J792" s="6">
        <v>53.925699999999999</v>
      </c>
      <c r="K792" s="2">
        <v>-1.5</v>
      </c>
      <c r="L792" s="2">
        <v>1.4</v>
      </c>
      <c r="M792" s="2">
        <v>1.6</v>
      </c>
      <c r="N792" s="2">
        <v>-18.5</v>
      </c>
      <c r="O792" s="2">
        <v>1.9</v>
      </c>
      <c r="P792" s="2">
        <v>5.5</v>
      </c>
      <c r="Q792" s="2">
        <f t="shared" si="24"/>
        <v>18.597311633674369</v>
      </c>
      <c r="R792" t="str">
        <f t="shared" si="25"/>
        <v>Alerta</v>
      </c>
      <c r="S792" t="s">
        <v>185</v>
      </c>
      <c r="T792">
        <v>19</v>
      </c>
    </row>
    <row r="793" spans="1:20">
      <c r="A793" s="1">
        <v>46058</v>
      </c>
      <c r="B793">
        <v>25</v>
      </c>
      <c r="C793" t="s">
        <v>86</v>
      </c>
      <c r="D793" t="s">
        <v>84</v>
      </c>
      <c r="E793" s="6">
        <v>5053.1266999999998</v>
      </c>
      <c r="F793" s="6">
        <v>5028.5694000000003</v>
      </c>
      <c r="G793" s="6">
        <v>55.876899999999999</v>
      </c>
      <c r="H793" s="6">
        <v>5053.1080000000002</v>
      </c>
      <c r="I793" s="6">
        <v>5028.5758999999998</v>
      </c>
      <c r="J793" s="6">
        <v>55.881500000000003</v>
      </c>
      <c r="K793" s="2">
        <v>-1.2</v>
      </c>
      <c r="L793" s="2">
        <v>0.9</v>
      </c>
      <c r="M793" s="2">
        <v>0.6</v>
      </c>
      <c r="N793" s="2">
        <v>-18.7</v>
      </c>
      <c r="O793" s="2">
        <v>6.5</v>
      </c>
      <c r="P793" s="2">
        <v>4.5999999999999996</v>
      </c>
      <c r="Q793" s="2">
        <f t="shared" si="24"/>
        <v>19.797474586421369</v>
      </c>
      <c r="R793" t="str">
        <f t="shared" si="25"/>
        <v>Alerta</v>
      </c>
      <c r="S793" t="s">
        <v>185</v>
      </c>
      <c r="T793">
        <v>19</v>
      </c>
    </row>
    <row r="794" spans="1:20">
      <c r="A794" s="1">
        <v>46058</v>
      </c>
      <c r="B794">
        <v>25</v>
      </c>
      <c r="C794" t="s">
        <v>87</v>
      </c>
      <c r="D794" t="s">
        <v>84</v>
      </c>
      <c r="E794" s="6">
        <v>5053.1229999999996</v>
      </c>
      <c r="F794" s="6">
        <v>5028.5785999999998</v>
      </c>
      <c r="G794" s="6">
        <v>54.159100000000002</v>
      </c>
      <c r="H794" s="6">
        <v>5053.1049999999996</v>
      </c>
      <c r="I794" s="6">
        <v>5028.5820000000003</v>
      </c>
      <c r="J794" s="6">
        <v>54.163800000000002</v>
      </c>
      <c r="K794" s="2">
        <v>-1.3</v>
      </c>
      <c r="L794" s="2">
        <v>0.8</v>
      </c>
      <c r="M794" s="2">
        <v>1.1000000000000001</v>
      </c>
      <c r="N794" s="2">
        <v>-18</v>
      </c>
      <c r="O794" s="2">
        <v>3.4</v>
      </c>
      <c r="P794" s="2">
        <v>4.7</v>
      </c>
      <c r="Q794" s="2">
        <f t="shared" si="24"/>
        <v>18.318296864064628</v>
      </c>
      <c r="R794" t="str">
        <f t="shared" si="25"/>
        <v>Alerta</v>
      </c>
      <c r="S794" t="s">
        <v>185</v>
      </c>
      <c r="T794">
        <v>19</v>
      </c>
    </row>
    <row r="795" spans="1:20">
      <c r="A795" s="1">
        <v>46058</v>
      </c>
      <c r="B795">
        <v>25</v>
      </c>
      <c r="C795" t="s">
        <v>88</v>
      </c>
      <c r="D795" t="s">
        <v>89</v>
      </c>
      <c r="E795" s="6">
        <v>5051.1406999999999</v>
      </c>
      <c r="F795" s="6">
        <v>5062.3236999999999</v>
      </c>
      <c r="G795" s="6">
        <v>63.001399999999997</v>
      </c>
      <c r="H795" s="6">
        <v>5051.1221999999998</v>
      </c>
      <c r="I795" s="6">
        <v>5062.3240999999998</v>
      </c>
      <c r="J795" s="6">
        <v>63.000700000000002</v>
      </c>
      <c r="K795" s="2">
        <v>-2</v>
      </c>
      <c r="L795" s="2">
        <v>2.6</v>
      </c>
      <c r="M795" s="2">
        <v>1.9</v>
      </c>
      <c r="N795" s="2">
        <v>-18.5</v>
      </c>
      <c r="O795" s="2">
        <v>0.4</v>
      </c>
      <c r="P795" s="2">
        <v>-0.7</v>
      </c>
      <c r="Q795" s="2">
        <f t="shared" si="24"/>
        <v>18.504323819042945</v>
      </c>
      <c r="R795" t="str">
        <f t="shared" si="25"/>
        <v>Alerta</v>
      </c>
      <c r="S795" t="s">
        <v>185</v>
      </c>
      <c r="T795">
        <v>19</v>
      </c>
    </row>
    <row r="796" spans="1:20">
      <c r="A796" s="1">
        <v>46058</v>
      </c>
      <c r="B796">
        <v>25</v>
      </c>
      <c r="C796" t="s">
        <v>90</v>
      </c>
      <c r="D796" t="s">
        <v>89</v>
      </c>
      <c r="E796" s="6">
        <v>5051.0086000000001</v>
      </c>
      <c r="F796" s="6">
        <v>5062.4333999999999</v>
      </c>
      <c r="G796" s="6">
        <v>56.898000000000003</v>
      </c>
      <c r="H796" s="6">
        <v>5050.9925000000003</v>
      </c>
      <c r="I796" s="6">
        <v>5062.4336999999996</v>
      </c>
      <c r="J796" s="6">
        <v>56.900500000000001</v>
      </c>
      <c r="K796" s="2">
        <v>-2</v>
      </c>
      <c r="L796" s="2">
        <v>2.4</v>
      </c>
      <c r="M796" s="2">
        <v>2.2000000000000002</v>
      </c>
      <c r="N796" s="2">
        <v>-16.100000000000001</v>
      </c>
      <c r="O796" s="2">
        <v>0.3</v>
      </c>
      <c r="P796" s="2">
        <v>2.5</v>
      </c>
      <c r="Q796" s="2">
        <f t="shared" si="24"/>
        <v>16.102794788483148</v>
      </c>
      <c r="R796" t="str">
        <f t="shared" si="25"/>
        <v>Alerta</v>
      </c>
      <c r="S796" t="s">
        <v>185</v>
      </c>
      <c r="T796">
        <v>19</v>
      </c>
    </row>
    <row r="797" spans="1:20">
      <c r="A797" s="1">
        <v>46058</v>
      </c>
      <c r="B797">
        <v>25</v>
      </c>
      <c r="C797" t="s">
        <v>91</v>
      </c>
      <c r="D797" t="s">
        <v>89</v>
      </c>
      <c r="E797" s="6">
        <v>5058.5258999999996</v>
      </c>
      <c r="F797" s="6">
        <v>5053.1760000000004</v>
      </c>
      <c r="G797" s="6">
        <v>63.525199999999998</v>
      </c>
      <c r="H797" s="6">
        <v>5058.5086000000001</v>
      </c>
      <c r="I797" s="6">
        <v>5053.1782000000003</v>
      </c>
      <c r="J797" s="6">
        <v>63.528700000000001</v>
      </c>
      <c r="K797" s="2">
        <v>-0.4</v>
      </c>
      <c r="L797" s="2">
        <v>4.3</v>
      </c>
      <c r="M797" s="2">
        <v>1.1000000000000001</v>
      </c>
      <c r="N797" s="2">
        <v>-17.3</v>
      </c>
      <c r="O797" s="2">
        <v>2.2000000000000002</v>
      </c>
      <c r="P797" s="2">
        <v>3.5</v>
      </c>
      <c r="Q797" s="2">
        <f t="shared" si="24"/>
        <v>17.439323381370048</v>
      </c>
      <c r="R797" t="str">
        <f t="shared" si="25"/>
        <v>Alerta</v>
      </c>
      <c r="S797" t="s">
        <v>185</v>
      </c>
      <c r="T797">
        <v>19</v>
      </c>
    </row>
    <row r="798" spans="1:20">
      <c r="A798" s="1">
        <v>46058</v>
      </c>
      <c r="B798">
        <v>25</v>
      </c>
      <c r="C798" t="s">
        <v>92</v>
      </c>
      <c r="D798" t="s">
        <v>89</v>
      </c>
      <c r="E798" s="6">
        <v>5060.2732999999998</v>
      </c>
      <c r="F798" s="6">
        <v>5059.0944</v>
      </c>
      <c r="G798" s="6">
        <v>58.7943</v>
      </c>
      <c r="H798" s="6">
        <v>5060.2551000000003</v>
      </c>
      <c r="I798" s="6">
        <v>5059.0964999999997</v>
      </c>
      <c r="J798" s="6">
        <v>58.7971</v>
      </c>
      <c r="K798" s="2">
        <v>-1</v>
      </c>
      <c r="L798" s="2">
        <v>2</v>
      </c>
      <c r="M798" s="2">
        <v>3</v>
      </c>
      <c r="N798" s="2">
        <v>-18.2</v>
      </c>
      <c r="O798" s="2">
        <v>2.1</v>
      </c>
      <c r="P798" s="2">
        <v>2.8</v>
      </c>
      <c r="Q798" s="2">
        <f t="shared" si="24"/>
        <v>18.320753259623359</v>
      </c>
      <c r="R798" t="str">
        <f t="shared" si="25"/>
        <v>Alerta</v>
      </c>
      <c r="S798" t="s">
        <v>185</v>
      </c>
      <c r="T798">
        <v>19</v>
      </c>
    </row>
    <row r="799" spans="1:20">
      <c r="A799" s="1">
        <v>46058</v>
      </c>
      <c r="B799">
        <v>25</v>
      </c>
      <c r="C799" t="s">
        <v>114</v>
      </c>
      <c r="D799" t="s">
        <v>70</v>
      </c>
      <c r="E799" s="6">
        <v>5005.4053999999996</v>
      </c>
      <c r="F799" s="6">
        <v>5054.1601000000001</v>
      </c>
      <c r="G799" s="6">
        <v>59.572699999999998</v>
      </c>
      <c r="H799" s="6">
        <v>5005.424</v>
      </c>
      <c r="I799" s="6">
        <v>5054.1298999999999</v>
      </c>
      <c r="J799" s="6">
        <v>59.551699999999997</v>
      </c>
      <c r="K799" s="2">
        <v>-0.5</v>
      </c>
      <c r="L799" s="2">
        <v>0.5</v>
      </c>
      <c r="M799" s="2">
        <v>-0.1</v>
      </c>
      <c r="N799" s="2">
        <v>18.600000000000001</v>
      </c>
      <c r="O799" s="2">
        <v>-30.2</v>
      </c>
      <c r="P799" s="2">
        <v>-21</v>
      </c>
      <c r="Q799" s="2">
        <f t="shared" si="24"/>
        <v>35.468295701936398</v>
      </c>
      <c r="R799" t="str">
        <f t="shared" si="25"/>
        <v>Alarme</v>
      </c>
      <c r="S799" t="s">
        <v>185</v>
      </c>
      <c r="T799">
        <v>19</v>
      </c>
    </row>
    <row r="800" spans="1:20">
      <c r="A800" s="1">
        <v>46058</v>
      </c>
      <c r="B800">
        <v>25</v>
      </c>
      <c r="C800" t="s">
        <v>116</v>
      </c>
      <c r="D800" t="s">
        <v>70</v>
      </c>
      <c r="E800" s="6">
        <v>5005.4237999999996</v>
      </c>
      <c r="F800" s="6">
        <v>5054.4835999999996</v>
      </c>
      <c r="G800" s="6">
        <v>58.357300000000002</v>
      </c>
      <c r="H800" s="6">
        <v>5005.4404999999997</v>
      </c>
      <c r="I800" s="6">
        <v>5054.4528</v>
      </c>
      <c r="J800" s="6">
        <v>58.337200000000003</v>
      </c>
      <c r="K800" s="2">
        <v>-0.6</v>
      </c>
      <c r="L800" s="2">
        <v>-0.2</v>
      </c>
      <c r="M800" s="2">
        <v>0.4</v>
      </c>
      <c r="N800" s="2">
        <v>16.7</v>
      </c>
      <c r="O800" s="2">
        <v>-30.8</v>
      </c>
      <c r="P800" s="2">
        <v>-20.100000000000001</v>
      </c>
      <c r="Q800" s="2">
        <f t="shared" si="24"/>
        <v>35.036124214872856</v>
      </c>
      <c r="R800" t="str">
        <f t="shared" si="25"/>
        <v>Alarme</v>
      </c>
      <c r="S800" t="s">
        <v>185</v>
      </c>
      <c r="T800">
        <v>19</v>
      </c>
    </row>
    <row r="801" spans="1:20">
      <c r="A801" s="1">
        <v>46058</v>
      </c>
      <c r="B801">
        <v>25</v>
      </c>
      <c r="C801" t="s">
        <v>117</v>
      </c>
      <c r="D801" t="s">
        <v>70</v>
      </c>
      <c r="E801" s="6">
        <v>5005.9258</v>
      </c>
      <c r="F801" s="6">
        <v>5064.1066000000001</v>
      </c>
      <c r="G801" s="6">
        <v>60.544499999999999</v>
      </c>
      <c r="H801" s="6">
        <v>5005.9429</v>
      </c>
      <c r="I801" s="6">
        <v>5064.0790999999999</v>
      </c>
      <c r="J801" s="6">
        <v>60.521700000000003</v>
      </c>
      <c r="K801" s="2">
        <v>-1</v>
      </c>
      <c r="L801" s="2">
        <v>1.5</v>
      </c>
      <c r="M801" s="2">
        <v>-0.2</v>
      </c>
      <c r="N801" s="2">
        <v>17.100000000000001</v>
      </c>
      <c r="O801" s="2">
        <v>-27.5</v>
      </c>
      <c r="P801" s="2">
        <v>-22.8</v>
      </c>
      <c r="Q801" s="2">
        <f t="shared" si="24"/>
        <v>32.383020242096009</v>
      </c>
      <c r="R801" t="str">
        <f t="shared" si="25"/>
        <v>Alarme</v>
      </c>
      <c r="S801" t="s">
        <v>185</v>
      </c>
      <c r="T801">
        <v>19</v>
      </c>
    </row>
    <row r="802" spans="1:20">
      <c r="A802" s="1">
        <v>46058</v>
      </c>
      <c r="B802">
        <v>25</v>
      </c>
      <c r="C802" t="s">
        <v>118</v>
      </c>
      <c r="D802" t="s">
        <v>70</v>
      </c>
      <c r="E802" s="6">
        <v>5005.8734999999997</v>
      </c>
      <c r="F802" s="6">
        <v>5063.2722999999996</v>
      </c>
      <c r="G802" s="6">
        <v>58.732500000000002</v>
      </c>
      <c r="H802" s="6">
        <v>5005.8886000000002</v>
      </c>
      <c r="I802" s="6">
        <v>5063.2443000000003</v>
      </c>
      <c r="J802" s="6">
        <v>58.710900000000002</v>
      </c>
      <c r="K802" s="2">
        <v>-0.3</v>
      </c>
      <c r="L802" s="2">
        <v>0.8</v>
      </c>
      <c r="M802" s="2">
        <v>0.4</v>
      </c>
      <c r="N802" s="2">
        <v>15.1</v>
      </c>
      <c r="O802" s="2">
        <v>-28</v>
      </c>
      <c r="P802" s="2">
        <v>-21.6</v>
      </c>
      <c r="Q802" s="2">
        <f t="shared" si="24"/>
        <v>31.812104614438827</v>
      </c>
      <c r="R802" t="str">
        <f t="shared" si="25"/>
        <v>Alarme</v>
      </c>
      <c r="S802" t="s">
        <v>185</v>
      </c>
      <c r="T802">
        <v>19</v>
      </c>
    </row>
    <row r="803" spans="1:20">
      <c r="A803" s="1">
        <v>46058</v>
      </c>
      <c r="B803">
        <v>20</v>
      </c>
      <c r="C803" t="s">
        <v>119</v>
      </c>
      <c r="D803" t="s">
        <v>120</v>
      </c>
      <c r="E803" s="6">
        <v>5019.7240000000002</v>
      </c>
      <c r="F803" s="6">
        <v>5017.4448000000002</v>
      </c>
      <c r="G803" s="6">
        <v>48.267099999999999</v>
      </c>
      <c r="H803" s="6"/>
      <c r="I803" s="6"/>
      <c r="J803" s="6"/>
      <c r="K803" s="2"/>
      <c r="L803" s="2"/>
      <c r="M803" s="2"/>
      <c r="N803" s="2"/>
      <c r="O803" s="2"/>
      <c r="P803" s="2"/>
      <c r="Q803" s="2" t="str">
        <f t="shared" si="24"/>
        <v/>
      </c>
      <c r="R803" t="str">
        <f t="shared" si="25"/>
        <v>Sem leitura</v>
      </c>
      <c r="S803" t="s">
        <v>185</v>
      </c>
      <c r="T803">
        <v>51</v>
      </c>
    </row>
    <row r="804" spans="1:20">
      <c r="A804" s="1">
        <v>46058</v>
      </c>
      <c r="B804">
        <v>20</v>
      </c>
      <c r="C804" t="s">
        <v>122</v>
      </c>
      <c r="D804" t="s">
        <v>123</v>
      </c>
      <c r="E804" s="6">
        <v>4982.3819999999996</v>
      </c>
      <c r="F804" s="6">
        <v>5027.9636</v>
      </c>
      <c r="G804" s="6">
        <v>48.275500000000001</v>
      </c>
      <c r="H804" s="6">
        <v>4982.4066999999995</v>
      </c>
      <c r="I804" s="6">
        <v>5027.9646000000002</v>
      </c>
      <c r="J804" s="6">
        <v>48.284500000000001</v>
      </c>
      <c r="K804" s="2">
        <v>0.1</v>
      </c>
      <c r="L804" s="2">
        <v>0.1</v>
      </c>
      <c r="M804" s="2">
        <v>0.9</v>
      </c>
      <c r="N804" s="2">
        <v>24.7</v>
      </c>
      <c r="O804" s="2">
        <v>1</v>
      </c>
      <c r="P804" s="2">
        <v>9</v>
      </c>
      <c r="Q804" s="2">
        <f t="shared" si="24"/>
        <v>24.720234626718248</v>
      </c>
      <c r="R804" t="str">
        <f t="shared" si="25"/>
        <v>Alerta</v>
      </c>
      <c r="S804" t="s">
        <v>185</v>
      </c>
      <c r="T804">
        <v>51</v>
      </c>
    </row>
    <row r="805" spans="1:20">
      <c r="A805" s="1">
        <v>46058</v>
      </c>
      <c r="B805">
        <v>20</v>
      </c>
      <c r="C805" t="s">
        <v>124</v>
      </c>
      <c r="D805" t="s">
        <v>125</v>
      </c>
      <c r="E805" s="6">
        <v>4986.2775000000001</v>
      </c>
      <c r="F805" s="6">
        <v>5019.8639000000003</v>
      </c>
      <c r="G805" s="6">
        <v>50.872999999999998</v>
      </c>
      <c r="H805" s="6">
        <v>4986.2829000000002</v>
      </c>
      <c r="I805" s="6">
        <v>5019.8644999999997</v>
      </c>
      <c r="J805" s="6">
        <v>50.874600000000001</v>
      </c>
      <c r="K805" s="2">
        <v>0.2</v>
      </c>
      <c r="L805" s="2">
        <v>0.3</v>
      </c>
      <c r="M805" s="2">
        <v>0</v>
      </c>
      <c r="N805" s="2">
        <v>5.4</v>
      </c>
      <c r="O805" s="2">
        <v>0.6</v>
      </c>
      <c r="P805" s="2">
        <v>1.6</v>
      </c>
      <c r="Q805" s="2">
        <f t="shared" si="24"/>
        <v>5.4332310828824504</v>
      </c>
      <c r="R805" t="str">
        <f t="shared" si="25"/>
        <v>Regular</v>
      </c>
      <c r="S805" t="s">
        <v>185</v>
      </c>
      <c r="T805">
        <v>51</v>
      </c>
    </row>
    <row r="806" spans="1:20">
      <c r="A806" s="1">
        <v>46058</v>
      </c>
      <c r="B806">
        <v>20</v>
      </c>
      <c r="C806" t="s">
        <v>126</v>
      </c>
      <c r="D806" t="s">
        <v>125</v>
      </c>
      <c r="E806" s="6">
        <v>4977.5057999999999</v>
      </c>
      <c r="F806" s="6">
        <v>5027.6043</v>
      </c>
      <c r="G806" s="6">
        <v>52.208399999999997</v>
      </c>
      <c r="H806" s="6">
        <v>4977.5084999999999</v>
      </c>
      <c r="I806" s="6">
        <v>5027.5996999999998</v>
      </c>
      <c r="J806" s="6">
        <v>52.210099999999997</v>
      </c>
      <c r="K806" s="2">
        <v>0.3</v>
      </c>
      <c r="L806" s="2">
        <v>0.3</v>
      </c>
      <c r="M806" s="2">
        <v>0.2</v>
      </c>
      <c r="N806" s="2">
        <v>2.7</v>
      </c>
      <c r="O806" s="2">
        <v>-4.5999999999999996</v>
      </c>
      <c r="P806" s="2">
        <v>1.7</v>
      </c>
      <c r="Q806" s="2">
        <f t="shared" si="24"/>
        <v>5.3338541412378344</v>
      </c>
      <c r="R806" t="str">
        <f t="shared" si="25"/>
        <v>Regular</v>
      </c>
      <c r="S806" t="s">
        <v>185</v>
      </c>
      <c r="T806">
        <v>51</v>
      </c>
    </row>
    <row r="807" spans="1:20">
      <c r="A807" s="1">
        <v>46058</v>
      </c>
      <c r="B807">
        <v>20</v>
      </c>
      <c r="C807" t="s">
        <v>127</v>
      </c>
      <c r="D807" t="s">
        <v>128</v>
      </c>
      <c r="E807" s="6">
        <v>4974.3924999999999</v>
      </c>
      <c r="F807" s="6">
        <v>5039.5325999999995</v>
      </c>
      <c r="G807" s="6">
        <v>53.556800000000003</v>
      </c>
      <c r="H807" s="6">
        <v>4974.3977999999997</v>
      </c>
      <c r="I807" s="6">
        <v>5039.5308999999997</v>
      </c>
      <c r="J807" s="6">
        <v>53.5593</v>
      </c>
      <c r="K807" s="2">
        <v>0.5</v>
      </c>
      <c r="L807" s="2">
        <v>-0.9</v>
      </c>
      <c r="M807" s="2">
        <v>0.6</v>
      </c>
      <c r="N807" s="2">
        <v>5.3</v>
      </c>
      <c r="O807" s="2">
        <v>-1.7</v>
      </c>
      <c r="P807" s="2">
        <v>2.5</v>
      </c>
      <c r="Q807" s="2">
        <f t="shared" si="24"/>
        <v>5.5659680200302981</v>
      </c>
      <c r="R807" t="str">
        <f t="shared" si="25"/>
        <v>Regular</v>
      </c>
      <c r="S807" t="s">
        <v>185</v>
      </c>
      <c r="T807">
        <v>51</v>
      </c>
    </row>
    <row r="808" spans="1:20">
      <c r="A808" s="1">
        <v>46058</v>
      </c>
      <c r="B808">
        <v>20</v>
      </c>
      <c r="C808" t="s">
        <v>129</v>
      </c>
      <c r="D808" t="s">
        <v>130</v>
      </c>
      <c r="E808" s="6">
        <v>4981.8689000000004</v>
      </c>
      <c r="F808" s="6">
        <v>5046.9902000000002</v>
      </c>
      <c r="G808" s="6">
        <v>53.966500000000003</v>
      </c>
      <c r="H808" s="6">
        <v>4981.8824000000004</v>
      </c>
      <c r="I808" s="6">
        <v>5046.9759000000004</v>
      </c>
      <c r="J808" s="6">
        <v>53.971299999999999</v>
      </c>
      <c r="K808" s="2">
        <v>-0.5</v>
      </c>
      <c r="L808" s="2">
        <v>0.1</v>
      </c>
      <c r="M808" s="2">
        <v>0.4</v>
      </c>
      <c r="N808" s="2">
        <v>13.5</v>
      </c>
      <c r="O808" s="2">
        <v>-14.3</v>
      </c>
      <c r="P808" s="2">
        <v>4.8</v>
      </c>
      <c r="Q808" s="2">
        <f t="shared" si="24"/>
        <v>19.665706191235543</v>
      </c>
      <c r="R808" t="str">
        <f t="shared" si="25"/>
        <v>Regular</v>
      </c>
      <c r="S808" t="s">
        <v>185</v>
      </c>
      <c r="T808">
        <v>51</v>
      </c>
    </row>
    <row r="809" spans="1:20">
      <c r="A809" s="1">
        <v>46058</v>
      </c>
      <c r="B809">
        <v>20</v>
      </c>
      <c r="C809" t="s">
        <v>131</v>
      </c>
      <c r="D809" t="s">
        <v>130</v>
      </c>
      <c r="E809" s="6">
        <v>4993.0258000000003</v>
      </c>
      <c r="F809" s="6">
        <v>5045.3909000000003</v>
      </c>
      <c r="G809" s="6">
        <v>53.905200000000001</v>
      </c>
      <c r="H809" s="6">
        <v>4993.0356000000002</v>
      </c>
      <c r="I809" s="6">
        <v>5045.3685999999998</v>
      </c>
      <c r="J809" s="6">
        <v>53.908299999999997</v>
      </c>
      <c r="K809" s="2">
        <v>-0.6</v>
      </c>
      <c r="L809" s="2">
        <v>-0.4</v>
      </c>
      <c r="M809" s="2">
        <v>1</v>
      </c>
      <c r="N809" s="2">
        <v>9.8000000000000007</v>
      </c>
      <c r="O809" s="2">
        <v>-22.3</v>
      </c>
      <c r="P809" s="2">
        <v>3.1</v>
      </c>
      <c r="Q809" s="2">
        <f t="shared" si="24"/>
        <v>24.358366119261778</v>
      </c>
      <c r="R809" t="str">
        <f t="shared" si="25"/>
        <v>Regular</v>
      </c>
      <c r="S809" t="s">
        <v>185</v>
      </c>
      <c r="T809">
        <v>51</v>
      </c>
    </row>
    <row r="810" spans="1:20">
      <c r="A810" s="1">
        <v>46058</v>
      </c>
      <c r="B810">
        <v>20</v>
      </c>
      <c r="C810" t="s">
        <v>132</v>
      </c>
      <c r="D810" t="s">
        <v>130</v>
      </c>
      <c r="E810" s="6">
        <v>5002.4090999999999</v>
      </c>
      <c r="F810" s="6">
        <v>5044.0244000000002</v>
      </c>
      <c r="G810" s="6">
        <v>53.889200000000002</v>
      </c>
      <c r="H810" s="6">
        <v>5002.4148999999998</v>
      </c>
      <c r="I810" s="6">
        <v>5043.9840000000004</v>
      </c>
      <c r="J810" s="6">
        <v>53.896000000000001</v>
      </c>
      <c r="K810" s="2">
        <v>-0.8</v>
      </c>
      <c r="L810" s="2">
        <v>-0.8</v>
      </c>
      <c r="M810" s="2">
        <v>1</v>
      </c>
      <c r="N810" s="2">
        <v>5.8</v>
      </c>
      <c r="O810" s="2">
        <v>-40.4</v>
      </c>
      <c r="P810" s="2">
        <v>6.8</v>
      </c>
      <c r="Q810" s="2">
        <f t="shared" si="24"/>
        <v>40.814213210596137</v>
      </c>
      <c r="R810" t="str">
        <f t="shared" si="25"/>
        <v>Alarme</v>
      </c>
      <c r="S810" t="s">
        <v>185</v>
      </c>
      <c r="T810">
        <v>51</v>
      </c>
    </row>
    <row r="811" spans="1:20">
      <c r="A811" s="1">
        <v>46058</v>
      </c>
      <c r="B811">
        <v>20</v>
      </c>
      <c r="C811" t="s">
        <v>133</v>
      </c>
      <c r="D811" t="s">
        <v>134</v>
      </c>
      <c r="E811" s="6">
        <v>5012.8994000000002</v>
      </c>
      <c r="F811" s="6">
        <v>5060.6997000000001</v>
      </c>
      <c r="G811" s="6">
        <v>52.496299999999998</v>
      </c>
      <c r="H811" s="6">
        <v>5012.8887000000004</v>
      </c>
      <c r="I811" s="6">
        <v>5060.6707999999999</v>
      </c>
      <c r="J811" s="6">
        <v>52.505699999999997</v>
      </c>
      <c r="K811" s="2">
        <v>-1.3</v>
      </c>
      <c r="L811" s="2">
        <v>-0.7</v>
      </c>
      <c r="M811" s="2">
        <v>0.6</v>
      </c>
      <c r="N811" s="2">
        <v>-10.7</v>
      </c>
      <c r="O811" s="2">
        <v>-28.9</v>
      </c>
      <c r="P811" s="2">
        <v>9.4</v>
      </c>
      <c r="Q811" s="2">
        <f t="shared" si="24"/>
        <v>30.817202987941652</v>
      </c>
      <c r="R811" t="str">
        <f t="shared" si="25"/>
        <v>Alerta</v>
      </c>
      <c r="S811" t="s">
        <v>185</v>
      </c>
      <c r="T811">
        <v>51</v>
      </c>
    </row>
    <row r="812" spans="1:20">
      <c r="A812" s="1">
        <v>46058</v>
      </c>
      <c r="B812">
        <v>20</v>
      </c>
      <c r="C812" t="s">
        <v>135</v>
      </c>
      <c r="D812" t="s">
        <v>136</v>
      </c>
      <c r="E812" s="6">
        <v>5026.7076999999999</v>
      </c>
      <c r="F812" s="6">
        <v>5072.3888999999999</v>
      </c>
      <c r="G812" s="6">
        <v>53.761400000000002</v>
      </c>
      <c r="H812" s="6">
        <v>5026.6975000000002</v>
      </c>
      <c r="I812" s="6">
        <v>5072.3653999999997</v>
      </c>
      <c r="J812" s="6">
        <v>53.769100000000002</v>
      </c>
      <c r="K812" s="2">
        <v>-1.2</v>
      </c>
      <c r="L812" s="2">
        <v>-0.6</v>
      </c>
      <c r="M812" s="2">
        <v>0.5</v>
      </c>
      <c r="N812" s="2">
        <v>-10.199999999999999</v>
      </c>
      <c r="O812" s="2">
        <v>-23.5</v>
      </c>
      <c r="P812" s="2">
        <v>7.7</v>
      </c>
      <c r="Q812" s="2">
        <f t="shared" si="24"/>
        <v>25.61815762306103</v>
      </c>
      <c r="R812" t="str">
        <f t="shared" si="25"/>
        <v>Regular</v>
      </c>
      <c r="S812" t="s">
        <v>185</v>
      </c>
      <c r="T812">
        <v>51</v>
      </c>
    </row>
    <row r="813" spans="1:20">
      <c r="A813" s="1">
        <v>46058</v>
      </c>
      <c r="B813">
        <v>20</v>
      </c>
      <c r="C813" t="s">
        <v>137</v>
      </c>
      <c r="D813" t="s">
        <v>138</v>
      </c>
      <c r="E813" s="6">
        <v>5046.1882999999998</v>
      </c>
      <c r="F813" s="6">
        <v>5033.5622999999996</v>
      </c>
      <c r="G813" s="6">
        <v>48.999099999999999</v>
      </c>
      <c r="H813" s="6">
        <v>5046.1637000000001</v>
      </c>
      <c r="I813" s="6">
        <v>5033.5599000000002</v>
      </c>
      <c r="J813" s="6">
        <v>49.000999999999998</v>
      </c>
      <c r="K813" s="2">
        <v>-1.1000000000000001</v>
      </c>
      <c r="L813" s="2">
        <v>-1.9</v>
      </c>
      <c r="M813" s="2">
        <v>0.4</v>
      </c>
      <c r="N813" s="2">
        <v>-24.6</v>
      </c>
      <c r="O813" s="2">
        <v>-2.4</v>
      </c>
      <c r="P813" s="2">
        <v>1.9</v>
      </c>
      <c r="Q813" s="2">
        <f t="shared" si="24"/>
        <v>24.716795908855179</v>
      </c>
      <c r="R813" t="str">
        <f t="shared" si="25"/>
        <v>Alerta</v>
      </c>
      <c r="S813" t="s">
        <v>185</v>
      </c>
      <c r="T813">
        <v>51</v>
      </c>
    </row>
    <row r="814" spans="1:20">
      <c r="A814" s="1">
        <v>46058</v>
      </c>
      <c r="B814">
        <v>20</v>
      </c>
      <c r="C814" t="s">
        <v>139</v>
      </c>
      <c r="D814" t="s">
        <v>134</v>
      </c>
      <c r="E814" s="6">
        <v>5010.7592999999997</v>
      </c>
      <c r="F814" s="6">
        <v>5050.9463999999998</v>
      </c>
      <c r="G814" s="6">
        <v>52.517400000000002</v>
      </c>
      <c r="H814" s="6">
        <v>5010.7430999999997</v>
      </c>
      <c r="I814" s="6">
        <v>5050.9207999999999</v>
      </c>
      <c r="J814" s="6">
        <v>52.529800000000002</v>
      </c>
      <c r="K814" s="2">
        <v>-1.1000000000000001</v>
      </c>
      <c r="L814" s="2">
        <v>-0.8</v>
      </c>
      <c r="M814" s="2">
        <v>0.7</v>
      </c>
      <c r="N814" s="2">
        <v>-16.2</v>
      </c>
      <c r="O814" s="2">
        <v>-25.6</v>
      </c>
      <c r="P814" s="2">
        <v>12.4</v>
      </c>
      <c r="Q814" s="2">
        <f t="shared" si="24"/>
        <v>30.295214143491382</v>
      </c>
      <c r="R814" t="str">
        <f t="shared" si="25"/>
        <v>Alerta</v>
      </c>
      <c r="S814" t="s">
        <v>185</v>
      </c>
      <c r="T814">
        <v>51</v>
      </c>
    </row>
    <row r="815" spans="1:20">
      <c r="A815" s="1">
        <v>46058</v>
      </c>
      <c r="B815">
        <v>20</v>
      </c>
      <c r="C815" t="s">
        <v>140</v>
      </c>
      <c r="D815" t="s">
        <v>128</v>
      </c>
      <c r="E815" s="6">
        <v>4976.0573000000004</v>
      </c>
      <c r="F815" s="6">
        <v>5040.5965999999999</v>
      </c>
      <c r="G815" s="6">
        <v>48.214799999999997</v>
      </c>
      <c r="H815" s="6">
        <v>4976.0681000000004</v>
      </c>
      <c r="I815" s="6">
        <v>5040.5927000000001</v>
      </c>
      <c r="J815" s="6">
        <v>48.218499999999999</v>
      </c>
      <c r="K815" s="2">
        <v>0.2</v>
      </c>
      <c r="L815" s="2">
        <v>-0.1</v>
      </c>
      <c r="M815" s="2">
        <v>1</v>
      </c>
      <c r="N815" s="2">
        <v>10.8</v>
      </c>
      <c r="O815" s="2">
        <v>-3.9</v>
      </c>
      <c r="P815" s="2">
        <v>3.7</v>
      </c>
      <c r="Q815" s="2">
        <f t="shared" si="24"/>
        <v>11.482595525402782</v>
      </c>
      <c r="R815" t="str">
        <f t="shared" si="25"/>
        <v>Regular</v>
      </c>
      <c r="S815" t="s">
        <v>185</v>
      </c>
      <c r="T815">
        <v>51</v>
      </c>
    </row>
    <row r="816" spans="1:20">
      <c r="A816" s="1">
        <v>46058</v>
      </c>
      <c r="B816">
        <v>20</v>
      </c>
      <c r="C816" t="s">
        <v>141</v>
      </c>
      <c r="D816" t="s">
        <v>130</v>
      </c>
      <c r="E816" s="6">
        <v>4987.9621999999999</v>
      </c>
      <c r="F816" s="6">
        <v>5045.3176000000003</v>
      </c>
      <c r="G816" s="6">
        <v>47.637599999999999</v>
      </c>
      <c r="H816" s="6">
        <v>4987.9683999999997</v>
      </c>
      <c r="I816" s="6">
        <v>5045.2897999999996</v>
      </c>
      <c r="J816" s="6">
        <v>47.6432</v>
      </c>
      <c r="K816" s="2">
        <v>-0.9</v>
      </c>
      <c r="L816" s="2">
        <v>-1</v>
      </c>
      <c r="M816" s="2">
        <v>1.5</v>
      </c>
      <c r="N816" s="2">
        <v>6.2</v>
      </c>
      <c r="O816" s="2">
        <v>-27.8</v>
      </c>
      <c r="P816" s="2">
        <v>5.6</v>
      </c>
      <c r="Q816" s="2">
        <f t="shared" si="24"/>
        <v>28.482977372458802</v>
      </c>
      <c r="R816" t="str">
        <f t="shared" si="25"/>
        <v>Regular</v>
      </c>
      <c r="S816" t="s">
        <v>185</v>
      </c>
      <c r="T816">
        <v>51</v>
      </c>
    </row>
    <row r="817" spans="1:20">
      <c r="A817" s="1">
        <v>46058</v>
      </c>
      <c r="B817">
        <v>20</v>
      </c>
      <c r="C817" t="s">
        <v>142</v>
      </c>
      <c r="D817" t="s">
        <v>130</v>
      </c>
      <c r="E817" s="6">
        <v>5002.5304999999998</v>
      </c>
      <c r="F817" s="6">
        <v>5043.4611000000004</v>
      </c>
      <c r="G817" s="6">
        <v>47.537100000000002</v>
      </c>
      <c r="H817" s="6">
        <v>5002.5357000000004</v>
      </c>
      <c r="I817" s="6">
        <v>5043.4183999999996</v>
      </c>
      <c r="J817" s="6">
        <v>47.543599999999998</v>
      </c>
      <c r="K817" s="2">
        <v>-0.6</v>
      </c>
      <c r="L817" s="2">
        <v>-1.2</v>
      </c>
      <c r="M817" s="2">
        <v>1</v>
      </c>
      <c r="N817" s="2">
        <v>5.2</v>
      </c>
      <c r="O817" s="2">
        <v>-42.7</v>
      </c>
      <c r="P817" s="2">
        <v>6.5</v>
      </c>
      <c r="Q817" s="2">
        <f t="shared" si="24"/>
        <v>43.0154623362344</v>
      </c>
      <c r="R817" t="str">
        <f t="shared" si="25"/>
        <v>Alarme</v>
      </c>
      <c r="S817" t="s">
        <v>185</v>
      </c>
      <c r="T817">
        <v>51</v>
      </c>
    </row>
    <row r="818" spans="1:20">
      <c r="A818" s="1">
        <v>46058</v>
      </c>
      <c r="B818">
        <v>20</v>
      </c>
      <c r="C818" t="s">
        <v>143</v>
      </c>
      <c r="D818" t="s">
        <v>136</v>
      </c>
      <c r="E818" s="6">
        <v>5027.4714000000004</v>
      </c>
      <c r="F818" s="6">
        <v>5072.2404999999999</v>
      </c>
      <c r="G818" s="6">
        <v>51.143700000000003</v>
      </c>
      <c r="H818" s="6">
        <v>5027.4638000000004</v>
      </c>
      <c r="I818" s="6">
        <v>5072.2191000000003</v>
      </c>
      <c r="J818" s="6">
        <v>51.150399999999998</v>
      </c>
      <c r="K818" s="2">
        <v>-1</v>
      </c>
      <c r="L818" s="2">
        <v>-1.2</v>
      </c>
      <c r="M818" s="2">
        <v>0.6</v>
      </c>
      <c r="N818" s="2">
        <v>-7.6</v>
      </c>
      <c r="O818" s="2">
        <v>-21.4</v>
      </c>
      <c r="P818" s="2">
        <v>6.7</v>
      </c>
      <c r="Q818" s="2">
        <f t="shared" si="24"/>
        <v>22.70946939054279</v>
      </c>
      <c r="R818" t="str">
        <f t="shared" si="25"/>
        <v>Regular</v>
      </c>
      <c r="S818" t="s">
        <v>185</v>
      </c>
      <c r="T818">
        <v>51</v>
      </c>
    </row>
    <row r="819" spans="1:20">
      <c r="A819" s="1">
        <v>46058</v>
      </c>
      <c r="B819">
        <v>20</v>
      </c>
      <c r="C819" t="s">
        <v>144</v>
      </c>
      <c r="D819" t="s">
        <v>145</v>
      </c>
      <c r="E819" s="6">
        <v>5041.9629000000004</v>
      </c>
      <c r="F819" s="6">
        <v>5043.3289999999997</v>
      </c>
      <c r="G819" s="6">
        <v>52.0655</v>
      </c>
      <c r="H819" s="6">
        <v>5041.9485000000004</v>
      </c>
      <c r="I819" s="6">
        <v>5043.3249999999998</v>
      </c>
      <c r="J819" s="6">
        <v>52.067300000000003</v>
      </c>
      <c r="K819" s="2">
        <v>-3</v>
      </c>
      <c r="L819" s="2">
        <v>1.5</v>
      </c>
      <c r="M819" s="2">
        <v>0.2</v>
      </c>
      <c r="N819" s="2">
        <v>-14.4</v>
      </c>
      <c r="O819" s="2">
        <v>-4</v>
      </c>
      <c r="P819" s="2">
        <v>1.8</v>
      </c>
      <c r="Q819" s="2">
        <f t="shared" si="24"/>
        <v>14.945233353815524</v>
      </c>
      <c r="R819" t="str">
        <f t="shared" si="25"/>
        <v>Regular</v>
      </c>
      <c r="S819" t="s">
        <v>185</v>
      </c>
      <c r="T819">
        <v>51</v>
      </c>
    </row>
    <row r="820" spans="1:20">
      <c r="A820" s="1">
        <v>46058</v>
      </c>
      <c r="B820">
        <v>20</v>
      </c>
      <c r="C820" t="s">
        <v>166</v>
      </c>
      <c r="D820" t="s">
        <v>167</v>
      </c>
      <c r="E820" s="6">
        <v>5037.8409000000001</v>
      </c>
      <c r="F820" s="6">
        <v>5046.2614999999996</v>
      </c>
      <c r="G820" s="6">
        <v>51.521099999999997</v>
      </c>
      <c r="H820" s="6">
        <v>5037.8263999999999</v>
      </c>
      <c r="I820" s="6">
        <v>5046.2560000000003</v>
      </c>
      <c r="J820" s="6">
        <v>51.525700000000001</v>
      </c>
      <c r="K820" s="2">
        <v>-1.2</v>
      </c>
      <c r="L820" s="2">
        <v>1.5</v>
      </c>
      <c r="M820" s="2">
        <v>1.2</v>
      </c>
      <c r="N820" s="2">
        <v>-14.5</v>
      </c>
      <c r="O820" s="2">
        <v>-5.5</v>
      </c>
      <c r="P820" s="2">
        <v>4.5999999999999996</v>
      </c>
      <c r="Q820" s="2">
        <f t="shared" si="24"/>
        <v>15.508062419270823</v>
      </c>
      <c r="R820" t="str">
        <f t="shared" si="25"/>
        <v>Regular</v>
      </c>
      <c r="S820" t="s">
        <v>185</v>
      </c>
      <c r="T820">
        <v>51</v>
      </c>
    </row>
    <row r="821" spans="1:20">
      <c r="A821" s="1">
        <v>46058</v>
      </c>
      <c r="B821">
        <v>20</v>
      </c>
      <c r="C821" t="s">
        <v>154</v>
      </c>
      <c r="D821" t="s">
        <v>123</v>
      </c>
      <c r="E821" s="6">
        <v>4983.0880999999999</v>
      </c>
      <c r="F821" s="6">
        <v>5028.2978000000003</v>
      </c>
      <c r="G821" s="6">
        <v>42.8752</v>
      </c>
      <c r="H821" s="6"/>
      <c r="I821" s="6"/>
      <c r="J821" s="6"/>
      <c r="K821" s="2"/>
      <c r="L821" s="2"/>
      <c r="M821" s="2"/>
      <c r="N821" s="2"/>
      <c r="O821" s="2"/>
      <c r="P821" s="2"/>
      <c r="Q821" s="2" t="str">
        <f t="shared" si="24"/>
        <v/>
      </c>
      <c r="R821" t="str">
        <f t="shared" si="25"/>
        <v>Sem leitura</v>
      </c>
      <c r="S821" t="s">
        <v>185</v>
      </c>
      <c r="T821">
        <v>51</v>
      </c>
    </row>
    <row r="822" spans="1:20">
      <c r="A822" s="1">
        <v>46058</v>
      </c>
      <c r="B822">
        <v>20</v>
      </c>
      <c r="C822" t="s">
        <v>163</v>
      </c>
      <c r="D822" t="s">
        <v>134</v>
      </c>
      <c r="E822" s="6">
        <v>5013.4206999999997</v>
      </c>
      <c r="F822" s="6">
        <v>5061.5992999999999</v>
      </c>
      <c r="G822" s="6">
        <v>47.2774</v>
      </c>
      <c r="H822" s="6"/>
      <c r="I822" s="6"/>
      <c r="J822" s="6"/>
      <c r="K822" s="2"/>
      <c r="L822" s="2"/>
      <c r="M822" s="2"/>
      <c r="N822" s="2"/>
      <c r="O822" s="2"/>
      <c r="P822" s="2"/>
      <c r="Q822" s="2" t="str">
        <f t="shared" si="24"/>
        <v/>
      </c>
      <c r="R822" t="str">
        <f t="shared" si="25"/>
        <v>Sem leitura</v>
      </c>
      <c r="S822" t="s">
        <v>185</v>
      </c>
      <c r="T822">
        <v>51</v>
      </c>
    </row>
    <row r="823" spans="1:20">
      <c r="A823" s="1">
        <v>46058</v>
      </c>
      <c r="B823">
        <v>20</v>
      </c>
      <c r="C823" t="s">
        <v>164</v>
      </c>
      <c r="D823" t="s">
        <v>136</v>
      </c>
      <c r="E823" s="6">
        <v>5026.8990000000003</v>
      </c>
      <c r="F823" s="6">
        <v>5072.0330000000004</v>
      </c>
      <c r="G823" s="6">
        <v>44.739800000000002</v>
      </c>
      <c r="H823" s="6">
        <v>5026.8918000000003</v>
      </c>
      <c r="I823" s="6">
        <v>5072.0140000000001</v>
      </c>
      <c r="J823" s="6">
        <v>44.747300000000003</v>
      </c>
      <c r="K823" s="2">
        <v>-1.1000000000000001</v>
      </c>
      <c r="L823" s="2">
        <v>-2.9</v>
      </c>
      <c r="M823" s="2">
        <v>0.8</v>
      </c>
      <c r="N823" s="2">
        <v>-7.2</v>
      </c>
      <c r="O823" s="2">
        <v>-19</v>
      </c>
      <c r="P823" s="2">
        <v>7.5</v>
      </c>
      <c r="Q823" s="2">
        <f t="shared" si="24"/>
        <v>20.318464508914055</v>
      </c>
      <c r="R823" t="str">
        <f t="shared" si="25"/>
        <v>Regular</v>
      </c>
      <c r="S823" t="s">
        <v>185</v>
      </c>
      <c r="T823">
        <v>51</v>
      </c>
    </row>
    <row r="824" spans="1:20">
      <c r="A824" s="1">
        <v>46058</v>
      </c>
      <c r="B824">
        <v>20</v>
      </c>
      <c r="C824" t="s">
        <v>169</v>
      </c>
      <c r="D824" t="s">
        <v>145</v>
      </c>
      <c r="E824" s="6">
        <v>5042.0578999999998</v>
      </c>
      <c r="F824" s="6">
        <v>5042.7259000000004</v>
      </c>
      <c r="G824" s="6">
        <v>42.933700000000002</v>
      </c>
      <c r="H824" s="6">
        <v>5042.0452999999998</v>
      </c>
      <c r="I824" s="6">
        <v>5042.7280000000001</v>
      </c>
      <c r="J824" s="6">
        <v>42.937899999999999</v>
      </c>
      <c r="K824" s="2">
        <v>-1.4</v>
      </c>
      <c r="L824" s="2">
        <v>-0.4</v>
      </c>
      <c r="M824" s="2">
        <v>-0.1</v>
      </c>
      <c r="N824" s="2">
        <v>-12.6</v>
      </c>
      <c r="O824" s="2">
        <v>2.1</v>
      </c>
      <c r="P824" s="2">
        <v>4.2</v>
      </c>
      <c r="Q824" s="2">
        <f t="shared" si="24"/>
        <v>12.773801313626262</v>
      </c>
      <c r="R824" t="str">
        <f t="shared" si="25"/>
        <v>Regular</v>
      </c>
      <c r="S824" t="s">
        <v>185</v>
      </c>
      <c r="T824">
        <v>51</v>
      </c>
    </row>
    <row r="825" spans="1:20">
      <c r="A825" s="1">
        <v>46058</v>
      </c>
      <c r="B825">
        <v>20</v>
      </c>
      <c r="C825" t="s">
        <v>170</v>
      </c>
      <c r="D825" t="s">
        <v>138</v>
      </c>
      <c r="E825" s="6">
        <v>5045.8157000000001</v>
      </c>
      <c r="F825" s="6">
        <v>5033.7070000000003</v>
      </c>
      <c r="G825" s="6">
        <v>42.660600000000002</v>
      </c>
      <c r="H825" s="6">
        <v>5045.8033999999998</v>
      </c>
      <c r="I825" s="6">
        <v>5033.7111000000004</v>
      </c>
      <c r="J825" s="6">
        <v>42.664700000000003</v>
      </c>
      <c r="K825" s="2">
        <v>-1.5</v>
      </c>
      <c r="L825" s="2">
        <v>0.3</v>
      </c>
      <c r="M825" s="2">
        <v>0.7</v>
      </c>
      <c r="N825" s="2">
        <v>-12.3</v>
      </c>
      <c r="O825" s="2">
        <v>4.0999999999999996</v>
      </c>
      <c r="P825" s="2">
        <v>4.0999999999999996</v>
      </c>
      <c r="Q825" s="2">
        <f t="shared" si="24"/>
        <v>12.965338406690357</v>
      </c>
      <c r="R825" t="str">
        <f t="shared" si="25"/>
        <v>Regular</v>
      </c>
      <c r="S825" t="s">
        <v>185</v>
      </c>
      <c r="T825">
        <v>51</v>
      </c>
    </row>
    <row r="826" spans="1:20">
      <c r="A826" s="1">
        <v>46058</v>
      </c>
      <c r="B826">
        <v>20</v>
      </c>
      <c r="C826" t="s">
        <v>149</v>
      </c>
      <c r="D826" t="s">
        <v>120</v>
      </c>
      <c r="E826" s="6">
        <v>5017.3522999999996</v>
      </c>
      <c r="F826" s="6">
        <v>5017.7930999999999</v>
      </c>
      <c r="G826" s="6">
        <v>47.4587</v>
      </c>
      <c r="H826" s="6">
        <v>5017.3473000000004</v>
      </c>
      <c r="I826" s="6">
        <v>5017.7964000000002</v>
      </c>
      <c r="J826" s="6">
        <v>47.464399999999998</v>
      </c>
      <c r="K826" s="2">
        <v>-0.8</v>
      </c>
      <c r="L826" s="2">
        <v>0.3</v>
      </c>
      <c r="M826" s="2">
        <v>0.7</v>
      </c>
      <c r="N826" s="2">
        <v>-5</v>
      </c>
      <c r="O826" s="2">
        <v>3.3</v>
      </c>
      <c r="P826" s="2">
        <v>5.7</v>
      </c>
      <c r="Q826" s="2">
        <f t="shared" si="24"/>
        <v>5.990826320300064</v>
      </c>
      <c r="R826" t="str">
        <f t="shared" si="25"/>
        <v>Regular</v>
      </c>
      <c r="S826" t="s">
        <v>185</v>
      </c>
      <c r="T826">
        <v>51</v>
      </c>
    </row>
    <row r="827" spans="1:20">
      <c r="A827" s="1">
        <v>46058</v>
      </c>
      <c r="B827">
        <v>20</v>
      </c>
      <c r="C827" t="s">
        <v>151</v>
      </c>
      <c r="D827" t="s">
        <v>120</v>
      </c>
      <c r="E827" s="6">
        <v>5017.2749000000003</v>
      </c>
      <c r="F827" s="6">
        <v>5018.2057000000004</v>
      </c>
      <c r="G827" s="6">
        <v>43.061300000000003</v>
      </c>
      <c r="H827" s="6"/>
      <c r="I827" s="6"/>
      <c r="J827" s="6"/>
      <c r="K827" s="2"/>
      <c r="L827" s="2"/>
      <c r="M827" s="2"/>
      <c r="N827" s="2"/>
      <c r="O827" s="2"/>
      <c r="P827" s="2"/>
      <c r="Q827" s="2" t="str">
        <f t="shared" si="24"/>
        <v/>
      </c>
      <c r="R827" t="str">
        <f t="shared" si="25"/>
        <v>Sem leitura</v>
      </c>
      <c r="S827" t="s">
        <v>185</v>
      </c>
      <c r="T827">
        <v>51</v>
      </c>
    </row>
    <row r="828" spans="1:20">
      <c r="A828" s="1">
        <v>46058</v>
      </c>
      <c r="B828">
        <v>20</v>
      </c>
      <c r="C828" t="s">
        <v>159</v>
      </c>
      <c r="D828" t="s">
        <v>128</v>
      </c>
      <c r="E828" s="6">
        <v>4976.0536000000002</v>
      </c>
      <c r="F828" s="6">
        <v>5040.1774999999998</v>
      </c>
      <c r="G828" s="6">
        <v>43.505000000000003</v>
      </c>
      <c r="H828" s="6"/>
      <c r="I828" s="6"/>
      <c r="J828" s="6"/>
      <c r="K828" s="2"/>
      <c r="L828" s="2"/>
      <c r="M828" s="2"/>
      <c r="N828" s="2"/>
      <c r="O828" s="2"/>
      <c r="P828" s="2"/>
      <c r="Q828" s="2" t="str">
        <f t="shared" si="24"/>
        <v/>
      </c>
      <c r="R828" t="str">
        <f t="shared" si="25"/>
        <v>Sem leitura</v>
      </c>
      <c r="S828" t="s">
        <v>185</v>
      </c>
      <c r="T828">
        <v>51</v>
      </c>
    </row>
    <row r="829" spans="1:20">
      <c r="A829" s="1">
        <v>46058</v>
      </c>
      <c r="B829">
        <v>20</v>
      </c>
      <c r="C829" t="s">
        <v>160</v>
      </c>
      <c r="D829" t="s">
        <v>128</v>
      </c>
      <c r="E829" s="6">
        <v>4976.0869000000002</v>
      </c>
      <c r="F829" s="6">
        <v>5040.6423000000004</v>
      </c>
      <c r="G829" s="6">
        <v>43.351300000000002</v>
      </c>
      <c r="H829" s="6">
        <v>4976.0906000000004</v>
      </c>
      <c r="I829" s="6">
        <v>5040.6385</v>
      </c>
      <c r="J829" s="6">
        <v>43.355400000000003</v>
      </c>
      <c r="K829" s="2">
        <v>0.2</v>
      </c>
      <c r="L829" s="2">
        <v>-0.6</v>
      </c>
      <c r="M829" s="2">
        <v>0.4</v>
      </c>
      <c r="N829" s="2">
        <v>3.7</v>
      </c>
      <c r="O829" s="2">
        <v>-3.8</v>
      </c>
      <c r="P829" s="2">
        <v>4.0999999999999996</v>
      </c>
      <c r="Q829" s="2">
        <f t="shared" si="24"/>
        <v>5.3037722424704477</v>
      </c>
      <c r="R829" t="str">
        <f t="shared" si="25"/>
        <v>Regular</v>
      </c>
      <c r="S829" t="s">
        <v>185</v>
      </c>
      <c r="T829">
        <v>51</v>
      </c>
    </row>
    <row r="830" spans="1:20">
      <c r="A830" s="1">
        <v>46058</v>
      </c>
      <c r="B830">
        <v>20</v>
      </c>
      <c r="C830" t="s">
        <v>168</v>
      </c>
      <c r="D830" t="s">
        <v>167</v>
      </c>
      <c r="E830" s="6">
        <v>5037.7052999999996</v>
      </c>
      <c r="F830" s="6">
        <v>5047.0955999999996</v>
      </c>
      <c r="G830" s="6">
        <v>42.919199999999996</v>
      </c>
      <c r="H830" s="6">
        <v>5037.6935999999996</v>
      </c>
      <c r="I830" s="6">
        <v>5047.0964999999997</v>
      </c>
      <c r="J830" s="6">
        <v>42.921300000000002</v>
      </c>
      <c r="K830" s="2">
        <v>-2</v>
      </c>
      <c r="L830" s="2">
        <v>1.3</v>
      </c>
      <c r="M830" s="2">
        <v>0.6</v>
      </c>
      <c r="N830" s="2">
        <v>-11.7</v>
      </c>
      <c r="O830" s="2">
        <v>0.9</v>
      </c>
      <c r="P830" s="2">
        <v>2.1</v>
      </c>
      <c r="Q830" s="2">
        <f t="shared" si="24"/>
        <v>11.734564329364767</v>
      </c>
      <c r="R830" t="str">
        <f t="shared" si="25"/>
        <v>Regular</v>
      </c>
      <c r="S830" t="s">
        <v>185</v>
      </c>
      <c r="T830">
        <v>51</v>
      </c>
    </row>
    <row r="831" spans="1:20">
      <c r="A831" s="1">
        <v>46058</v>
      </c>
      <c r="B831">
        <v>20</v>
      </c>
      <c r="C831" t="s">
        <v>155</v>
      </c>
      <c r="D831" t="s">
        <v>156</v>
      </c>
      <c r="E831" s="6">
        <v>4980.2689</v>
      </c>
      <c r="F831" s="6">
        <v>5031.7997999999998</v>
      </c>
      <c r="G831" s="6">
        <v>48.331200000000003</v>
      </c>
      <c r="H831" s="6">
        <v>4980.2719999999999</v>
      </c>
      <c r="I831" s="6">
        <v>5031.7996000000003</v>
      </c>
      <c r="J831" s="6">
        <v>48.335500000000003</v>
      </c>
      <c r="K831" s="2">
        <v>-0.1</v>
      </c>
      <c r="L831" s="2">
        <v>-0.1</v>
      </c>
      <c r="M831" s="2">
        <v>0</v>
      </c>
      <c r="N831" s="2">
        <v>3.1</v>
      </c>
      <c r="O831" s="2">
        <v>-0.2</v>
      </c>
      <c r="P831" s="2">
        <v>4.3</v>
      </c>
      <c r="Q831" s="2">
        <f t="shared" si="24"/>
        <v>3.1064449134018135</v>
      </c>
      <c r="R831" t="str">
        <f t="shared" si="25"/>
        <v>Regular</v>
      </c>
      <c r="S831" t="s">
        <v>185</v>
      </c>
      <c r="T831">
        <v>51</v>
      </c>
    </row>
    <row r="832" spans="1:20">
      <c r="A832" s="1">
        <v>46058</v>
      </c>
      <c r="B832">
        <v>20</v>
      </c>
      <c r="C832" t="s">
        <v>153</v>
      </c>
      <c r="D832" t="s">
        <v>120</v>
      </c>
      <c r="E832" s="6">
        <v>5017.2718999999997</v>
      </c>
      <c r="F832" s="6">
        <v>5018.1959999999999</v>
      </c>
      <c r="G832" s="6">
        <v>43.055799999999998</v>
      </c>
      <c r="H832" s="6">
        <v>5017.2698</v>
      </c>
      <c r="I832" s="6">
        <v>5018.2034999999996</v>
      </c>
      <c r="J832" s="6">
        <v>43.058500000000002</v>
      </c>
      <c r="K832" s="2">
        <v>-0.7</v>
      </c>
      <c r="L832" s="2">
        <v>0.1</v>
      </c>
      <c r="M832" s="2">
        <v>-0.1</v>
      </c>
      <c r="N832" s="2">
        <v>-2.1</v>
      </c>
      <c r="O832" s="2">
        <v>7.5</v>
      </c>
      <c r="P832" s="2">
        <v>2.7</v>
      </c>
      <c r="Q832" s="2">
        <f t="shared" si="24"/>
        <v>7.7884529914483016</v>
      </c>
      <c r="R832" t="str">
        <f t="shared" si="25"/>
        <v>Regular</v>
      </c>
      <c r="S832" t="s">
        <v>185</v>
      </c>
      <c r="T832">
        <v>51</v>
      </c>
    </row>
    <row r="833" spans="1:20">
      <c r="A833" s="1">
        <v>46058</v>
      </c>
      <c r="B833">
        <v>20</v>
      </c>
      <c r="C833" t="s">
        <v>157</v>
      </c>
      <c r="D833" t="s">
        <v>156</v>
      </c>
      <c r="E833" s="6">
        <v>4980.6113999999998</v>
      </c>
      <c r="F833" s="6">
        <v>5031.9393</v>
      </c>
      <c r="G833" s="6">
        <v>42.979900000000001</v>
      </c>
      <c r="H833" s="6"/>
      <c r="I833" s="6"/>
      <c r="J833" s="6"/>
      <c r="K833" s="2"/>
      <c r="L833" s="2"/>
      <c r="M833" s="2"/>
      <c r="N833" s="2"/>
      <c r="O833" s="2"/>
      <c r="P833" s="2"/>
      <c r="Q833" s="2" t="str">
        <f t="shared" si="24"/>
        <v/>
      </c>
      <c r="R833" t="str">
        <f t="shared" si="25"/>
        <v>Sem leitura</v>
      </c>
      <c r="S833" t="s">
        <v>185</v>
      </c>
      <c r="T833">
        <v>51</v>
      </c>
    </row>
    <row r="834" spans="1:20">
      <c r="A834" s="1">
        <v>46058</v>
      </c>
      <c r="B834">
        <v>20</v>
      </c>
      <c r="C834" t="s">
        <v>161</v>
      </c>
      <c r="D834" t="s">
        <v>130</v>
      </c>
      <c r="E834" s="6">
        <v>4988.3298000000004</v>
      </c>
      <c r="F834" s="6">
        <v>5045.2532000000001</v>
      </c>
      <c r="G834" s="6">
        <v>42.8264</v>
      </c>
      <c r="H834" s="6">
        <v>4988.3311999999996</v>
      </c>
      <c r="I834" s="6">
        <v>5045.2371999999996</v>
      </c>
      <c r="J834" s="6">
        <v>42.8294</v>
      </c>
      <c r="K834" s="2">
        <v>0.1</v>
      </c>
      <c r="L834" s="2">
        <v>-1.7</v>
      </c>
      <c r="M834" s="2">
        <v>0.8</v>
      </c>
      <c r="N834" s="2">
        <v>1.4</v>
      </c>
      <c r="O834" s="2">
        <v>-16</v>
      </c>
      <c r="P834" s="2">
        <v>3</v>
      </c>
      <c r="Q834" s="2">
        <f t="shared" ref="Q834:Q849" si="26">IF(COUNT(N834:O834)&lt;2,"",SQRT(N834^2+O834^2))</f>
        <v>16.061133210331082</v>
      </c>
      <c r="R834" t="str">
        <f t="shared" ref="R834:R897" si="27">IF(COUNT(H834:P834)=0,"Sem leitura",IF(ISNUMBER(SEARCH("Escavação",D834)),IF(OR(Q834&gt;=40,ABS(P834)&gt;=15),"Alarme",IF(OR(Q834&gt;=IF(OR(ISNUMBER(SEARCH("Alçado AB",D834)),ISNUMBER(SEARCH("Alçado CD",D834)),ISNUMBER(SEARCH("Alçado BF",D834)),ISNUMBER(SEARCH("Alçado PQ",D834))),20,30),ABS(P834)&gt;=10),"Alerta","Regular")),IF(OR(Q834&gt;=25,ABS(P834)&gt;=20),"Alarme",IF(OR(Q834&gt;=15,ABS(P834)&gt;=10),"Alerta","Regular"))))</f>
        <v>Regular</v>
      </c>
      <c r="S834" t="s">
        <v>185</v>
      </c>
      <c r="T834">
        <v>51</v>
      </c>
    </row>
    <row r="835" spans="1:20">
      <c r="A835" s="1">
        <v>46058</v>
      </c>
      <c r="B835">
        <v>20</v>
      </c>
      <c r="C835" t="s">
        <v>162</v>
      </c>
      <c r="D835" t="s">
        <v>130</v>
      </c>
      <c r="E835" s="6">
        <v>4998.6503000000002</v>
      </c>
      <c r="F835" s="6">
        <v>5043.7455</v>
      </c>
      <c r="G835" s="6">
        <v>42.848300000000002</v>
      </c>
      <c r="H835" s="6">
        <v>4998.6507000000001</v>
      </c>
      <c r="I835" s="6">
        <v>5043.7268000000004</v>
      </c>
      <c r="J835" s="6">
        <v>42.8506</v>
      </c>
      <c r="K835" s="2">
        <v>-0.1</v>
      </c>
      <c r="L835" s="2">
        <v>-1.6</v>
      </c>
      <c r="M835" s="2">
        <v>0.9</v>
      </c>
      <c r="N835" s="2">
        <v>0.4</v>
      </c>
      <c r="O835" s="2">
        <v>-18.7</v>
      </c>
      <c r="P835" s="2">
        <v>2.2999999999999998</v>
      </c>
      <c r="Q835" s="2">
        <f t="shared" si="26"/>
        <v>18.704277585621959</v>
      </c>
      <c r="R835" t="str">
        <f t="shared" si="27"/>
        <v>Regular</v>
      </c>
      <c r="S835" t="s">
        <v>185</v>
      </c>
      <c r="T835">
        <v>51</v>
      </c>
    </row>
    <row r="836" spans="1:20">
      <c r="A836" s="1">
        <v>46058</v>
      </c>
      <c r="B836">
        <v>20</v>
      </c>
      <c r="C836" t="s">
        <v>165</v>
      </c>
      <c r="D836" t="s">
        <v>136</v>
      </c>
      <c r="E836" s="6">
        <v>5026.6471000000001</v>
      </c>
      <c r="F836" s="6">
        <v>5071.8581999999997</v>
      </c>
      <c r="G836" s="6">
        <v>41.8752</v>
      </c>
      <c r="H836" s="6"/>
      <c r="I836" s="6"/>
      <c r="J836" s="6"/>
      <c r="K836" s="2"/>
      <c r="L836" s="2"/>
      <c r="M836" s="2"/>
      <c r="N836" s="2"/>
      <c r="O836" s="2"/>
      <c r="P836" s="2"/>
      <c r="Q836" s="2" t="str">
        <f t="shared" si="26"/>
        <v/>
      </c>
      <c r="R836" t="str">
        <f t="shared" si="27"/>
        <v>Sem leitura</v>
      </c>
      <c r="S836" t="s">
        <v>185</v>
      </c>
      <c r="T836">
        <v>51</v>
      </c>
    </row>
    <row r="837" spans="1:20">
      <c r="A837" s="1">
        <v>46058</v>
      </c>
      <c r="B837">
        <v>20</v>
      </c>
      <c r="C837" t="s">
        <v>158</v>
      </c>
      <c r="D837" t="s">
        <v>156</v>
      </c>
      <c r="E837" s="6">
        <v>4980.5802999999996</v>
      </c>
      <c r="F837" s="6">
        <v>5031.6513999999997</v>
      </c>
      <c r="G837" s="6">
        <v>42.887999999999998</v>
      </c>
      <c r="H837" s="6">
        <v>4980.585</v>
      </c>
      <c r="I837" s="6">
        <v>5031.6532999999999</v>
      </c>
      <c r="J837" s="6">
        <v>42.891300000000001</v>
      </c>
      <c r="K837" s="2">
        <v>0.7</v>
      </c>
      <c r="L837" s="2">
        <v>0</v>
      </c>
      <c r="M837" s="2">
        <v>0.5</v>
      </c>
      <c r="N837" s="2">
        <v>4.7</v>
      </c>
      <c r="O837" s="2">
        <v>1.9</v>
      </c>
      <c r="P837" s="2">
        <v>3.3</v>
      </c>
      <c r="Q837" s="2">
        <f t="shared" si="26"/>
        <v>5.0695167422546303</v>
      </c>
      <c r="R837" t="str">
        <f t="shared" si="27"/>
        <v>Regular</v>
      </c>
      <c r="S837" t="s">
        <v>185</v>
      </c>
      <c r="T837">
        <v>51</v>
      </c>
    </row>
    <row r="838" spans="1:20">
      <c r="A838" s="1">
        <v>46058</v>
      </c>
      <c r="B838">
        <v>20</v>
      </c>
      <c r="C838" t="s">
        <v>171</v>
      </c>
      <c r="D838" t="s">
        <v>123</v>
      </c>
      <c r="E838" s="6">
        <v>4982.7381999999998</v>
      </c>
      <c r="F838" s="6">
        <v>5028.3501999999999</v>
      </c>
      <c r="G838" s="6">
        <v>42.705800000000004</v>
      </c>
      <c r="H838" s="6">
        <v>4982.7435999999998</v>
      </c>
      <c r="I838" s="6">
        <v>5028.3522999999996</v>
      </c>
      <c r="J838" s="6">
        <v>42.707999999999998</v>
      </c>
      <c r="K838" s="2">
        <v>0.6</v>
      </c>
      <c r="L838" s="2">
        <v>0</v>
      </c>
      <c r="M838" s="2">
        <v>0.3</v>
      </c>
      <c r="N838" s="2">
        <v>5.4</v>
      </c>
      <c r="O838" s="2">
        <v>2.1</v>
      </c>
      <c r="P838" s="2">
        <v>2.2000000000000002</v>
      </c>
      <c r="Q838" s="2">
        <f t="shared" si="26"/>
        <v>5.7939623747483902</v>
      </c>
      <c r="R838" t="str">
        <f t="shared" si="27"/>
        <v>Regular</v>
      </c>
      <c r="S838" t="s">
        <v>185</v>
      </c>
      <c r="T838">
        <v>51</v>
      </c>
    </row>
    <row r="839" spans="1:20">
      <c r="A839" s="1">
        <v>46058</v>
      </c>
      <c r="B839">
        <v>20</v>
      </c>
      <c r="C839" t="s">
        <v>173</v>
      </c>
      <c r="D839" t="s">
        <v>123</v>
      </c>
      <c r="E839" s="6">
        <v>4982.2178000000004</v>
      </c>
      <c r="F839" s="6">
        <v>5028.4342999999999</v>
      </c>
      <c r="G839" s="6">
        <v>39.473500000000001</v>
      </c>
      <c r="H839" s="6">
        <v>4982.2199000000001</v>
      </c>
      <c r="I839" s="6">
        <v>5028.4336000000003</v>
      </c>
      <c r="J839" s="6">
        <v>39.472900000000003</v>
      </c>
      <c r="K839" s="2">
        <v>-0.1</v>
      </c>
      <c r="L839" s="2">
        <v>-0.1</v>
      </c>
      <c r="M839" s="2">
        <v>0.2</v>
      </c>
      <c r="N839" s="2">
        <v>2.1</v>
      </c>
      <c r="O839" s="2">
        <v>-0.7</v>
      </c>
      <c r="P839" s="2">
        <v>-0.6</v>
      </c>
      <c r="Q839" s="2">
        <f t="shared" si="26"/>
        <v>2.2135943621178655</v>
      </c>
      <c r="R839" t="str">
        <f t="shared" si="27"/>
        <v>Regular</v>
      </c>
      <c r="S839" t="s">
        <v>185</v>
      </c>
      <c r="T839">
        <v>51</v>
      </c>
    </row>
    <row r="840" spans="1:20">
      <c r="A840" s="1">
        <v>46058</v>
      </c>
      <c r="B840">
        <v>20</v>
      </c>
      <c r="C840" t="s">
        <v>175</v>
      </c>
      <c r="D840" t="s">
        <v>156</v>
      </c>
      <c r="E840" s="6">
        <v>4980.7398999999996</v>
      </c>
      <c r="F840" s="6">
        <v>5032.9142000000002</v>
      </c>
      <c r="G840" s="6">
        <v>39.535899999999998</v>
      </c>
      <c r="H840" s="6">
        <v>4980.7425000000003</v>
      </c>
      <c r="I840" s="6">
        <v>5032.9134999999997</v>
      </c>
      <c r="J840" s="6">
        <v>39.535299999999999</v>
      </c>
      <c r="K840" s="2">
        <v>-0.5</v>
      </c>
      <c r="L840" s="2">
        <v>-0.2</v>
      </c>
      <c r="M840" s="2">
        <v>0</v>
      </c>
      <c r="N840" s="2">
        <v>2.6</v>
      </c>
      <c r="O840" s="2">
        <v>-0.7</v>
      </c>
      <c r="P840" s="2">
        <v>-0.6</v>
      </c>
      <c r="Q840" s="2">
        <f t="shared" si="26"/>
        <v>2.6925824035672523</v>
      </c>
      <c r="R840" t="str">
        <f t="shared" si="27"/>
        <v>Regular</v>
      </c>
      <c r="S840" t="s">
        <v>185</v>
      </c>
      <c r="T840">
        <v>51</v>
      </c>
    </row>
    <row r="841" spans="1:20">
      <c r="A841" s="1">
        <v>46058</v>
      </c>
      <c r="B841">
        <v>20</v>
      </c>
      <c r="C841" t="s">
        <v>176</v>
      </c>
      <c r="D841" t="s">
        <v>128</v>
      </c>
      <c r="E841" s="6">
        <v>4974.8552</v>
      </c>
      <c r="F841" s="6">
        <v>5040.1602999999996</v>
      </c>
      <c r="G841" s="6">
        <v>39.188800000000001</v>
      </c>
      <c r="H841" s="6">
        <v>4974.8588</v>
      </c>
      <c r="I841" s="6">
        <v>5040.1589000000004</v>
      </c>
      <c r="J841" s="6">
        <v>39.189100000000003</v>
      </c>
      <c r="K841" s="2">
        <v>2</v>
      </c>
      <c r="L841" s="2">
        <v>-1</v>
      </c>
      <c r="M841" s="2">
        <v>0.6</v>
      </c>
      <c r="N841" s="2">
        <v>3.6</v>
      </c>
      <c r="O841" s="2">
        <v>-1.4</v>
      </c>
      <c r="P841" s="2">
        <v>0.3</v>
      </c>
      <c r="Q841" s="2">
        <f t="shared" si="26"/>
        <v>3.8626415831655931</v>
      </c>
      <c r="R841" t="str">
        <f t="shared" si="27"/>
        <v>Regular</v>
      </c>
      <c r="S841" t="s">
        <v>185</v>
      </c>
      <c r="T841">
        <v>51</v>
      </c>
    </row>
    <row r="842" spans="1:20">
      <c r="A842" s="1">
        <v>46058</v>
      </c>
      <c r="B842">
        <v>20</v>
      </c>
      <c r="C842" t="s">
        <v>177</v>
      </c>
      <c r="D842" t="s">
        <v>130</v>
      </c>
      <c r="E842" s="6">
        <v>4988.0146000000004</v>
      </c>
      <c r="F842" s="6">
        <v>5045.2892000000002</v>
      </c>
      <c r="G842" s="6">
        <v>39.487099999999998</v>
      </c>
      <c r="H842" s="6">
        <v>4988.0147999999999</v>
      </c>
      <c r="I842" s="6">
        <v>5045.2830999999996</v>
      </c>
      <c r="J842" s="6">
        <v>39.488500000000002</v>
      </c>
      <c r="K842" s="2">
        <v>0.6</v>
      </c>
      <c r="L842" s="2">
        <v>-2.4</v>
      </c>
      <c r="M842" s="2">
        <v>1.2</v>
      </c>
      <c r="N842" s="2">
        <v>0.2</v>
      </c>
      <c r="O842" s="2">
        <v>-6.1</v>
      </c>
      <c r="P842" s="2">
        <v>1.4</v>
      </c>
      <c r="Q842" s="2">
        <f t="shared" si="26"/>
        <v>6.103277807866851</v>
      </c>
      <c r="R842" t="str">
        <f t="shared" si="27"/>
        <v>Regular</v>
      </c>
      <c r="S842" t="s">
        <v>185</v>
      </c>
      <c r="T842">
        <v>51</v>
      </c>
    </row>
    <row r="843" spans="1:20">
      <c r="A843" s="1">
        <v>46058</v>
      </c>
      <c r="B843">
        <v>20</v>
      </c>
      <c r="C843" t="s">
        <v>178</v>
      </c>
      <c r="D843" t="s">
        <v>130</v>
      </c>
      <c r="E843" s="6">
        <v>4998.3825999999999</v>
      </c>
      <c r="F843" s="6">
        <v>5043.7443999999996</v>
      </c>
      <c r="G843" s="6">
        <v>39.476599999999998</v>
      </c>
      <c r="H843" s="6">
        <v>4998.3819000000003</v>
      </c>
      <c r="I843" s="6">
        <v>5043.7383</v>
      </c>
      <c r="J843" s="6">
        <v>39.478099999999998</v>
      </c>
      <c r="K843" s="2">
        <v>-0.2</v>
      </c>
      <c r="L843" s="2">
        <v>-1.4</v>
      </c>
      <c r="M843" s="2">
        <v>1.2</v>
      </c>
      <c r="N843" s="2">
        <v>-0.7</v>
      </c>
      <c r="O843" s="2">
        <v>-6.1</v>
      </c>
      <c r="P843" s="2">
        <v>1.5</v>
      </c>
      <c r="Q843" s="2">
        <f t="shared" si="26"/>
        <v>6.1400325732035004</v>
      </c>
      <c r="R843" t="str">
        <f t="shared" si="27"/>
        <v>Regular</v>
      </c>
      <c r="S843" t="s">
        <v>185</v>
      </c>
      <c r="T843">
        <v>51</v>
      </c>
    </row>
    <row r="844" spans="1:20">
      <c r="A844" s="1">
        <v>46058</v>
      </c>
      <c r="B844">
        <v>20</v>
      </c>
      <c r="C844" t="s">
        <v>179</v>
      </c>
      <c r="D844" t="s">
        <v>134</v>
      </c>
      <c r="E844" s="6">
        <v>5011.4696000000004</v>
      </c>
      <c r="F844" s="6">
        <v>5051.8035</v>
      </c>
      <c r="G844" s="6">
        <v>48.342599999999997</v>
      </c>
      <c r="H844" s="6">
        <v>5011.4656000000004</v>
      </c>
      <c r="I844" s="6">
        <v>5051.8027000000002</v>
      </c>
      <c r="J844" s="6">
        <v>48.343699999999998</v>
      </c>
      <c r="K844" s="2">
        <v>-1.5</v>
      </c>
      <c r="L844" s="2">
        <v>-0.6</v>
      </c>
      <c r="M844" s="2">
        <v>0.4</v>
      </c>
      <c r="N844" s="2">
        <v>-4</v>
      </c>
      <c r="O844" s="2">
        <v>-0.8</v>
      </c>
      <c r="P844" s="2">
        <v>1.1000000000000001</v>
      </c>
      <c r="Q844" s="2">
        <f t="shared" si="26"/>
        <v>4.0792156108742281</v>
      </c>
      <c r="R844" t="str">
        <f t="shared" si="27"/>
        <v>Regular</v>
      </c>
      <c r="S844" t="s">
        <v>185</v>
      </c>
      <c r="T844">
        <v>51</v>
      </c>
    </row>
    <row r="845" spans="1:20">
      <c r="A845" s="1">
        <v>46058</v>
      </c>
      <c r="B845">
        <v>20</v>
      </c>
      <c r="C845" t="s">
        <v>180</v>
      </c>
      <c r="D845" t="s">
        <v>134</v>
      </c>
      <c r="E845" s="6">
        <v>5013.4205000000002</v>
      </c>
      <c r="F845" s="6">
        <v>5061.5536000000002</v>
      </c>
      <c r="G845" s="6">
        <v>47.226599999999998</v>
      </c>
      <c r="H845" s="6">
        <v>5013.4179000000004</v>
      </c>
      <c r="I845" s="6">
        <v>5061.5526</v>
      </c>
      <c r="J845" s="6">
        <v>47.227699999999999</v>
      </c>
      <c r="K845" s="2">
        <v>-0.6</v>
      </c>
      <c r="L845" s="2">
        <v>-1</v>
      </c>
      <c r="M845" s="2">
        <v>0.8</v>
      </c>
      <c r="N845" s="2">
        <v>-2.6</v>
      </c>
      <c r="O845" s="2">
        <v>-1</v>
      </c>
      <c r="P845" s="2">
        <v>1.1000000000000001</v>
      </c>
      <c r="Q845" s="2">
        <f t="shared" si="26"/>
        <v>2.7856776554368241</v>
      </c>
      <c r="R845" t="str">
        <f t="shared" si="27"/>
        <v>Regular</v>
      </c>
      <c r="S845" t="s">
        <v>185</v>
      </c>
      <c r="T845">
        <v>51</v>
      </c>
    </row>
    <row r="846" spans="1:20">
      <c r="A846" s="1">
        <v>46058</v>
      </c>
      <c r="B846">
        <v>20</v>
      </c>
      <c r="C846" t="s">
        <v>181</v>
      </c>
      <c r="D846" t="s">
        <v>134</v>
      </c>
      <c r="E846" s="6">
        <v>5012.2750999999998</v>
      </c>
      <c r="F846" s="6">
        <v>5056.5322999999999</v>
      </c>
      <c r="G846" s="6">
        <v>42.882899999999999</v>
      </c>
      <c r="H846" s="6">
        <v>5012.2732999999998</v>
      </c>
      <c r="I846" s="6">
        <v>5056.5330999999996</v>
      </c>
      <c r="J846" s="6">
        <v>42.884599999999999</v>
      </c>
      <c r="K846" s="2">
        <v>-1.8</v>
      </c>
      <c r="L846" s="2">
        <v>0.8</v>
      </c>
      <c r="M846" s="2">
        <v>1.7</v>
      </c>
      <c r="N846" s="2">
        <v>-1.8</v>
      </c>
      <c r="O846" s="2">
        <v>0.8</v>
      </c>
      <c r="P846" s="2">
        <v>1.7</v>
      </c>
      <c r="Q846" s="2">
        <f t="shared" si="26"/>
        <v>1.969771560359221</v>
      </c>
      <c r="R846" t="str">
        <f t="shared" si="27"/>
        <v>Regular</v>
      </c>
      <c r="S846" t="s">
        <v>185</v>
      </c>
      <c r="T846">
        <v>51</v>
      </c>
    </row>
    <row r="847" spans="1:20">
      <c r="A847" s="1">
        <v>46058</v>
      </c>
      <c r="B847">
        <v>20</v>
      </c>
      <c r="C847" t="s">
        <v>183</v>
      </c>
      <c r="D847" t="s">
        <v>134</v>
      </c>
      <c r="E847" s="6">
        <v>5013.3993</v>
      </c>
      <c r="F847" s="6">
        <v>5061.4317000000001</v>
      </c>
      <c r="G847" s="6">
        <v>42.942900000000002</v>
      </c>
      <c r="H847" s="6">
        <v>5013.3971000000001</v>
      </c>
      <c r="I847" s="6">
        <v>5061.4324999999999</v>
      </c>
      <c r="J847" s="6">
        <v>42.942599999999999</v>
      </c>
      <c r="K847" s="2">
        <v>-2.2000000000000002</v>
      </c>
      <c r="L847" s="2">
        <v>0.8</v>
      </c>
      <c r="M847" s="2">
        <v>-0.3</v>
      </c>
      <c r="N847" s="2">
        <v>-2.2000000000000002</v>
      </c>
      <c r="O847" s="2">
        <v>0.8</v>
      </c>
      <c r="P847" s="2">
        <v>-0.3</v>
      </c>
      <c r="Q847" s="2">
        <f t="shared" si="26"/>
        <v>2.340939982143925</v>
      </c>
      <c r="R847" t="str">
        <f t="shared" si="27"/>
        <v>Regular</v>
      </c>
      <c r="S847" t="s">
        <v>185</v>
      </c>
      <c r="T847">
        <v>51</v>
      </c>
    </row>
    <row r="848" spans="1:20">
      <c r="A848" s="1">
        <v>46058</v>
      </c>
      <c r="B848">
        <v>20</v>
      </c>
      <c r="C848" t="s">
        <v>186</v>
      </c>
      <c r="D848" t="s">
        <v>187</v>
      </c>
      <c r="E848" s="6">
        <v>5041.9035000000003</v>
      </c>
      <c r="F848" s="6">
        <v>5069.2084000000004</v>
      </c>
      <c r="G848" s="6">
        <v>52.914200000000001</v>
      </c>
      <c r="H848" s="6">
        <v>5041.9035000000003</v>
      </c>
      <c r="I848" s="6">
        <v>5069.2084000000004</v>
      </c>
      <c r="J848" s="6">
        <v>52.914200000000001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f t="shared" si="26"/>
        <v>0</v>
      </c>
      <c r="R848" t="str">
        <f t="shared" si="27"/>
        <v>Regular</v>
      </c>
      <c r="S848" t="s">
        <v>185</v>
      </c>
      <c r="T848">
        <v>51</v>
      </c>
    </row>
    <row r="849" spans="1:20">
      <c r="A849" s="1">
        <v>46058</v>
      </c>
      <c r="B849">
        <v>20</v>
      </c>
      <c r="C849" t="s">
        <v>184</v>
      </c>
      <c r="D849" t="s">
        <v>136</v>
      </c>
      <c r="E849" s="6">
        <v>5028.1935999999996</v>
      </c>
      <c r="F849" s="6">
        <v>5072.4179999999997</v>
      </c>
      <c r="G849" s="6">
        <v>38.6631</v>
      </c>
      <c r="H849" s="6">
        <v>5028.1935999999996</v>
      </c>
      <c r="I849" s="6">
        <v>5072.4179999999997</v>
      </c>
      <c r="J849" s="6">
        <v>38.6631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f t="shared" si="26"/>
        <v>0</v>
      </c>
      <c r="R849" t="str">
        <f t="shared" si="27"/>
        <v>Regular</v>
      </c>
      <c r="S849" t="s">
        <v>185</v>
      </c>
      <c r="T849">
        <v>51</v>
      </c>
    </row>
  </sheetData>
  <conditionalFormatting sqref="Q2:Q81">
    <cfRule type="dataBar" priority="4">
      <dataBar>
        <cfvo type="min"/>
        <cfvo type="max"/>
        <color rgb="FF5B9BD5"/>
      </dataBar>
    </cfRule>
    <cfRule type="dataBar" priority="2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{70358E87-DB45-17E6-4349-97949A8A1664}</x14:id>
        </ext>
      </extLst>
    </cfRule>
  </conditionalFormatting>
  <conditionalFormatting sqref="Q2:Q247">
    <cfRule type="dataBar" priority="9">
      <dataBar>
        <cfvo type="min"/>
        <cfvo type="max"/>
        <color rgb="FF5B9BD5"/>
      </dataBar>
    </cfRule>
    <cfRule type="dataBar" priority="2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{955C9859-708A-DD51-8FCB-9465862E5FB7}</x14:id>
        </ext>
      </extLst>
    </cfRule>
  </conditionalFormatting>
  <conditionalFormatting sqref="Q2:Q523">
    <cfRule type="dataBar" priority="17">
      <dataBar>
        <cfvo type="min"/>
        <cfvo type="max"/>
        <color rgb="FF5B9BD5"/>
      </dataBar>
    </cfRule>
    <cfRule type="dataBar" priority="2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{6D42F5BC-CBEC-F401-C20C-9B9610000CBA}</x14:id>
        </ext>
      </extLst>
    </cfRule>
  </conditionalFormatting>
  <conditionalFormatting sqref="Q524:Q849">
    <cfRule type="dataBar" priority="18">
      <dataBar>
        <cfvo type="min"/>
        <cfvo type="max"/>
        <color rgb="FF5B9BD5"/>
      </dataBar>
    </cfRule>
    <cfRule type="dataBar" priority="2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{E4447B9A-D31F-E8DD-B939-0173CC2A0960}</x14:id>
        </ext>
      </extLst>
    </cfRule>
  </conditionalFormatting>
  <conditionalFormatting sqref="R2:R81">
    <cfRule type="expression" dxfId="38" priority="1">
      <formula>$R2="Regular"</formula>
    </cfRule>
    <cfRule type="expression" dxfId="37" priority="2">
      <formula>$R2="Alerta"</formula>
    </cfRule>
    <cfRule type="expression" dxfId="36" priority="3">
      <formula>$R2="Alarme"</formula>
    </cfRule>
  </conditionalFormatting>
  <conditionalFormatting sqref="R2:R247">
    <cfRule type="expression" dxfId="35" priority="5">
      <formula>$R2="Regular"</formula>
    </cfRule>
    <cfRule type="expression" dxfId="34" priority="6">
      <formula>$R2="Alerta"</formula>
    </cfRule>
    <cfRule type="expression" dxfId="33" priority="7">
      <formula>$R2="Alarme"</formula>
    </cfRule>
    <cfRule type="expression" dxfId="32" priority="8">
      <formula>$R2="Sem leitura"</formula>
    </cfRule>
  </conditionalFormatting>
  <conditionalFormatting sqref="R2:R523">
    <cfRule type="expression" dxfId="31" priority="13">
      <formula>$R2="Regular"</formula>
    </cfRule>
    <cfRule type="expression" dxfId="30" priority="14">
      <formula>$R2="Alerta"</formula>
    </cfRule>
    <cfRule type="expression" dxfId="29" priority="15">
      <formula>$R2="Alarme"</formula>
    </cfRule>
    <cfRule type="expression" dxfId="28" priority="16">
      <formula>$R2="Sem leitura"</formula>
    </cfRule>
  </conditionalFormatting>
  <conditionalFormatting sqref="R248:R505">
    <cfRule type="expression" dxfId="27" priority="10">
      <formula>R248="Regular"</formula>
    </cfRule>
    <cfRule type="expression" dxfId="26" priority="11">
      <formula>R248="Alerta"</formula>
    </cfRule>
    <cfRule type="expression" dxfId="25" priority="12">
      <formula>R248="Alarme"</formula>
    </cfRule>
  </conditionalFormatting>
  <conditionalFormatting sqref="R524:R849">
    <cfRule type="expression" dxfId="24" priority="19">
      <formula>$R524="Regular"</formula>
    </cfRule>
    <cfRule type="expression" dxfId="23" priority="20">
      <formula>$R524="Alerta"</formula>
    </cfRule>
    <cfRule type="expression" dxfId="22" priority="21">
      <formula>$R524="Alarme"</formula>
    </cfRule>
    <cfRule type="expression" dxfId="21" priority="22">
      <formula>$R524="Sem leitura"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358E87-DB45-17E6-4349-97949A8A1664}">
            <x14:dataBar>
              <x14:cfvo type="min"/>
              <x14:cfvo type="max"/>
              <x14:negativeFillColor auto="1"/>
              <x14:axisColor auto="1"/>
            </x14:dataBar>
          </x14:cfRule>
          <xm:sqref>Q2:Q81</xm:sqref>
        </x14:conditionalFormatting>
        <x14:conditionalFormatting xmlns:xm="http://schemas.microsoft.com/office/excel/2006/main">
          <x14:cfRule type="dataBar" id="{955C9859-708A-DD51-8FCB-9465862E5FB7}">
            <x14:dataBar>
              <x14:cfvo type="min"/>
              <x14:cfvo type="max"/>
              <x14:negativeFillColor auto="1"/>
              <x14:axisColor auto="1"/>
            </x14:dataBar>
          </x14:cfRule>
          <xm:sqref>Q2:Q247</xm:sqref>
        </x14:conditionalFormatting>
        <x14:conditionalFormatting xmlns:xm="http://schemas.microsoft.com/office/excel/2006/main">
          <x14:cfRule type="dataBar" id="{6D42F5BC-CBEC-F401-C20C-9B9610000CBA}">
            <x14:dataBar>
              <x14:cfvo type="min"/>
              <x14:cfvo type="max"/>
              <x14:negativeFillColor auto="1"/>
              <x14:axisColor auto="1"/>
            </x14:dataBar>
          </x14:cfRule>
          <xm:sqref>Q2:Q523</xm:sqref>
        </x14:conditionalFormatting>
        <x14:conditionalFormatting xmlns:xm="http://schemas.microsoft.com/office/excel/2006/main">
          <x14:cfRule type="dataBar" id="{E4447B9A-D31F-E8DD-B939-0173CC2A0960}">
            <x14:dataBar>
              <x14:cfvo type="min"/>
              <x14:cfvo type="max"/>
              <x14:negativeFillColor auto="1"/>
              <x14:axisColor auto="1"/>
            </x14:dataBar>
          </x14:cfRule>
          <xm:sqref>Q524:Q849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0"/>
  <sheetViews>
    <sheetView workbookViewId="0">
      <selection activeCell="F41" sqref="F41"/>
    </sheetView>
  </sheetViews>
  <sheetFormatPr defaultRowHeight="13.8"/>
  <cols>
    <col min="1" max="3" width="14" customWidth="1"/>
    <col min="4" max="4" width="19" customWidth="1"/>
    <col min="5" max="5" width="25" customWidth="1"/>
    <col min="6" max="6" width="22" customWidth="1"/>
    <col min="7" max="8" width="21" customWidth="1"/>
    <col min="9" max="9" width="22" customWidth="1"/>
    <col min="10" max="10" width="24" customWidth="1"/>
    <col min="11" max="11" width="68" customWidth="1"/>
    <col min="12" max="12" width="9" customWidth="1"/>
  </cols>
  <sheetData>
    <row r="1" spans="1:12" ht="25.65" customHeight="1">
      <c r="A1" s="5" t="s">
        <v>1</v>
      </c>
      <c r="B1" s="5" t="s">
        <v>304</v>
      </c>
      <c r="C1" s="5" t="s">
        <v>93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  <c r="I1" s="5" t="s">
        <v>310</v>
      </c>
      <c r="J1" s="5" t="s">
        <v>311</v>
      </c>
      <c r="K1" s="5" t="s">
        <v>66</v>
      </c>
      <c r="L1" s="5" t="s">
        <v>67</v>
      </c>
    </row>
    <row r="2" spans="1:12">
      <c r="A2" s="1">
        <v>45936</v>
      </c>
      <c r="B2">
        <v>1</v>
      </c>
      <c r="C2" t="s">
        <v>94</v>
      </c>
      <c r="D2">
        <v>1</v>
      </c>
      <c r="E2" s="2">
        <v>5.62</v>
      </c>
      <c r="F2" s="2">
        <v>0.5</v>
      </c>
      <c r="G2" s="2">
        <v>0.5</v>
      </c>
      <c r="H2" s="2">
        <v>-5.59</v>
      </c>
      <c r="I2" s="2">
        <v>5.62</v>
      </c>
      <c r="J2" s="2">
        <v>0.5</v>
      </c>
      <c r="K2" t="s">
        <v>98</v>
      </c>
      <c r="L2">
        <v>6</v>
      </c>
    </row>
    <row r="3" spans="1:12">
      <c r="A3" s="1">
        <v>45936</v>
      </c>
      <c r="B3">
        <v>1</v>
      </c>
      <c r="C3" t="s">
        <v>99</v>
      </c>
      <c r="D3">
        <v>1</v>
      </c>
      <c r="E3" s="2">
        <v>1.67</v>
      </c>
      <c r="F3" s="2">
        <v>7.5</v>
      </c>
      <c r="G3" s="2">
        <v>0.16</v>
      </c>
      <c r="H3" s="2">
        <v>1.66</v>
      </c>
      <c r="I3" s="2">
        <v>1.67</v>
      </c>
      <c r="J3" s="2">
        <v>7.5</v>
      </c>
      <c r="K3" t="s">
        <v>98</v>
      </c>
      <c r="L3">
        <v>16</v>
      </c>
    </row>
    <row r="4" spans="1:12">
      <c r="A4" s="1">
        <v>45944</v>
      </c>
      <c r="B4">
        <v>2</v>
      </c>
      <c r="C4" t="s">
        <v>94</v>
      </c>
      <c r="D4">
        <v>2</v>
      </c>
      <c r="E4" s="2">
        <v>5.1100000000000003</v>
      </c>
      <c r="F4" s="2">
        <v>0.5</v>
      </c>
      <c r="G4" s="2">
        <v>0.5</v>
      </c>
      <c r="H4" s="2">
        <v>-5.09</v>
      </c>
      <c r="I4" s="2">
        <v>1.75</v>
      </c>
      <c r="J4" s="2">
        <v>2</v>
      </c>
      <c r="K4" t="s">
        <v>98</v>
      </c>
      <c r="L4">
        <v>8</v>
      </c>
    </row>
    <row r="5" spans="1:12">
      <c r="A5" s="1">
        <v>45944</v>
      </c>
      <c r="B5">
        <v>2</v>
      </c>
      <c r="C5" t="s">
        <v>99</v>
      </c>
      <c r="D5">
        <v>2</v>
      </c>
      <c r="E5" s="2">
        <v>0.75</v>
      </c>
      <c r="F5" s="2">
        <v>1.5</v>
      </c>
      <c r="G5" s="2">
        <v>0.25</v>
      </c>
      <c r="H5" s="2">
        <v>-0.7</v>
      </c>
      <c r="I5" s="2">
        <v>1.19</v>
      </c>
      <c r="J5" s="2">
        <v>7.5</v>
      </c>
      <c r="K5" t="s">
        <v>98</v>
      </c>
      <c r="L5">
        <v>18</v>
      </c>
    </row>
    <row r="6" spans="1:12">
      <c r="A6" s="1">
        <v>45944</v>
      </c>
      <c r="B6">
        <v>2</v>
      </c>
      <c r="C6" t="s">
        <v>100</v>
      </c>
      <c r="D6">
        <v>1</v>
      </c>
      <c r="E6" s="2">
        <v>2.2999999999999998</v>
      </c>
      <c r="F6" s="2">
        <v>13</v>
      </c>
      <c r="G6" s="2">
        <v>0.1</v>
      </c>
      <c r="H6" s="2">
        <v>-2.2999999999999998</v>
      </c>
      <c r="I6" s="2">
        <v>2.2999999999999998</v>
      </c>
      <c r="J6" s="2">
        <v>13</v>
      </c>
      <c r="K6" t="s">
        <v>98</v>
      </c>
      <c r="L6">
        <v>26</v>
      </c>
    </row>
    <row r="7" spans="1:12">
      <c r="A7" s="1">
        <v>45950</v>
      </c>
      <c r="B7">
        <v>3</v>
      </c>
      <c r="C7" t="s">
        <v>94</v>
      </c>
      <c r="D7">
        <v>3</v>
      </c>
      <c r="E7" s="2">
        <v>2.94</v>
      </c>
      <c r="F7" s="2">
        <v>6.5</v>
      </c>
      <c r="G7" s="2">
        <v>2.59</v>
      </c>
      <c r="H7" s="2">
        <v>1.4</v>
      </c>
      <c r="I7" s="2">
        <v>3.5</v>
      </c>
      <c r="J7" s="2">
        <v>0.5</v>
      </c>
      <c r="K7" t="s">
        <v>98</v>
      </c>
      <c r="L7">
        <v>10</v>
      </c>
    </row>
    <row r="8" spans="1:12">
      <c r="A8" s="1">
        <v>45950</v>
      </c>
      <c r="B8">
        <v>3</v>
      </c>
      <c r="C8" t="s">
        <v>99</v>
      </c>
      <c r="D8">
        <v>3</v>
      </c>
      <c r="E8" s="2">
        <v>1.01</v>
      </c>
      <c r="F8" s="2">
        <v>7.5</v>
      </c>
      <c r="G8" s="2">
        <v>0.81</v>
      </c>
      <c r="H8" s="2">
        <v>0.6</v>
      </c>
      <c r="I8" s="2">
        <v>0.56999999999999995</v>
      </c>
      <c r="J8" s="2">
        <v>6.5</v>
      </c>
      <c r="K8" t="s">
        <v>98</v>
      </c>
      <c r="L8">
        <v>20</v>
      </c>
    </row>
    <row r="9" spans="1:12">
      <c r="A9" s="1">
        <v>45950</v>
      </c>
      <c r="B9">
        <v>3</v>
      </c>
      <c r="C9" t="s">
        <v>100</v>
      </c>
      <c r="D9">
        <v>2</v>
      </c>
      <c r="E9" s="2">
        <v>2.25</v>
      </c>
      <c r="F9" s="2">
        <v>16</v>
      </c>
      <c r="G9" s="2">
        <v>0.34</v>
      </c>
      <c r="H9" s="2">
        <v>-2.2200000000000002</v>
      </c>
      <c r="I9" s="2">
        <v>1.93</v>
      </c>
      <c r="J9" s="2">
        <v>4</v>
      </c>
      <c r="K9" t="s">
        <v>98</v>
      </c>
      <c r="L9">
        <v>28</v>
      </c>
    </row>
    <row r="10" spans="1:12">
      <c r="A10" s="1">
        <v>45959</v>
      </c>
      <c r="B10">
        <v>4</v>
      </c>
      <c r="C10" t="s">
        <v>94</v>
      </c>
      <c r="D10">
        <v>4</v>
      </c>
      <c r="E10" s="2">
        <v>3.5</v>
      </c>
      <c r="F10" s="2">
        <v>6.5</v>
      </c>
      <c r="G10" s="2">
        <v>3.3</v>
      </c>
      <c r="H10" s="2">
        <v>1.18</v>
      </c>
      <c r="I10" s="2">
        <v>0.56000000000000005</v>
      </c>
      <c r="J10" s="2">
        <v>6.5</v>
      </c>
      <c r="K10" t="s">
        <v>98</v>
      </c>
      <c r="L10">
        <v>12</v>
      </c>
    </row>
    <row r="11" spans="1:12">
      <c r="A11" s="1">
        <v>45959</v>
      </c>
      <c r="B11">
        <v>4</v>
      </c>
      <c r="C11" t="s">
        <v>99</v>
      </c>
      <c r="D11">
        <v>4</v>
      </c>
      <c r="E11" s="2">
        <v>3.52</v>
      </c>
      <c r="F11" s="2">
        <v>10</v>
      </c>
      <c r="G11" s="2">
        <v>2.81</v>
      </c>
      <c r="H11" s="2">
        <v>-2.12</v>
      </c>
      <c r="I11" s="2">
        <v>2.77</v>
      </c>
      <c r="J11" s="2">
        <v>10</v>
      </c>
      <c r="K11" t="s">
        <v>98</v>
      </c>
      <c r="L11">
        <v>22</v>
      </c>
    </row>
    <row r="12" spans="1:12">
      <c r="A12" s="1">
        <v>45959</v>
      </c>
      <c r="B12">
        <v>4</v>
      </c>
      <c r="C12" t="s">
        <v>100</v>
      </c>
      <c r="D12">
        <v>3</v>
      </c>
      <c r="E12" s="2">
        <v>3.25</v>
      </c>
      <c r="F12" s="2">
        <v>1.5</v>
      </c>
      <c r="G12" s="2">
        <v>0.13</v>
      </c>
      <c r="H12" s="2">
        <v>-3.24</v>
      </c>
      <c r="I12" s="2">
        <v>3.06</v>
      </c>
      <c r="J12" s="2">
        <v>1.5</v>
      </c>
      <c r="K12" t="s">
        <v>98</v>
      </c>
      <c r="L12">
        <v>30</v>
      </c>
    </row>
    <row r="13" spans="1:12">
      <c r="A13" s="1">
        <v>45964</v>
      </c>
      <c r="B13">
        <v>5</v>
      </c>
      <c r="C13" t="s">
        <v>94</v>
      </c>
      <c r="D13">
        <v>5</v>
      </c>
      <c r="E13" s="2">
        <v>4.9800000000000004</v>
      </c>
      <c r="F13" s="2">
        <v>6</v>
      </c>
      <c r="G13" s="2">
        <v>3.89</v>
      </c>
      <c r="H13" s="2">
        <v>3.1</v>
      </c>
      <c r="I13" s="2">
        <v>1.81</v>
      </c>
      <c r="J13" s="2">
        <v>4</v>
      </c>
      <c r="K13" t="s">
        <v>98</v>
      </c>
      <c r="L13">
        <v>14</v>
      </c>
    </row>
    <row r="14" spans="1:12">
      <c r="A14" s="1">
        <v>45964</v>
      </c>
      <c r="B14">
        <v>5</v>
      </c>
      <c r="C14" t="s">
        <v>99</v>
      </c>
      <c r="D14">
        <v>5</v>
      </c>
      <c r="E14" s="2">
        <v>4.6500000000000004</v>
      </c>
      <c r="F14" s="2">
        <v>10.5</v>
      </c>
      <c r="G14" s="2">
        <v>3.05</v>
      </c>
      <c r="H14" s="2">
        <v>-3.52</v>
      </c>
      <c r="I14" s="2">
        <v>2.69</v>
      </c>
      <c r="J14" s="2">
        <v>1.5</v>
      </c>
      <c r="K14" t="s">
        <v>98</v>
      </c>
      <c r="L14">
        <v>24</v>
      </c>
    </row>
    <row r="15" spans="1:12">
      <c r="A15" s="1">
        <v>45964</v>
      </c>
      <c r="B15">
        <v>5</v>
      </c>
      <c r="C15" t="s">
        <v>100</v>
      </c>
      <c r="D15">
        <v>4</v>
      </c>
      <c r="E15" s="2">
        <v>1.99</v>
      </c>
      <c r="F15" s="2">
        <v>13</v>
      </c>
      <c r="G15" s="2">
        <v>0.57999999999999996</v>
      </c>
      <c r="H15" s="2">
        <v>-1.9</v>
      </c>
      <c r="I15" s="2">
        <v>1.78</v>
      </c>
      <c r="J15" s="2">
        <v>1.5</v>
      </c>
      <c r="K15" t="s">
        <v>98</v>
      </c>
      <c r="L15">
        <v>32</v>
      </c>
    </row>
    <row r="16" spans="1:12">
      <c r="A16" s="1">
        <v>45971</v>
      </c>
      <c r="B16">
        <v>6</v>
      </c>
      <c r="C16" t="s">
        <v>94</v>
      </c>
      <c r="D16">
        <v>6</v>
      </c>
      <c r="E16" s="2">
        <v>4.24</v>
      </c>
      <c r="F16" s="2">
        <v>6.5</v>
      </c>
      <c r="G16" s="2">
        <v>3.42</v>
      </c>
      <c r="H16" s="2">
        <v>2.5099999999999998</v>
      </c>
      <c r="I16" s="2">
        <v>0.95</v>
      </c>
      <c r="J16" s="2">
        <v>1.5</v>
      </c>
      <c r="K16" t="s">
        <v>230</v>
      </c>
      <c r="L16">
        <v>16</v>
      </c>
    </row>
    <row r="17" spans="1:12">
      <c r="A17" s="1">
        <v>45971</v>
      </c>
      <c r="B17">
        <v>6</v>
      </c>
      <c r="C17" t="s">
        <v>99</v>
      </c>
      <c r="D17">
        <v>6</v>
      </c>
      <c r="E17" s="2">
        <v>4.4400000000000004</v>
      </c>
      <c r="F17" s="2">
        <v>10.5</v>
      </c>
      <c r="G17" s="2">
        <v>2.86</v>
      </c>
      <c r="H17" s="2">
        <v>-3.4</v>
      </c>
      <c r="I17" s="2">
        <v>0.73</v>
      </c>
      <c r="J17" s="2">
        <v>1.5</v>
      </c>
      <c r="K17" t="s">
        <v>230</v>
      </c>
      <c r="L17">
        <v>36</v>
      </c>
    </row>
    <row r="18" spans="1:12">
      <c r="A18" s="1">
        <v>45978</v>
      </c>
      <c r="B18">
        <v>7</v>
      </c>
      <c r="C18" t="s">
        <v>94</v>
      </c>
      <c r="D18">
        <v>7</v>
      </c>
      <c r="E18" s="2">
        <v>5.27</v>
      </c>
      <c r="F18" s="2">
        <v>1.5</v>
      </c>
      <c r="G18" s="2">
        <v>1.57</v>
      </c>
      <c r="H18" s="2">
        <v>5.03</v>
      </c>
      <c r="I18" s="2">
        <v>1.6</v>
      </c>
      <c r="J18" s="2">
        <v>1.5</v>
      </c>
      <c r="K18" t="s">
        <v>230</v>
      </c>
      <c r="L18">
        <v>18</v>
      </c>
    </row>
    <row r="19" spans="1:12">
      <c r="A19" s="1">
        <v>45978</v>
      </c>
      <c r="B19">
        <v>7</v>
      </c>
      <c r="C19" t="s">
        <v>99</v>
      </c>
      <c r="D19">
        <v>7</v>
      </c>
      <c r="E19" s="2">
        <v>5.0199999999999996</v>
      </c>
      <c r="F19" s="2">
        <v>6</v>
      </c>
      <c r="G19" s="2">
        <v>2.88</v>
      </c>
      <c r="H19" s="2">
        <v>-4.1100000000000003</v>
      </c>
      <c r="I19" s="2">
        <v>1.17</v>
      </c>
      <c r="J19" s="2">
        <v>3</v>
      </c>
      <c r="K19" t="s">
        <v>230</v>
      </c>
      <c r="L19">
        <v>38</v>
      </c>
    </row>
    <row r="20" spans="1:12">
      <c r="A20" s="1">
        <v>45978</v>
      </c>
      <c r="B20">
        <v>6</v>
      </c>
      <c r="C20" t="s">
        <v>100</v>
      </c>
      <c r="D20">
        <v>6</v>
      </c>
      <c r="E20" s="2">
        <v>1.79</v>
      </c>
      <c r="F20" s="2">
        <v>8.5</v>
      </c>
      <c r="G20" s="2">
        <v>0.84</v>
      </c>
      <c r="H20" s="2">
        <v>-1.58</v>
      </c>
      <c r="I20" s="2">
        <v>1.21</v>
      </c>
      <c r="J20" s="2">
        <v>0.5</v>
      </c>
      <c r="K20" t="s">
        <v>230</v>
      </c>
      <c r="L20">
        <v>56</v>
      </c>
    </row>
    <row r="21" spans="1:12">
      <c r="A21" s="1">
        <v>45985</v>
      </c>
      <c r="B21">
        <v>8</v>
      </c>
      <c r="C21" t="s">
        <v>94</v>
      </c>
      <c r="D21">
        <v>8</v>
      </c>
      <c r="E21" s="2">
        <v>6.66</v>
      </c>
      <c r="F21" s="2">
        <v>6</v>
      </c>
      <c r="G21" s="2">
        <v>3.68</v>
      </c>
      <c r="H21" s="2">
        <v>5.55</v>
      </c>
      <c r="I21" s="2">
        <v>1.96</v>
      </c>
      <c r="J21" s="2">
        <v>7.5</v>
      </c>
      <c r="K21" t="s">
        <v>230</v>
      </c>
      <c r="L21">
        <v>20</v>
      </c>
    </row>
    <row r="22" spans="1:12">
      <c r="A22" s="1">
        <v>45985</v>
      </c>
      <c r="B22">
        <v>8</v>
      </c>
      <c r="C22" t="s">
        <v>99</v>
      </c>
      <c r="D22">
        <v>8</v>
      </c>
      <c r="E22" s="2">
        <v>4.5999999999999996</v>
      </c>
      <c r="F22" s="2">
        <v>11.5</v>
      </c>
      <c r="G22" s="2">
        <v>3.06</v>
      </c>
      <c r="H22" s="2">
        <v>-3.43</v>
      </c>
      <c r="I22" s="2">
        <v>0.99</v>
      </c>
      <c r="J22" s="2">
        <v>1.5</v>
      </c>
      <c r="K22" t="s">
        <v>230</v>
      </c>
      <c r="L22">
        <v>40</v>
      </c>
    </row>
    <row r="23" spans="1:12">
      <c r="A23" s="1">
        <v>45985</v>
      </c>
      <c r="B23">
        <v>7</v>
      </c>
      <c r="C23" t="s">
        <v>100</v>
      </c>
      <c r="D23">
        <v>7</v>
      </c>
      <c r="E23" s="2">
        <v>2.08</v>
      </c>
      <c r="F23" s="2">
        <v>5.5</v>
      </c>
      <c r="G23" s="2">
        <v>1.84</v>
      </c>
      <c r="H23" s="2">
        <v>-0.97</v>
      </c>
      <c r="I23" s="2">
        <v>1.96</v>
      </c>
      <c r="J23" s="2">
        <v>7.5</v>
      </c>
      <c r="K23" t="s">
        <v>230</v>
      </c>
      <c r="L23">
        <v>58</v>
      </c>
    </row>
    <row r="24" spans="1:12">
      <c r="A24" s="1">
        <v>45993</v>
      </c>
      <c r="B24">
        <v>9</v>
      </c>
      <c r="C24" t="s">
        <v>94</v>
      </c>
      <c r="D24">
        <v>9</v>
      </c>
      <c r="E24" s="2">
        <v>8.33</v>
      </c>
      <c r="F24" s="2">
        <v>6</v>
      </c>
      <c r="G24" s="2">
        <v>3.38</v>
      </c>
      <c r="H24" s="2">
        <v>7.62</v>
      </c>
      <c r="I24" s="2">
        <v>1.86</v>
      </c>
      <c r="J24" s="2">
        <v>1.5</v>
      </c>
      <c r="K24" t="s">
        <v>230</v>
      </c>
      <c r="L24">
        <v>22</v>
      </c>
    </row>
    <row r="25" spans="1:12">
      <c r="A25" s="1">
        <v>45993</v>
      </c>
      <c r="B25">
        <v>9</v>
      </c>
      <c r="C25" t="s">
        <v>99</v>
      </c>
      <c r="D25">
        <v>9</v>
      </c>
      <c r="E25" s="2">
        <v>7.93</v>
      </c>
      <c r="F25" s="2">
        <v>11.5</v>
      </c>
      <c r="G25" s="2">
        <v>5.9</v>
      </c>
      <c r="H25" s="2">
        <v>-5.29</v>
      </c>
      <c r="I25" s="2">
        <v>3.42</v>
      </c>
      <c r="J25" s="2">
        <v>12.5</v>
      </c>
      <c r="K25" t="s">
        <v>230</v>
      </c>
      <c r="L25">
        <v>42</v>
      </c>
    </row>
    <row r="26" spans="1:12">
      <c r="A26" s="1">
        <v>45993</v>
      </c>
      <c r="B26">
        <v>8</v>
      </c>
      <c r="C26" t="s">
        <v>100</v>
      </c>
      <c r="D26">
        <v>8</v>
      </c>
      <c r="E26" s="2">
        <v>2.98</v>
      </c>
      <c r="F26" s="2">
        <v>6.5</v>
      </c>
      <c r="G26" s="2">
        <v>2.2599999999999998</v>
      </c>
      <c r="H26" s="2">
        <v>-1.95</v>
      </c>
      <c r="I26" s="2">
        <v>0.95</v>
      </c>
      <c r="J26" s="2">
        <v>3.5</v>
      </c>
      <c r="K26" t="s">
        <v>230</v>
      </c>
      <c r="L26">
        <v>60</v>
      </c>
    </row>
    <row r="27" spans="1:12">
      <c r="A27" s="1">
        <v>46000</v>
      </c>
      <c r="B27">
        <v>10</v>
      </c>
      <c r="C27" t="s">
        <v>94</v>
      </c>
      <c r="D27">
        <v>10</v>
      </c>
      <c r="E27" s="2">
        <v>9.7200000000000006</v>
      </c>
      <c r="F27" s="2">
        <v>6</v>
      </c>
      <c r="G27" s="2">
        <v>4.67</v>
      </c>
      <c r="H27" s="2">
        <v>8.52</v>
      </c>
      <c r="I27" s="2">
        <v>1.49</v>
      </c>
      <c r="J27" s="2">
        <v>0.5</v>
      </c>
      <c r="K27" t="s">
        <v>230</v>
      </c>
      <c r="L27">
        <v>24</v>
      </c>
    </row>
    <row r="28" spans="1:12">
      <c r="A28" s="1">
        <v>46000</v>
      </c>
      <c r="B28">
        <v>10</v>
      </c>
      <c r="C28" t="s">
        <v>99</v>
      </c>
      <c r="D28">
        <v>10</v>
      </c>
      <c r="E28" s="2">
        <v>8.6199999999999992</v>
      </c>
      <c r="F28" s="2">
        <v>11.5</v>
      </c>
      <c r="G28" s="2">
        <v>6.53</v>
      </c>
      <c r="H28" s="2">
        <v>-5.63</v>
      </c>
      <c r="I28" s="2">
        <v>0.83</v>
      </c>
      <c r="J28" s="2">
        <v>6</v>
      </c>
      <c r="K28" t="s">
        <v>230</v>
      </c>
      <c r="L28">
        <v>44</v>
      </c>
    </row>
    <row r="29" spans="1:12">
      <c r="A29" s="1">
        <v>46000</v>
      </c>
      <c r="B29">
        <v>9</v>
      </c>
      <c r="C29" t="s">
        <v>100</v>
      </c>
      <c r="D29">
        <v>9</v>
      </c>
      <c r="E29" s="2">
        <v>6.27</v>
      </c>
      <c r="F29" s="2">
        <v>6.5</v>
      </c>
      <c r="G29" s="2">
        <v>5.99</v>
      </c>
      <c r="H29" s="2">
        <v>-1.86</v>
      </c>
      <c r="I29" s="2">
        <v>3.34</v>
      </c>
      <c r="J29" s="2">
        <v>7</v>
      </c>
      <c r="K29" t="s">
        <v>230</v>
      </c>
      <c r="L29">
        <v>62</v>
      </c>
    </row>
    <row r="30" spans="1:12">
      <c r="A30" s="1">
        <v>46000</v>
      </c>
      <c r="B30">
        <v>10</v>
      </c>
      <c r="C30" t="s">
        <v>100</v>
      </c>
      <c r="D30">
        <v>10</v>
      </c>
      <c r="E30" s="2">
        <v>6.27</v>
      </c>
      <c r="F30" s="2">
        <v>6.5</v>
      </c>
      <c r="G30" s="2"/>
      <c r="H30" s="2"/>
      <c r="I30" s="2"/>
      <c r="J30" s="2"/>
      <c r="K30" t="s">
        <v>230</v>
      </c>
      <c r="L30">
        <v>3</v>
      </c>
    </row>
    <row r="31" spans="1:12">
      <c r="A31" s="1">
        <v>46006</v>
      </c>
      <c r="B31">
        <v>11</v>
      </c>
      <c r="C31" t="s">
        <v>94</v>
      </c>
      <c r="D31">
        <v>11</v>
      </c>
      <c r="E31" s="2">
        <v>17.63</v>
      </c>
      <c r="F31" s="2">
        <v>6.5</v>
      </c>
      <c r="G31" s="2">
        <v>8.1199999999999992</v>
      </c>
      <c r="H31" s="2">
        <v>15.65</v>
      </c>
      <c r="I31" s="2">
        <v>8.1199999999999992</v>
      </c>
      <c r="J31" s="2">
        <v>4</v>
      </c>
      <c r="K31" t="s">
        <v>250</v>
      </c>
      <c r="L31">
        <v>26</v>
      </c>
    </row>
    <row r="32" spans="1:12">
      <c r="A32" s="1">
        <v>46006</v>
      </c>
      <c r="B32">
        <v>11</v>
      </c>
      <c r="C32" t="s">
        <v>99</v>
      </c>
      <c r="D32">
        <v>11</v>
      </c>
      <c r="E32" s="2">
        <v>9.08</v>
      </c>
      <c r="F32" s="2">
        <v>11.5</v>
      </c>
      <c r="G32" s="2">
        <v>6.73</v>
      </c>
      <c r="H32" s="2">
        <v>-6.09</v>
      </c>
      <c r="I32" s="2">
        <v>1.08</v>
      </c>
      <c r="J32" s="2">
        <v>19</v>
      </c>
      <c r="K32" t="s">
        <v>250</v>
      </c>
      <c r="L32">
        <v>48</v>
      </c>
    </row>
    <row r="33" spans="1:12">
      <c r="A33" s="1">
        <v>46006</v>
      </c>
      <c r="B33">
        <v>11</v>
      </c>
      <c r="C33" t="s">
        <v>100</v>
      </c>
      <c r="D33">
        <v>10</v>
      </c>
      <c r="E33" s="2">
        <v>6.21</v>
      </c>
      <c r="F33" s="2">
        <v>6.5</v>
      </c>
      <c r="G33" s="2">
        <v>6.04</v>
      </c>
      <c r="H33" s="2">
        <v>-1.44</v>
      </c>
      <c r="I33" s="2">
        <v>0.5</v>
      </c>
      <c r="J33" s="2">
        <v>1.5</v>
      </c>
      <c r="K33" t="s">
        <v>250</v>
      </c>
      <c r="L33">
        <v>68</v>
      </c>
    </row>
    <row r="34" spans="1:12">
      <c r="A34" s="1">
        <v>46013</v>
      </c>
      <c r="B34">
        <v>12</v>
      </c>
      <c r="C34" t="s">
        <v>94</v>
      </c>
      <c r="D34">
        <v>12</v>
      </c>
      <c r="E34" s="2">
        <v>19.96</v>
      </c>
      <c r="F34" s="2">
        <v>6.5</v>
      </c>
      <c r="G34" s="2">
        <v>9.08</v>
      </c>
      <c r="H34" s="2">
        <v>17.77</v>
      </c>
      <c r="I34" s="2">
        <v>3.02</v>
      </c>
      <c r="J34" s="2">
        <v>0.5</v>
      </c>
      <c r="K34" t="s">
        <v>253</v>
      </c>
      <c r="L34">
        <v>28</v>
      </c>
    </row>
    <row r="35" spans="1:12">
      <c r="A35" s="1">
        <v>46013</v>
      </c>
      <c r="B35">
        <v>12</v>
      </c>
      <c r="C35" t="s">
        <v>99</v>
      </c>
      <c r="D35">
        <v>12</v>
      </c>
      <c r="E35" s="2">
        <v>10.3</v>
      </c>
      <c r="F35" s="2">
        <v>12</v>
      </c>
      <c r="G35" s="2">
        <v>8.09</v>
      </c>
      <c r="H35" s="2">
        <v>-6.38</v>
      </c>
      <c r="I35" s="2">
        <v>2</v>
      </c>
      <c r="J35" s="2">
        <v>16.5</v>
      </c>
      <c r="K35" t="s">
        <v>253</v>
      </c>
      <c r="L35">
        <v>52</v>
      </c>
    </row>
    <row r="36" spans="1:12">
      <c r="A36" s="1">
        <v>46013</v>
      </c>
      <c r="B36">
        <v>12</v>
      </c>
      <c r="C36" t="s">
        <v>100</v>
      </c>
      <c r="D36">
        <v>11</v>
      </c>
      <c r="E36" s="2">
        <v>8.43</v>
      </c>
      <c r="F36" s="2">
        <v>7</v>
      </c>
      <c r="G36" s="2">
        <v>8.4</v>
      </c>
      <c r="H36" s="2">
        <v>-0.77</v>
      </c>
      <c r="I36" s="2">
        <v>2.2400000000000002</v>
      </c>
      <c r="J36" s="2">
        <v>7</v>
      </c>
      <c r="K36" t="s">
        <v>253</v>
      </c>
      <c r="L36">
        <v>74</v>
      </c>
    </row>
    <row r="37" spans="1:12">
      <c r="A37" s="1">
        <v>46020</v>
      </c>
      <c r="B37">
        <v>13</v>
      </c>
      <c r="C37" t="s">
        <v>94</v>
      </c>
      <c r="D37">
        <v>13</v>
      </c>
      <c r="E37" s="2">
        <v>19.84</v>
      </c>
      <c r="F37" s="2">
        <v>6.5</v>
      </c>
      <c r="G37" s="2">
        <v>8.34</v>
      </c>
      <c r="H37" s="2">
        <v>18.010000000000002</v>
      </c>
      <c r="I37" s="2">
        <v>1.99</v>
      </c>
      <c r="J37" s="2">
        <v>0.5</v>
      </c>
      <c r="K37" t="s">
        <v>256</v>
      </c>
      <c r="L37">
        <v>30</v>
      </c>
    </row>
    <row r="38" spans="1:12">
      <c r="A38" s="1">
        <v>46020</v>
      </c>
      <c r="B38">
        <v>13</v>
      </c>
      <c r="C38" t="s">
        <v>99</v>
      </c>
      <c r="D38">
        <v>13</v>
      </c>
      <c r="E38" s="2">
        <v>9.81</v>
      </c>
      <c r="F38" s="2">
        <v>12.5</v>
      </c>
      <c r="G38" s="2">
        <v>7.66</v>
      </c>
      <c r="H38" s="2">
        <v>-6.13</v>
      </c>
      <c r="I38" s="2">
        <v>1.29</v>
      </c>
      <c r="J38" s="2">
        <v>2</v>
      </c>
      <c r="K38" t="s">
        <v>256</v>
      </c>
      <c r="L38">
        <v>56</v>
      </c>
    </row>
    <row r="39" spans="1:12">
      <c r="A39" s="1">
        <v>46020</v>
      </c>
      <c r="B39">
        <v>13</v>
      </c>
      <c r="C39" t="s">
        <v>100</v>
      </c>
      <c r="D39">
        <v>12</v>
      </c>
      <c r="E39" s="2">
        <v>9.4</v>
      </c>
      <c r="F39" s="2">
        <v>7</v>
      </c>
      <c r="G39" s="2">
        <v>9.39</v>
      </c>
      <c r="H39" s="2">
        <v>-0.57999999999999996</v>
      </c>
      <c r="I39" s="2">
        <v>1.03</v>
      </c>
      <c r="J39" s="2">
        <v>7.5</v>
      </c>
      <c r="K39" t="s">
        <v>256</v>
      </c>
      <c r="L39">
        <v>80</v>
      </c>
    </row>
    <row r="40" spans="1:12">
      <c r="A40" s="1">
        <v>46027</v>
      </c>
      <c r="B40">
        <v>14</v>
      </c>
      <c r="C40" t="s">
        <v>94</v>
      </c>
      <c r="D40">
        <v>14</v>
      </c>
      <c r="E40" s="2">
        <v>19</v>
      </c>
      <c r="F40" s="2">
        <v>6.5</v>
      </c>
      <c r="G40" s="2">
        <v>8.41</v>
      </c>
      <c r="H40" s="2">
        <v>17.04</v>
      </c>
      <c r="I40" s="2">
        <v>0.85</v>
      </c>
      <c r="J40" s="2">
        <v>6.5</v>
      </c>
      <c r="K40" t="s">
        <v>259</v>
      </c>
      <c r="L40">
        <v>32</v>
      </c>
    </row>
    <row r="41" spans="1:12">
      <c r="A41" s="1">
        <v>46027</v>
      </c>
      <c r="B41">
        <v>14</v>
      </c>
      <c r="C41" t="s">
        <v>99</v>
      </c>
      <c r="D41">
        <v>14</v>
      </c>
      <c r="E41" s="2">
        <v>9.94</v>
      </c>
      <c r="F41" s="2">
        <v>12.5</v>
      </c>
      <c r="G41" s="2">
        <v>8.09</v>
      </c>
      <c r="H41" s="2">
        <v>-5.77</v>
      </c>
      <c r="I41" s="2">
        <v>1.04</v>
      </c>
      <c r="J41" s="2">
        <v>1.5</v>
      </c>
      <c r="K41" t="s">
        <v>259</v>
      </c>
      <c r="L41">
        <v>60</v>
      </c>
    </row>
    <row r="42" spans="1:12">
      <c r="A42" s="1">
        <v>46027</v>
      </c>
      <c r="B42">
        <v>14</v>
      </c>
      <c r="C42" t="s">
        <v>100</v>
      </c>
      <c r="D42">
        <v>13</v>
      </c>
      <c r="E42" s="2">
        <v>9.9499999999999993</v>
      </c>
      <c r="F42" s="2">
        <v>7.5</v>
      </c>
      <c r="G42" s="2">
        <v>9.9499999999999993</v>
      </c>
      <c r="H42" s="2">
        <v>0.25</v>
      </c>
      <c r="I42" s="2">
        <v>0.69</v>
      </c>
      <c r="J42" s="2">
        <v>19.5</v>
      </c>
      <c r="K42" t="s">
        <v>259</v>
      </c>
      <c r="L42">
        <v>86</v>
      </c>
    </row>
    <row r="43" spans="1:12">
      <c r="A43" s="1">
        <v>46034</v>
      </c>
      <c r="B43">
        <v>15</v>
      </c>
      <c r="C43" t="s">
        <v>94</v>
      </c>
      <c r="D43">
        <v>15</v>
      </c>
      <c r="E43" s="2">
        <v>20.16</v>
      </c>
      <c r="F43" s="2">
        <v>6.5</v>
      </c>
      <c r="G43" s="2">
        <v>9.34</v>
      </c>
      <c r="H43" s="2">
        <v>17.86</v>
      </c>
      <c r="I43" s="2">
        <v>1.22</v>
      </c>
      <c r="J43" s="2">
        <v>12.5</v>
      </c>
      <c r="K43" t="s">
        <v>262</v>
      </c>
      <c r="L43">
        <v>34</v>
      </c>
    </row>
    <row r="44" spans="1:12">
      <c r="A44" s="1">
        <v>46034</v>
      </c>
      <c r="B44">
        <v>15</v>
      </c>
      <c r="C44" t="s">
        <v>99</v>
      </c>
      <c r="D44">
        <v>15</v>
      </c>
      <c r="E44" s="2">
        <v>10.73</v>
      </c>
      <c r="F44" s="2">
        <v>12.5</v>
      </c>
      <c r="G44" s="2">
        <v>8.65</v>
      </c>
      <c r="H44" s="2">
        <v>-6.35</v>
      </c>
      <c r="I44" s="2">
        <v>0.84</v>
      </c>
      <c r="J44" s="2">
        <v>5.5</v>
      </c>
      <c r="K44" t="s">
        <v>262</v>
      </c>
      <c r="L44">
        <v>64</v>
      </c>
    </row>
    <row r="45" spans="1:12">
      <c r="A45" s="1">
        <v>46034</v>
      </c>
      <c r="B45">
        <v>15</v>
      </c>
      <c r="C45" t="s">
        <v>100</v>
      </c>
      <c r="D45">
        <v>14</v>
      </c>
      <c r="E45" s="2">
        <v>10.85</v>
      </c>
      <c r="F45" s="2">
        <v>7.5</v>
      </c>
      <c r="G45" s="2">
        <v>10.83</v>
      </c>
      <c r="H45" s="2">
        <v>-0.53</v>
      </c>
      <c r="I45" s="2">
        <v>0.9</v>
      </c>
      <c r="J45" s="2">
        <v>7</v>
      </c>
      <c r="K45" t="s">
        <v>262</v>
      </c>
      <c r="L45">
        <v>92</v>
      </c>
    </row>
    <row r="46" spans="1:12">
      <c r="A46" s="1">
        <v>46041</v>
      </c>
      <c r="B46">
        <v>16</v>
      </c>
      <c r="C46" t="s">
        <v>94</v>
      </c>
      <c r="D46">
        <v>16</v>
      </c>
      <c r="E46" s="2">
        <v>22.98</v>
      </c>
      <c r="F46" s="2">
        <v>6.5</v>
      </c>
      <c r="G46" s="2">
        <v>10.11</v>
      </c>
      <c r="H46" s="2">
        <v>20.64</v>
      </c>
      <c r="I46" s="2">
        <v>4.41</v>
      </c>
      <c r="J46" s="2">
        <v>0.5</v>
      </c>
      <c r="K46" t="s">
        <v>274</v>
      </c>
      <c r="L46">
        <v>36</v>
      </c>
    </row>
    <row r="47" spans="1:12">
      <c r="A47" s="1">
        <v>46041</v>
      </c>
      <c r="B47">
        <v>16</v>
      </c>
      <c r="C47" t="s">
        <v>99</v>
      </c>
      <c r="D47">
        <v>16</v>
      </c>
      <c r="E47" s="2">
        <v>11.79</v>
      </c>
      <c r="F47" s="2">
        <v>12.5</v>
      </c>
      <c r="G47" s="2">
        <v>8.9499999999999993</v>
      </c>
      <c r="H47" s="2">
        <v>-7.68</v>
      </c>
      <c r="I47" s="2">
        <v>1.5</v>
      </c>
      <c r="J47" s="2">
        <v>15.5</v>
      </c>
      <c r="K47" t="s">
        <v>274</v>
      </c>
      <c r="L47">
        <v>68</v>
      </c>
    </row>
    <row r="48" spans="1:12">
      <c r="A48" s="1">
        <v>46041</v>
      </c>
      <c r="B48">
        <v>16</v>
      </c>
      <c r="C48" t="s">
        <v>100</v>
      </c>
      <c r="D48">
        <v>15</v>
      </c>
      <c r="E48" s="2">
        <v>11.25</v>
      </c>
      <c r="F48" s="2">
        <v>7.5</v>
      </c>
      <c r="G48" s="2">
        <v>11.22</v>
      </c>
      <c r="H48" s="2">
        <v>-0.83</v>
      </c>
      <c r="I48" s="2">
        <v>0.42</v>
      </c>
      <c r="J48" s="2">
        <v>7</v>
      </c>
      <c r="K48" t="s">
        <v>274</v>
      </c>
      <c r="L48">
        <v>98</v>
      </c>
    </row>
    <row r="49" spans="1:12">
      <c r="A49" s="1">
        <v>46048</v>
      </c>
      <c r="B49">
        <v>17</v>
      </c>
      <c r="C49" t="s">
        <v>94</v>
      </c>
      <c r="D49">
        <v>17</v>
      </c>
      <c r="E49" s="2">
        <v>28.31</v>
      </c>
      <c r="F49" s="2">
        <v>6.5</v>
      </c>
      <c r="G49" s="2">
        <v>12.71</v>
      </c>
      <c r="H49" s="2">
        <v>25.29</v>
      </c>
      <c r="I49" s="2">
        <v>7.65</v>
      </c>
      <c r="J49" s="2">
        <v>11</v>
      </c>
      <c r="K49" t="s">
        <v>276</v>
      </c>
      <c r="L49">
        <v>38</v>
      </c>
    </row>
    <row r="50" spans="1:12">
      <c r="A50" s="1">
        <v>46048</v>
      </c>
      <c r="B50">
        <v>17</v>
      </c>
      <c r="C50" t="s">
        <v>99</v>
      </c>
      <c r="D50">
        <v>17</v>
      </c>
      <c r="E50" s="2">
        <v>12.88</v>
      </c>
      <c r="F50" s="2">
        <v>16.5</v>
      </c>
      <c r="G50" s="2">
        <v>11.01</v>
      </c>
      <c r="H50" s="2">
        <v>-6.67</v>
      </c>
      <c r="I50" s="2">
        <v>1.88</v>
      </c>
      <c r="J50" s="2">
        <v>17.5</v>
      </c>
      <c r="K50" t="s">
        <v>276</v>
      </c>
      <c r="L50">
        <v>72</v>
      </c>
    </row>
    <row r="51" spans="1:12">
      <c r="A51" s="1">
        <v>46048</v>
      </c>
      <c r="B51">
        <v>17</v>
      </c>
      <c r="C51" t="s">
        <v>100</v>
      </c>
      <c r="D51">
        <v>16</v>
      </c>
      <c r="E51" s="2">
        <v>10.57</v>
      </c>
      <c r="F51" s="2">
        <v>7.5</v>
      </c>
      <c r="G51" s="2">
        <v>10.37</v>
      </c>
      <c r="H51" s="2">
        <v>-2.0499999999999998</v>
      </c>
      <c r="I51" s="2">
        <v>1.56</v>
      </c>
      <c r="J51" s="2">
        <v>0.5</v>
      </c>
      <c r="K51" t="s">
        <v>276</v>
      </c>
      <c r="L51">
        <v>104</v>
      </c>
    </row>
    <row r="52" spans="1:12">
      <c r="A52" s="1">
        <v>46055</v>
      </c>
      <c r="B52">
        <v>18</v>
      </c>
      <c r="C52" t="s">
        <v>94</v>
      </c>
      <c r="D52">
        <v>18</v>
      </c>
      <c r="E52" s="2">
        <v>29.48</v>
      </c>
      <c r="F52" s="2">
        <v>6.5</v>
      </c>
      <c r="G52" s="2">
        <v>13.4</v>
      </c>
      <c r="H52" s="2">
        <v>26.25</v>
      </c>
      <c r="I52" s="2">
        <v>3.05</v>
      </c>
      <c r="J52" s="2">
        <v>0.5</v>
      </c>
      <c r="K52" t="s">
        <v>278</v>
      </c>
      <c r="L52">
        <v>40</v>
      </c>
    </row>
    <row r="53" spans="1:12">
      <c r="A53" s="1">
        <v>46055</v>
      </c>
      <c r="B53">
        <v>18</v>
      </c>
      <c r="C53" t="s">
        <v>99</v>
      </c>
      <c r="D53">
        <v>18</v>
      </c>
      <c r="E53" s="2">
        <v>14.49</v>
      </c>
      <c r="F53" s="2">
        <v>17</v>
      </c>
      <c r="G53" s="2">
        <v>12.49</v>
      </c>
      <c r="H53" s="2">
        <v>-7.35</v>
      </c>
      <c r="I53" s="2">
        <v>1.96</v>
      </c>
      <c r="J53" s="2">
        <v>19</v>
      </c>
      <c r="K53" t="s">
        <v>278</v>
      </c>
      <c r="L53">
        <v>76</v>
      </c>
    </row>
    <row r="54" spans="1:12">
      <c r="A54" s="1">
        <v>46055</v>
      </c>
      <c r="B54">
        <v>18</v>
      </c>
      <c r="C54" t="s">
        <v>100</v>
      </c>
      <c r="D54">
        <v>17</v>
      </c>
      <c r="E54" s="2">
        <v>11.32</v>
      </c>
      <c r="F54" s="2">
        <v>7.5</v>
      </c>
      <c r="G54" s="2">
        <v>11.29</v>
      </c>
      <c r="H54" s="2">
        <v>0.83</v>
      </c>
      <c r="I54" s="2">
        <v>1.68</v>
      </c>
      <c r="J54" s="2">
        <v>11.5</v>
      </c>
      <c r="K54" t="s">
        <v>278</v>
      </c>
      <c r="L54">
        <v>110</v>
      </c>
    </row>
    <row r="55" spans="1:12">
      <c r="A55" s="1">
        <v>46062</v>
      </c>
      <c r="B55">
        <v>19</v>
      </c>
      <c r="C55" t="s">
        <v>94</v>
      </c>
      <c r="D55">
        <v>19</v>
      </c>
      <c r="E55" s="2">
        <v>32.11</v>
      </c>
      <c r="F55" s="2">
        <v>6.5</v>
      </c>
      <c r="G55" s="2">
        <v>13.64</v>
      </c>
      <c r="H55" s="2">
        <v>29.06</v>
      </c>
      <c r="I55" s="2">
        <v>2.78</v>
      </c>
      <c r="J55" s="2">
        <v>4.5</v>
      </c>
      <c r="K55" t="s">
        <v>280</v>
      </c>
      <c r="L55">
        <v>42</v>
      </c>
    </row>
    <row r="56" spans="1:12">
      <c r="A56" s="1">
        <v>46062</v>
      </c>
      <c r="B56">
        <v>19</v>
      </c>
      <c r="C56" t="s">
        <v>99</v>
      </c>
      <c r="D56">
        <v>19</v>
      </c>
      <c r="E56" s="2">
        <v>15.35</v>
      </c>
      <c r="F56" s="2">
        <v>17</v>
      </c>
      <c r="G56" s="2">
        <v>13.21</v>
      </c>
      <c r="H56" s="2">
        <v>-7.82</v>
      </c>
      <c r="I56" s="2">
        <v>1.1200000000000001</v>
      </c>
      <c r="J56" s="2">
        <v>23</v>
      </c>
      <c r="K56" t="s">
        <v>280</v>
      </c>
      <c r="L56">
        <v>80</v>
      </c>
    </row>
    <row r="57" spans="1:12">
      <c r="A57" s="1">
        <v>46062</v>
      </c>
      <c r="B57">
        <v>19</v>
      </c>
      <c r="C57" t="s">
        <v>100</v>
      </c>
      <c r="D57">
        <v>18</v>
      </c>
      <c r="E57" s="2">
        <v>12.15</v>
      </c>
      <c r="F57" s="2">
        <v>7.5</v>
      </c>
      <c r="G57" s="2">
        <v>12.06</v>
      </c>
      <c r="H57" s="2">
        <v>1.47</v>
      </c>
      <c r="I57" s="2">
        <v>2.75</v>
      </c>
      <c r="J57" s="2">
        <v>0.5</v>
      </c>
      <c r="K57" t="s">
        <v>280</v>
      </c>
      <c r="L57">
        <v>116</v>
      </c>
    </row>
    <row r="58" spans="1:12">
      <c r="A58" s="1">
        <v>46069</v>
      </c>
      <c r="B58">
        <v>20</v>
      </c>
      <c r="C58" t="s">
        <v>94</v>
      </c>
      <c r="D58">
        <v>20</v>
      </c>
      <c r="E58" s="2">
        <v>31.41</v>
      </c>
      <c r="F58" s="2">
        <v>6.5</v>
      </c>
      <c r="G58" s="2">
        <v>13.67</v>
      </c>
      <c r="H58" s="2">
        <v>28.28</v>
      </c>
      <c r="I58" s="2">
        <v>0.99</v>
      </c>
      <c r="J58" s="2">
        <v>11.5</v>
      </c>
      <c r="K58" t="s">
        <v>282</v>
      </c>
      <c r="L58">
        <v>44</v>
      </c>
    </row>
    <row r="59" spans="1:12">
      <c r="A59" s="1">
        <v>46069</v>
      </c>
      <c r="B59">
        <v>20</v>
      </c>
      <c r="C59" t="s">
        <v>99</v>
      </c>
      <c r="D59">
        <v>20</v>
      </c>
      <c r="E59" s="2">
        <v>17.190000000000001</v>
      </c>
      <c r="F59" s="2">
        <v>17</v>
      </c>
      <c r="G59" s="2">
        <v>14.67</v>
      </c>
      <c r="H59" s="2">
        <v>-8.9499999999999993</v>
      </c>
      <c r="I59" s="2">
        <v>2.11</v>
      </c>
      <c r="J59" s="2">
        <v>19</v>
      </c>
      <c r="K59" t="s">
        <v>282</v>
      </c>
      <c r="L59">
        <v>84</v>
      </c>
    </row>
    <row r="60" spans="1:12">
      <c r="A60" s="1">
        <v>46069</v>
      </c>
      <c r="B60">
        <v>20</v>
      </c>
      <c r="C60" t="s">
        <v>100</v>
      </c>
      <c r="D60">
        <v>19</v>
      </c>
      <c r="E60" s="2">
        <v>12.05</v>
      </c>
      <c r="F60" s="2">
        <v>7.5</v>
      </c>
      <c r="G60" s="2">
        <v>12.05</v>
      </c>
      <c r="H60" s="2">
        <v>-0.24</v>
      </c>
      <c r="I60" s="2">
        <v>4.18</v>
      </c>
      <c r="J60" s="2">
        <v>0.5</v>
      </c>
      <c r="K60" t="s">
        <v>282</v>
      </c>
      <c r="L60">
        <v>122</v>
      </c>
    </row>
  </sheetData>
  <conditionalFormatting sqref="E2:E15">
    <cfRule type="dataBar" priority="1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{229C7DB6-FA0C-B6C4-9E9A-010EA46D2FED}</x14:id>
        </ext>
      </extLst>
    </cfRule>
  </conditionalFormatting>
  <conditionalFormatting sqref="E2:E30">
    <cfRule type="dataBar" priority="2">
      <dataBar>
        <cfvo type="min"/>
        <cfvo type="max"/>
        <color rgb="FF70AD47"/>
      </dataBar>
    </cfRule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{B1588588-7350-34E1-3449-C21B843E2AAA}</x14:id>
        </ext>
      </extLst>
    </cfRule>
  </conditionalFormatting>
  <conditionalFormatting sqref="E2:E45">
    <cfRule type="dataBar" priority="3">
      <dataBar>
        <cfvo type="min"/>
        <cfvo type="max"/>
        <color rgb="FF70AD47"/>
      </dataBar>
    </cfRule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{360B7D09-7B98-1923-77EA-501BDBA13FDE}</x14:id>
        </ext>
      </extLst>
    </cfRule>
  </conditionalFormatting>
  <conditionalFormatting sqref="E46:E60">
    <cfRule type="dataBar" priority="4">
      <dataBar>
        <cfvo type="min"/>
        <cfvo type="max"/>
        <color rgb="FF70AD47"/>
      </dataBar>
    </cfRule>
    <cfRule type="dataBar" priority="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{871E4510-A230-ACA3-580C-C5668B1DBE98}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9C7DB6-FA0C-B6C4-9E9A-010EA46D2FED}">
            <x14:dataBar>
              <x14:cfvo type="min"/>
              <x14:cfvo type="max"/>
              <x14:negativeFillColor auto="1"/>
              <x14:axisColor auto="1"/>
            </x14:dataBar>
          </x14:cfRule>
          <xm:sqref>E2:E15</xm:sqref>
        </x14:conditionalFormatting>
        <x14:conditionalFormatting xmlns:xm="http://schemas.microsoft.com/office/excel/2006/main">
          <x14:cfRule type="dataBar" id="{B1588588-7350-34E1-3449-C21B843E2AAA}">
            <x14:dataBar>
              <x14:cfvo type="min"/>
              <x14:cfvo type="max"/>
              <x14:negativeFillColor auto="1"/>
              <x14:axisColor auto="1"/>
            </x14:dataBar>
          </x14:cfRule>
          <xm:sqref>E2:E30</xm:sqref>
        </x14:conditionalFormatting>
        <x14:conditionalFormatting xmlns:xm="http://schemas.microsoft.com/office/excel/2006/main">
          <x14:cfRule type="dataBar" id="{360B7D09-7B98-1923-77EA-501BDBA13FDE}">
            <x14:dataBar>
              <x14:cfvo type="min"/>
              <x14:cfvo type="max"/>
              <x14:negativeFillColor auto="1"/>
              <x14:axisColor auto="1"/>
            </x14:dataBar>
          </x14:cfRule>
          <xm:sqref>E2:E45</xm:sqref>
        </x14:conditionalFormatting>
        <x14:conditionalFormatting xmlns:xm="http://schemas.microsoft.com/office/excel/2006/main">
          <x14:cfRule type="dataBar" id="{871E4510-A230-ACA3-580C-C5668B1DBE98}">
            <x14:dataBar>
              <x14:cfvo type="min"/>
              <x14:cfvo type="max"/>
              <x14:negativeFillColor auto="1"/>
              <x14:axisColor auto="1"/>
            </x14:dataBar>
          </x14:cfRule>
          <xm:sqref>E46:E60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3"/>
  <sheetViews>
    <sheetView workbookViewId="0"/>
  </sheetViews>
  <sheetFormatPr defaultRowHeight="13.8"/>
  <cols>
    <col min="1" max="3" width="14" customWidth="1"/>
    <col min="4" max="4" width="19" customWidth="1"/>
    <col min="5" max="5" width="16" customWidth="1"/>
    <col min="6" max="9" width="13" customWidth="1"/>
    <col min="10" max="11" width="22" customWidth="1"/>
    <col min="12" max="12" width="24" customWidth="1"/>
    <col min="13" max="13" width="18" customWidth="1"/>
    <col min="14" max="14" width="68" customWidth="1"/>
    <col min="15" max="15" width="9" customWidth="1"/>
    <col min="16" max="16" width="31" customWidth="1"/>
  </cols>
  <sheetData>
    <row r="1" spans="1:16" ht="25.65" customHeight="1">
      <c r="A1" s="5" t="s">
        <v>1</v>
      </c>
      <c r="B1" s="5" t="s">
        <v>304</v>
      </c>
      <c r="C1" s="5" t="s">
        <v>93</v>
      </c>
      <c r="D1" s="5" t="s">
        <v>305</v>
      </c>
      <c r="E1" s="5" t="s">
        <v>312</v>
      </c>
      <c r="F1" s="5" t="s">
        <v>313</v>
      </c>
      <c r="G1" s="5" t="s">
        <v>314</v>
      </c>
      <c r="H1" s="5" t="s">
        <v>315</v>
      </c>
      <c r="I1" s="5" t="s">
        <v>316</v>
      </c>
      <c r="J1" s="5" t="s">
        <v>317</v>
      </c>
      <c r="K1" s="5" t="s">
        <v>318</v>
      </c>
      <c r="L1" s="5" t="s">
        <v>319</v>
      </c>
      <c r="M1" s="5" t="s">
        <v>320</v>
      </c>
      <c r="N1" s="5" t="s">
        <v>66</v>
      </c>
      <c r="O1" s="5" t="s">
        <v>67</v>
      </c>
      <c r="P1" s="8" t="s">
        <v>321</v>
      </c>
    </row>
    <row r="2" spans="1:16">
      <c r="A2" s="1">
        <v>45936</v>
      </c>
      <c r="B2">
        <v>1</v>
      </c>
      <c r="C2" t="s">
        <v>94</v>
      </c>
      <c r="D2">
        <v>1</v>
      </c>
      <c r="E2" s="2">
        <v>0.5</v>
      </c>
      <c r="F2" s="2">
        <v>-398.81</v>
      </c>
      <c r="G2" s="2">
        <v>398.35</v>
      </c>
      <c r="H2" s="2">
        <v>-829.27</v>
      </c>
      <c r="I2" s="2">
        <v>896.93</v>
      </c>
      <c r="J2" s="2">
        <v>0.5</v>
      </c>
      <c r="K2" s="2">
        <v>-5.59</v>
      </c>
      <c r="L2" s="2">
        <v>5.62</v>
      </c>
      <c r="M2" s="2">
        <v>5.62</v>
      </c>
      <c r="N2" t="s">
        <v>98</v>
      </c>
      <c r="O2">
        <v>6</v>
      </c>
      <c r="P2" t="s">
        <v>322</v>
      </c>
    </row>
    <row r="3" spans="1:16">
      <c r="A3" s="1">
        <v>45936</v>
      </c>
      <c r="B3">
        <v>1</v>
      </c>
      <c r="C3" t="s">
        <v>94</v>
      </c>
      <c r="D3">
        <v>1</v>
      </c>
      <c r="E3" s="2">
        <v>1</v>
      </c>
      <c r="F3" s="2">
        <v>-399.05</v>
      </c>
      <c r="G3" s="2">
        <v>399.19</v>
      </c>
      <c r="H3" s="2">
        <v>-829.59</v>
      </c>
      <c r="I3" s="2">
        <v>896.64</v>
      </c>
      <c r="J3" s="2">
        <v>0.62</v>
      </c>
      <c r="K3" s="2">
        <v>-5.16</v>
      </c>
      <c r="L3" s="2">
        <v>5.19</v>
      </c>
      <c r="M3" s="2">
        <v>5.19</v>
      </c>
      <c r="N3" t="s">
        <v>98</v>
      </c>
      <c r="O3">
        <v>6</v>
      </c>
      <c r="P3" t="s">
        <v>322</v>
      </c>
    </row>
    <row r="4" spans="1:16">
      <c r="A4" s="1">
        <v>45936</v>
      </c>
      <c r="B4">
        <v>1</v>
      </c>
      <c r="C4" t="s">
        <v>94</v>
      </c>
      <c r="D4">
        <v>1</v>
      </c>
      <c r="E4" s="2">
        <v>1.5</v>
      </c>
      <c r="F4" s="2">
        <v>-0.37</v>
      </c>
      <c r="G4" s="2">
        <v>13.94</v>
      </c>
      <c r="H4" s="2">
        <v>-263.64999999999998</v>
      </c>
      <c r="I4" s="2">
        <v>286.2</v>
      </c>
      <c r="J4" s="2">
        <v>0.78</v>
      </c>
      <c r="K4" s="2">
        <v>-5.12</v>
      </c>
      <c r="L4" s="2">
        <v>5.18</v>
      </c>
      <c r="M4" s="2">
        <v>5.18</v>
      </c>
      <c r="N4" t="s">
        <v>98</v>
      </c>
      <c r="O4">
        <v>6</v>
      </c>
      <c r="P4" t="s">
        <v>322</v>
      </c>
    </row>
    <row r="5" spans="1:16">
      <c r="A5" s="1">
        <v>45936</v>
      </c>
      <c r="B5">
        <v>1</v>
      </c>
      <c r="C5" t="s">
        <v>94</v>
      </c>
      <c r="D5">
        <v>1</v>
      </c>
      <c r="E5" s="2">
        <v>2</v>
      </c>
      <c r="F5" s="2">
        <v>-2.59</v>
      </c>
      <c r="G5" s="2">
        <v>12.53</v>
      </c>
      <c r="H5" s="2">
        <v>-230.31</v>
      </c>
      <c r="I5" s="2">
        <v>243.1</v>
      </c>
      <c r="J5" s="2">
        <v>0.78</v>
      </c>
      <c r="K5" s="2">
        <v>-5.03</v>
      </c>
      <c r="L5" s="2">
        <v>5.09</v>
      </c>
      <c r="M5" s="2">
        <v>5.09</v>
      </c>
      <c r="N5" t="s">
        <v>98</v>
      </c>
      <c r="O5">
        <v>6</v>
      </c>
      <c r="P5" t="s">
        <v>322</v>
      </c>
    </row>
    <row r="6" spans="1:16">
      <c r="A6" s="1">
        <v>45936</v>
      </c>
      <c r="B6">
        <v>1</v>
      </c>
      <c r="C6" t="s">
        <v>94</v>
      </c>
      <c r="D6">
        <v>1</v>
      </c>
      <c r="E6" s="2">
        <v>2.5</v>
      </c>
      <c r="F6" s="2">
        <v>25.17</v>
      </c>
      <c r="G6" s="2">
        <v>-16.420000000000002</v>
      </c>
      <c r="H6" s="2">
        <v>-210.22</v>
      </c>
      <c r="I6" s="2">
        <v>223.91</v>
      </c>
      <c r="J6" s="2">
        <v>0.86</v>
      </c>
      <c r="K6" s="2">
        <v>-4.9800000000000004</v>
      </c>
      <c r="L6" s="2">
        <v>5.0599999999999996</v>
      </c>
      <c r="M6" s="2">
        <v>5.0599999999999996</v>
      </c>
      <c r="N6" t="s">
        <v>98</v>
      </c>
      <c r="O6">
        <v>6</v>
      </c>
      <c r="P6" t="s">
        <v>322</v>
      </c>
    </row>
    <row r="7" spans="1:16">
      <c r="A7" s="1">
        <v>45936</v>
      </c>
      <c r="B7">
        <v>1</v>
      </c>
      <c r="C7" t="s">
        <v>94</v>
      </c>
      <c r="D7">
        <v>1</v>
      </c>
      <c r="E7" s="2">
        <v>3</v>
      </c>
      <c r="F7" s="2">
        <v>8.8699999999999992</v>
      </c>
      <c r="G7" s="2">
        <v>3.96</v>
      </c>
      <c r="H7" s="2">
        <v>-155.63999999999999</v>
      </c>
      <c r="I7" s="2">
        <v>157.55000000000001</v>
      </c>
      <c r="J7" s="2">
        <v>0.93</v>
      </c>
      <c r="K7" s="2">
        <v>-5.14</v>
      </c>
      <c r="L7" s="2">
        <v>5.22</v>
      </c>
      <c r="M7" s="2">
        <v>5.22</v>
      </c>
      <c r="N7" t="s">
        <v>98</v>
      </c>
      <c r="O7">
        <v>6</v>
      </c>
      <c r="P7" t="s">
        <v>322</v>
      </c>
    </row>
    <row r="8" spans="1:16">
      <c r="A8" s="1">
        <v>45936</v>
      </c>
      <c r="B8">
        <v>1</v>
      </c>
      <c r="C8" t="s">
        <v>94</v>
      </c>
      <c r="D8">
        <v>1</v>
      </c>
      <c r="E8" s="2">
        <v>3.5</v>
      </c>
      <c r="F8" s="2">
        <v>-8.0299999999999994</v>
      </c>
      <c r="G8" s="2">
        <v>18.100000000000001</v>
      </c>
      <c r="H8" s="2">
        <v>-95.06</v>
      </c>
      <c r="I8" s="2">
        <v>92.17</v>
      </c>
      <c r="J8" s="2">
        <v>0.91</v>
      </c>
      <c r="K8" s="2">
        <v>-5.17</v>
      </c>
      <c r="L8" s="2">
        <v>5.25</v>
      </c>
      <c r="M8" s="2">
        <v>5.25</v>
      </c>
      <c r="N8" t="s">
        <v>98</v>
      </c>
      <c r="O8">
        <v>6</v>
      </c>
      <c r="P8" t="s">
        <v>322</v>
      </c>
    </row>
    <row r="9" spans="1:16">
      <c r="A9" s="1">
        <v>45936</v>
      </c>
      <c r="B9">
        <v>1</v>
      </c>
      <c r="C9" t="s">
        <v>94</v>
      </c>
      <c r="D9">
        <v>1</v>
      </c>
      <c r="E9" s="2">
        <v>4</v>
      </c>
      <c r="F9" s="2">
        <v>61.07</v>
      </c>
      <c r="G9" s="2">
        <v>-52.91</v>
      </c>
      <c r="H9" s="2">
        <v>-65.510000000000005</v>
      </c>
      <c r="I9" s="2">
        <v>54.3</v>
      </c>
      <c r="J9" s="2">
        <v>0.93</v>
      </c>
      <c r="K9" s="2">
        <v>-4.88</v>
      </c>
      <c r="L9" s="2">
        <v>4.97</v>
      </c>
      <c r="M9" s="2">
        <v>4.97</v>
      </c>
      <c r="N9" t="s">
        <v>98</v>
      </c>
      <c r="O9">
        <v>6</v>
      </c>
      <c r="P9" t="s">
        <v>322</v>
      </c>
    </row>
    <row r="10" spans="1:16">
      <c r="A10" s="1">
        <v>45936</v>
      </c>
      <c r="B10">
        <v>1</v>
      </c>
      <c r="C10" t="s">
        <v>94</v>
      </c>
      <c r="D10">
        <v>1</v>
      </c>
      <c r="E10" s="2">
        <v>4.5</v>
      </c>
      <c r="F10" s="2">
        <v>51.83</v>
      </c>
      <c r="G10" s="2">
        <v>-43.23</v>
      </c>
      <c r="H10" s="2">
        <v>-30.54</v>
      </c>
      <c r="I10" s="2">
        <v>21.25</v>
      </c>
      <c r="J10" s="2">
        <v>0.98</v>
      </c>
      <c r="K10" s="2">
        <v>-4.6399999999999997</v>
      </c>
      <c r="L10" s="2">
        <v>4.74</v>
      </c>
      <c r="M10" s="2">
        <v>4.74</v>
      </c>
      <c r="N10" t="s">
        <v>98</v>
      </c>
      <c r="O10">
        <v>6</v>
      </c>
      <c r="P10" t="s">
        <v>322</v>
      </c>
    </row>
    <row r="11" spans="1:16">
      <c r="A11" s="1">
        <v>45936</v>
      </c>
      <c r="B11">
        <v>1</v>
      </c>
      <c r="C11" t="s">
        <v>94</v>
      </c>
      <c r="D11">
        <v>1</v>
      </c>
      <c r="E11" s="2">
        <v>5</v>
      </c>
      <c r="F11" s="2">
        <v>0.51</v>
      </c>
      <c r="G11" s="2">
        <v>8.09</v>
      </c>
      <c r="H11" s="2">
        <v>21.61</v>
      </c>
      <c r="I11" s="2">
        <v>-33.31</v>
      </c>
      <c r="J11" s="2">
        <v>1.03</v>
      </c>
      <c r="K11" s="2">
        <v>-4.46</v>
      </c>
      <c r="L11" s="2">
        <v>4.57</v>
      </c>
      <c r="M11" s="2">
        <v>4.57</v>
      </c>
      <c r="N11" t="s">
        <v>98</v>
      </c>
      <c r="O11">
        <v>6</v>
      </c>
      <c r="P11" t="s">
        <v>322</v>
      </c>
    </row>
    <row r="12" spans="1:16">
      <c r="A12" s="1">
        <v>45936</v>
      </c>
      <c r="B12">
        <v>1</v>
      </c>
      <c r="C12" t="s">
        <v>94</v>
      </c>
      <c r="D12">
        <v>1</v>
      </c>
      <c r="E12" s="2">
        <v>5.5</v>
      </c>
      <c r="F12" s="2">
        <v>-1.1200000000000001</v>
      </c>
      <c r="G12" s="2">
        <v>9.82</v>
      </c>
      <c r="H12" s="2">
        <v>11.05</v>
      </c>
      <c r="I12" s="2">
        <v>-17.170000000000002</v>
      </c>
      <c r="J12" s="2">
        <v>1.07</v>
      </c>
      <c r="K12" s="2">
        <v>-4.1900000000000004</v>
      </c>
      <c r="L12" s="2">
        <v>4.32</v>
      </c>
      <c r="M12" s="2">
        <v>4.32</v>
      </c>
      <c r="N12" t="s">
        <v>98</v>
      </c>
      <c r="O12">
        <v>6</v>
      </c>
      <c r="P12" t="s">
        <v>322</v>
      </c>
    </row>
    <row r="13" spans="1:16">
      <c r="A13" s="1">
        <v>45936</v>
      </c>
      <c r="B13">
        <v>1</v>
      </c>
      <c r="C13" t="s">
        <v>94</v>
      </c>
      <c r="D13">
        <v>1</v>
      </c>
      <c r="E13" s="2">
        <v>6</v>
      </c>
      <c r="F13" s="2">
        <v>14.28</v>
      </c>
      <c r="G13" s="2">
        <v>-6.19</v>
      </c>
      <c r="H13" s="2">
        <v>-28.37</v>
      </c>
      <c r="I13" s="2">
        <v>30.11</v>
      </c>
      <c r="J13" s="2">
        <v>1.0900000000000001</v>
      </c>
      <c r="K13" s="2">
        <v>-4.07</v>
      </c>
      <c r="L13" s="2">
        <v>4.21</v>
      </c>
      <c r="M13" s="2">
        <v>4.21</v>
      </c>
      <c r="N13" t="s">
        <v>98</v>
      </c>
      <c r="O13">
        <v>6</v>
      </c>
      <c r="P13" t="s">
        <v>322</v>
      </c>
    </row>
    <row r="14" spans="1:16">
      <c r="A14" s="1">
        <v>45936</v>
      </c>
      <c r="B14">
        <v>1</v>
      </c>
      <c r="C14" t="s">
        <v>94</v>
      </c>
      <c r="D14">
        <v>1</v>
      </c>
      <c r="E14" s="2">
        <v>6.5</v>
      </c>
      <c r="F14" s="2">
        <v>33.1</v>
      </c>
      <c r="G14" s="2">
        <v>-23.01</v>
      </c>
      <c r="H14" s="2">
        <v>-51.4</v>
      </c>
      <c r="I14" s="2">
        <v>49.84</v>
      </c>
      <c r="J14" s="2">
        <v>1.0900000000000001</v>
      </c>
      <c r="K14" s="2">
        <v>-3.85</v>
      </c>
      <c r="L14" s="2">
        <v>4</v>
      </c>
      <c r="M14" s="2">
        <v>4</v>
      </c>
      <c r="N14" t="s">
        <v>98</v>
      </c>
      <c r="O14">
        <v>6</v>
      </c>
      <c r="P14" t="s">
        <v>322</v>
      </c>
    </row>
    <row r="15" spans="1:16">
      <c r="A15" s="1">
        <v>45936</v>
      </c>
      <c r="B15">
        <v>1</v>
      </c>
      <c r="C15" t="s">
        <v>94</v>
      </c>
      <c r="D15">
        <v>1</v>
      </c>
      <c r="E15" s="2">
        <v>7</v>
      </c>
      <c r="F15" s="2">
        <v>104.33</v>
      </c>
      <c r="G15" s="2">
        <v>-98.3</v>
      </c>
      <c r="H15" s="2">
        <v>-35.43</v>
      </c>
      <c r="I15" s="2">
        <v>44.18</v>
      </c>
      <c r="J15" s="2">
        <v>1.04</v>
      </c>
      <c r="K15" s="2">
        <v>-3.58</v>
      </c>
      <c r="L15" s="2">
        <v>3.72</v>
      </c>
      <c r="M15" s="2">
        <v>3.72</v>
      </c>
      <c r="N15" t="s">
        <v>98</v>
      </c>
      <c r="O15">
        <v>6</v>
      </c>
      <c r="P15" t="s">
        <v>322</v>
      </c>
    </row>
    <row r="16" spans="1:16">
      <c r="A16" s="1">
        <v>45936</v>
      </c>
      <c r="B16">
        <v>1</v>
      </c>
      <c r="C16" t="s">
        <v>94</v>
      </c>
      <c r="D16">
        <v>1</v>
      </c>
      <c r="E16" s="2">
        <v>7.5</v>
      </c>
      <c r="F16" s="2">
        <v>68.55</v>
      </c>
      <c r="G16" s="2">
        <v>-63.6</v>
      </c>
      <c r="H16" s="2">
        <v>-31.53</v>
      </c>
      <c r="I16" s="2">
        <v>31.68</v>
      </c>
      <c r="J16" s="2">
        <v>1.04</v>
      </c>
      <c r="K16" s="2">
        <v>-3.27</v>
      </c>
      <c r="L16" s="2">
        <v>3.43</v>
      </c>
      <c r="M16" s="2">
        <v>3.43</v>
      </c>
      <c r="N16" t="s">
        <v>98</v>
      </c>
      <c r="O16">
        <v>6</v>
      </c>
      <c r="P16" t="s">
        <v>322</v>
      </c>
    </row>
    <row r="17" spans="1:16">
      <c r="A17" s="1">
        <v>45936</v>
      </c>
      <c r="B17">
        <v>1</v>
      </c>
      <c r="C17" t="s">
        <v>94</v>
      </c>
      <c r="D17">
        <v>1</v>
      </c>
      <c r="E17" s="2">
        <v>8</v>
      </c>
      <c r="F17" s="2">
        <v>46.38</v>
      </c>
      <c r="G17" s="2">
        <v>-38.22</v>
      </c>
      <c r="H17" s="2">
        <v>-24.58</v>
      </c>
      <c r="I17" s="2">
        <v>17.989999999999998</v>
      </c>
      <c r="J17" s="2">
        <v>1.02</v>
      </c>
      <c r="K17" s="2">
        <v>-2.89</v>
      </c>
      <c r="L17" s="2">
        <v>3.07</v>
      </c>
      <c r="M17" s="2">
        <v>3.07</v>
      </c>
      <c r="N17" t="s">
        <v>98</v>
      </c>
      <c r="O17">
        <v>6</v>
      </c>
      <c r="P17" t="s">
        <v>322</v>
      </c>
    </row>
    <row r="18" spans="1:16">
      <c r="A18" s="1">
        <v>45936</v>
      </c>
      <c r="B18">
        <v>1</v>
      </c>
      <c r="C18" t="s">
        <v>94</v>
      </c>
      <c r="D18">
        <v>1</v>
      </c>
      <c r="E18" s="2">
        <v>8.5</v>
      </c>
      <c r="F18" s="2">
        <v>6.34</v>
      </c>
      <c r="G18" s="2">
        <v>0.37</v>
      </c>
      <c r="H18" s="2">
        <v>1.26</v>
      </c>
      <c r="I18" s="2">
        <v>1.7</v>
      </c>
      <c r="J18" s="2">
        <v>1.01</v>
      </c>
      <c r="K18" s="2">
        <v>-2.57</v>
      </c>
      <c r="L18" s="2">
        <v>2.76</v>
      </c>
      <c r="M18" s="2">
        <v>2.76</v>
      </c>
      <c r="N18" t="s">
        <v>98</v>
      </c>
      <c r="O18">
        <v>6</v>
      </c>
      <c r="P18" t="s">
        <v>322</v>
      </c>
    </row>
    <row r="19" spans="1:16">
      <c r="A19" s="1">
        <v>45936</v>
      </c>
      <c r="B19">
        <v>1</v>
      </c>
      <c r="C19" t="s">
        <v>94</v>
      </c>
      <c r="D19">
        <v>1</v>
      </c>
      <c r="E19" s="2">
        <v>9</v>
      </c>
      <c r="F19" s="2">
        <v>-40.24</v>
      </c>
      <c r="G19" s="2">
        <v>48.07</v>
      </c>
      <c r="H19" s="2">
        <v>12.22</v>
      </c>
      <c r="I19" s="2">
        <v>-16.850000000000001</v>
      </c>
      <c r="J19" s="2">
        <v>0.98</v>
      </c>
      <c r="K19" s="2">
        <v>-2.29</v>
      </c>
      <c r="L19" s="2">
        <v>2.4900000000000002</v>
      </c>
      <c r="M19" s="2">
        <v>2.4900000000000002</v>
      </c>
      <c r="N19" t="s">
        <v>98</v>
      </c>
      <c r="O19">
        <v>6</v>
      </c>
      <c r="P19" t="s">
        <v>322</v>
      </c>
    </row>
    <row r="20" spans="1:16">
      <c r="A20" s="1">
        <v>45936</v>
      </c>
      <c r="B20">
        <v>1</v>
      </c>
      <c r="C20" t="s">
        <v>94</v>
      </c>
      <c r="D20">
        <v>1</v>
      </c>
      <c r="E20" s="2">
        <v>9.5</v>
      </c>
      <c r="F20" s="2">
        <v>-105.7</v>
      </c>
      <c r="G20" s="2">
        <v>110.64</v>
      </c>
      <c r="H20" s="2">
        <v>16.22</v>
      </c>
      <c r="I20" s="2">
        <v>-22.49</v>
      </c>
      <c r="J20" s="2">
        <v>0.97</v>
      </c>
      <c r="K20" s="2">
        <v>-2.08</v>
      </c>
      <c r="L20" s="2">
        <v>2.29</v>
      </c>
      <c r="M20" s="2">
        <v>2.29</v>
      </c>
      <c r="N20" t="s">
        <v>98</v>
      </c>
      <c r="O20">
        <v>6</v>
      </c>
      <c r="P20" t="s">
        <v>322</v>
      </c>
    </row>
    <row r="21" spans="1:16">
      <c r="A21" s="1">
        <v>45936</v>
      </c>
      <c r="B21">
        <v>1</v>
      </c>
      <c r="C21" t="s">
        <v>94</v>
      </c>
      <c r="D21">
        <v>1</v>
      </c>
      <c r="E21" s="2">
        <v>10</v>
      </c>
      <c r="F21" s="2">
        <v>-193.57</v>
      </c>
      <c r="G21" s="2">
        <v>202.65</v>
      </c>
      <c r="H21" s="2">
        <v>-45.1</v>
      </c>
      <c r="I21" s="2">
        <v>42.97</v>
      </c>
      <c r="J21" s="2">
        <v>0.91</v>
      </c>
      <c r="K21" s="2">
        <v>-2.16</v>
      </c>
      <c r="L21" s="2">
        <v>2.34</v>
      </c>
      <c r="M21" s="2">
        <v>2.34</v>
      </c>
      <c r="N21" t="s">
        <v>98</v>
      </c>
      <c r="O21">
        <v>6</v>
      </c>
      <c r="P21" t="s">
        <v>322</v>
      </c>
    </row>
    <row r="22" spans="1:16">
      <c r="A22" s="1">
        <v>45936</v>
      </c>
      <c r="B22">
        <v>1</v>
      </c>
      <c r="C22" t="s">
        <v>94</v>
      </c>
      <c r="D22">
        <v>1</v>
      </c>
      <c r="E22" s="2">
        <v>10.5</v>
      </c>
      <c r="F22" s="2">
        <v>-190.7</v>
      </c>
      <c r="G22" s="2">
        <v>199.31</v>
      </c>
      <c r="H22" s="2">
        <v>-35.770000000000003</v>
      </c>
      <c r="I22" s="2">
        <v>41.74</v>
      </c>
      <c r="J22" s="2">
        <v>0.85</v>
      </c>
      <c r="K22" s="2">
        <v>-2.1</v>
      </c>
      <c r="L22" s="2">
        <v>2.27</v>
      </c>
      <c r="M22" s="2">
        <v>2.27</v>
      </c>
      <c r="N22" t="s">
        <v>98</v>
      </c>
      <c r="O22">
        <v>6</v>
      </c>
      <c r="P22" t="s">
        <v>322</v>
      </c>
    </row>
    <row r="23" spans="1:16">
      <c r="A23" s="1">
        <v>45936</v>
      </c>
      <c r="B23">
        <v>1</v>
      </c>
      <c r="C23" t="s">
        <v>94</v>
      </c>
      <c r="D23">
        <v>1</v>
      </c>
      <c r="E23" s="2">
        <v>11</v>
      </c>
      <c r="F23" s="2">
        <v>-168.43</v>
      </c>
      <c r="G23" s="2">
        <v>172.14</v>
      </c>
      <c r="H23" s="2">
        <v>13.19</v>
      </c>
      <c r="I23" s="2">
        <v>-0.69</v>
      </c>
      <c r="J23" s="2">
        <v>0.83</v>
      </c>
      <c r="K23" s="2">
        <v>-2.08</v>
      </c>
      <c r="L23" s="2">
        <v>2.2400000000000002</v>
      </c>
      <c r="M23" s="2">
        <v>2.2400000000000002</v>
      </c>
      <c r="N23" t="s">
        <v>98</v>
      </c>
      <c r="O23">
        <v>6</v>
      </c>
      <c r="P23" t="s">
        <v>322</v>
      </c>
    </row>
    <row r="24" spans="1:16">
      <c r="A24" s="1">
        <v>45936</v>
      </c>
      <c r="B24">
        <v>1</v>
      </c>
      <c r="C24" t="s">
        <v>94</v>
      </c>
      <c r="D24">
        <v>1</v>
      </c>
      <c r="E24" s="2">
        <v>11.5</v>
      </c>
      <c r="F24" s="2">
        <v>-73.94</v>
      </c>
      <c r="G24" s="2">
        <v>80.290000000000006</v>
      </c>
      <c r="H24" s="2">
        <v>20.22</v>
      </c>
      <c r="I24" s="2">
        <v>-18.46</v>
      </c>
      <c r="J24" s="2">
        <v>0.81</v>
      </c>
      <c r="K24" s="2">
        <v>-2.04</v>
      </c>
      <c r="L24" s="2">
        <v>2.19</v>
      </c>
      <c r="M24" s="2">
        <v>2.19</v>
      </c>
      <c r="N24" t="s">
        <v>98</v>
      </c>
      <c r="O24">
        <v>6</v>
      </c>
      <c r="P24" t="s">
        <v>322</v>
      </c>
    </row>
    <row r="25" spans="1:16">
      <c r="A25" s="1">
        <v>45936</v>
      </c>
      <c r="B25">
        <v>1</v>
      </c>
      <c r="C25" t="s">
        <v>94</v>
      </c>
      <c r="D25">
        <v>1</v>
      </c>
      <c r="E25" s="2">
        <v>12</v>
      </c>
      <c r="F25" s="2">
        <v>-143.59</v>
      </c>
      <c r="G25" s="2">
        <v>153.94999999999999</v>
      </c>
      <c r="H25" s="2">
        <v>-8.39</v>
      </c>
      <c r="I25" s="2">
        <v>8.9499999999999993</v>
      </c>
      <c r="J25" s="2">
        <v>0.79</v>
      </c>
      <c r="K25" s="2">
        <v>-1.83</v>
      </c>
      <c r="L25" s="2">
        <v>1.99</v>
      </c>
      <c r="M25" s="2">
        <v>1.99</v>
      </c>
      <c r="N25" t="s">
        <v>98</v>
      </c>
      <c r="O25">
        <v>6</v>
      </c>
      <c r="P25" t="s">
        <v>322</v>
      </c>
    </row>
    <row r="26" spans="1:16">
      <c r="A26" s="1">
        <v>45936</v>
      </c>
      <c r="B26">
        <v>1</v>
      </c>
      <c r="C26" t="s">
        <v>94</v>
      </c>
      <c r="D26">
        <v>1</v>
      </c>
      <c r="E26" s="2">
        <v>12.5</v>
      </c>
      <c r="F26" s="2">
        <v>-132.19</v>
      </c>
      <c r="G26" s="2">
        <v>137.51</v>
      </c>
      <c r="H26" s="2">
        <v>52.7</v>
      </c>
      <c r="I26" s="2">
        <v>-53.13</v>
      </c>
      <c r="J26" s="2">
        <v>0.78</v>
      </c>
      <c r="K26" s="2">
        <v>-1.84</v>
      </c>
      <c r="L26" s="2">
        <v>1.99</v>
      </c>
      <c r="M26" s="2">
        <v>1.99</v>
      </c>
      <c r="N26" t="s">
        <v>98</v>
      </c>
      <c r="O26">
        <v>6</v>
      </c>
      <c r="P26" t="s">
        <v>322</v>
      </c>
    </row>
    <row r="27" spans="1:16">
      <c r="A27" s="1">
        <v>45936</v>
      </c>
      <c r="B27">
        <v>1</v>
      </c>
      <c r="C27" t="s">
        <v>94</v>
      </c>
      <c r="D27">
        <v>1</v>
      </c>
      <c r="E27" s="2">
        <v>13</v>
      </c>
      <c r="F27" s="2">
        <v>-56.73</v>
      </c>
      <c r="G27" s="2">
        <v>64.510000000000005</v>
      </c>
      <c r="H27" s="2">
        <v>53.03</v>
      </c>
      <c r="I27" s="2">
        <v>-34.729999999999997</v>
      </c>
      <c r="J27" s="2">
        <v>0.77</v>
      </c>
      <c r="K27" s="2">
        <v>-1.74</v>
      </c>
      <c r="L27" s="2">
        <v>1.9</v>
      </c>
      <c r="M27" s="2">
        <v>1.9</v>
      </c>
      <c r="N27" t="s">
        <v>98</v>
      </c>
      <c r="O27">
        <v>6</v>
      </c>
      <c r="P27" t="s">
        <v>322</v>
      </c>
    </row>
    <row r="28" spans="1:16">
      <c r="A28" s="1">
        <v>45936</v>
      </c>
      <c r="B28">
        <v>1</v>
      </c>
      <c r="C28" t="s">
        <v>94</v>
      </c>
      <c r="D28">
        <v>1</v>
      </c>
      <c r="E28" s="2">
        <v>13.5</v>
      </c>
      <c r="F28" s="2">
        <v>-41.56</v>
      </c>
      <c r="G28" s="2">
        <v>48.85</v>
      </c>
      <c r="H28" s="2">
        <v>66.09</v>
      </c>
      <c r="I28" s="2">
        <v>-56.67</v>
      </c>
      <c r="J28" s="2">
        <v>0.72</v>
      </c>
      <c r="K28" s="2">
        <v>-1.76</v>
      </c>
      <c r="L28" s="2">
        <v>1.9</v>
      </c>
      <c r="M28" s="2">
        <v>1.9</v>
      </c>
      <c r="N28" t="s">
        <v>98</v>
      </c>
      <c r="O28">
        <v>6</v>
      </c>
      <c r="P28" t="s">
        <v>322</v>
      </c>
    </row>
    <row r="29" spans="1:16">
      <c r="A29" s="1">
        <v>45936</v>
      </c>
      <c r="B29">
        <v>1</v>
      </c>
      <c r="C29" t="s">
        <v>94</v>
      </c>
      <c r="D29">
        <v>1</v>
      </c>
      <c r="E29" s="2">
        <v>14</v>
      </c>
      <c r="F29" s="2">
        <v>-40.03</v>
      </c>
      <c r="G29" s="2">
        <v>45.95</v>
      </c>
      <c r="H29" s="2">
        <v>89.17</v>
      </c>
      <c r="I29" s="2">
        <v>-77.400000000000006</v>
      </c>
      <c r="J29" s="2">
        <v>0.62</v>
      </c>
      <c r="K29" s="2">
        <v>-1.77</v>
      </c>
      <c r="L29" s="2">
        <v>1.88</v>
      </c>
      <c r="M29" s="2">
        <v>1.88</v>
      </c>
      <c r="N29" t="s">
        <v>98</v>
      </c>
      <c r="O29">
        <v>6</v>
      </c>
      <c r="P29" t="s">
        <v>322</v>
      </c>
    </row>
    <row r="30" spans="1:16">
      <c r="A30" s="1">
        <v>45936</v>
      </c>
      <c r="B30">
        <v>1</v>
      </c>
      <c r="C30" t="s">
        <v>94</v>
      </c>
      <c r="D30">
        <v>1</v>
      </c>
      <c r="E30" s="2">
        <v>14.5</v>
      </c>
      <c r="F30" s="2">
        <v>-31.79</v>
      </c>
      <c r="G30" s="2">
        <v>37.93</v>
      </c>
      <c r="H30" s="2">
        <v>115.62</v>
      </c>
      <c r="I30" s="2">
        <v>-99.08</v>
      </c>
      <c r="J30" s="2">
        <v>0.53</v>
      </c>
      <c r="K30" s="2">
        <v>-1.85</v>
      </c>
      <c r="L30" s="2">
        <v>1.92</v>
      </c>
      <c r="M30" s="2">
        <v>1.92</v>
      </c>
      <c r="N30" t="s">
        <v>98</v>
      </c>
      <c r="O30">
        <v>6</v>
      </c>
      <c r="P30" t="s">
        <v>322</v>
      </c>
    </row>
    <row r="31" spans="1:16">
      <c r="A31" s="1">
        <v>45936</v>
      </c>
      <c r="B31">
        <v>1</v>
      </c>
      <c r="C31" t="s">
        <v>94</v>
      </c>
      <c r="D31">
        <v>1</v>
      </c>
      <c r="E31" s="2">
        <v>15</v>
      </c>
      <c r="F31" s="2">
        <v>-2.68</v>
      </c>
      <c r="G31" s="2">
        <v>19.649999999999999</v>
      </c>
      <c r="H31" s="2">
        <v>126.3</v>
      </c>
      <c r="I31" s="2">
        <v>-125.4</v>
      </c>
      <c r="J31" s="2">
        <v>0.44</v>
      </c>
      <c r="K31" s="2">
        <v>-1.83</v>
      </c>
      <c r="L31" s="2">
        <v>1.88</v>
      </c>
      <c r="M31" s="2">
        <v>1.88</v>
      </c>
      <c r="N31" t="s">
        <v>98</v>
      </c>
      <c r="O31">
        <v>6</v>
      </c>
      <c r="P31" t="s">
        <v>322</v>
      </c>
    </row>
    <row r="32" spans="1:16">
      <c r="A32" s="1">
        <v>45936</v>
      </c>
      <c r="B32">
        <v>1</v>
      </c>
      <c r="C32" t="s">
        <v>94</v>
      </c>
      <c r="D32">
        <v>1</v>
      </c>
      <c r="E32" s="2">
        <v>15.5</v>
      </c>
      <c r="F32" s="2">
        <v>-17.04</v>
      </c>
      <c r="G32" s="2">
        <v>19.46</v>
      </c>
      <c r="H32" s="2">
        <v>147.44999999999999</v>
      </c>
      <c r="I32" s="2">
        <v>-125.33</v>
      </c>
      <c r="J32" s="2">
        <v>0.27</v>
      </c>
      <c r="K32" s="2">
        <v>-1.69</v>
      </c>
      <c r="L32" s="2">
        <v>1.71</v>
      </c>
      <c r="M32" s="2">
        <v>1.71</v>
      </c>
      <c r="N32" t="s">
        <v>98</v>
      </c>
      <c r="O32">
        <v>6</v>
      </c>
      <c r="P32" t="s">
        <v>322</v>
      </c>
    </row>
    <row r="33" spans="1:16">
      <c r="A33" s="1">
        <v>45936</v>
      </c>
      <c r="B33">
        <v>1</v>
      </c>
      <c r="C33" t="s">
        <v>94</v>
      </c>
      <c r="D33">
        <v>1</v>
      </c>
      <c r="E33" s="2">
        <v>16</v>
      </c>
      <c r="F33" s="2">
        <v>-16.21</v>
      </c>
      <c r="G33" s="2">
        <v>21.49</v>
      </c>
      <c r="H33" s="2">
        <v>-13.48</v>
      </c>
      <c r="I33" s="2">
        <v>32.01</v>
      </c>
      <c r="J33" s="2">
        <v>0.13</v>
      </c>
      <c r="K33" s="2">
        <v>-1.69</v>
      </c>
      <c r="L33" s="2">
        <v>1.69</v>
      </c>
      <c r="M33" s="2">
        <v>1.69</v>
      </c>
      <c r="N33" t="s">
        <v>98</v>
      </c>
      <c r="O33">
        <v>6</v>
      </c>
      <c r="P33" t="s">
        <v>322</v>
      </c>
    </row>
    <row r="34" spans="1:16">
      <c r="A34" s="1">
        <v>45936</v>
      </c>
      <c r="B34">
        <v>1</v>
      </c>
      <c r="C34" t="s">
        <v>94</v>
      </c>
      <c r="D34">
        <v>1</v>
      </c>
      <c r="E34" s="2">
        <v>16.5</v>
      </c>
      <c r="F34" s="2">
        <v>3.84</v>
      </c>
      <c r="G34" s="2">
        <v>1.27</v>
      </c>
      <c r="H34" s="2">
        <v>-9.83</v>
      </c>
      <c r="I34" s="2">
        <v>22.45</v>
      </c>
      <c r="J34" s="2">
        <v>0.13</v>
      </c>
      <c r="K34" s="2">
        <v>-1.46</v>
      </c>
      <c r="L34" s="2">
        <v>1.46</v>
      </c>
      <c r="M34" s="2">
        <v>1.46</v>
      </c>
      <c r="N34" t="s">
        <v>98</v>
      </c>
      <c r="O34">
        <v>6</v>
      </c>
      <c r="P34" t="s">
        <v>322</v>
      </c>
    </row>
    <row r="35" spans="1:16">
      <c r="A35" s="1">
        <v>45936</v>
      </c>
      <c r="B35">
        <v>1</v>
      </c>
      <c r="C35" t="s">
        <v>94</v>
      </c>
      <c r="D35">
        <v>1</v>
      </c>
      <c r="E35" s="2">
        <v>17</v>
      </c>
      <c r="F35" s="2">
        <v>16.88</v>
      </c>
      <c r="G35" s="2">
        <v>-12.02</v>
      </c>
      <c r="H35" s="2">
        <v>6.7</v>
      </c>
      <c r="I35" s="2">
        <v>-0.54</v>
      </c>
      <c r="J35" s="2">
        <v>0.13</v>
      </c>
      <c r="K35" s="2">
        <v>-1.45</v>
      </c>
      <c r="L35" s="2">
        <v>1.45</v>
      </c>
      <c r="M35" s="2">
        <v>1.45</v>
      </c>
      <c r="N35" t="s">
        <v>98</v>
      </c>
      <c r="O35">
        <v>6</v>
      </c>
      <c r="P35" t="s">
        <v>322</v>
      </c>
    </row>
    <row r="36" spans="1:16">
      <c r="A36" s="1">
        <v>45936</v>
      </c>
      <c r="B36">
        <v>1</v>
      </c>
      <c r="C36" t="s">
        <v>94</v>
      </c>
      <c r="D36">
        <v>1</v>
      </c>
      <c r="E36" s="2">
        <v>17.5</v>
      </c>
      <c r="F36" s="2">
        <v>-12</v>
      </c>
      <c r="G36" s="2">
        <v>16.41</v>
      </c>
      <c r="H36" s="2">
        <v>37.619999999999997</v>
      </c>
      <c r="I36" s="2">
        <v>-26.51</v>
      </c>
      <c r="J36" s="2">
        <v>0.11</v>
      </c>
      <c r="K36" s="2">
        <v>-1.28</v>
      </c>
      <c r="L36" s="2">
        <v>1.29</v>
      </c>
      <c r="M36" s="2">
        <v>1.29</v>
      </c>
      <c r="N36" t="s">
        <v>98</v>
      </c>
      <c r="O36">
        <v>6</v>
      </c>
      <c r="P36" t="s">
        <v>322</v>
      </c>
    </row>
    <row r="37" spans="1:16">
      <c r="A37" s="1">
        <v>45936</v>
      </c>
      <c r="B37">
        <v>1</v>
      </c>
      <c r="C37" t="s">
        <v>94</v>
      </c>
      <c r="D37">
        <v>1</v>
      </c>
      <c r="E37" s="2">
        <v>18</v>
      </c>
      <c r="F37" s="2">
        <v>-32.17</v>
      </c>
      <c r="G37" s="2">
        <v>35.43</v>
      </c>
      <c r="H37" s="2">
        <v>53.67</v>
      </c>
      <c r="I37" s="2">
        <v>-37.58</v>
      </c>
      <c r="J37" s="2">
        <v>0.1</v>
      </c>
      <c r="K37" s="2">
        <v>-1.29</v>
      </c>
      <c r="L37" s="2">
        <v>1.3</v>
      </c>
      <c r="M37" s="2">
        <v>1.3</v>
      </c>
      <c r="N37" t="s">
        <v>98</v>
      </c>
      <c r="O37">
        <v>6</v>
      </c>
      <c r="P37" t="s">
        <v>322</v>
      </c>
    </row>
    <row r="38" spans="1:16">
      <c r="A38" s="1">
        <v>45936</v>
      </c>
      <c r="B38">
        <v>1</v>
      </c>
      <c r="C38" t="s">
        <v>94</v>
      </c>
      <c r="D38">
        <v>1</v>
      </c>
      <c r="E38" s="2">
        <v>18.5</v>
      </c>
      <c r="F38" s="2">
        <v>-35.06</v>
      </c>
      <c r="G38" s="2">
        <v>46.26</v>
      </c>
      <c r="H38" s="2">
        <v>75.84</v>
      </c>
      <c r="I38" s="2">
        <v>-60.75</v>
      </c>
      <c r="J38" s="2">
        <v>0.08</v>
      </c>
      <c r="K38" s="2">
        <v>-1.27</v>
      </c>
      <c r="L38" s="2">
        <v>1.28</v>
      </c>
      <c r="M38" s="2">
        <v>1.28</v>
      </c>
      <c r="N38" t="s">
        <v>98</v>
      </c>
      <c r="O38">
        <v>6</v>
      </c>
      <c r="P38" t="s">
        <v>322</v>
      </c>
    </row>
    <row r="39" spans="1:16">
      <c r="A39" s="1">
        <v>45936</v>
      </c>
      <c r="B39">
        <v>1</v>
      </c>
      <c r="C39" t="s">
        <v>94</v>
      </c>
      <c r="D39">
        <v>1</v>
      </c>
      <c r="E39" s="2">
        <v>19</v>
      </c>
      <c r="F39" s="2">
        <v>-137.85</v>
      </c>
      <c r="G39" s="2">
        <v>135.55000000000001</v>
      </c>
      <c r="H39" s="2">
        <v>-30.11</v>
      </c>
      <c r="I39" s="2">
        <v>38.909999999999997</v>
      </c>
      <c r="J39" s="2">
        <v>0.08</v>
      </c>
      <c r="K39" s="2">
        <v>-1.2</v>
      </c>
      <c r="L39" s="2">
        <v>1.2</v>
      </c>
      <c r="M39" s="2">
        <v>1.2</v>
      </c>
      <c r="N39" t="s">
        <v>98</v>
      </c>
      <c r="O39">
        <v>6</v>
      </c>
      <c r="P39" t="s">
        <v>322</v>
      </c>
    </row>
    <row r="40" spans="1:16">
      <c r="A40" s="1">
        <v>45936</v>
      </c>
      <c r="B40">
        <v>1</v>
      </c>
      <c r="C40" t="s">
        <v>94</v>
      </c>
      <c r="D40">
        <v>1</v>
      </c>
      <c r="E40" s="2">
        <v>19.5</v>
      </c>
      <c r="F40" s="2">
        <v>-131.21</v>
      </c>
      <c r="G40" s="2">
        <v>136.30000000000001</v>
      </c>
      <c r="H40" s="2">
        <v>-33.840000000000003</v>
      </c>
      <c r="I40" s="2">
        <v>37.619999999999997</v>
      </c>
      <c r="J40" s="2">
        <v>7.0000000000000007E-2</v>
      </c>
      <c r="K40" s="2">
        <v>-1.1100000000000001</v>
      </c>
      <c r="L40" s="2">
        <v>1.1100000000000001</v>
      </c>
      <c r="M40" s="2">
        <v>1.1100000000000001</v>
      </c>
      <c r="N40" t="s">
        <v>98</v>
      </c>
      <c r="O40">
        <v>6</v>
      </c>
      <c r="P40" t="s">
        <v>322</v>
      </c>
    </row>
    <row r="41" spans="1:16">
      <c r="A41" s="1">
        <v>45936</v>
      </c>
      <c r="B41">
        <v>1</v>
      </c>
      <c r="C41" t="s">
        <v>94</v>
      </c>
      <c r="D41">
        <v>1</v>
      </c>
      <c r="E41" s="2">
        <v>20</v>
      </c>
      <c r="F41" s="2">
        <v>-141.44999999999999</v>
      </c>
      <c r="G41" s="2">
        <v>146.76</v>
      </c>
      <c r="H41" s="2">
        <v>-28.61</v>
      </c>
      <c r="I41" s="2">
        <v>41.7</v>
      </c>
      <c r="J41" s="2">
        <v>0.05</v>
      </c>
      <c r="K41" s="2">
        <v>-1.07</v>
      </c>
      <c r="L41" s="2">
        <v>1.07</v>
      </c>
      <c r="M41" s="2">
        <v>1.07</v>
      </c>
      <c r="N41" t="s">
        <v>98</v>
      </c>
      <c r="O41">
        <v>6</v>
      </c>
      <c r="P41" t="s">
        <v>322</v>
      </c>
    </row>
    <row r="42" spans="1:16">
      <c r="A42" s="1">
        <v>45936</v>
      </c>
      <c r="B42">
        <v>1</v>
      </c>
      <c r="C42" t="s">
        <v>94</v>
      </c>
      <c r="D42">
        <v>1</v>
      </c>
      <c r="E42" s="2">
        <v>20.5</v>
      </c>
      <c r="F42" s="2">
        <v>-166.24</v>
      </c>
      <c r="G42" s="2">
        <v>172.02</v>
      </c>
      <c r="H42" s="2">
        <v>-16.95</v>
      </c>
      <c r="I42" s="2">
        <v>26.72</v>
      </c>
      <c r="J42" s="2">
        <v>0.04</v>
      </c>
      <c r="K42" s="2">
        <v>-1.01</v>
      </c>
      <c r="L42" s="2">
        <v>1.02</v>
      </c>
      <c r="M42" s="2">
        <v>1.02</v>
      </c>
      <c r="N42" t="s">
        <v>98</v>
      </c>
      <c r="O42">
        <v>6</v>
      </c>
      <c r="P42" t="s">
        <v>322</v>
      </c>
    </row>
    <row r="43" spans="1:16">
      <c r="A43" s="1">
        <v>45936</v>
      </c>
      <c r="B43">
        <v>1</v>
      </c>
      <c r="C43" t="s">
        <v>94</v>
      </c>
      <c r="D43">
        <v>1</v>
      </c>
      <c r="E43" s="2">
        <v>21</v>
      </c>
      <c r="F43" s="2">
        <v>-155.13999999999999</v>
      </c>
      <c r="G43" s="2">
        <v>159.27000000000001</v>
      </c>
      <c r="H43" s="2">
        <v>-14.56</v>
      </c>
      <c r="I43" s="2">
        <v>8.7899999999999991</v>
      </c>
      <c r="J43" s="2">
        <v>0.04</v>
      </c>
      <c r="K43" s="2">
        <v>-1.06</v>
      </c>
      <c r="L43" s="2">
        <v>1.06</v>
      </c>
      <c r="M43" s="2">
        <v>1.06</v>
      </c>
      <c r="N43" t="s">
        <v>98</v>
      </c>
      <c r="O43">
        <v>6</v>
      </c>
      <c r="P43" t="s">
        <v>322</v>
      </c>
    </row>
    <row r="44" spans="1:16">
      <c r="A44" s="1">
        <v>45936</v>
      </c>
      <c r="B44">
        <v>1</v>
      </c>
      <c r="C44" t="s">
        <v>94</v>
      </c>
      <c r="D44">
        <v>1</v>
      </c>
      <c r="E44" s="2">
        <v>21.5</v>
      </c>
      <c r="F44" s="2">
        <v>-75.5</v>
      </c>
      <c r="G44" s="2">
        <v>83.36</v>
      </c>
      <c r="H44" s="2">
        <v>-12.78</v>
      </c>
      <c r="I44" s="2">
        <v>24.28</v>
      </c>
      <c r="J44" s="2">
        <v>0.04</v>
      </c>
      <c r="K44" s="2">
        <v>-0.9</v>
      </c>
      <c r="L44" s="2">
        <v>0.9</v>
      </c>
      <c r="M44" s="2">
        <v>0.9</v>
      </c>
      <c r="N44" t="s">
        <v>98</v>
      </c>
      <c r="O44">
        <v>6</v>
      </c>
      <c r="P44" t="s">
        <v>322</v>
      </c>
    </row>
    <row r="45" spans="1:16">
      <c r="A45" s="1">
        <v>45936</v>
      </c>
      <c r="B45">
        <v>1</v>
      </c>
      <c r="C45" t="s">
        <v>94</v>
      </c>
      <c r="D45">
        <v>1</v>
      </c>
      <c r="E45" s="2">
        <v>22</v>
      </c>
      <c r="F45" s="2">
        <v>7.97</v>
      </c>
      <c r="G45" s="2">
        <v>-4.71</v>
      </c>
      <c r="H45" s="2">
        <v>-95.76</v>
      </c>
      <c r="I45" s="2">
        <v>101.07</v>
      </c>
      <c r="J45" s="2">
        <v>0</v>
      </c>
      <c r="K45" s="2">
        <v>-0.74</v>
      </c>
      <c r="L45" s="2">
        <v>0.74</v>
      </c>
      <c r="M45" s="2">
        <v>0.74</v>
      </c>
      <c r="N45" t="s">
        <v>98</v>
      </c>
      <c r="O45">
        <v>6</v>
      </c>
      <c r="P45" t="s">
        <v>322</v>
      </c>
    </row>
    <row r="46" spans="1:16">
      <c r="A46" s="1">
        <v>45936</v>
      </c>
      <c r="B46">
        <v>1</v>
      </c>
      <c r="C46" t="s">
        <v>94</v>
      </c>
      <c r="D46">
        <v>1</v>
      </c>
      <c r="E46" s="2">
        <v>22.5</v>
      </c>
      <c r="F46" s="2">
        <v>-22.42</v>
      </c>
      <c r="G46" s="2">
        <v>28.53</v>
      </c>
      <c r="H46" s="2">
        <v>-37.5</v>
      </c>
      <c r="I46" s="2">
        <v>38.31</v>
      </c>
      <c r="J46" s="2">
        <v>-0.02</v>
      </c>
      <c r="K46" s="2">
        <v>-0.65</v>
      </c>
      <c r="L46" s="2">
        <v>0.65</v>
      </c>
      <c r="M46" s="2">
        <v>0.65</v>
      </c>
      <c r="N46" t="s">
        <v>98</v>
      </c>
      <c r="O46">
        <v>6</v>
      </c>
      <c r="P46" t="s">
        <v>322</v>
      </c>
    </row>
    <row r="47" spans="1:16">
      <c r="A47" s="1">
        <v>45936</v>
      </c>
      <c r="B47">
        <v>1</v>
      </c>
      <c r="C47" t="s">
        <v>94</v>
      </c>
      <c r="D47">
        <v>1</v>
      </c>
      <c r="E47" s="2">
        <v>23</v>
      </c>
      <c r="F47" s="2">
        <v>-45.01</v>
      </c>
      <c r="G47" s="2">
        <v>50.01</v>
      </c>
      <c r="H47" s="2">
        <v>-0.75</v>
      </c>
      <c r="I47" s="2">
        <v>-10.86</v>
      </c>
      <c r="J47" s="2">
        <v>-0.03</v>
      </c>
      <c r="K47" s="2">
        <v>-0.61</v>
      </c>
      <c r="L47" s="2">
        <v>0.61</v>
      </c>
      <c r="M47" s="2">
        <v>0.61</v>
      </c>
      <c r="N47" t="s">
        <v>98</v>
      </c>
      <c r="O47">
        <v>6</v>
      </c>
      <c r="P47" t="s">
        <v>322</v>
      </c>
    </row>
    <row r="48" spans="1:16">
      <c r="A48" s="1">
        <v>45936</v>
      </c>
      <c r="B48">
        <v>1</v>
      </c>
      <c r="C48" t="s">
        <v>94</v>
      </c>
      <c r="D48">
        <v>1</v>
      </c>
      <c r="E48" s="2">
        <v>23.5</v>
      </c>
      <c r="F48" s="2">
        <v>-64.06</v>
      </c>
      <c r="G48" s="2">
        <v>70.67</v>
      </c>
      <c r="H48" s="2">
        <v>15.36</v>
      </c>
      <c r="I48" s="2">
        <v>-26.69</v>
      </c>
      <c r="J48" s="2">
        <v>-0.01</v>
      </c>
      <c r="K48" s="2">
        <v>-0.48</v>
      </c>
      <c r="L48" s="2">
        <v>0.48</v>
      </c>
      <c r="M48" s="2">
        <v>0.48</v>
      </c>
      <c r="N48" t="s">
        <v>98</v>
      </c>
      <c r="O48">
        <v>6</v>
      </c>
      <c r="P48" t="s">
        <v>322</v>
      </c>
    </row>
    <row r="49" spans="1:16">
      <c r="A49" s="1">
        <v>45936</v>
      </c>
      <c r="B49">
        <v>1</v>
      </c>
      <c r="C49" t="s">
        <v>94</v>
      </c>
      <c r="D49">
        <v>1</v>
      </c>
      <c r="E49" s="2">
        <v>24</v>
      </c>
      <c r="F49" s="2">
        <v>-88.59</v>
      </c>
      <c r="G49" s="2">
        <v>95.36</v>
      </c>
      <c r="H49" s="2">
        <v>12.25</v>
      </c>
      <c r="I49" s="2">
        <v>-17.899999999999999</v>
      </c>
      <c r="J49" s="2">
        <v>0</v>
      </c>
      <c r="K49" s="2">
        <v>-0.5</v>
      </c>
      <c r="L49" s="2">
        <v>0.5</v>
      </c>
      <c r="M49" s="2">
        <v>0.5</v>
      </c>
      <c r="N49" t="s">
        <v>98</v>
      </c>
      <c r="O49">
        <v>6</v>
      </c>
      <c r="P49" t="s">
        <v>322</v>
      </c>
    </row>
    <row r="50" spans="1:16">
      <c r="A50" s="1">
        <v>45936</v>
      </c>
      <c r="B50">
        <v>1</v>
      </c>
      <c r="C50" t="s">
        <v>94</v>
      </c>
      <c r="D50">
        <v>1</v>
      </c>
      <c r="E50" s="2">
        <v>24.5</v>
      </c>
      <c r="F50" s="2">
        <v>-118.94</v>
      </c>
      <c r="G50" s="2">
        <v>120.83</v>
      </c>
      <c r="H50" s="2">
        <v>25.96</v>
      </c>
      <c r="I50" s="2">
        <v>-6.98</v>
      </c>
      <c r="J50" s="2">
        <v>-0.03</v>
      </c>
      <c r="K50" s="2">
        <v>-0.69</v>
      </c>
      <c r="L50" s="2">
        <v>0.69</v>
      </c>
      <c r="M50" s="2">
        <v>0.69</v>
      </c>
      <c r="N50" t="s">
        <v>98</v>
      </c>
      <c r="O50">
        <v>6</v>
      </c>
      <c r="P50" t="s">
        <v>322</v>
      </c>
    </row>
    <row r="51" spans="1:16">
      <c r="A51" s="1">
        <v>45936</v>
      </c>
      <c r="B51">
        <v>1</v>
      </c>
      <c r="C51" t="s">
        <v>94</v>
      </c>
      <c r="D51">
        <v>1</v>
      </c>
      <c r="E51" s="2">
        <v>25</v>
      </c>
      <c r="F51" s="2">
        <v>-104.69</v>
      </c>
      <c r="G51" s="2">
        <v>117.73</v>
      </c>
      <c r="H51" s="2">
        <v>-31.48</v>
      </c>
      <c r="I51" s="2">
        <v>20.149999999999999</v>
      </c>
      <c r="J51" s="2">
        <v>-0.02</v>
      </c>
      <c r="K51" s="2">
        <v>-0.57999999999999996</v>
      </c>
      <c r="L51" s="2">
        <v>0.57999999999999996</v>
      </c>
      <c r="M51" s="2">
        <v>0.57999999999999996</v>
      </c>
      <c r="N51" t="s">
        <v>98</v>
      </c>
      <c r="O51">
        <v>6</v>
      </c>
      <c r="P51" t="s">
        <v>322</v>
      </c>
    </row>
    <row r="52" spans="1:16">
      <c r="A52" s="1">
        <v>45936</v>
      </c>
      <c r="B52">
        <v>1</v>
      </c>
      <c r="C52" t="s">
        <v>94</v>
      </c>
      <c r="D52">
        <v>1</v>
      </c>
      <c r="E52" s="2">
        <v>25.5</v>
      </c>
      <c r="F52" s="2">
        <v>-91.61</v>
      </c>
      <c r="G52" s="2">
        <v>98.37</v>
      </c>
      <c r="H52" s="2">
        <v>-36.590000000000003</v>
      </c>
      <c r="I52" s="2">
        <v>29.43</v>
      </c>
      <c r="J52" s="2">
        <v>-0.03</v>
      </c>
      <c r="K52" s="2">
        <v>-0.28000000000000003</v>
      </c>
      <c r="L52" s="2">
        <v>0.28000000000000003</v>
      </c>
      <c r="M52" s="2">
        <v>0.28000000000000003</v>
      </c>
      <c r="N52" t="s">
        <v>98</v>
      </c>
      <c r="O52">
        <v>6</v>
      </c>
      <c r="P52" t="s">
        <v>322</v>
      </c>
    </row>
    <row r="53" spans="1:16">
      <c r="A53" s="1">
        <v>45936</v>
      </c>
      <c r="B53">
        <v>1</v>
      </c>
      <c r="C53" t="s">
        <v>94</v>
      </c>
      <c r="D53">
        <v>1</v>
      </c>
      <c r="E53" s="2">
        <v>26</v>
      </c>
      <c r="F53" s="2">
        <v>-60.23</v>
      </c>
      <c r="G53" s="2">
        <v>68.66</v>
      </c>
      <c r="H53" s="2">
        <v>-27.31</v>
      </c>
      <c r="I53" s="2">
        <v>21.67</v>
      </c>
      <c r="J53" s="2">
        <v>-0.06</v>
      </c>
      <c r="K53" s="2">
        <v>-0.23</v>
      </c>
      <c r="L53" s="2">
        <v>0.24</v>
      </c>
      <c r="M53" s="2">
        <v>0.24</v>
      </c>
      <c r="N53" t="s">
        <v>98</v>
      </c>
      <c r="O53">
        <v>6</v>
      </c>
      <c r="P53" t="s">
        <v>322</v>
      </c>
    </row>
    <row r="54" spans="1:16">
      <c r="A54" s="1">
        <v>45936</v>
      </c>
      <c r="B54">
        <v>1</v>
      </c>
      <c r="C54" t="s">
        <v>94</v>
      </c>
      <c r="D54">
        <v>1</v>
      </c>
      <c r="E54" s="2">
        <v>26.5</v>
      </c>
      <c r="F54" s="2">
        <v>-28.01</v>
      </c>
      <c r="G54" s="2">
        <v>37.630000000000003</v>
      </c>
      <c r="H54" s="2">
        <v>6.78</v>
      </c>
      <c r="I54" s="2">
        <v>-23.15</v>
      </c>
      <c r="J54" s="2">
        <v>-0.12</v>
      </c>
      <c r="K54" s="2">
        <v>-0.16</v>
      </c>
      <c r="L54" s="2">
        <v>0.2</v>
      </c>
      <c r="M54" s="2">
        <v>0.2</v>
      </c>
      <c r="N54" t="s">
        <v>98</v>
      </c>
      <c r="O54">
        <v>6</v>
      </c>
      <c r="P54" t="s">
        <v>322</v>
      </c>
    </row>
    <row r="55" spans="1:16">
      <c r="A55" s="1">
        <v>45936</v>
      </c>
      <c r="B55">
        <v>1</v>
      </c>
      <c r="C55" t="s">
        <v>94</v>
      </c>
      <c r="D55">
        <v>1</v>
      </c>
      <c r="E55" s="2">
        <v>27</v>
      </c>
      <c r="F55" s="2">
        <v>25.06</v>
      </c>
      <c r="G55" s="2">
        <v>-18.850000000000001</v>
      </c>
      <c r="H55" s="2">
        <v>56.42</v>
      </c>
      <c r="I55" s="2">
        <v>-61.72</v>
      </c>
      <c r="J55" s="2">
        <v>-0.16</v>
      </c>
      <c r="K55" s="2">
        <v>-0.03</v>
      </c>
      <c r="L55" s="2">
        <v>0.16</v>
      </c>
      <c r="M55" s="2">
        <v>0.16</v>
      </c>
      <c r="N55" t="s">
        <v>98</v>
      </c>
      <c r="O55">
        <v>6</v>
      </c>
      <c r="P55" t="s">
        <v>322</v>
      </c>
    </row>
    <row r="56" spans="1:16">
      <c r="A56" s="1">
        <v>45936</v>
      </c>
      <c r="B56">
        <v>1</v>
      </c>
      <c r="C56" t="s">
        <v>99</v>
      </c>
      <c r="D56">
        <v>1</v>
      </c>
      <c r="E56" s="2">
        <v>0.5</v>
      </c>
      <c r="F56" s="2">
        <v>-398.36</v>
      </c>
      <c r="G56" s="2">
        <v>416.62</v>
      </c>
      <c r="H56" s="2">
        <v>-147.81</v>
      </c>
      <c r="I56" s="2">
        <v>144.41999999999999</v>
      </c>
      <c r="J56" s="2">
        <v>-0.54</v>
      </c>
      <c r="K56" s="2">
        <v>-0.38</v>
      </c>
      <c r="L56" s="2">
        <v>0.67</v>
      </c>
      <c r="M56" s="2">
        <v>0.67</v>
      </c>
      <c r="N56" t="s">
        <v>98</v>
      </c>
      <c r="O56">
        <v>16</v>
      </c>
      <c r="P56" t="s">
        <v>322</v>
      </c>
    </row>
    <row r="57" spans="1:16">
      <c r="A57" s="1">
        <v>45936</v>
      </c>
      <c r="B57">
        <v>1</v>
      </c>
      <c r="C57" t="s">
        <v>99</v>
      </c>
      <c r="D57">
        <v>1</v>
      </c>
      <c r="E57" s="2">
        <v>1</v>
      </c>
      <c r="F57" s="2">
        <v>-399.92</v>
      </c>
      <c r="G57" s="2">
        <v>407.58</v>
      </c>
      <c r="H57" s="2">
        <v>-141.75</v>
      </c>
      <c r="I57" s="2">
        <v>142.66</v>
      </c>
      <c r="J57" s="2">
        <v>-0.31</v>
      </c>
      <c r="K57" s="2">
        <v>0.3</v>
      </c>
      <c r="L57" s="2">
        <v>0.43</v>
      </c>
      <c r="M57" s="2">
        <v>0.43</v>
      </c>
      <c r="N57" t="s">
        <v>98</v>
      </c>
      <c r="O57">
        <v>16</v>
      </c>
      <c r="P57" t="s">
        <v>322</v>
      </c>
    </row>
    <row r="58" spans="1:16">
      <c r="A58" s="1">
        <v>45936</v>
      </c>
      <c r="B58">
        <v>1</v>
      </c>
      <c r="C58" t="s">
        <v>99</v>
      </c>
      <c r="D58">
        <v>1</v>
      </c>
      <c r="E58" s="2">
        <v>1.5</v>
      </c>
      <c r="F58" s="2">
        <v>-376.68</v>
      </c>
      <c r="G58" s="2">
        <v>385.3</v>
      </c>
      <c r="H58" s="2">
        <v>-159.87</v>
      </c>
      <c r="I58" s="2">
        <v>147.58000000000001</v>
      </c>
      <c r="J58" s="2">
        <v>0.09</v>
      </c>
      <c r="K58" s="2">
        <v>1.06</v>
      </c>
      <c r="L58" s="2">
        <v>1.06</v>
      </c>
      <c r="M58" s="2">
        <v>1.06</v>
      </c>
      <c r="N58" t="s">
        <v>98</v>
      </c>
      <c r="O58">
        <v>16</v>
      </c>
      <c r="P58" t="s">
        <v>322</v>
      </c>
    </row>
    <row r="59" spans="1:16">
      <c r="A59" s="1">
        <v>45936</v>
      </c>
      <c r="B59">
        <v>1</v>
      </c>
      <c r="C59" t="s">
        <v>99</v>
      </c>
      <c r="D59">
        <v>1</v>
      </c>
      <c r="E59" s="2">
        <v>2</v>
      </c>
      <c r="F59" s="2">
        <v>-333.36</v>
      </c>
      <c r="G59" s="2">
        <v>344.75</v>
      </c>
      <c r="H59" s="2">
        <v>-213.14</v>
      </c>
      <c r="I59" s="2">
        <v>212.25</v>
      </c>
      <c r="J59" s="2">
        <v>0.16</v>
      </c>
      <c r="K59" s="2">
        <v>1.21</v>
      </c>
      <c r="L59" s="2">
        <v>1.22</v>
      </c>
      <c r="M59" s="2">
        <v>1.22</v>
      </c>
      <c r="N59" t="s">
        <v>98</v>
      </c>
      <c r="O59">
        <v>16</v>
      </c>
      <c r="P59" t="s">
        <v>322</v>
      </c>
    </row>
    <row r="60" spans="1:16">
      <c r="A60" s="1">
        <v>45936</v>
      </c>
      <c r="B60">
        <v>1</v>
      </c>
      <c r="C60" t="s">
        <v>99</v>
      </c>
      <c r="D60">
        <v>1</v>
      </c>
      <c r="E60" s="2">
        <v>2.5</v>
      </c>
      <c r="F60" s="2">
        <v>-306.02999999999997</v>
      </c>
      <c r="G60" s="2">
        <v>315.89999999999998</v>
      </c>
      <c r="H60" s="2">
        <v>-192.11</v>
      </c>
      <c r="I60" s="2">
        <v>189.02</v>
      </c>
      <c r="J60" s="2">
        <v>0.15</v>
      </c>
      <c r="K60" s="2">
        <v>1.23</v>
      </c>
      <c r="L60" s="2">
        <v>1.24</v>
      </c>
      <c r="M60" s="2">
        <v>1.24</v>
      </c>
      <c r="N60" t="s">
        <v>98</v>
      </c>
      <c r="O60">
        <v>16</v>
      </c>
      <c r="P60" t="s">
        <v>322</v>
      </c>
    </row>
    <row r="61" spans="1:16">
      <c r="A61" s="1">
        <v>45936</v>
      </c>
      <c r="B61">
        <v>1</v>
      </c>
      <c r="C61" t="s">
        <v>99</v>
      </c>
      <c r="D61">
        <v>1</v>
      </c>
      <c r="E61" s="2">
        <v>3</v>
      </c>
      <c r="F61" s="2">
        <v>-270.7</v>
      </c>
      <c r="G61" s="2">
        <v>279.26</v>
      </c>
      <c r="H61" s="2">
        <v>-140.05000000000001</v>
      </c>
      <c r="I61" s="2">
        <v>135.38999999999999</v>
      </c>
      <c r="J61" s="2">
        <v>0.15</v>
      </c>
      <c r="K61" s="2">
        <v>1.21</v>
      </c>
      <c r="L61" s="2">
        <v>1.22</v>
      </c>
      <c r="M61" s="2">
        <v>1.22</v>
      </c>
      <c r="N61" t="s">
        <v>98</v>
      </c>
      <c r="O61">
        <v>16</v>
      </c>
      <c r="P61" t="s">
        <v>322</v>
      </c>
    </row>
    <row r="62" spans="1:16">
      <c r="A62" s="1">
        <v>45936</v>
      </c>
      <c r="B62">
        <v>1</v>
      </c>
      <c r="C62" t="s">
        <v>99</v>
      </c>
      <c r="D62">
        <v>1</v>
      </c>
      <c r="E62" s="2">
        <v>3.5</v>
      </c>
      <c r="F62" s="2">
        <v>-209.8</v>
      </c>
      <c r="G62" s="2">
        <v>219.76</v>
      </c>
      <c r="H62" s="2">
        <v>-83.26</v>
      </c>
      <c r="I62" s="2">
        <v>79.989999999999995</v>
      </c>
      <c r="J62" s="2">
        <v>0.15</v>
      </c>
      <c r="K62" s="2">
        <v>1.21</v>
      </c>
      <c r="L62" s="2">
        <v>1.22</v>
      </c>
      <c r="M62" s="2">
        <v>1.22</v>
      </c>
      <c r="N62" t="s">
        <v>98</v>
      </c>
      <c r="O62">
        <v>16</v>
      </c>
      <c r="P62" t="s">
        <v>322</v>
      </c>
    </row>
    <row r="63" spans="1:16">
      <c r="A63" s="1">
        <v>45936</v>
      </c>
      <c r="B63">
        <v>1</v>
      </c>
      <c r="C63" t="s">
        <v>99</v>
      </c>
      <c r="D63">
        <v>1</v>
      </c>
      <c r="E63" s="2">
        <v>4</v>
      </c>
      <c r="F63" s="2">
        <v>-153.96</v>
      </c>
      <c r="G63" s="2">
        <v>165.27</v>
      </c>
      <c r="H63" s="2">
        <v>-72.13</v>
      </c>
      <c r="I63" s="2">
        <v>62.87</v>
      </c>
      <c r="J63" s="2">
        <v>0.16</v>
      </c>
      <c r="K63" s="2">
        <v>1.34</v>
      </c>
      <c r="L63" s="2">
        <v>1.35</v>
      </c>
      <c r="M63" s="2">
        <v>1.35</v>
      </c>
      <c r="N63" t="s">
        <v>98</v>
      </c>
      <c r="O63">
        <v>16</v>
      </c>
      <c r="P63" t="s">
        <v>322</v>
      </c>
    </row>
    <row r="64" spans="1:16">
      <c r="A64" s="1">
        <v>45936</v>
      </c>
      <c r="B64">
        <v>1</v>
      </c>
      <c r="C64" t="s">
        <v>99</v>
      </c>
      <c r="D64">
        <v>1</v>
      </c>
      <c r="E64" s="2">
        <v>4.5</v>
      </c>
      <c r="F64" s="2">
        <v>-105.45</v>
      </c>
      <c r="G64" s="2">
        <v>114.36</v>
      </c>
      <c r="H64" s="2">
        <v>-117.26</v>
      </c>
      <c r="I64" s="2">
        <v>117.56</v>
      </c>
      <c r="J64" s="2">
        <v>0.16</v>
      </c>
      <c r="K64" s="2">
        <v>1.33</v>
      </c>
      <c r="L64" s="2">
        <v>1.34</v>
      </c>
      <c r="M64" s="2">
        <v>1.34</v>
      </c>
      <c r="N64" t="s">
        <v>98</v>
      </c>
      <c r="O64">
        <v>16</v>
      </c>
      <c r="P64" t="s">
        <v>322</v>
      </c>
    </row>
    <row r="65" spans="1:16">
      <c r="A65" s="1">
        <v>45936</v>
      </c>
      <c r="B65">
        <v>1</v>
      </c>
      <c r="C65" t="s">
        <v>99</v>
      </c>
      <c r="D65">
        <v>1</v>
      </c>
      <c r="E65" s="2">
        <v>5</v>
      </c>
      <c r="F65" s="2">
        <v>-33.93</v>
      </c>
      <c r="G65" s="2">
        <v>43.7</v>
      </c>
      <c r="H65" s="2">
        <v>-148.02000000000001</v>
      </c>
      <c r="I65" s="2">
        <v>146.41999999999999</v>
      </c>
      <c r="J65" s="2">
        <v>0.16</v>
      </c>
      <c r="K65" s="2">
        <v>1.31</v>
      </c>
      <c r="L65" s="2">
        <v>1.32</v>
      </c>
      <c r="M65" s="2">
        <v>1.32</v>
      </c>
      <c r="N65" t="s">
        <v>98</v>
      </c>
      <c r="O65">
        <v>16</v>
      </c>
      <c r="P65" t="s">
        <v>322</v>
      </c>
    </row>
    <row r="66" spans="1:16">
      <c r="A66" s="1">
        <v>45936</v>
      </c>
      <c r="B66">
        <v>1</v>
      </c>
      <c r="C66" t="s">
        <v>99</v>
      </c>
      <c r="D66">
        <v>1</v>
      </c>
      <c r="E66" s="2">
        <v>5.5</v>
      </c>
      <c r="F66" s="2">
        <v>33.39</v>
      </c>
      <c r="G66" s="2">
        <v>-22.22</v>
      </c>
      <c r="H66" s="2">
        <v>-157.71</v>
      </c>
      <c r="I66" s="2">
        <v>142.76</v>
      </c>
      <c r="J66" s="2">
        <v>0.17</v>
      </c>
      <c r="K66" s="2">
        <v>1.43</v>
      </c>
      <c r="L66" s="2">
        <v>1.44</v>
      </c>
      <c r="M66" s="2">
        <v>1.44</v>
      </c>
      <c r="N66" t="s">
        <v>98</v>
      </c>
      <c r="O66">
        <v>16</v>
      </c>
      <c r="P66" t="s">
        <v>322</v>
      </c>
    </row>
    <row r="67" spans="1:16">
      <c r="A67" s="1">
        <v>45936</v>
      </c>
      <c r="B67">
        <v>1</v>
      </c>
      <c r="C67" t="s">
        <v>99</v>
      </c>
      <c r="D67">
        <v>1</v>
      </c>
      <c r="E67" s="2">
        <v>6</v>
      </c>
      <c r="F67" s="2">
        <v>71.08</v>
      </c>
      <c r="G67" s="2">
        <v>-60.32</v>
      </c>
      <c r="H67" s="2">
        <v>-173.72</v>
      </c>
      <c r="I67" s="2">
        <v>186.36</v>
      </c>
      <c r="J67" s="2">
        <v>0.18</v>
      </c>
      <c r="K67" s="2">
        <v>1.37</v>
      </c>
      <c r="L67" s="2">
        <v>1.38</v>
      </c>
      <c r="M67" s="2">
        <v>1.38</v>
      </c>
      <c r="N67" t="s">
        <v>98</v>
      </c>
      <c r="O67">
        <v>16</v>
      </c>
      <c r="P67" t="s">
        <v>322</v>
      </c>
    </row>
    <row r="68" spans="1:16">
      <c r="A68" s="1">
        <v>45936</v>
      </c>
      <c r="B68">
        <v>1</v>
      </c>
      <c r="C68" t="s">
        <v>99</v>
      </c>
      <c r="D68">
        <v>1</v>
      </c>
      <c r="E68" s="2">
        <v>6.5</v>
      </c>
      <c r="F68" s="2">
        <v>173.18</v>
      </c>
      <c r="G68" s="2">
        <v>-162.55000000000001</v>
      </c>
      <c r="H68" s="2">
        <v>-180.45</v>
      </c>
      <c r="I68" s="2">
        <v>183.15</v>
      </c>
      <c r="J68" s="2">
        <v>0.18</v>
      </c>
      <c r="K68" s="2">
        <v>1.55</v>
      </c>
      <c r="L68" s="2">
        <v>1.56</v>
      </c>
      <c r="M68" s="2">
        <v>1.56</v>
      </c>
      <c r="N68" t="s">
        <v>98</v>
      </c>
      <c r="O68">
        <v>16</v>
      </c>
      <c r="P68" t="s">
        <v>322</v>
      </c>
    </row>
    <row r="69" spans="1:16">
      <c r="A69" s="1">
        <v>45936</v>
      </c>
      <c r="B69">
        <v>1</v>
      </c>
      <c r="C69" t="s">
        <v>99</v>
      </c>
      <c r="D69">
        <v>1</v>
      </c>
      <c r="E69" s="2">
        <v>7</v>
      </c>
      <c r="F69" s="2">
        <v>279.05</v>
      </c>
      <c r="G69" s="2">
        <v>-270.24</v>
      </c>
      <c r="H69" s="2">
        <v>-185.92</v>
      </c>
      <c r="I69" s="2">
        <v>181.72</v>
      </c>
      <c r="J69" s="2">
        <v>0.16</v>
      </c>
      <c r="K69" s="2">
        <v>1.57</v>
      </c>
      <c r="L69" s="2">
        <v>1.58</v>
      </c>
      <c r="M69" s="2">
        <v>1.58</v>
      </c>
      <c r="N69" t="s">
        <v>98</v>
      </c>
      <c r="O69">
        <v>16</v>
      </c>
      <c r="P69" t="s">
        <v>322</v>
      </c>
    </row>
    <row r="70" spans="1:16">
      <c r="A70" s="1">
        <v>45936</v>
      </c>
      <c r="B70">
        <v>1</v>
      </c>
      <c r="C70" t="s">
        <v>99</v>
      </c>
      <c r="D70">
        <v>1</v>
      </c>
      <c r="E70" s="2">
        <v>7.5</v>
      </c>
      <c r="F70" s="2">
        <v>300.51</v>
      </c>
      <c r="G70" s="2">
        <v>-283.63</v>
      </c>
      <c r="H70" s="2">
        <v>-172.07</v>
      </c>
      <c r="I70" s="2">
        <v>169.76</v>
      </c>
      <c r="J70" s="2">
        <v>0.16</v>
      </c>
      <c r="K70" s="2">
        <v>1.66</v>
      </c>
      <c r="L70" s="2">
        <v>1.67</v>
      </c>
      <c r="M70" s="2">
        <v>1.67</v>
      </c>
      <c r="N70" t="s">
        <v>98</v>
      </c>
      <c r="O70">
        <v>16</v>
      </c>
      <c r="P70" t="s">
        <v>322</v>
      </c>
    </row>
    <row r="71" spans="1:16">
      <c r="A71" s="1">
        <v>45936</v>
      </c>
      <c r="B71">
        <v>1</v>
      </c>
      <c r="C71" t="s">
        <v>99</v>
      </c>
      <c r="D71">
        <v>1</v>
      </c>
      <c r="E71" s="2">
        <v>8</v>
      </c>
      <c r="F71" s="2">
        <v>266.5</v>
      </c>
      <c r="G71" s="2">
        <v>-261.47000000000003</v>
      </c>
      <c r="H71" s="2">
        <v>-76.48</v>
      </c>
      <c r="I71" s="2">
        <v>75.67</v>
      </c>
      <c r="J71" s="2">
        <v>0.17</v>
      </c>
      <c r="K71" s="2">
        <v>1.49</v>
      </c>
      <c r="L71" s="2">
        <v>1.5</v>
      </c>
      <c r="M71" s="2">
        <v>1.5</v>
      </c>
      <c r="N71" t="s">
        <v>98</v>
      </c>
      <c r="O71">
        <v>16</v>
      </c>
      <c r="P71" t="s">
        <v>322</v>
      </c>
    </row>
    <row r="72" spans="1:16">
      <c r="A72" s="1">
        <v>45936</v>
      </c>
      <c r="B72">
        <v>1</v>
      </c>
      <c r="C72" t="s">
        <v>99</v>
      </c>
      <c r="D72">
        <v>1</v>
      </c>
      <c r="E72" s="2">
        <v>8.5</v>
      </c>
      <c r="F72" s="2">
        <v>334.39</v>
      </c>
      <c r="G72" s="2">
        <v>-321.2</v>
      </c>
      <c r="H72" s="2">
        <v>-7.63</v>
      </c>
      <c r="I72" s="2">
        <v>1.57</v>
      </c>
      <c r="J72" s="2">
        <v>0.15</v>
      </c>
      <c r="K72" s="2">
        <v>1.37</v>
      </c>
      <c r="L72" s="2">
        <v>1.38</v>
      </c>
      <c r="M72" s="2">
        <v>1.38</v>
      </c>
      <c r="N72" t="s">
        <v>98</v>
      </c>
      <c r="O72">
        <v>16</v>
      </c>
      <c r="P72" t="s">
        <v>322</v>
      </c>
    </row>
    <row r="73" spans="1:16">
      <c r="A73" s="1">
        <v>45936</v>
      </c>
      <c r="B73">
        <v>1</v>
      </c>
      <c r="C73" t="s">
        <v>99</v>
      </c>
      <c r="D73">
        <v>1</v>
      </c>
      <c r="E73" s="2">
        <v>9</v>
      </c>
      <c r="F73" s="2">
        <v>314.89999999999998</v>
      </c>
      <c r="G73" s="2">
        <v>-306.97000000000003</v>
      </c>
      <c r="H73" s="2">
        <v>55.81</v>
      </c>
      <c r="I73" s="2">
        <v>-56.63</v>
      </c>
      <c r="J73" s="2">
        <v>0.08</v>
      </c>
      <c r="K73" s="2">
        <v>1.37</v>
      </c>
      <c r="L73" s="2">
        <v>1.37</v>
      </c>
      <c r="M73" s="2">
        <v>1.37</v>
      </c>
      <c r="N73" t="s">
        <v>98</v>
      </c>
      <c r="O73">
        <v>16</v>
      </c>
      <c r="P73" t="s">
        <v>322</v>
      </c>
    </row>
    <row r="74" spans="1:16">
      <c r="A74" s="1">
        <v>45936</v>
      </c>
      <c r="B74">
        <v>1</v>
      </c>
      <c r="C74" t="s">
        <v>99</v>
      </c>
      <c r="D74">
        <v>1</v>
      </c>
      <c r="E74" s="2">
        <v>9.5</v>
      </c>
      <c r="F74" s="2">
        <v>201.58</v>
      </c>
      <c r="G74" s="2">
        <v>-193.22</v>
      </c>
      <c r="H74" s="2">
        <v>108.86</v>
      </c>
      <c r="I74" s="2">
        <v>-122.41</v>
      </c>
      <c r="J74" s="2">
        <v>0.06</v>
      </c>
      <c r="K74" s="2">
        <v>1.38</v>
      </c>
      <c r="L74" s="2">
        <v>1.38</v>
      </c>
      <c r="M74" s="2">
        <v>1.38</v>
      </c>
      <c r="N74" t="s">
        <v>98</v>
      </c>
      <c r="O74">
        <v>16</v>
      </c>
      <c r="P74" t="s">
        <v>322</v>
      </c>
    </row>
    <row r="75" spans="1:16">
      <c r="A75" s="1">
        <v>45936</v>
      </c>
      <c r="B75">
        <v>1</v>
      </c>
      <c r="C75" t="s">
        <v>99</v>
      </c>
      <c r="D75">
        <v>1</v>
      </c>
      <c r="E75" s="2">
        <v>10</v>
      </c>
      <c r="F75" s="2">
        <v>63.68</v>
      </c>
      <c r="G75" s="2">
        <v>-46.37</v>
      </c>
      <c r="H75" s="2">
        <v>155.15</v>
      </c>
      <c r="I75" s="2">
        <v>-151.93</v>
      </c>
      <c r="J75" s="2">
        <v>7.0000000000000007E-2</v>
      </c>
      <c r="K75" s="2">
        <v>1.33</v>
      </c>
      <c r="L75" s="2">
        <v>1.33</v>
      </c>
      <c r="M75" s="2">
        <v>1.33</v>
      </c>
      <c r="N75" t="s">
        <v>98</v>
      </c>
      <c r="O75">
        <v>16</v>
      </c>
      <c r="P75" t="s">
        <v>322</v>
      </c>
    </row>
    <row r="76" spans="1:16">
      <c r="A76" s="1">
        <v>45936</v>
      </c>
      <c r="B76">
        <v>1</v>
      </c>
      <c r="C76" t="s">
        <v>99</v>
      </c>
      <c r="D76">
        <v>1</v>
      </c>
      <c r="E76" s="2">
        <v>10.5</v>
      </c>
      <c r="F76" s="2">
        <v>81.13</v>
      </c>
      <c r="G76" s="2">
        <v>-73.3</v>
      </c>
      <c r="H76" s="2">
        <v>72.84</v>
      </c>
      <c r="I76" s="2">
        <v>-78.569999999999993</v>
      </c>
      <c r="J76" s="2">
        <v>0.09</v>
      </c>
      <c r="K76" s="2">
        <v>1.27</v>
      </c>
      <c r="L76" s="2">
        <v>1.28</v>
      </c>
      <c r="M76" s="2">
        <v>1.28</v>
      </c>
      <c r="N76" t="s">
        <v>98</v>
      </c>
      <c r="O76">
        <v>16</v>
      </c>
      <c r="P76" t="s">
        <v>322</v>
      </c>
    </row>
    <row r="77" spans="1:16">
      <c r="A77" s="1">
        <v>45936</v>
      </c>
      <c r="B77">
        <v>1</v>
      </c>
      <c r="C77" t="s">
        <v>99</v>
      </c>
      <c r="D77">
        <v>1</v>
      </c>
      <c r="E77" s="2">
        <v>11</v>
      </c>
      <c r="F77" s="2">
        <v>13.31</v>
      </c>
      <c r="G77" s="2">
        <v>-3.57</v>
      </c>
      <c r="H77" s="2">
        <v>25.28</v>
      </c>
      <c r="I77" s="2">
        <v>-37.56</v>
      </c>
      <c r="J77" s="2">
        <v>0.11</v>
      </c>
      <c r="K77" s="2">
        <v>1.2</v>
      </c>
      <c r="L77" s="2">
        <v>1.21</v>
      </c>
      <c r="M77" s="2">
        <v>1.21</v>
      </c>
      <c r="N77" t="s">
        <v>98</v>
      </c>
      <c r="O77">
        <v>16</v>
      </c>
      <c r="P77" t="s">
        <v>322</v>
      </c>
    </row>
    <row r="78" spans="1:16">
      <c r="A78" s="1">
        <v>45936</v>
      </c>
      <c r="B78">
        <v>1</v>
      </c>
      <c r="C78" t="s">
        <v>99</v>
      </c>
      <c r="D78">
        <v>1</v>
      </c>
      <c r="E78" s="2">
        <v>11.5</v>
      </c>
      <c r="F78" s="2">
        <v>-59.61</v>
      </c>
      <c r="G78" s="2">
        <v>65.150000000000006</v>
      </c>
      <c r="H78" s="2">
        <v>5.24</v>
      </c>
      <c r="I78" s="2">
        <v>-11.57</v>
      </c>
      <c r="J78" s="2">
        <v>0.11</v>
      </c>
      <c r="K78" s="2">
        <v>1</v>
      </c>
      <c r="L78" s="2">
        <v>1</v>
      </c>
      <c r="M78" s="2">
        <v>1</v>
      </c>
      <c r="N78" t="s">
        <v>98</v>
      </c>
      <c r="O78">
        <v>16</v>
      </c>
      <c r="P78" t="s">
        <v>322</v>
      </c>
    </row>
    <row r="79" spans="1:16">
      <c r="A79" s="1">
        <v>45936</v>
      </c>
      <c r="B79">
        <v>1</v>
      </c>
      <c r="C79" t="s">
        <v>99</v>
      </c>
      <c r="D79">
        <v>1</v>
      </c>
      <c r="E79" s="2">
        <v>12</v>
      </c>
      <c r="F79" s="2">
        <v>-72.17</v>
      </c>
      <c r="G79" s="2">
        <v>85.7</v>
      </c>
      <c r="H79" s="2">
        <v>14.73</v>
      </c>
      <c r="I79" s="2">
        <v>-16.55</v>
      </c>
      <c r="J79" s="2">
        <v>0.12</v>
      </c>
      <c r="K79" s="2">
        <v>1.06</v>
      </c>
      <c r="L79" s="2">
        <v>1.07</v>
      </c>
      <c r="M79" s="2">
        <v>1.07</v>
      </c>
      <c r="N79" t="s">
        <v>98</v>
      </c>
      <c r="O79">
        <v>16</v>
      </c>
      <c r="P79" t="s">
        <v>322</v>
      </c>
    </row>
    <row r="80" spans="1:16">
      <c r="A80" s="1">
        <v>45936</v>
      </c>
      <c r="B80">
        <v>1</v>
      </c>
      <c r="C80" t="s">
        <v>99</v>
      </c>
      <c r="D80">
        <v>1</v>
      </c>
      <c r="E80" s="2">
        <v>12.5</v>
      </c>
      <c r="F80" s="2">
        <v>-35.119999999999997</v>
      </c>
      <c r="G80" s="2">
        <v>45.81</v>
      </c>
      <c r="H80" s="2">
        <v>12.67</v>
      </c>
      <c r="I80" s="2">
        <v>-18.93</v>
      </c>
      <c r="J80" s="2">
        <v>0.12</v>
      </c>
      <c r="K80" s="2">
        <v>1.05</v>
      </c>
      <c r="L80" s="2">
        <v>1.06</v>
      </c>
      <c r="M80" s="2">
        <v>1.06</v>
      </c>
      <c r="N80" t="s">
        <v>98</v>
      </c>
      <c r="O80">
        <v>16</v>
      </c>
      <c r="P80" t="s">
        <v>322</v>
      </c>
    </row>
    <row r="81" spans="1:16">
      <c r="A81" s="1">
        <v>45936</v>
      </c>
      <c r="B81">
        <v>1</v>
      </c>
      <c r="C81" t="s">
        <v>99</v>
      </c>
      <c r="D81">
        <v>1</v>
      </c>
      <c r="E81" s="2">
        <v>13</v>
      </c>
      <c r="F81" s="2">
        <v>-94.44</v>
      </c>
      <c r="G81" s="2">
        <v>103.25</v>
      </c>
      <c r="H81" s="2">
        <v>-39.36</v>
      </c>
      <c r="I81" s="2">
        <v>36.24</v>
      </c>
      <c r="J81" s="2">
        <v>0.15</v>
      </c>
      <c r="K81" s="2">
        <v>1.1100000000000001</v>
      </c>
      <c r="L81" s="2">
        <v>1.1200000000000001</v>
      </c>
      <c r="M81" s="2">
        <v>1.1200000000000001</v>
      </c>
      <c r="N81" t="s">
        <v>98</v>
      </c>
      <c r="O81">
        <v>16</v>
      </c>
      <c r="P81" t="s">
        <v>322</v>
      </c>
    </row>
    <row r="82" spans="1:16">
      <c r="A82" s="1">
        <v>45936</v>
      </c>
      <c r="B82">
        <v>1</v>
      </c>
      <c r="C82" t="s">
        <v>99</v>
      </c>
      <c r="D82">
        <v>1</v>
      </c>
      <c r="E82" s="2">
        <v>13.5</v>
      </c>
      <c r="F82" s="2">
        <v>-260.85000000000002</v>
      </c>
      <c r="G82" s="2">
        <v>272.52999999999997</v>
      </c>
      <c r="H82" s="2">
        <v>-177.97</v>
      </c>
      <c r="I82" s="2">
        <v>184.39</v>
      </c>
      <c r="J82" s="2">
        <v>0.16</v>
      </c>
      <c r="K82" s="2">
        <v>1.1200000000000001</v>
      </c>
      <c r="L82" s="2">
        <v>1.1299999999999999</v>
      </c>
      <c r="M82" s="2">
        <v>1.1299999999999999</v>
      </c>
      <c r="N82" t="s">
        <v>98</v>
      </c>
      <c r="O82">
        <v>16</v>
      </c>
      <c r="P82" t="s">
        <v>322</v>
      </c>
    </row>
    <row r="83" spans="1:16">
      <c r="A83" s="1">
        <v>45936</v>
      </c>
      <c r="B83">
        <v>1</v>
      </c>
      <c r="C83" t="s">
        <v>99</v>
      </c>
      <c r="D83">
        <v>1</v>
      </c>
      <c r="E83" s="2">
        <v>14</v>
      </c>
      <c r="F83" s="2">
        <v>-292.7</v>
      </c>
      <c r="G83" s="2">
        <v>303.43</v>
      </c>
      <c r="H83" s="2">
        <v>-306.17</v>
      </c>
      <c r="I83" s="2">
        <v>306.64999999999998</v>
      </c>
      <c r="J83" s="2">
        <v>0.19</v>
      </c>
      <c r="K83" s="2">
        <v>1.08</v>
      </c>
      <c r="L83" s="2">
        <v>1.1000000000000001</v>
      </c>
      <c r="M83" s="2">
        <v>1.1000000000000001</v>
      </c>
      <c r="N83" t="s">
        <v>98</v>
      </c>
      <c r="O83">
        <v>16</v>
      </c>
      <c r="P83" t="s">
        <v>322</v>
      </c>
    </row>
    <row r="84" spans="1:16">
      <c r="A84" s="1">
        <v>45936</v>
      </c>
      <c r="B84">
        <v>1</v>
      </c>
      <c r="C84" t="s">
        <v>99</v>
      </c>
      <c r="D84">
        <v>1</v>
      </c>
      <c r="E84" s="2">
        <v>14.5</v>
      </c>
      <c r="F84" s="2">
        <v>-257.44</v>
      </c>
      <c r="G84" s="2">
        <v>269.20999999999998</v>
      </c>
      <c r="H84" s="2">
        <v>-264.32</v>
      </c>
      <c r="I84" s="2">
        <v>263.27</v>
      </c>
      <c r="J84" s="2">
        <v>0.18</v>
      </c>
      <c r="K84" s="2">
        <v>1.02</v>
      </c>
      <c r="L84" s="2">
        <v>1.04</v>
      </c>
      <c r="M84" s="2">
        <v>1.04</v>
      </c>
      <c r="N84" t="s">
        <v>98</v>
      </c>
      <c r="O84">
        <v>16</v>
      </c>
      <c r="P84" t="s">
        <v>322</v>
      </c>
    </row>
    <row r="85" spans="1:16">
      <c r="A85" s="1">
        <v>45936</v>
      </c>
      <c r="B85">
        <v>1</v>
      </c>
      <c r="C85" t="s">
        <v>99</v>
      </c>
      <c r="D85">
        <v>1</v>
      </c>
      <c r="E85" s="2">
        <v>15</v>
      </c>
      <c r="F85" s="2">
        <v>-221.22</v>
      </c>
      <c r="G85" s="2">
        <v>234.36</v>
      </c>
      <c r="H85" s="2">
        <v>-205.98</v>
      </c>
      <c r="I85" s="2">
        <v>199.99</v>
      </c>
      <c r="J85" s="2">
        <v>0.17</v>
      </c>
      <c r="K85" s="2">
        <v>0.86</v>
      </c>
      <c r="L85" s="2">
        <v>0.88</v>
      </c>
      <c r="M85" s="2">
        <v>0.88</v>
      </c>
      <c r="N85" t="s">
        <v>98</v>
      </c>
      <c r="O85">
        <v>16</v>
      </c>
      <c r="P85" t="s">
        <v>322</v>
      </c>
    </row>
    <row r="86" spans="1:16">
      <c r="A86" s="1">
        <v>45936</v>
      </c>
      <c r="B86">
        <v>1</v>
      </c>
      <c r="C86" t="s">
        <v>99</v>
      </c>
      <c r="D86">
        <v>1</v>
      </c>
      <c r="E86" s="2">
        <v>15.5</v>
      </c>
      <c r="F86" s="2">
        <v>-156.87</v>
      </c>
      <c r="G86" s="2">
        <v>164.37</v>
      </c>
      <c r="H86" s="2">
        <v>-194.74</v>
      </c>
      <c r="I86" s="2">
        <v>185.29</v>
      </c>
      <c r="J86" s="2">
        <v>0.16</v>
      </c>
      <c r="K86" s="2">
        <v>0.83</v>
      </c>
      <c r="L86" s="2">
        <v>0.85</v>
      </c>
      <c r="M86" s="2">
        <v>0.85</v>
      </c>
      <c r="N86" t="s">
        <v>98</v>
      </c>
      <c r="O86">
        <v>16</v>
      </c>
      <c r="P86" t="s">
        <v>322</v>
      </c>
    </row>
    <row r="87" spans="1:16">
      <c r="A87" s="1">
        <v>45936</v>
      </c>
      <c r="B87">
        <v>1</v>
      </c>
      <c r="C87" t="s">
        <v>99</v>
      </c>
      <c r="D87">
        <v>1</v>
      </c>
      <c r="E87" s="2">
        <v>16</v>
      </c>
      <c r="F87" s="2">
        <v>-70.2</v>
      </c>
      <c r="G87" s="2">
        <v>80.040000000000006</v>
      </c>
      <c r="H87" s="2">
        <v>-176.42</v>
      </c>
      <c r="I87" s="2">
        <v>171.74</v>
      </c>
      <c r="J87" s="2">
        <v>0.17</v>
      </c>
      <c r="K87" s="2">
        <v>0.78</v>
      </c>
      <c r="L87" s="2">
        <v>0.8</v>
      </c>
      <c r="M87" s="2">
        <v>0.8</v>
      </c>
      <c r="N87" t="s">
        <v>98</v>
      </c>
      <c r="O87">
        <v>16</v>
      </c>
      <c r="P87" t="s">
        <v>322</v>
      </c>
    </row>
    <row r="88" spans="1:16">
      <c r="A88" s="1">
        <v>45936</v>
      </c>
      <c r="B88">
        <v>1</v>
      </c>
      <c r="C88" t="s">
        <v>99</v>
      </c>
      <c r="D88">
        <v>1</v>
      </c>
      <c r="E88" s="2">
        <v>16.5</v>
      </c>
      <c r="F88" s="2">
        <v>111.66</v>
      </c>
      <c r="G88" s="2">
        <v>-104.03</v>
      </c>
      <c r="H88" s="2">
        <v>-122.83</v>
      </c>
      <c r="I88" s="2">
        <v>115.08</v>
      </c>
      <c r="J88" s="2">
        <v>0.18</v>
      </c>
      <c r="K88" s="2">
        <v>0.71</v>
      </c>
      <c r="L88" s="2">
        <v>0.73</v>
      </c>
      <c r="M88" s="2">
        <v>0.73</v>
      </c>
      <c r="N88" t="s">
        <v>98</v>
      </c>
      <c r="O88">
        <v>16</v>
      </c>
      <c r="P88" t="s">
        <v>322</v>
      </c>
    </row>
    <row r="89" spans="1:16">
      <c r="A89" s="1">
        <v>45936</v>
      </c>
      <c r="B89">
        <v>1</v>
      </c>
      <c r="C89" t="s">
        <v>99</v>
      </c>
      <c r="D89">
        <v>1</v>
      </c>
      <c r="E89" s="2">
        <v>17</v>
      </c>
      <c r="F89" s="2">
        <v>275.39999999999998</v>
      </c>
      <c r="G89" s="2">
        <v>-264.38</v>
      </c>
      <c r="H89" s="2">
        <v>-73.7</v>
      </c>
      <c r="I89" s="2">
        <v>67.03</v>
      </c>
      <c r="J89" s="2">
        <v>0.16</v>
      </c>
      <c r="K89" s="2">
        <v>0.5</v>
      </c>
      <c r="L89" s="2">
        <v>0.52</v>
      </c>
      <c r="M89" s="2">
        <v>0.52</v>
      </c>
      <c r="N89" t="s">
        <v>98</v>
      </c>
      <c r="O89">
        <v>16</v>
      </c>
      <c r="P89" t="s">
        <v>322</v>
      </c>
    </row>
    <row r="90" spans="1:16">
      <c r="A90" s="1">
        <v>45936</v>
      </c>
      <c r="B90">
        <v>1</v>
      </c>
      <c r="C90" t="s">
        <v>99</v>
      </c>
      <c r="D90">
        <v>1</v>
      </c>
      <c r="E90" s="2">
        <v>17.5</v>
      </c>
      <c r="F90" s="2">
        <v>327.91</v>
      </c>
      <c r="G90" s="2">
        <v>-319.39999999999998</v>
      </c>
      <c r="H90" s="2">
        <v>-77.84</v>
      </c>
      <c r="I90" s="2">
        <v>69.27</v>
      </c>
      <c r="J90" s="2">
        <v>0.16</v>
      </c>
      <c r="K90" s="2">
        <v>0.43</v>
      </c>
      <c r="L90" s="2">
        <v>0.46</v>
      </c>
      <c r="M90" s="2">
        <v>0.46</v>
      </c>
      <c r="N90" t="s">
        <v>98</v>
      </c>
      <c r="O90">
        <v>16</v>
      </c>
      <c r="P90" t="s">
        <v>322</v>
      </c>
    </row>
    <row r="91" spans="1:16">
      <c r="A91" s="1">
        <v>45936</v>
      </c>
      <c r="B91">
        <v>1</v>
      </c>
      <c r="C91" t="s">
        <v>99</v>
      </c>
      <c r="D91">
        <v>1</v>
      </c>
      <c r="E91" s="2">
        <v>18</v>
      </c>
      <c r="F91" s="2">
        <v>397.1</v>
      </c>
      <c r="G91" s="2">
        <v>-386.09</v>
      </c>
      <c r="H91" s="2">
        <v>-113.07</v>
      </c>
      <c r="I91" s="2">
        <v>104.15</v>
      </c>
      <c r="J91" s="2">
        <v>0.17</v>
      </c>
      <c r="K91" s="2">
        <v>0.44</v>
      </c>
      <c r="L91" s="2">
        <v>0.47</v>
      </c>
      <c r="M91" s="2">
        <v>0.47</v>
      </c>
      <c r="N91" t="s">
        <v>98</v>
      </c>
      <c r="O91">
        <v>16</v>
      </c>
      <c r="P91" t="s">
        <v>322</v>
      </c>
    </row>
    <row r="92" spans="1:16">
      <c r="A92" s="1">
        <v>45936</v>
      </c>
      <c r="B92">
        <v>1</v>
      </c>
      <c r="C92" t="s">
        <v>99</v>
      </c>
      <c r="D92">
        <v>1</v>
      </c>
      <c r="E92" s="2">
        <v>18.5</v>
      </c>
      <c r="F92" s="2">
        <v>440.75</v>
      </c>
      <c r="G92" s="2">
        <v>-430.56</v>
      </c>
      <c r="H92" s="2">
        <v>-124</v>
      </c>
      <c r="I92" s="2">
        <v>118.36</v>
      </c>
      <c r="J92" s="2">
        <v>0.18</v>
      </c>
      <c r="K92" s="2">
        <v>0.3</v>
      </c>
      <c r="L92" s="2">
        <v>0.35</v>
      </c>
      <c r="M92" s="2">
        <v>0.35</v>
      </c>
      <c r="N92" t="s">
        <v>98</v>
      </c>
      <c r="O92">
        <v>16</v>
      </c>
      <c r="P92" t="s">
        <v>322</v>
      </c>
    </row>
    <row r="93" spans="1:16">
      <c r="A93" s="1">
        <v>45936</v>
      </c>
      <c r="B93">
        <v>1</v>
      </c>
      <c r="C93" t="s">
        <v>99</v>
      </c>
      <c r="D93">
        <v>1</v>
      </c>
      <c r="E93" s="2">
        <v>19</v>
      </c>
      <c r="F93" s="2">
        <v>450.13</v>
      </c>
      <c r="G93" s="2">
        <v>-441.04</v>
      </c>
      <c r="H93" s="2">
        <v>-118.56</v>
      </c>
      <c r="I93" s="2">
        <v>112.58</v>
      </c>
      <c r="J93" s="2">
        <v>0.19</v>
      </c>
      <c r="K93" s="2">
        <v>0.18</v>
      </c>
      <c r="L93" s="2">
        <v>0.26</v>
      </c>
      <c r="M93" s="2">
        <v>0.26</v>
      </c>
      <c r="N93" t="s">
        <v>98</v>
      </c>
      <c r="O93">
        <v>16</v>
      </c>
      <c r="P93" t="s">
        <v>322</v>
      </c>
    </row>
    <row r="94" spans="1:16">
      <c r="A94" s="1">
        <v>45936</v>
      </c>
      <c r="B94">
        <v>1</v>
      </c>
      <c r="C94" t="s">
        <v>99</v>
      </c>
      <c r="D94">
        <v>1</v>
      </c>
      <c r="E94" s="2">
        <v>19.5</v>
      </c>
      <c r="F94" s="2">
        <v>331.33</v>
      </c>
      <c r="G94" s="2">
        <v>-322.98</v>
      </c>
      <c r="H94" s="2">
        <v>-49.43</v>
      </c>
      <c r="I94" s="2">
        <v>47.06</v>
      </c>
      <c r="J94" s="2">
        <v>0.2</v>
      </c>
      <c r="K94" s="2">
        <v>0.28000000000000003</v>
      </c>
      <c r="L94" s="2">
        <v>0.34</v>
      </c>
      <c r="M94" s="2">
        <v>0.34</v>
      </c>
      <c r="N94" t="s">
        <v>98</v>
      </c>
      <c r="O94">
        <v>16</v>
      </c>
      <c r="P94" t="s">
        <v>322</v>
      </c>
    </row>
    <row r="95" spans="1:16">
      <c r="A95" s="1">
        <v>45936</v>
      </c>
      <c r="B95">
        <v>1</v>
      </c>
      <c r="C95" t="s">
        <v>99</v>
      </c>
      <c r="D95">
        <v>1</v>
      </c>
      <c r="E95" s="2">
        <v>20</v>
      </c>
      <c r="F95" s="2">
        <v>195.7</v>
      </c>
      <c r="G95" s="2">
        <v>-184.62</v>
      </c>
      <c r="H95" s="2">
        <v>-19.649999999999999</v>
      </c>
      <c r="I95" s="2">
        <v>6.98</v>
      </c>
      <c r="J95" s="2">
        <v>0.21</v>
      </c>
      <c r="K95" s="2">
        <v>0.31</v>
      </c>
      <c r="L95" s="2">
        <v>0.37</v>
      </c>
      <c r="M95" s="2">
        <v>0.37</v>
      </c>
      <c r="N95" t="s">
        <v>98</v>
      </c>
      <c r="O95">
        <v>16</v>
      </c>
      <c r="P95" t="s">
        <v>322</v>
      </c>
    </row>
    <row r="96" spans="1:16">
      <c r="A96" s="1">
        <v>45936</v>
      </c>
      <c r="B96">
        <v>1</v>
      </c>
      <c r="C96" t="s">
        <v>99</v>
      </c>
      <c r="D96">
        <v>1</v>
      </c>
      <c r="E96" s="2">
        <v>20.5</v>
      </c>
      <c r="F96" s="2">
        <v>160.85</v>
      </c>
      <c r="G96" s="2">
        <v>-151.38</v>
      </c>
      <c r="H96" s="2">
        <v>-19.54</v>
      </c>
      <c r="I96" s="2">
        <v>9.83</v>
      </c>
      <c r="J96" s="2">
        <v>0.14000000000000001</v>
      </c>
      <c r="K96" s="2">
        <v>0.28999999999999998</v>
      </c>
      <c r="L96" s="2">
        <v>0.32</v>
      </c>
      <c r="M96" s="2">
        <v>0.32</v>
      </c>
      <c r="N96" t="s">
        <v>98</v>
      </c>
      <c r="O96">
        <v>16</v>
      </c>
      <c r="P96" t="s">
        <v>322</v>
      </c>
    </row>
    <row r="97" spans="1:16">
      <c r="A97" s="1">
        <v>45936</v>
      </c>
      <c r="B97">
        <v>1</v>
      </c>
      <c r="C97" t="s">
        <v>99</v>
      </c>
      <c r="D97">
        <v>1</v>
      </c>
      <c r="E97" s="2">
        <v>21</v>
      </c>
      <c r="F97" s="2">
        <v>121.68</v>
      </c>
      <c r="G97" s="2">
        <v>-110.49</v>
      </c>
      <c r="H97" s="2">
        <v>-12.9</v>
      </c>
      <c r="I97" s="2">
        <v>18.059999999999999</v>
      </c>
      <c r="J97" s="2">
        <v>0.14000000000000001</v>
      </c>
      <c r="K97" s="2">
        <v>0.31</v>
      </c>
      <c r="L97" s="2">
        <v>0.34</v>
      </c>
      <c r="M97" s="2">
        <v>0.34</v>
      </c>
      <c r="N97" t="s">
        <v>98</v>
      </c>
      <c r="O97">
        <v>16</v>
      </c>
      <c r="P97" t="s">
        <v>322</v>
      </c>
    </row>
    <row r="98" spans="1:16">
      <c r="A98" s="1">
        <v>45936</v>
      </c>
      <c r="B98">
        <v>1</v>
      </c>
      <c r="C98" t="s">
        <v>99</v>
      </c>
      <c r="D98">
        <v>1</v>
      </c>
      <c r="E98" s="2">
        <v>21.5</v>
      </c>
      <c r="F98" s="2">
        <v>-8.93</v>
      </c>
      <c r="G98" s="2">
        <v>21.79</v>
      </c>
      <c r="H98" s="2">
        <v>-32.28</v>
      </c>
      <c r="I98" s="2">
        <v>18.420000000000002</v>
      </c>
      <c r="J98" s="2">
        <v>0.04</v>
      </c>
      <c r="K98" s="2">
        <v>0.13</v>
      </c>
      <c r="L98" s="2">
        <v>0.14000000000000001</v>
      </c>
      <c r="M98" s="2">
        <v>0.14000000000000001</v>
      </c>
      <c r="N98" t="s">
        <v>98</v>
      </c>
      <c r="O98">
        <v>16</v>
      </c>
      <c r="P98" t="s">
        <v>322</v>
      </c>
    </row>
    <row r="99" spans="1:16">
      <c r="A99" s="1">
        <v>45936</v>
      </c>
      <c r="B99">
        <v>1</v>
      </c>
      <c r="C99" t="s">
        <v>99</v>
      </c>
      <c r="D99">
        <v>1</v>
      </c>
      <c r="E99" s="2">
        <v>22</v>
      </c>
      <c r="F99" s="2">
        <v>-55.4</v>
      </c>
      <c r="G99" s="2">
        <v>64.400000000000006</v>
      </c>
      <c r="H99" s="2">
        <v>-24.59</v>
      </c>
      <c r="I99" s="2">
        <v>23.83</v>
      </c>
      <c r="J99" s="2">
        <v>0.04</v>
      </c>
      <c r="K99" s="2">
        <v>0.21</v>
      </c>
      <c r="L99" s="2">
        <v>0.21</v>
      </c>
      <c r="M99" s="2">
        <v>0.21</v>
      </c>
      <c r="N99" t="s">
        <v>98</v>
      </c>
      <c r="O99">
        <v>16</v>
      </c>
      <c r="P99" t="s">
        <v>322</v>
      </c>
    </row>
    <row r="100" spans="1:16">
      <c r="A100" s="1">
        <v>45936</v>
      </c>
      <c r="B100">
        <v>1</v>
      </c>
      <c r="C100" t="s">
        <v>99</v>
      </c>
      <c r="D100">
        <v>1</v>
      </c>
      <c r="E100" s="2">
        <v>22.5</v>
      </c>
      <c r="F100" s="2">
        <v>-41.69</v>
      </c>
      <c r="G100" s="2">
        <v>53.46</v>
      </c>
      <c r="H100" s="2">
        <v>-125.83</v>
      </c>
      <c r="I100" s="2">
        <v>116.36</v>
      </c>
      <c r="J100" s="2">
        <v>0.05</v>
      </c>
      <c r="K100" s="2">
        <v>0.08</v>
      </c>
      <c r="L100" s="2">
        <v>0.09</v>
      </c>
      <c r="M100" s="2">
        <v>0.09</v>
      </c>
      <c r="N100" t="s">
        <v>98</v>
      </c>
      <c r="O100">
        <v>16</v>
      </c>
      <c r="P100" t="s">
        <v>322</v>
      </c>
    </row>
    <row r="101" spans="1:16">
      <c r="A101" s="1">
        <v>45936</v>
      </c>
      <c r="B101">
        <v>1</v>
      </c>
      <c r="C101" t="s">
        <v>99</v>
      </c>
      <c r="D101">
        <v>1</v>
      </c>
      <c r="E101" s="2">
        <v>23</v>
      </c>
      <c r="F101" s="2">
        <v>-54.38</v>
      </c>
      <c r="G101" s="2">
        <v>61.82</v>
      </c>
      <c r="H101" s="2">
        <v>-164.09</v>
      </c>
      <c r="I101" s="2">
        <v>154.96</v>
      </c>
      <c r="J101" s="2">
        <v>0.05</v>
      </c>
      <c r="K101" s="2">
        <v>0.11</v>
      </c>
      <c r="L101" s="2">
        <v>0.12</v>
      </c>
      <c r="M101" s="2">
        <v>0.12</v>
      </c>
      <c r="N101" t="s">
        <v>98</v>
      </c>
      <c r="O101">
        <v>16</v>
      </c>
      <c r="P101" t="s">
        <v>322</v>
      </c>
    </row>
    <row r="102" spans="1:16">
      <c r="A102" s="1">
        <v>45936</v>
      </c>
      <c r="B102">
        <v>1</v>
      </c>
      <c r="C102" t="s">
        <v>99</v>
      </c>
      <c r="D102">
        <v>1</v>
      </c>
      <c r="E102" s="2">
        <v>23.5</v>
      </c>
      <c r="F102" s="2">
        <v>-120.41</v>
      </c>
      <c r="G102" s="2">
        <v>135.69</v>
      </c>
      <c r="H102" s="2">
        <v>-200.71</v>
      </c>
      <c r="I102" s="2">
        <v>205.57</v>
      </c>
      <c r="J102" s="2">
        <v>0.06</v>
      </c>
      <c r="K102" s="2">
        <v>0.23</v>
      </c>
      <c r="L102" s="2">
        <v>0.24</v>
      </c>
      <c r="M102" s="2">
        <v>0.24</v>
      </c>
      <c r="N102" t="s">
        <v>98</v>
      </c>
      <c r="O102">
        <v>16</v>
      </c>
      <c r="P102" t="s">
        <v>322</v>
      </c>
    </row>
    <row r="103" spans="1:16">
      <c r="A103" s="1">
        <v>45936</v>
      </c>
      <c r="B103">
        <v>1</v>
      </c>
      <c r="C103" t="s">
        <v>99</v>
      </c>
      <c r="D103">
        <v>1</v>
      </c>
      <c r="E103" s="2">
        <v>24</v>
      </c>
      <c r="F103" s="2">
        <v>-154.22999999999999</v>
      </c>
      <c r="G103" s="2">
        <v>165.23</v>
      </c>
      <c r="H103" s="2">
        <v>-270.19</v>
      </c>
      <c r="I103" s="2">
        <v>252.52</v>
      </c>
      <c r="J103" s="2">
        <v>0.06</v>
      </c>
      <c r="K103" s="2">
        <v>0.24</v>
      </c>
      <c r="L103" s="2">
        <v>0.25</v>
      </c>
      <c r="M103" s="2">
        <v>0.25</v>
      </c>
      <c r="N103" t="s">
        <v>98</v>
      </c>
      <c r="O103">
        <v>16</v>
      </c>
      <c r="P103" t="s">
        <v>322</v>
      </c>
    </row>
    <row r="104" spans="1:16">
      <c r="A104" s="1">
        <v>45936</v>
      </c>
      <c r="B104">
        <v>1</v>
      </c>
      <c r="C104" t="s">
        <v>99</v>
      </c>
      <c r="D104">
        <v>1</v>
      </c>
      <c r="E104" s="2">
        <v>24.5</v>
      </c>
      <c r="F104" s="2">
        <v>-48.87</v>
      </c>
      <c r="G104" s="2">
        <v>57.15</v>
      </c>
      <c r="H104" s="2">
        <v>-258.86</v>
      </c>
      <c r="I104" s="2">
        <v>235.97</v>
      </c>
      <c r="J104" s="2">
        <v>0.06</v>
      </c>
      <c r="K104" s="2">
        <v>0.2</v>
      </c>
      <c r="L104" s="2">
        <v>0.2</v>
      </c>
      <c r="M104" s="2">
        <v>0.2</v>
      </c>
      <c r="N104" t="s">
        <v>98</v>
      </c>
      <c r="O104">
        <v>16</v>
      </c>
      <c r="P104" t="s">
        <v>322</v>
      </c>
    </row>
    <row r="105" spans="1:16">
      <c r="A105" s="1">
        <v>45936</v>
      </c>
      <c r="B105">
        <v>1</v>
      </c>
      <c r="C105" t="s">
        <v>99</v>
      </c>
      <c r="D105">
        <v>1</v>
      </c>
      <c r="E105" s="2">
        <v>25</v>
      </c>
      <c r="F105" s="2">
        <v>47.49</v>
      </c>
      <c r="G105" s="2">
        <v>-34.99</v>
      </c>
      <c r="H105" s="2">
        <v>-241.1</v>
      </c>
      <c r="I105" s="2">
        <v>216.91</v>
      </c>
      <c r="J105" s="2">
        <v>0.03</v>
      </c>
      <c r="K105" s="2">
        <v>0.04</v>
      </c>
      <c r="L105" s="2">
        <v>0.05</v>
      </c>
      <c r="M105" s="2">
        <v>0.05</v>
      </c>
      <c r="N105" t="s">
        <v>98</v>
      </c>
      <c r="O105">
        <v>16</v>
      </c>
      <c r="P105" t="s">
        <v>322</v>
      </c>
    </row>
    <row r="106" spans="1:16">
      <c r="A106" s="1">
        <v>45936</v>
      </c>
      <c r="B106">
        <v>1</v>
      </c>
      <c r="C106" t="s">
        <v>99</v>
      </c>
      <c r="D106">
        <v>1</v>
      </c>
      <c r="E106" s="2">
        <v>25.5</v>
      </c>
      <c r="F106" s="2">
        <v>104.12</v>
      </c>
      <c r="G106" s="2">
        <v>-94.21</v>
      </c>
      <c r="H106" s="2">
        <v>-212.01</v>
      </c>
      <c r="I106" s="2">
        <v>193.46</v>
      </c>
      <c r="J106" s="2">
        <v>0.01</v>
      </c>
      <c r="K106" s="2">
        <v>0.13</v>
      </c>
      <c r="L106" s="2">
        <v>0.13</v>
      </c>
      <c r="M106" s="2">
        <v>0.13</v>
      </c>
      <c r="N106" t="s">
        <v>98</v>
      </c>
      <c r="O106">
        <v>16</v>
      </c>
      <c r="P106" t="s">
        <v>322</v>
      </c>
    </row>
    <row r="107" spans="1:16">
      <c r="A107" s="1">
        <v>45936</v>
      </c>
      <c r="B107">
        <v>1</v>
      </c>
      <c r="C107" t="s">
        <v>99</v>
      </c>
      <c r="D107">
        <v>1</v>
      </c>
      <c r="E107" s="2">
        <v>26</v>
      </c>
      <c r="F107" s="2">
        <v>150.22999999999999</v>
      </c>
      <c r="G107" s="2">
        <v>-137.19999999999999</v>
      </c>
      <c r="H107" s="2">
        <v>-255.88</v>
      </c>
      <c r="I107" s="2">
        <v>244.1</v>
      </c>
      <c r="J107" s="2">
        <v>0.02</v>
      </c>
      <c r="K107" s="2">
        <v>0.25</v>
      </c>
      <c r="L107" s="2">
        <v>0.25</v>
      </c>
      <c r="M107" s="2">
        <v>0.25</v>
      </c>
      <c r="N107" t="s">
        <v>98</v>
      </c>
      <c r="O107">
        <v>16</v>
      </c>
      <c r="P107" t="s">
        <v>322</v>
      </c>
    </row>
    <row r="108" spans="1:16">
      <c r="A108" s="1">
        <v>45936</v>
      </c>
      <c r="B108">
        <v>1</v>
      </c>
      <c r="C108" t="s">
        <v>99</v>
      </c>
      <c r="D108">
        <v>1</v>
      </c>
      <c r="E108" s="2">
        <v>26.5</v>
      </c>
      <c r="F108" s="2">
        <v>156.72999999999999</v>
      </c>
      <c r="G108" s="2">
        <v>-143.71</v>
      </c>
      <c r="H108" s="2">
        <v>-258.69</v>
      </c>
      <c r="I108" s="2">
        <v>263.12</v>
      </c>
      <c r="J108" s="2">
        <v>0.01</v>
      </c>
      <c r="K108" s="2">
        <v>0.13</v>
      </c>
      <c r="L108" s="2">
        <v>0.13</v>
      </c>
      <c r="M108" s="2">
        <v>0.13</v>
      </c>
      <c r="N108" t="s">
        <v>98</v>
      </c>
      <c r="O108">
        <v>16</v>
      </c>
      <c r="P108" t="s">
        <v>322</v>
      </c>
    </row>
    <row r="109" spans="1:16">
      <c r="A109" s="1">
        <v>45944</v>
      </c>
      <c r="B109">
        <v>2</v>
      </c>
      <c r="C109" t="s">
        <v>94</v>
      </c>
      <c r="D109">
        <v>2</v>
      </c>
      <c r="E109" s="2">
        <v>0.5</v>
      </c>
      <c r="F109" s="2">
        <v>-395.47</v>
      </c>
      <c r="G109" s="2">
        <v>392.13</v>
      </c>
      <c r="H109" s="2">
        <v>-824.24</v>
      </c>
      <c r="I109" s="2">
        <v>857.96</v>
      </c>
      <c r="J109" s="2">
        <v>0.5</v>
      </c>
      <c r="K109" s="2">
        <v>-5.09</v>
      </c>
      <c r="L109" s="2">
        <v>5.1100000000000003</v>
      </c>
      <c r="M109" s="2">
        <v>-0.51</v>
      </c>
      <c r="N109" t="s">
        <v>98</v>
      </c>
      <c r="O109">
        <v>8</v>
      </c>
      <c r="P109" t="s">
        <v>322</v>
      </c>
    </row>
    <row r="110" spans="1:16">
      <c r="A110" s="1">
        <v>45944</v>
      </c>
      <c r="B110">
        <v>2</v>
      </c>
      <c r="C110" t="s">
        <v>94</v>
      </c>
      <c r="D110">
        <v>2</v>
      </c>
      <c r="E110" s="2">
        <v>1</v>
      </c>
      <c r="F110" s="2">
        <v>-395.29</v>
      </c>
      <c r="G110" s="2">
        <v>392</v>
      </c>
      <c r="H110" s="2">
        <v>-824.26</v>
      </c>
      <c r="I110" s="2">
        <v>857.95</v>
      </c>
      <c r="J110" s="2">
        <v>0.74</v>
      </c>
      <c r="K110" s="2">
        <v>-4.0999999999999996</v>
      </c>
      <c r="L110" s="2">
        <v>4.16</v>
      </c>
      <c r="M110" s="2">
        <v>-1.03</v>
      </c>
      <c r="N110" t="s">
        <v>98</v>
      </c>
      <c r="O110">
        <v>8</v>
      </c>
      <c r="P110" t="s">
        <v>322</v>
      </c>
    </row>
    <row r="111" spans="1:16">
      <c r="A111" s="1">
        <v>45944</v>
      </c>
      <c r="B111">
        <v>2</v>
      </c>
      <c r="C111" t="s">
        <v>94</v>
      </c>
      <c r="D111">
        <v>2</v>
      </c>
      <c r="E111" s="2">
        <v>1.5</v>
      </c>
      <c r="F111" s="2">
        <v>-0.84</v>
      </c>
      <c r="G111" s="2">
        <v>14.07</v>
      </c>
      <c r="H111" s="2">
        <v>-262.33</v>
      </c>
      <c r="I111" s="2">
        <v>268.39</v>
      </c>
      <c r="J111" s="2">
        <v>1.03</v>
      </c>
      <c r="K111" s="2">
        <v>-3.52</v>
      </c>
      <c r="L111" s="2">
        <v>3.66</v>
      </c>
      <c r="M111" s="2">
        <v>-1.52</v>
      </c>
      <c r="N111" t="s">
        <v>98</v>
      </c>
      <c r="O111">
        <v>8</v>
      </c>
      <c r="P111" t="s">
        <v>322</v>
      </c>
    </row>
    <row r="112" spans="1:16">
      <c r="A112" s="1">
        <v>45944</v>
      </c>
      <c r="B112">
        <v>2</v>
      </c>
      <c r="C112" t="s">
        <v>94</v>
      </c>
      <c r="D112">
        <v>2</v>
      </c>
      <c r="E112" s="2">
        <v>2</v>
      </c>
      <c r="F112" s="2">
        <v>0.81</v>
      </c>
      <c r="G112" s="2">
        <v>7.15</v>
      </c>
      <c r="H112" s="2">
        <v>-227.31</v>
      </c>
      <c r="I112" s="2">
        <v>242.5</v>
      </c>
      <c r="J112" s="2">
        <v>1.02</v>
      </c>
      <c r="K112" s="2">
        <v>-3.18</v>
      </c>
      <c r="L112" s="2">
        <v>3.34</v>
      </c>
      <c r="M112" s="2">
        <v>-1.75</v>
      </c>
      <c r="N112" t="s">
        <v>98</v>
      </c>
      <c r="O112">
        <v>8</v>
      </c>
      <c r="P112" t="s">
        <v>322</v>
      </c>
    </row>
    <row r="113" spans="1:16">
      <c r="A113" s="1">
        <v>45944</v>
      </c>
      <c r="B113">
        <v>2</v>
      </c>
      <c r="C113" t="s">
        <v>94</v>
      </c>
      <c r="D113">
        <v>2</v>
      </c>
      <c r="E113" s="2">
        <v>2.5</v>
      </c>
      <c r="F113" s="2">
        <v>26.8</v>
      </c>
      <c r="G113" s="2">
        <v>-19.66</v>
      </c>
      <c r="H113" s="2">
        <v>-208.99</v>
      </c>
      <c r="I113" s="2">
        <v>223.63</v>
      </c>
      <c r="J113" s="2">
        <v>1.21</v>
      </c>
      <c r="K113" s="2">
        <v>-3.09</v>
      </c>
      <c r="L113" s="2">
        <v>3.32</v>
      </c>
      <c r="M113" s="2">
        <v>-1.74</v>
      </c>
      <c r="N113" t="s">
        <v>98</v>
      </c>
      <c r="O113">
        <v>8</v>
      </c>
      <c r="P113" t="s">
        <v>322</v>
      </c>
    </row>
    <row r="114" spans="1:16">
      <c r="A114" s="1">
        <v>45944</v>
      </c>
      <c r="B114">
        <v>2</v>
      </c>
      <c r="C114" t="s">
        <v>94</v>
      </c>
      <c r="D114">
        <v>2</v>
      </c>
      <c r="E114" s="2">
        <v>3</v>
      </c>
      <c r="F114" s="2">
        <v>9.08</v>
      </c>
      <c r="G114" s="2">
        <v>-0.65</v>
      </c>
      <c r="H114" s="2">
        <v>-158.30000000000001</v>
      </c>
      <c r="I114" s="2">
        <v>172.5</v>
      </c>
      <c r="J114" s="2">
        <v>1.34</v>
      </c>
      <c r="K114" s="2">
        <v>-3.23</v>
      </c>
      <c r="L114" s="2">
        <v>3.5</v>
      </c>
      <c r="M114" s="2">
        <v>-1.73</v>
      </c>
      <c r="N114" t="s">
        <v>98</v>
      </c>
      <c r="O114">
        <v>8</v>
      </c>
      <c r="P114" t="s">
        <v>322</v>
      </c>
    </row>
    <row r="115" spans="1:16">
      <c r="A115" s="1">
        <v>45944</v>
      </c>
      <c r="B115">
        <v>2</v>
      </c>
      <c r="C115" t="s">
        <v>94</v>
      </c>
      <c r="D115">
        <v>2</v>
      </c>
      <c r="E115" s="2">
        <v>3.5</v>
      </c>
      <c r="F115" s="2">
        <v>-7.22</v>
      </c>
      <c r="G115" s="2">
        <v>15.58</v>
      </c>
      <c r="H115" s="2">
        <v>-97.71</v>
      </c>
      <c r="I115" s="2">
        <v>96.71</v>
      </c>
      <c r="J115" s="2">
        <v>1.39</v>
      </c>
      <c r="K115" s="2">
        <v>-3.47</v>
      </c>
      <c r="L115" s="2">
        <v>3.74</v>
      </c>
      <c r="M115" s="2">
        <v>-1.5</v>
      </c>
      <c r="N115" t="s">
        <v>98</v>
      </c>
      <c r="O115">
        <v>8</v>
      </c>
      <c r="P115" t="s">
        <v>322</v>
      </c>
    </row>
    <row r="116" spans="1:16">
      <c r="A116" s="1">
        <v>45944</v>
      </c>
      <c r="B116">
        <v>2</v>
      </c>
      <c r="C116" t="s">
        <v>94</v>
      </c>
      <c r="D116">
        <v>2</v>
      </c>
      <c r="E116" s="2">
        <v>4</v>
      </c>
      <c r="F116" s="2">
        <v>61.43</v>
      </c>
      <c r="G116" s="2">
        <v>-55.17</v>
      </c>
      <c r="H116" s="2">
        <v>-73.78</v>
      </c>
      <c r="I116" s="2">
        <v>54.87</v>
      </c>
      <c r="J116" s="2">
        <v>1.44</v>
      </c>
      <c r="K116" s="2">
        <v>-3.28</v>
      </c>
      <c r="L116" s="2">
        <v>3.59</v>
      </c>
      <c r="M116" s="2">
        <v>-1.39</v>
      </c>
      <c r="N116" t="s">
        <v>98</v>
      </c>
      <c r="O116">
        <v>8</v>
      </c>
      <c r="P116" t="s">
        <v>322</v>
      </c>
    </row>
    <row r="117" spans="1:16">
      <c r="A117" s="1">
        <v>45944</v>
      </c>
      <c r="B117">
        <v>2</v>
      </c>
      <c r="C117" t="s">
        <v>94</v>
      </c>
      <c r="D117">
        <v>2</v>
      </c>
      <c r="E117" s="2">
        <v>4.5</v>
      </c>
      <c r="F117" s="2">
        <v>55.58</v>
      </c>
      <c r="G117" s="2">
        <v>-47.12</v>
      </c>
      <c r="H117" s="2">
        <v>-31.12</v>
      </c>
      <c r="I117" s="2">
        <v>39.56</v>
      </c>
      <c r="J117" s="2">
        <v>1.52</v>
      </c>
      <c r="K117" s="2">
        <v>-3.15</v>
      </c>
      <c r="L117" s="2">
        <v>3.5</v>
      </c>
      <c r="M117" s="2">
        <v>-1.24</v>
      </c>
      <c r="N117" t="s">
        <v>98</v>
      </c>
      <c r="O117">
        <v>8</v>
      </c>
      <c r="P117" t="s">
        <v>322</v>
      </c>
    </row>
    <row r="118" spans="1:16">
      <c r="A118" s="1">
        <v>45944</v>
      </c>
      <c r="B118">
        <v>2</v>
      </c>
      <c r="C118" t="s">
        <v>94</v>
      </c>
      <c r="D118">
        <v>2</v>
      </c>
      <c r="E118" s="2">
        <v>5</v>
      </c>
      <c r="F118" s="2">
        <v>2.94</v>
      </c>
      <c r="G118" s="2">
        <v>6.1</v>
      </c>
      <c r="H118" s="2">
        <v>28</v>
      </c>
      <c r="I118" s="2">
        <v>-27.85</v>
      </c>
      <c r="J118" s="2">
        <v>1.68</v>
      </c>
      <c r="K118" s="2">
        <v>-3.2</v>
      </c>
      <c r="L118" s="2">
        <v>3.61</v>
      </c>
      <c r="M118" s="2">
        <v>-0.96</v>
      </c>
      <c r="N118" t="s">
        <v>98</v>
      </c>
      <c r="O118">
        <v>8</v>
      </c>
      <c r="P118" t="s">
        <v>322</v>
      </c>
    </row>
    <row r="119" spans="1:16">
      <c r="A119" s="1">
        <v>45944</v>
      </c>
      <c r="B119">
        <v>2</v>
      </c>
      <c r="C119" t="s">
        <v>94</v>
      </c>
      <c r="D119">
        <v>2</v>
      </c>
      <c r="E119" s="2">
        <v>5.5</v>
      </c>
      <c r="F119" s="2">
        <v>0.91</v>
      </c>
      <c r="G119" s="2">
        <v>6.66</v>
      </c>
      <c r="H119" s="2">
        <v>13.86</v>
      </c>
      <c r="I119" s="2">
        <v>-25.52</v>
      </c>
      <c r="J119" s="2">
        <v>1.77</v>
      </c>
      <c r="K119" s="2">
        <v>-2.92</v>
      </c>
      <c r="L119" s="2">
        <v>3.42</v>
      </c>
      <c r="M119" s="2">
        <v>-0.91</v>
      </c>
      <c r="N119" t="s">
        <v>98</v>
      </c>
      <c r="O119">
        <v>8</v>
      </c>
      <c r="P119" t="s">
        <v>322</v>
      </c>
    </row>
    <row r="120" spans="1:16">
      <c r="A120" s="1">
        <v>45944</v>
      </c>
      <c r="B120">
        <v>2</v>
      </c>
      <c r="C120" t="s">
        <v>94</v>
      </c>
      <c r="D120">
        <v>2</v>
      </c>
      <c r="E120" s="2">
        <v>6</v>
      </c>
      <c r="F120" s="2">
        <v>17.059999999999999</v>
      </c>
      <c r="G120" s="2">
        <v>-9.68</v>
      </c>
      <c r="H120" s="2">
        <v>-18.7</v>
      </c>
      <c r="I120" s="2">
        <v>25.85</v>
      </c>
      <c r="J120" s="2">
        <v>1.85</v>
      </c>
      <c r="K120" s="2">
        <v>-2.67</v>
      </c>
      <c r="L120" s="2">
        <v>3.25</v>
      </c>
      <c r="M120" s="2">
        <v>-0.97</v>
      </c>
      <c r="N120" t="s">
        <v>98</v>
      </c>
      <c r="O120">
        <v>8</v>
      </c>
      <c r="P120" t="s">
        <v>322</v>
      </c>
    </row>
    <row r="121" spans="1:16">
      <c r="A121" s="1">
        <v>45944</v>
      </c>
      <c r="B121">
        <v>2</v>
      </c>
      <c r="C121" t="s">
        <v>94</v>
      </c>
      <c r="D121">
        <v>2</v>
      </c>
      <c r="E121" s="2">
        <v>6.5</v>
      </c>
      <c r="F121" s="2">
        <v>32.56</v>
      </c>
      <c r="G121" s="2">
        <v>-22.35</v>
      </c>
      <c r="H121" s="2">
        <v>-50.47</v>
      </c>
      <c r="I121" s="2">
        <v>51.92</v>
      </c>
      <c r="J121" s="2">
        <v>1.93</v>
      </c>
      <c r="K121" s="2">
        <v>-2.27</v>
      </c>
      <c r="L121" s="2">
        <v>2.98</v>
      </c>
      <c r="M121" s="2">
        <v>-1.02</v>
      </c>
      <c r="N121" t="s">
        <v>98</v>
      </c>
      <c r="O121">
        <v>8</v>
      </c>
      <c r="P121" t="s">
        <v>322</v>
      </c>
    </row>
    <row r="122" spans="1:16">
      <c r="A122" s="1">
        <v>45944</v>
      </c>
      <c r="B122">
        <v>2</v>
      </c>
      <c r="C122" t="s">
        <v>94</v>
      </c>
      <c r="D122">
        <v>2</v>
      </c>
      <c r="E122" s="2">
        <v>7</v>
      </c>
      <c r="F122" s="2">
        <v>104.3</v>
      </c>
      <c r="G122" s="2">
        <v>-98.23</v>
      </c>
      <c r="H122" s="2">
        <v>-31.27</v>
      </c>
      <c r="I122" s="2">
        <v>44.09</v>
      </c>
      <c r="J122" s="2">
        <v>1.87</v>
      </c>
      <c r="K122" s="2">
        <v>-2.0099999999999998</v>
      </c>
      <c r="L122" s="2">
        <v>2.74</v>
      </c>
      <c r="M122" s="2">
        <v>-0.98</v>
      </c>
      <c r="N122" t="s">
        <v>98</v>
      </c>
      <c r="O122">
        <v>8</v>
      </c>
      <c r="P122" t="s">
        <v>322</v>
      </c>
    </row>
    <row r="123" spans="1:16">
      <c r="A123" s="1">
        <v>45944</v>
      </c>
      <c r="B123">
        <v>2</v>
      </c>
      <c r="C123" t="s">
        <v>94</v>
      </c>
      <c r="D123">
        <v>2</v>
      </c>
      <c r="E123" s="2">
        <v>7.5</v>
      </c>
      <c r="F123" s="2">
        <v>67.48</v>
      </c>
      <c r="G123" s="2">
        <v>-61.77</v>
      </c>
      <c r="H123" s="2">
        <v>-31.41</v>
      </c>
      <c r="I123" s="2">
        <v>39.72</v>
      </c>
      <c r="J123" s="2">
        <v>1.86</v>
      </c>
      <c r="K123" s="2">
        <v>-1.66</v>
      </c>
      <c r="L123" s="2">
        <v>2.4900000000000002</v>
      </c>
      <c r="M123" s="2">
        <v>-0.94</v>
      </c>
      <c r="N123" t="s">
        <v>98</v>
      </c>
      <c r="O123">
        <v>8</v>
      </c>
      <c r="P123" t="s">
        <v>322</v>
      </c>
    </row>
    <row r="124" spans="1:16">
      <c r="A124" s="1">
        <v>45944</v>
      </c>
      <c r="B124">
        <v>2</v>
      </c>
      <c r="C124" t="s">
        <v>94</v>
      </c>
      <c r="D124">
        <v>2</v>
      </c>
      <c r="E124" s="2">
        <v>8</v>
      </c>
      <c r="F124" s="2">
        <v>45.07</v>
      </c>
      <c r="G124" s="2">
        <v>-36.99</v>
      </c>
      <c r="H124" s="2">
        <v>-27.38</v>
      </c>
      <c r="I124" s="2">
        <v>27.73</v>
      </c>
      <c r="J124" s="2">
        <v>1.81</v>
      </c>
      <c r="K124" s="2">
        <v>-1.37</v>
      </c>
      <c r="L124" s="2">
        <v>2.27</v>
      </c>
      <c r="M124" s="2">
        <v>-0.8</v>
      </c>
      <c r="N124" t="s">
        <v>98</v>
      </c>
      <c r="O124">
        <v>8</v>
      </c>
      <c r="P124" t="s">
        <v>322</v>
      </c>
    </row>
    <row r="125" spans="1:16">
      <c r="A125" s="1">
        <v>45944</v>
      </c>
      <c r="B125">
        <v>2</v>
      </c>
      <c r="C125" t="s">
        <v>94</v>
      </c>
      <c r="D125">
        <v>2</v>
      </c>
      <c r="E125" s="2">
        <v>8.5</v>
      </c>
      <c r="F125" s="2">
        <v>6.02</v>
      </c>
      <c r="G125" s="2">
        <v>0.75</v>
      </c>
      <c r="H125" s="2">
        <v>0.56000000000000005</v>
      </c>
      <c r="I125" s="2">
        <v>6.14</v>
      </c>
      <c r="J125" s="2">
        <v>1.77</v>
      </c>
      <c r="K125" s="2">
        <v>-1.21</v>
      </c>
      <c r="L125" s="2">
        <v>2.14</v>
      </c>
      <c r="M125" s="2">
        <v>-0.62</v>
      </c>
      <c r="N125" t="s">
        <v>98</v>
      </c>
      <c r="O125">
        <v>8</v>
      </c>
      <c r="P125" t="s">
        <v>322</v>
      </c>
    </row>
    <row r="126" spans="1:16">
      <c r="A126" s="1">
        <v>45944</v>
      </c>
      <c r="B126">
        <v>2</v>
      </c>
      <c r="C126" t="s">
        <v>94</v>
      </c>
      <c r="D126">
        <v>2</v>
      </c>
      <c r="E126" s="2">
        <v>9</v>
      </c>
      <c r="F126" s="2">
        <v>-41.42</v>
      </c>
      <c r="G126" s="2">
        <v>48.61</v>
      </c>
      <c r="H126" s="2">
        <v>13.11</v>
      </c>
      <c r="I126" s="2">
        <v>-13.1</v>
      </c>
      <c r="J126" s="2">
        <v>1.73</v>
      </c>
      <c r="K126" s="2">
        <v>-0.99</v>
      </c>
      <c r="L126" s="2">
        <v>2</v>
      </c>
      <c r="M126" s="2">
        <v>-0.5</v>
      </c>
      <c r="N126" t="s">
        <v>98</v>
      </c>
      <c r="O126">
        <v>8</v>
      </c>
      <c r="P126" t="s">
        <v>322</v>
      </c>
    </row>
    <row r="127" spans="1:16">
      <c r="A127" s="1">
        <v>45944</v>
      </c>
      <c r="B127">
        <v>2</v>
      </c>
      <c r="C127" t="s">
        <v>94</v>
      </c>
      <c r="D127">
        <v>2</v>
      </c>
      <c r="E127" s="2">
        <v>9.5</v>
      </c>
      <c r="F127" s="2">
        <v>-107.48</v>
      </c>
      <c r="G127" s="2">
        <v>111.38</v>
      </c>
      <c r="H127" s="2">
        <v>29.73</v>
      </c>
      <c r="I127" s="2">
        <v>-23.73</v>
      </c>
      <c r="J127" s="2">
        <v>1.69</v>
      </c>
      <c r="K127" s="2">
        <v>-0.81</v>
      </c>
      <c r="L127" s="2">
        <v>1.88</v>
      </c>
      <c r="M127" s="2">
        <v>-0.41</v>
      </c>
      <c r="N127" t="s">
        <v>98</v>
      </c>
      <c r="O127">
        <v>8</v>
      </c>
      <c r="P127" t="s">
        <v>322</v>
      </c>
    </row>
    <row r="128" spans="1:16">
      <c r="A128" s="1">
        <v>45944</v>
      </c>
      <c r="B128">
        <v>2</v>
      </c>
      <c r="C128" t="s">
        <v>94</v>
      </c>
      <c r="D128">
        <v>2</v>
      </c>
      <c r="E128" s="2">
        <v>10</v>
      </c>
      <c r="F128" s="2">
        <v>-196.17</v>
      </c>
      <c r="G128" s="2">
        <v>203.85</v>
      </c>
      <c r="H128" s="2">
        <v>-46.68</v>
      </c>
      <c r="I128" s="2">
        <v>41.2</v>
      </c>
      <c r="J128" s="2">
        <v>1.6</v>
      </c>
      <c r="K128" s="2">
        <v>-0.71</v>
      </c>
      <c r="L128" s="2">
        <v>1.75</v>
      </c>
      <c r="M128" s="2">
        <v>-0.59</v>
      </c>
      <c r="N128" t="s">
        <v>98</v>
      </c>
      <c r="O128">
        <v>8</v>
      </c>
      <c r="P128" t="s">
        <v>322</v>
      </c>
    </row>
    <row r="129" spans="1:16">
      <c r="A129" s="1">
        <v>45944</v>
      </c>
      <c r="B129">
        <v>2</v>
      </c>
      <c r="C129" t="s">
        <v>94</v>
      </c>
      <c r="D129">
        <v>2</v>
      </c>
      <c r="E129" s="2">
        <v>10.5</v>
      </c>
      <c r="F129" s="2">
        <v>-192.89</v>
      </c>
      <c r="G129" s="2">
        <v>199.47</v>
      </c>
      <c r="H129" s="2">
        <v>-37.880000000000003</v>
      </c>
      <c r="I129" s="2">
        <v>37.450000000000003</v>
      </c>
      <c r="J129" s="2">
        <v>1.5</v>
      </c>
      <c r="K129" s="2">
        <v>-0.65</v>
      </c>
      <c r="L129" s="2">
        <v>1.63</v>
      </c>
      <c r="M129" s="2">
        <v>-0.63</v>
      </c>
      <c r="N129" t="s">
        <v>98</v>
      </c>
      <c r="O129">
        <v>8</v>
      </c>
      <c r="P129" t="s">
        <v>322</v>
      </c>
    </row>
    <row r="130" spans="1:16">
      <c r="A130" s="1">
        <v>45944</v>
      </c>
      <c r="B130">
        <v>2</v>
      </c>
      <c r="C130" t="s">
        <v>94</v>
      </c>
      <c r="D130">
        <v>2</v>
      </c>
      <c r="E130" s="2">
        <v>11</v>
      </c>
      <c r="F130" s="2">
        <v>-170.28</v>
      </c>
      <c r="G130" s="2">
        <v>172.38</v>
      </c>
      <c r="H130" s="2">
        <v>18.18</v>
      </c>
      <c r="I130" s="2">
        <v>-5.44</v>
      </c>
      <c r="J130" s="2">
        <v>1.44</v>
      </c>
      <c r="K130" s="2">
        <v>-0.61</v>
      </c>
      <c r="L130" s="2">
        <v>1.57</v>
      </c>
      <c r="M130" s="2">
        <v>-0.67</v>
      </c>
      <c r="N130" t="s">
        <v>98</v>
      </c>
      <c r="O130">
        <v>8</v>
      </c>
      <c r="P130" t="s">
        <v>322</v>
      </c>
    </row>
    <row r="131" spans="1:16">
      <c r="A131" s="1">
        <v>45944</v>
      </c>
      <c r="B131">
        <v>2</v>
      </c>
      <c r="C131" t="s">
        <v>94</v>
      </c>
      <c r="D131">
        <v>2</v>
      </c>
      <c r="E131" s="2">
        <v>11.5</v>
      </c>
      <c r="F131" s="2">
        <v>-76.430000000000007</v>
      </c>
      <c r="G131" s="2">
        <v>81.510000000000005</v>
      </c>
      <c r="H131" s="2">
        <v>16.25</v>
      </c>
      <c r="I131" s="2">
        <v>-14.44</v>
      </c>
      <c r="J131" s="2">
        <v>1.4</v>
      </c>
      <c r="K131" s="2">
        <v>-0.44</v>
      </c>
      <c r="L131" s="2">
        <v>1.47</v>
      </c>
      <c r="M131" s="2">
        <v>-0.72</v>
      </c>
      <c r="N131" t="s">
        <v>98</v>
      </c>
      <c r="O131">
        <v>8</v>
      </c>
      <c r="P131" t="s">
        <v>322</v>
      </c>
    </row>
    <row r="132" spans="1:16">
      <c r="A132" s="1">
        <v>45944</v>
      </c>
      <c r="B132">
        <v>2</v>
      </c>
      <c r="C132" t="s">
        <v>94</v>
      </c>
      <c r="D132">
        <v>2</v>
      </c>
      <c r="E132" s="2">
        <v>12</v>
      </c>
      <c r="F132" s="2">
        <v>-145.51</v>
      </c>
      <c r="G132" s="2">
        <v>155.12</v>
      </c>
      <c r="H132" s="2">
        <v>-9.9</v>
      </c>
      <c r="I132" s="2">
        <v>10.67</v>
      </c>
      <c r="J132" s="2">
        <v>1.33</v>
      </c>
      <c r="K132" s="2">
        <v>-0.33</v>
      </c>
      <c r="L132" s="2">
        <v>1.37</v>
      </c>
      <c r="M132" s="2">
        <v>-0.62</v>
      </c>
      <c r="N132" t="s">
        <v>98</v>
      </c>
      <c r="O132">
        <v>8</v>
      </c>
      <c r="P132" t="s">
        <v>322</v>
      </c>
    </row>
    <row r="133" spans="1:16">
      <c r="A133" s="1">
        <v>45944</v>
      </c>
      <c r="B133">
        <v>2</v>
      </c>
      <c r="C133" t="s">
        <v>94</v>
      </c>
      <c r="D133">
        <v>2</v>
      </c>
      <c r="E133" s="2">
        <v>12.5</v>
      </c>
      <c r="F133" s="2">
        <v>-134.55000000000001</v>
      </c>
      <c r="G133" s="2">
        <v>137.46</v>
      </c>
      <c r="H133" s="2">
        <v>52.48</v>
      </c>
      <c r="I133" s="2">
        <v>-47.66</v>
      </c>
      <c r="J133" s="2">
        <v>1.29</v>
      </c>
      <c r="K133" s="2">
        <v>-0.38</v>
      </c>
      <c r="L133" s="2">
        <v>1.34</v>
      </c>
      <c r="M133" s="2">
        <v>-0.65</v>
      </c>
      <c r="N133" t="s">
        <v>98</v>
      </c>
      <c r="O133">
        <v>8</v>
      </c>
      <c r="P133" t="s">
        <v>322</v>
      </c>
    </row>
    <row r="134" spans="1:16">
      <c r="A134" s="1">
        <v>45944</v>
      </c>
      <c r="B134">
        <v>2</v>
      </c>
      <c r="C134" t="s">
        <v>94</v>
      </c>
      <c r="D134">
        <v>2</v>
      </c>
      <c r="E134" s="2">
        <v>13</v>
      </c>
      <c r="F134" s="2">
        <v>-60.85</v>
      </c>
      <c r="G134" s="2">
        <v>67.739999999999995</v>
      </c>
      <c r="H134" s="2">
        <v>54.08</v>
      </c>
      <c r="I134" s="2">
        <v>-34.340000000000003</v>
      </c>
      <c r="J134" s="2">
        <v>1.25</v>
      </c>
      <c r="K134" s="2">
        <v>-0.35</v>
      </c>
      <c r="L134" s="2">
        <v>1.3</v>
      </c>
      <c r="M134" s="2">
        <v>-0.6</v>
      </c>
      <c r="N134" t="s">
        <v>98</v>
      </c>
      <c r="O134">
        <v>8</v>
      </c>
      <c r="P134" t="s">
        <v>322</v>
      </c>
    </row>
    <row r="135" spans="1:16">
      <c r="A135" s="1">
        <v>45944</v>
      </c>
      <c r="B135">
        <v>2</v>
      </c>
      <c r="C135" t="s">
        <v>94</v>
      </c>
      <c r="D135">
        <v>2</v>
      </c>
      <c r="E135" s="2">
        <v>13.5</v>
      </c>
      <c r="F135" s="2">
        <v>-47.12</v>
      </c>
      <c r="G135" s="2">
        <v>53.02</v>
      </c>
      <c r="H135" s="2">
        <v>71.91</v>
      </c>
      <c r="I135" s="2">
        <v>-55.56</v>
      </c>
      <c r="J135" s="2">
        <v>1.1000000000000001</v>
      </c>
      <c r="K135" s="2">
        <v>-0.36</v>
      </c>
      <c r="L135" s="2">
        <v>1.1599999999999999</v>
      </c>
      <c r="M135" s="2">
        <v>-0.74</v>
      </c>
      <c r="N135" t="s">
        <v>98</v>
      </c>
      <c r="O135">
        <v>8</v>
      </c>
      <c r="P135" t="s">
        <v>322</v>
      </c>
    </row>
    <row r="136" spans="1:16">
      <c r="A136" s="1">
        <v>45944</v>
      </c>
      <c r="B136">
        <v>2</v>
      </c>
      <c r="C136" t="s">
        <v>94</v>
      </c>
      <c r="D136">
        <v>2</v>
      </c>
      <c r="E136" s="2">
        <v>14</v>
      </c>
      <c r="F136" s="2">
        <v>-46.64</v>
      </c>
      <c r="G136" s="2">
        <v>50.79</v>
      </c>
      <c r="H136" s="2">
        <v>89.27</v>
      </c>
      <c r="I136" s="2">
        <v>-71.78</v>
      </c>
      <c r="J136" s="2">
        <v>0.89</v>
      </c>
      <c r="K136" s="2">
        <v>-0.32</v>
      </c>
      <c r="L136" s="2">
        <v>0.94</v>
      </c>
      <c r="M136" s="2">
        <v>-0.93</v>
      </c>
      <c r="N136" t="s">
        <v>98</v>
      </c>
      <c r="O136">
        <v>8</v>
      </c>
      <c r="P136" t="s">
        <v>322</v>
      </c>
    </row>
    <row r="137" spans="1:16">
      <c r="A137" s="1">
        <v>45944</v>
      </c>
      <c r="B137">
        <v>2</v>
      </c>
      <c r="C137" t="s">
        <v>94</v>
      </c>
      <c r="D137">
        <v>2</v>
      </c>
      <c r="E137" s="2">
        <v>14.5</v>
      </c>
      <c r="F137" s="2">
        <v>-37.979999999999997</v>
      </c>
      <c r="G137" s="2">
        <v>42.36</v>
      </c>
      <c r="H137" s="2">
        <v>115.23</v>
      </c>
      <c r="I137" s="2">
        <v>-97.92</v>
      </c>
      <c r="J137" s="2">
        <v>0.65</v>
      </c>
      <c r="K137" s="2">
        <v>-0.46</v>
      </c>
      <c r="L137" s="2">
        <v>0.8</v>
      </c>
      <c r="M137" s="2">
        <v>-1.1200000000000001</v>
      </c>
      <c r="N137" t="s">
        <v>98</v>
      </c>
      <c r="O137">
        <v>8</v>
      </c>
      <c r="P137" t="s">
        <v>322</v>
      </c>
    </row>
    <row r="138" spans="1:16">
      <c r="A138" s="1">
        <v>45944</v>
      </c>
      <c r="B138">
        <v>2</v>
      </c>
      <c r="C138" t="s">
        <v>94</v>
      </c>
      <c r="D138">
        <v>2</v>
      </c>
      <c r="E138" s="2">
        <v>15</v>
      </c>
      <c r="F138" s="2">
        <v>-6.86</v>
      </c>
      <c r="G138" s="2">
        <v>12.34</v>
      </c>
      <c r="H138" s="2">
        <v>127.49</v>
      </c>
      <c r="I138" s="2">
        <v>-103.31</v>
      </c>
      <c r="J138" s="2">
        <v>0.43</v>
      </c>
      <c r="K138" s="2">
        <v>-0.46</v>
      </c>
      <c r="L138" s="2">
        <v>0.63</v>
      </c>
      <c r="M138" s="2">
        <v>-1.25</v>
      </c>
      <c r="N138" t="s">
        <v>98</v>
      </c>
      <c r="O138">
        <v>8</v>
      </c>
      <c r="P138" t="s">
        <v>322</v>
      </c>
    </row>
    <row r="139" spans="1:16">
      <c r="A139" s="1">
        <v>45944</v>
      </c>
      <c r="B139">
        <v>2</v>
      </c>
      <c r="C139" t="s">
        <v>94</v>
      </c>
      <c r="D139">
        <v>2</v>
      </c>
      <c r="E139" s="2">
        <v>15.5</v>
      </c>
      <c r="F139" s="2">
        <v>-25.72</v>
      </c>
      <c r="G139" s="2">
        <v>26.59</v>
      </c>
      <c r="H139" s="2">
        <v>149.27000000000001</v>
      </c>
      <c r="I139" s="2">
        <v>-118.04</v>
      </c>
      <c r="J139" s="2">
        <v>0.3</v>
      </c>
      <c r="K139" s="2">
        <v>-0.59</v>
      </c>
      <c r="L139" s="2">
        <v>0.66</v>
      </c>
      <c r="M139" s="2">
        <v>-1.05</v>
      </c>
      <c r="N139" t="s">
        <v>98</v>
      </c>
      <c r="O139">
        <v>8</v>
      </c>
      <c r="P139" t="s">
        <v>322</v>
      </c>
    </row>
    <row r="140" spans="1:16">
      <c r="A140" s="1">
        <v>45944</v>
      </c>
      <c r="B140">
        <v>2</v>
      </c>
      <c r="C140" t="s">
        <v>94</v>
      </c>
      <c r="D140">
        <v>2</v>
      </c>
      <c r="E140" s="2">
        <v>16</v>
      </c>
      <c r="F140" s="2">
        <v>-16.57</v>
      </c>
      <c r="G140" s="2">
        <v>21.28</v>
      </c>
      <c r="H140" s="2">
        <v>-10.57</v>
      </c>
      <c r="I140" s="2">
        <v>34.54</v>
      </c>
      <c r="J140" s="2">
        <v>-0.04</v>
      </c>
      <c r="K140" s="2">
        <v>-0.65</v>
      </c>
      <c r="L140" s="2">
        <v>0.65</v>
      </c>
      <c r="M140" s="2">
        <v>-1.04</v>
      </c>
      <c r="N140" t="s">
        <v>98</v>
      </c>
      <c r="O140">
        <v>8</v>
      </c>
      <c r="P140" t="s">
        <v>322</v>
      </c>
    </row>
    <row r="141" spans="1:16">
      <c r="A141" s="1">
        <v>45944</v>
      </c>
      <c r="B141">
        <v>2</v>
      </c>
      <c r="C141" t="s">
        <v>94</v>
      </c>
      <c r="D141">
        <v>2</v>
      </c>
      <c r="E141" s="2">
        <v>16.5</v>
      </c>
      <c r="F141" s="2">
        <v>3.58</v>
      </c>
      <c r="G141" s="2">
        <v>0.77</v>
      </c>
      <c r="H141" s="2">
        <v>-6.77</v>
      </c>
      <c r="I141" s="2">
        <v>22.71</v>
      </c>
      <c r="J141" s="2">
        <v>-0.04</v>
      </c>
      <c r="K141" s="2">
        <v>-0.42</v>
      </c>
      <c r="L141" s="2">
        <v>0.42</v>
      </c>
      <c r="M141" s="2">
        <v>-1.05</v>
      </c>
      <c r="N141" t="s">
        <v>98</v>
      </c>
      <c r="O141">
        <v>8</v>
      </c>
      <c r="P141" t="s">
        <v>322</v>
      </c>
    </row>
    <row r="142" spans="1:16">
      <c r="A142" s="1">
        <v>45944</v>
      </c>
      <c r="B142">
        <v>2</v>
      </c>
      <c r="C142" t="s">
        <v>94</v>
      </c>
      <c r="D142">
        <v>2</v>
      </c>
      <c r="E142" s="2">
        <v>17</v>
      </c>
      <c r="F142" s="2">
        <v>16.079999999999998</v>
      </c>
      <c r="G142" s="2">
        <v>-12.45</v>
      </c>
      <c r="H142" s="2">
        <v>7.75</v>
      </c>
      <c r="I142" s="2">
        <v>4.87</v>
      </c>
      <c r="J142" s="2">
        <v>-0.04</v>
      </c>
      <c r="K142" s="2">
        <v>-0.37</v>
      </c>
      <c r="L142" s="2">
        <v>0.37</v>
      </c>
      <c r="M142" s="2">
        <v>-1.08</v>
      </c>
      <c r="N142" t="s">
        <v>98</v>
      </c>
      <c r="O142">
        <v>8</v>
      </c>
      <c r="P142" t="s">
        <v>322</v>
      </c>
    </row>
    <row r="143" spans="1:16">
      <c r="A143" s="1">
        <v>45944</v>
      </c>
      <c r="B143">
        <v>2</v>
      </c>
      <c r="C143" t="s">
        <v>94</v>
      </c>
      <c r="D143">
        <v>2</v>
      </c>
      <c r="E143" s="2">
        <v>17.5</v>
      </c>
      <c r="F143" s="2">
        <v>-12.76</v>
      </c>
      <c r="G143" s="2">
        <v>17.02</v>
      </c>
      <c r="H143" s="2">
        <v>41.37</v>
      </c>
      <c r="I143" s="2">
        <v>-26.64</v>
      </c>
      <c r="J143" s="2">
        <v>-7.0000000000000007E-2</v>
      </c>
      <c r="K143" s="2">
        <v>-0.26</v>
      </c>
      <c r="L143" s="2">
        <v>0.27</v>
      </c>
      <c r="M143" s="2">
        <v>-1.02</v>
      </c>
      <c r="N143" t="s">
        <v>98</v>
      </c>
      <c r="O143">
        <v>8</v>
      </c>
      <c r="P143" t="s">
        <v>322</v>
      </c>
    </row>
    <row r="144" spans="1:16">
      <c r="A144" s="1">
        <v>45944</v>
      </c>
      <c r="B144">
        <v>2</v>
      </c>
      <c r="C144" t="s">
        <v>94</v>
      </c>
      <c r="D144">
        <v>2</v>
      </c>
      <c r="E144" s="2">
        <v>18</v>
      </c>
      <c r="F144" s="2">
        <v>-32.03</v>
      </c>
      <c r="G144" s="2">
        <v>35.74</v>
      </c>
      <c r="H144" s="2">
        <v>56.68</v>
      </c>
      <c r="I144" s="2">
        <v>-40.06</v>
      </c>
      <c r="J144" s="2">
        <v>-0.09</v>
      </c>
      <c r="K144" s="2">
        <v>-0.22</v>
      </c>
      <c r="L144" s="2">
        <v>0.24</v>
      </c>
      <c r="M144" s="2">
        <v>-1.06</v>
      </c>
      <c r="N144" t="s">
        <v>98</v>
      </c>
      <c r="O144">
        <v>8</v>
      </c>
      <c r="P144" t="s">
        <v>322</v>
      </c>
    </row>
    <row r="145" spans="1:16">
      <c r="A145" s="1">
        <v>45944</v>
      </c>
      <c r="B145">
        <v>2</v>
      </c>
      <c r="C145" t="s">
        <v>94</v>
      </c>
      <c r="D145">
        <v>2</v>
      </c>
      <c r="E145" s="2">
        <v>18.5</v>
      </c>
      <c r="F145" s="2">
        <v>-35.54</v>
      </c>
      <c r="G145" s="2">
        <v>46.51</v>
      </c>
      <c r="H145" s="2">
        <v>79.72</v>
      </c>
      <c r="I145" s="2">
        <v>-45.24</v>
      </c>
      <c r="J145" s="2">
        <v>-0.11</v>
      </c>
      <c r="K145" s="2">
        <v>-0.14000000000000001</v>
      </c>
      <c r="L145" s="2">
        <v>0.17</v>
      </c>
      <c r="M145" s="2">
        <v>-1.1000000000000001</v>
      </c>
      <c r="N145" t="s">
        <v>98</v>
      </c>
      <c r="O145">
        <v>8</v>
      </c>
      <c r="P145" t="s">
        <v>322</v>
      </c>
    </row>
    <row r="146" spans="1:16">
      <c r="A146" s="1">
        <v>45944</v>
      </c>
      <c r="B146">
        <v>2</v>
      </c>
      <c r="C146" t="s">
        <v>94</v>
      </c>
      <c r="D146">
        <v>2</v>
      </c>
      <c r="E146" s="2">
        <v>19</v>
      </c>
      <c r="F146" s="2">
        <v>-139.13999999999999</v>
      </c>
      <c r="G146" s="2">
        <v>135.71</v>
      </c>
      <c r="H146" s="2">
        <v>-30.58</v>
      </c>
      <c r="I146" s="2">
        <v>43.23</v>
      </c>
      <c r="J146" s="2">
        <v>-0.12</v>
      </c>
      <c r="K146" s="2">
        <v>-0.21</v>
      </c>
      <c r="L146" s="2">
        <v>0.24</v>
      </c>
      <c r="M146" s="2">
        <v>-0.96</v>
      </c>
      <c r="N146" t="s">
        <v>98</v>
      </c>
      <c r="O146">
        <v>8</v>
      </c>
      <c r="P146" t="s">
        <v>322</v>
      </c>
    </row>
    <row r="147" spans="1:16">
      <c r="A147" s="1">
        <v>45944</v>
      </c>
      <c r="B147">
        <v>2</v>
      </c>
      <c r="C147" t="s">
        <v>94</v>
      </c>
      <c r="D147">
        <v>2</v>
      </c>
      <c r="E147" s="2">
        <v>19.5</v>
      </c>
      <c r="F147" s="2">
        <v>-132.26</v>
      </c>
      <c r="G147" s="2">
        <v>136.37</v>
      </c>
      <c r="H147" s="2">
        <v>-36.65</v>
      </c>
      <c r="I147" s="2">
        <v>42.24</v>
      </c>
      <c r="J147" s="2">
        <v>-0.15</v>
      </c>
      <c r="K147" s="2">
        <v>-0.18</v>
      </c>
      <c r="L147" s="2">
        <v>0.23</v>
      </c>
      <c r="M147" s="2">
        <v>-0.88</v>
      </c>
      <c r="N147" t="s">
        <v>98</v>
      </c>
      <c r="O147">
        <v>8</v>
      </c>
      <c r="P147" t="s">
        <v>322</v>
      </c>
    </row>
    <row r="148" spans="1:16">
      <c r="A148" s="1">
        <v>45944</v>
      </c>
      <c r="B148">
        <v>2</v>
      </c>
      <c r="C148" t="s">
        <v>94</v>
      </c>
      <c r="D148">
        <v>2</v>
      </c>
      <c r="E148" s="2">
        <v>20</v>
      </c>
      <c r="F148" s="2">
        <v>-142.22999999999999</v>
      </c>
      <c r="G148" s="2">
        <v>146.25</v>
      </c>
      <c r="H148" s="2">
        <v>-29.96</v>
      </c>
      <c r="I148" s="2">
        <v>42.86</v>
      </c>
      <c r="J148" s="2">
        <v>-0.18</v>
      </c>
      <c r="K148" s="2">
        <v>-0.23</v>
      </c>
      <c r="L148" s="2">
        <v>0.3</v>
      </c>
      <c r="M148" s="2">
        <v>-0.78</v>
      </c>
      <c r="N148" t="s">
        <v>98</v>
      </c>
      <c r="O148">
        <v>8</v>
      </c>
      <c r="P148" t="s">
        <v>322</v>
      </c>
    </row>
    <row r="149" spans="1:16">
      <c r="A149" s="1">
        <v>45944</v>
      </c>
      <c r="B149">
        <v>2</v>
      </c>
      <c r="C149" t="s">
        <v>94</v>
      </c>
      <c r="D149">
        <v>2</v>
      </c>
      <c r="E149" s="2">
        <v>20.5</v>
      </c>
      <c r="F149" s="2">
        <v>-167.43</v>
      </c>
      <c r="G149" s="2">
        <v>171.91</v>
      </c>
      <c r="H149" s="2">
        <v>-21.5</v>
      </c>
      <c r="I149" s="2">
        <v>27.67</v>
      </c>
      <c r="J149" s="2">
        <v>-0.19</v>
      </c>
      <c r="K149" s="2">
        <v>-0.21</v>
      </c>
      <c r="L149" s="2">
        <v>0.28000000000000003</v>
      </c>
      <c r="M149" s="2">
        <v>-0.73</v>
      </c>
      <c r="N149" t="s">
        <v>98</v>
      </c>
      <c r="O149">
        <v>8</v>
      </c>
      <c r="P149" t="s">
        <v>322</v>
      </c>
    </row>
    <row r="150" spans="1:16">
      <c r="A150" s="1">
        <v>45944</v>
      </c>
      <c r="B150">
        <v>2</v>
      </c>
      <c r="C150" t="s">
        <v>94</v>
      </c>
      <c r="D150">
        <v>2</v>
      </c>
      <c r="E150" s="2">
        <v>21</v>
      </c>
      <c r="F150" s="2">
        <v>-155.53</v>
      </c>
      <c r="G150" s="2">
        <v>157.66</v>
      </c>
      <c r="H150" s="2">
        <v>-16.170000000000002</v>
      </c>
      <c r="I150" s="2">
        <v>11.51</v>
      </c>
      <c r="J150" s="2">
        <v>-0.21</v>
      </c>
      <c r="K150" s="2">
        <v>-0.32</v>
      </c>
      <c r="L150" s="2">
        <v>0.38</v>
      </c>
      <c r="M150" s="2">
        <v>-0.68</v>
      </c>
      <c r="N150" t="s">
        <v>98</v>
      </c>
      <c r="O150">
        <v>8</v>
      </c>
      <c r="P150" t="s">
        <v>322</v>
      </c>
    </row>
    <row r="151" spans="1:16">
      <c r="A151" s="1">
        <v>45944</v>
      </c>
      <c r="B151">
        <v>2</v>
      </c>
      <c r="C151" t="s">
        <v>94</v>
      </c>
      <c r="D151">
        <v>2</v>
      </c>
      <c r="E151" s="2">
        <v>21.5</v>
      </c>
      <c r="F151" s="2">
        <v>-76.22</v>
      </c>
      <c r="G151" s="2">
        <v>82.05</v>
      </c>
      <c r="H151" s="2">
        <v>-15.39</v>
      </c>
      <c r="I151" s="2">
        <v>24.46</v>
      </c>
      <c r="J151" s="2">
        <v>-0.2</v>
      </c>
      <c r="K151" s="2">
        <v>-0.21</v>
      </c>
      <c r="L151" s="2">
        <v>0.28999999999999998</v>
      </c>
      <c r="M151" s="2">
        <v>-0.61</v>
      </c>
      <c r="N151" t="s">
        <v>98</v>
      </c>
      <c r="O151">
        <v>8</v>
      </c>
      <c r="P151" t="s">
        <v>322</v>
      </c>
    </row>
    <row r="152" spans="1:16">
      <c r="A152" s="1">
        <v>45944</v>
      </c>
      <c r="B152">
        <v>2</v>
      </c>
      <c r="C152" t="s">
        <v>94</v>
      </c>
      <c r="D152">
        <v>2</v>
      </c>
      <c r="E152" s="2">
        <v>22</v>
      </c>
      <c r="F152" s="2">
        <v>7.13</v>
      </c>
      <c r="G152" s="2">
        <v>-5.6</v>
      </c>
      <c r="H152" s="2">
        <v>-95.31</v>
      </c>
      <c r="I152" s="2">
        <v>96.03</v>
      </c>
      <c r="J152" s="2">
        <v>-0.23</v>
      </c>
      <c r="K152" s="2">
        <v>-0.09</v>
      </c>
      <c r="L152" s="2">
        <v>0.25</v>
      </c>
      <c r="M152" s="2">
        <v>-0.5</v>
      </c>
      <c r="N152" t="s">
        <v>98</v>
      </c>
      <c r="O152">
        <v>8</v>
      </c>
      <c r="P152" t="s">
        <v>322</v>
      </c>
    </row>
    <row r="153" spans="1:16">
      <c r="A153" s="1">
        <v>45944</v>
      </c>
      <c r="B153">
        <v>2</v>
      </c>
      <c r="C153" t="s">
        <v>94</v>
      </c>
      <c r="D153">
        <v>2</v>
      </c>
      <c r="E153" s="2">
        <v>22.5</v>
      </c>
      <c r="F153" s="2">
        <v>-23.42</v>
      </c>
      <c r="G153" s="2">
        <v>27.1</v>
      </c>
      <c r="H153" s="2">
        <v>-41.81</v>
      </c>
      <c r="I153" s="2">
        <v>32.11</v>
      </c>
      <c r="J153" s="2">
        <v>-0.25</v>
      </c>
      <c r="K153" s="2">
        <v>7.0000000000000007E-2</v>
      </c>
      <c r="L153" s="2">
        <v>0.26</v>
      </c>
      <c r="M153" s="2">
        <v>-0.39</v>
      </c>
      <c r="N153" t="s">
        <v>98</v>
      </c>
      <c r="O153">
        <v>8</v>
      </c>
      <c r="P153" t="s">
        <v>322</v>
      </c>
    </row>
    <row r="154" spans="1:16">
      <c r="A154" s="1">
        <v>45944</v>
      </c>
      <c r="B154">
        <v>2</v>
      </c>
      <c r="C154" t="s">
        <v>94</v>
      </c>
      <c r="D154">
        <v>2</v>
      </c>
      <c r="E154" s="2">
        <v>23</v>
      </c>
      <c r="F154" s="2">
        <v>-45.67</v>
      </c>
      <c r="G154" s="2">
        <v>48.58</v>
      </c>
      <c r="H154" s="2">
        <v>-1.06</v>
      </c>
      <c r="I154" s="2">
        <v>2.08</v>
      </c>
      <c r="J154" s="2">
        <v>-0.25</v>
      </c>
      <c r="K154" s="2">
        <v>0.13</v>
      </c>
      <c r="L154" s="2">
        <v>0.28999999999999998</v>
      </c>
      <c r="M154" s="2">
        <v>-0.32</v>
      </c>
      <c r="N154" t="s">
        <v>98</v>
      </c>
      <c r="O154">
        <v>8</v>
      </c>
      <c r="P154" t="s">
        <v>322</v>
      </c>
    </row>
    <row r="155" spans="1:16">
      <c r="A155" s="1">
        <v>45944</v>
      </c>
      <c r="B155">
        <v>2</v>
      </c>
      <c r="C155" t="s">
        <v>94</v>
      </c>
      <c r="D155">
        <v>2</v>
      </c>
      <c r="E155" s="2">
        <v>23.5</v>
      </c>
      <c r="F155" s="2">
        <v>-64.19</v>
      </c>
      <c r="G155" s="2">
        <v>69.05</v>
      </c>
      <c r="H155" s="2">
        <v>14.56</v>
      </c>
      <c r="I155" s="2">
        <v>-24.06</v>
      </c>
      <c r="J155" s="2">
        <v>-0.22</v>
      </c>
      <c r="K155" s="2">
        <v>0.09</v>
      </c>
      <c r="L155" s="2">
        <v>0.24</v>
      </c>
      <c r="M155" s="2">
        <v>-0.24</v>
      </c>
      <c r="N155" t="s">
        <v>98</v>
      </c>
      <c r="O155">
        <v>8</v>
      </c>
      <c r="P155" t="s">
        <v>322</v>
      </c>
    </row>
    <row r="156" spans="1:16">
      <c r="A156" s="1">
        <v>45944</v>
      </c>
      <c r="B156">
        <v>2</v>
      </c>
      <c r="C156" t="s">
        <v>94</v>
      </c>
      <c r="D156">
        <v>2</v>
      </c>
      <c r="E156" s="2">
        <v>24</v>
      </c>
      <c r="F156" s="2">
        <v>-89.27</v>
      </c>
      <c r="G156" s="2">
        <v>93.59</v>
      </c>
      <c r="H156" s="2">
        <v>4.8</v>
      </c>
      <c r="I156" s="2">
        <v>-14.12</v>
      </c>
      <c r="J156" s="2">
        <v>-0.19</v>
      </c>
      <c r="K156" s="2">
        <v>0.04</v>
      </c>
      <c r="L156" s="2">
        <v>0.19</v>
      </c>
      <c r="M156" s="2">
        <v>-0.3</v>
      </c>
      <c r="N156" t="s">
        <v>98</v>
      </c>
      <c r="O156">
        <v>8</v>
      </c>
      <c r="P156" t="s">
        <v>322</v>
      </c>
    </row>
    <row r="157" spans="1:16">
      <c r="A157" s="1">
        <v>45944</v>
      </c>
      <c r="B157">
        <v>2</v>
      </c>
      <c r="C157" t="s">
        <v>94</v>
      </c>
      <c r="D157">
        <v>2</v>
      </c>
      <c r="E157" s="2">
        <v>24.5</v>
      </c>
      <c r="F157" s="2">
        <v>-119.57</v>
      </c>
      <c r="G157" s="2">
        <v>119.06</v>
      </c>
      <c r="H157" s="2">
        <v>29.4</v>
      </c>
      <c r="I157" s="2">
        <v>-10.19</v>
      </c>
      <c r="J157" s="2">
        <v>-0.21</v>
      </c>
      <c r="K157" s="2">
        <v>-0.3</v>
      </c>
      <c r="L157" s="2">
        <v>0.36</v>
      </c>
      <c r="M157" s="2">
        <v>-0.33</v>
      </c>
      <c r="N157" t="s">
        <v>98</v>
      </c>
      <c r="O157">
        <v>8</v>
      </c>
      <c r="P157" t="s">
        <v>322</v>
      </c>
    </row>
    <row r="158" spans="1:16">
      <c r="A158" s="1">
        <v>45944</v>
      </c>
      <c r="B158">
        <v>2</v>
      </c>
      <c r="C158" t="s">
        <v>94</v>
      </c>
      <c r="D158">
        <v>2</v>
      </c>
      <c r="E158" s="2">
        <v>25</v>
      </c>
      <c r="F158" s="2">
        <v>-104.59</v>
      </c>
      <c r="G158" s="2">
        <v>113.86</v>
      </c>
      <c r="H158" s="2">
        <v>-36.33</v>
      </c>
      <c r="I158" s="2">
        <v>48.67</v>
      </c>
      <c r="J158" s="2">
        <v>-0.18</v>
      </c>
      <c r="K158" s="2">
        <v>-0.1</v>
      </c>
      <c r="L158" s="2">
        <v>0.21</v>
      </c>
      <c r="M158" s="2">
        <v>-0.37</v>
      </c>
      <c r="N158" t="s">
        <v>98</v>
      </c>
      <c r="O158">
        <v>8</v>
      </c>
      <c r="P158" t="s">
        <v>322</v>
      </c>
    </row>
    <row r="159" spans="1:16">
      <c r="A159" s="1">
        <v>45944</v>
      </c>
      <c r="B159">
        <v>2</v>
      </c>
      <c r="C159" t="s">
        <v>94</v>
      </c>
      <c r="D159">
        <v>2</v>
      </c>
      <c r="E159" s="2">
        <v>25.5</v>
      </c>
      <c r="F159" s="2">
        <v>-92.76</v>
      </c>
      <c r="G159" s="2">
        <v>97.93</v>
      </c>
      <c r="H159" s="2">
        <v>-37.880000000000003</v>
      </c>
      <c r="I159" s="2">
        <v>41.87</v>
      </c>
      <c r="J159" s="2">
        <v>-0.15</v>
      </c>
      <c r="K159" s="2">
        <v>-0.22</v>
      </c>
      <c r="L159" s="2">
        <v>0.26</v>
      </c>
      <c r="M159" s="2">
        <v>-0.02</v>
      </c>
      <c r="N159" t="s">
        <v>98</v>
      </c>
      <c r="O159">
        <v>8</v>
      </c>
      <c r="P159" t="s">
        <v>322</v>
      </c>
    </row>
    <row r="160" spans="1:16">
      <c r="A160" s="1">
        <v>45944</v>
      </c>
      <c r="B160">
        <v>2</v>
      </c>
      <c r="C160" t="s">
        <v>94</v>
      </c>
      <c r="D160">
        <v>2</v>
      </c>
      <c r="E160" s="2">
        <v>26</v>
      </c>
      <c r="F160" s="2">
        <v>-61.83</v>
      </c>
      <c r="G160" s="2">
        <v>67.91</v>
      </c>
      <c r="H160" s="2">
        <v>-24.33</v>
      </c>
      <c r="I160" s="2">
        <v>11.83</v>
      </c>
      <c r="J160" s="2">
        <v>-0.18</v>
      </c>
      <c r="K160" s="2">
        <v>-0.34</v>
      </c>
      <c r="L160" s="2">
        <v>0.39</v>
      </c>
      <c r="M160" s="2">
        <v>0.15</v>
      </c>
      <c r="N160" t="s">
        <v>98</v>
      </c>
      <c r="O160">
        <v>8</v>
      </c>
      <c r="P160" t="s">
        <v>322</v>
      </c>
    </row>
    <row r="161" spans="1:16">
      <c r="A161" s="1">
        <v>45944</v>
      </c>
      <c r="B161">
        <v>2</v>
      </c>
      <c r="C161" t="s">
        <v>94</v>
      </c>
      <c r="D161">
        <v>2</v>
      </c>
      <c r="E161" s="2">
        <v>26.5</v>
      </c>
      <c r="F161" s="2">
        <v>-27.02</v>
      </c>
      <c r="G161" s="2">
        <v>33.25</v>
      </c>
      <c r="H161" s="2">
        <v>9.18</v>
      </c>
      <c r="I161" s="2">
        <v>-21.18</v>
      </c>
      <c r="J161" s="2">
        <v>-0.25</v>
      </c>
      <c r="K161" s="2">
        <v>-0.11</v>
      </c>
      <c r="L161" s="2">
        <v>0.28000000000000003</v>
      </c>
      <c r="M161" s="2">
        <v>0.08</v>
      </c>
      <c r="N161" t="s">
        <v>98</v>
      </c>
      <c r="O161">
        <v>8</v>
      </c>
      <c r="P161" t="s">
        <v>322</v>
      </c>
    </row>
    <row r="162" spans="1:16">
      <c r="A162" s="1">
        <v>45944</v>
      </c>
      <c r="B162">
        <v>2</v>
      </c>
      <c r="C162" t="s">
        <v>94</v>
      </c>
      <c r="D162">
        <v>2</v>
      </c>
      <c r="E162" s="2">
        <v>27</v>
      </c>
      <c r="F162" s="2">
        <v>27.42</v>
      </c>
      <c r="G162" s="2">
        <v>-21.94</v>
      </c>
      <c r="H162" s="2">
        <v>58.87</v>
      </c>
      <c r="I162" s="2">
        <v>-54.92</v>
      </c>
      <c r="J162" s="2">
        <v>-0.22</v>
      </c>
      <c r="K162" s="2">
        <v>0.03</v>
      </c>
      <c r="L162" s="2">
        <v>0.22</v>
      </c>
      <c r="M162" s="2">
        <v>7.0000000000000007E-2</v>
      </c>
      <c r="N162" t="s">
        <v>98</v>
      </c>
      <c r="O162">
        <v>8</v>
      </c>
      <c r="P162" t="s">
        <v>322</v>
      </c>
    </row>
    <row r="163" spans="1:16">
      <c r="A163" s="1">
        <v>45944</v>
      </c>
      <c r="B163">
        <v>2</v>
      </c>
      <c r="C163" t="s">
        <v>99</v>
      </c>
      <c r="D163">
        <v>2</v>
      </c>
      <c r="E163" s="2">
        <v>0.5</v>
      </c>
      <c r="F163" s="2">
        <v>-386.41</v>
      </c>
      <c r="G163" s="2">
        <v>398.82</v>
      </c>
      <c r="H163" s="2">
        <v>-129.68</v>
      </c>
      <c r="I163" s="2">
        <v>121.85</v>
      </c>
      <c r="J163" s="2">
        <v>-1.03</v>
      </c>
      <c r="K163" s="2">
        <v>-3.02</v>
      </c>
      <c r="L163" s="2">
        <v>3.19</v>
      </c>
      <c r="M163" s="2">
        <v>2.5299999999999998</v>
      </c>
      <c r="N163" t="s">
        <v>98</v>
      </c>
      <c r="O163">
        <v>18</v>
      </c>
      <c r="P163" t="s">
        <v>322</v>
      </c>
    </row>
    <row r="164" spans="1:16">
      <c r="A164" s="1">
        <v>45944</v>
      </c>
      <c r="B164">
        <v>2</v>
      </c>
      <c r="C164" t="s">
        <v>99</v>
      </c>
      <c r="D164">
        <v>2</v>
      </c>
      <c r="E164" s="2">
        <v>1</v>
      </c>
      <c r="F164" s="2">
        <v>-386.98</v>
      </c>
      <c r="G164" s="2">
        <v>397.78</v>
      </c>
      <c r="H164" s="2">
        <v>-129.72999999999999</v>
      </c>
      <c r="I164" s="2">
        <v>125.09</v>
      </c>
      <c r="J164" s="2">
        <v>-0.43</v>
      </c>
      <c r="K164" s="2">
        <v>-1.83</v>
      </c>
      <c r="L164" s="2">
        <v>1.88</v>
      </c>
      <c r="M164" s="2">
        <v>1.44</v>
      </c>
      <c r="N164" t="s">
        <v>98</v>
      </c>
      <c r="O164">
        <v>18</v>
      </c>
      <c r="P164" t="s">
        <v>322</v>
      </c>
    </row>
    <row r="165" spans="1:16">
      <c r="A165" s="1">
        <v>45944</v>
      </c>
      <c r="B165">
        <v>2</v>
      </c>
      <c r="C165" t="s">
        <v>99</v>
      </c>
      <c r="D165">
        <v>2</v>
      </c>
      <c r="E165" s="2">
        <v>1.5</v>
      </c>
      <c r="F165" s="2">
        <v>-374.18</v>
      </c>
      <c r="G165" s="2">
        <v>380.92</v>
      </c>
      <c r="H165" s="2">
        <v>-145.53</v>
      </c>
      <c r="I165" s="2">
        <v>146.07</v>
      </c>
      <c r="J165" s="2">
        <v>0.25</v>
      </c>
      <c r="K165" s="2">
        <v>-0.7</v>
      </c>
      <c r="L165" s="2">
        <v>0.75</v>
      </c>
      <c r="M165" s="2">
        <v>-0.31</v>
      </c>
      <c r="N165" t="s">
        <v>98</v>
      </c>
      <c r="O165">
        <v>18</v>
      </c>
      <c r="P165" t="s">
        <v>322</v>
      </c>
    </row>
    <row r="166" spans="1:16">
      <c r="A166" s="1">
        <v>45944</v>
      </c>
      <c r="B166">
        <v>2</v>
      </c>
      <c r="C166" t="s">
        <v>99</v>
      </c>
      <c r="D166">
        <v>2</v>
      </c>
      <c r="E166" s="2">
        <v>2</v>
      </c>
      <c r="F166" s="2">
        <v>-334.06</v>
      </c>
      <c r="G166" s="2">
        <v>344.65</v>
      </c>
      <c r="H166" s="2">
        <v>-212.15</v>
      </c>
      <c r="I166" s="2">
        <v>213.05</v>
      </c>
      <c r="J166" s="2">
        <v>0.41</v>
      </c>
      <c r="K166" s="2">
        <v>-0.35</v>
      </c>
      <c r="L166" s="2">
        <v>0.54</v>
      </c>
      <c r="M166" s="2">
        <v>-0.68</v>
      </c>
      <c r="N166" t="s">
        <v>98</v>
      </c>
      <c r="O166">
        <v>18</v>
      </c>
      <c r="P166" t="s">
        <v>322</v>
      </c>
    </row>
    <row r="167" spans="1:16">
      <c r="A167" s="1">
        <v>45944</v>
      </c>
      <c r="B167">
        <v>2</v>
      </c>
      <c r="C167" t="s">
        <v>99</v>
      </c>
      <c r="D167">
        <v>2</v>
      </c>
      <c r="E167" s="2">
        <v>2.5</v>
      </c>
      <c r="F167" s="2">
        <v>-306.79000000000002</v>
      </c>
      <c r="G167" s="2">
        <v>315.95999999999998</v>
      </c>
      <c r="H167" s="2">
        <v>-186.5</v>
      </c>
      <c r="I167" s="2">
        <v>191.34</v>
      </c>
      <c r="J167" s="2">
        <v>0.4</v>
      </c>
      <c r="K167" s="2">
        <v>-0.33</v>
      </c>
      <c r="L167" s="2">
        <v>0.52</v>
      </c>
      <c r="M167" s="2">
        <v>-0.72</v>
      </c>
      <c r="N167" t="s">
        <v>98</v>
      </c>
      <c r="O167">
        <v>18</v>
      </c>
      <c r="P167" t="s">
        <v>322</v>
      </c>
    </row>
    <row r="168" spans="1:16">
      <c r="A168" s="1">
        <v>45944</v>
      </c>
      <c r="B168">
        <v>2</v>
      </c>
      <c r="C168" t="s">
        <v>99</v>
      </c>
      <c r="D168">
        <v>2</v>
      </c>
      <c r="E168" s="2">
        <v>3</v>
      </c>
      <c r="F168" s="2">
        <v>-269.94</v>
      </c>
      <c r="G168" s="2">
        <v>279.24</v>
      </c>
      <c r="H168" s="2">
        <v>-136.56</v>
      </c>
      <c r="I168" s="2">
        <v>137.96</v>
      </c>
      <c r="J168" s="2">
        <v>0.39</v>
      </c>
      <c r="K168" s="2">
        <v>-0.31</v>
      </c>
      <c r="L168" s="2">
        <v>0.49</v>
      </c>
      <c r="M168" s="2">
        <v>-0.72</v>
      </c>
      <c r="N168" t="s">
        <v>98</v>
      </c>
      <c r="O168">
        <v>18</v>
      </c>
      <c r="P168" t="s">
        <v>322</v>
      </c>
    </row>
    <row r="169" spans="1:16">
      <c r="A169" s="1">
        <v>45944</v>
      </c>
      <c r="B169">
        <v>2</v>
      </c>
      <c r="C169" t="s">
        <v>99</v>
      </c>
      <c r="D169">
        <v>2</v>
      </c>
      <c r="E169" s="2">
        <v>3.5</v>
      </c>
      <c r="F169" s="2">
        <v>-210.37</v>
      </c>
      <c r="G169" s="2">
        <v>218.92</v>
      </c>
      <c r="H169" s="2">
        <v>-81.209999999999994</v>
      </c>
      <c r="I169" s="2">
        <v>75.13</v>
      </c>
      <c r="J169" s="2">
        <v>0.39</v>
      </c>
      <c r="K169" s="2">
        <v>-0.28999999999999998</v>
      </c>
      <c r="L169" s="2">
        <v>0.49</v>
      </c>
      <c r="M169" s="2">
        <v>-0.73</v>
      </c>
      <c r="N169" t="s">
        <v>98</v>
      </c>
      <c r="O169">
        <v>18</v>
      </c>
      <c r="P169" t="s">
        <v>322</v>
      </c>
    </row>
    <row r="170" spans="1:16">
      <c r="A170" s="1">
        <v>45944</v>
      </c>
      <c r="B170">
        <v>2</v>
      </c>
      <c r="C170" t="s">
        <v>99</v>
      </c>
      <c r="D170">
        <v>2</v>
      </c>
      <c r="E170" s="2">
        <v>4</v>
      </c>
      <c r="F170" s="2">
        <v>-153.54</v>
      </c>
      <c r="G170" s="2">
        <v>164.78</v>
      </c>
      <c r="H170" s="2">
        <v>-66.709999999999994</v>
      </c>
      <c r="I170" s="2">
        <v>62.51</v>
      </c>
      <c r="J170" s="2">
        <v>0.41</v>
      </c>
      <c r="K170" s="2">
        <v>-0.08</v>
      </c>
      <c r="L170" s="2">
        <v>0.42</v>
      </c>
      <c r="M170" s="2">
        <v>-0.93</v>
      </c>
      <c r="N170" t="s">
        <v>98</v>
      </c>
      <c r="O170">
        <v>18</v>
      </c>
      <c r="P170" t="s">
        <v>322</v>
      </c>
    </row>
    <row r="171" spans="1:16">
      <c r="A171" s="1">
        <v>45944</v>
      </c>
      <c r="B171">
        <v>2</v>
      </c>
      <c r="C171" t="s">
        <v>99</v>
      </c>
      <c r="D171">
        <v>2</v>
      </c>
      <c r="E171" s="2">
        <v>4.5</v>
      </c>
      <c r="F171" s="2">
        <v>-106.17</v>
      </c>
      <c r="G171" s="2">
        <v>114.43</v>
      </c>
      <c r="H171" s="2">
        <v>-115.64</v>
      </c>
      <c r="I171" s="2">
        <v>116.32</v>
      </c>
      <c r="J171" s="2">
        <v>0.42</v>
      </c>
      <c r="K171" s="2">
        <v>-0.02</v>
      </c>
      <c r="L171" s="2">
        <v>0.42</v>
      </c>
      <c r="M171" s="2">
        <v>-0.92</v>
      </c>
      <c r="N171" t="s">
        <v>98</v>
      </c>
      <c r="O171">
        <v>18</v>
      </c>
      <c r="P171" t="s">
        <v>322</v>
      </c>
    </row>
    <row r="172" spans="1:16">
      <c r="A172" s="1">
        <v>45944</v>
      </c>
      <c r="B172">
        <v>2</v>
      </c>
      <c r="C172" t="s">
        <v>99</v>
      </c>
      <c r="D172">
        <v>2</v>
      </c>
      <c r="E172" s="2">
        <v>5</v>
      </c>
      <c r="F172" s="2">
        <v>-35.35</v>
      </c>
      <c r="G172" s="2">
        <v>42.88</v>
      </c>
      <c r="H172" s="2">
        <v>-149.47999999999999</v>
      </c>
      <c r="I172" s="2">
        <v>146.66999999999999</v>
      </c>
      <c r="J172" s="2">
        <v>0.41</v>
      </c>
      <c r="K172" s="2">
        <v>0</v>
      </c>
      <c r="L172" s="2">
        <v>0.41</v>
      </c>
      <c r="M172" s="2">
        <v>-0.91</v>
      </c>
      <c r="N172" t="s">
        <v>98</v>
      </c>
      <c r="O172">
        <v>18</v>
      </c>
      <c r="P172" t="s">
        <v>322</v>
      </c>
    </row>
    <row r="173" spans="1:16">
      <c r="A173" s="1">
        <v>45944</v>
      </c>
      <c r="B173">
        <v>2</v>
      </c>
      <c r="C173" t="s">
        <v>99</v>
      </c>
      <c r="D173">
        <v>2</v>
      </c>
      <c r="E173" s="2">
        <v>5.5</v>
      </c>
      <c r="F173" s="2">
        <v>32.450000000000003</v>
      </c>
      <c r="G173" s="2">
        <v>-23.19</v>
      </c>
      <c r="H173" s="2">
        <v>-152.93</v>
      </c>
      <c r="I173" s="2">
        <v>144.47999999999999</v>
      </c>
      <c r="J173" s="2">
        <v>0.41</v>
      </c>
      <c r="K173" s="2">
        <v>0.1</v>
      </c>
      <c r="L173" s="2">
        <v>0.42</v>
      </c>
      <c r="M173" s="2">
        <v>-1.02</v>
      </c>
      <c r="N173" t="s">
        <v>98</v>
      </c>
      <c r="O173">
        <v>18</v>
      </c>
      <c r="P173" t="s">
        <v>322</v>
      </c>
    </row>
    <row r="174" spans="1:16">
      <c r="A174" s="1">
        <v>45944</v>
      </c>
      <c r="B174">
        <v>2</v>
      </c>
      <c r="C174" t="s">
        <v>99</v>
      </c>
      <c r="D174">
        <v>2</v>
      </c>
      <c r="E174" s="2">
        <v>6</v>
      </c>
      <c r="F174" s="2">
        <v>69.84</v>
      </c>
      <c r="G174" s="2">
        <v>-61.28</v>
      </c>
      <c r="H174" s="2">
        <v>-185.79</v>
      </c>
      <c r="I174" s="2">
        <v>186.88</v>
      </c>
      <c r="J174" s="2">
        <v>0.42</v>
      </c>
      <c r="K174" s="2">
        <v>7.0000000000000007E-2</v>
      </c>
      <c r="L174" s="2">
        <v>0.43</v>
      </c>
      <c r="M174" s="2">
        <v>-0.95</v>
      </c>
      <c r="N174" t="s">
        <v>98</v>
      </c>
      <c r="O174">
        <v>18</v>
      </c>
      <c r="P174" t="s">
        <v>322</v>
      </c>
    </row>
    <row r="175" spans="1:16">
      <c r="A175" s="1">
        <v>45944</v>
      </c>
      <c r="B175">
        <v>2</v>
      </c>
      <c r="C175" t="s">
        <v>99</v>
      </c>
      <c r="D175">
        <v>2</v>
      </c>
      <c r="E175" s="2">
        <v>6.5</v>
      </c>
      <c r="F175" s="2">
        <v>172.72</v>
      </c>
      <c r="G175" s="2">
        <v>-163.29</v>
      </c>
      <c r="H175" s="2">
        <v>-179.33</v>
      </c>
      <c r="I175" s="2">
        <v>184.51</v>
      </c>
      <c r="J175" s="2">
        <v>0.42</v>
      </c>
      <c r="K175" s="2">
        <v>0.1</v>
      </c>
      <c r="L175" s="2">
        <v>0.43</v>
      </c>
      <c r="M175" s="2">
        <v>-1.1399999999999999</v>
      </c>
      <c r="N175" t="s">
        <v>98</v>
      </c>
      <c r="O175">
        <v>18</v>
      </c>
      <c r="P175" t="s">
        <v>322</v>
      </c>
    </row>
    <row r="176" spans="1:16">
      <c r="A176" s="1">
        <v>45944</v>
      </c>
      <c r="B176">
        <v>2</v>
      </c>
      <c r="C176" t="s">
        <v>99</v>
      </c>
      <c r="D176">
        <v>2</v>
      </c>
      <c r="E176" s="2">
        <v>7</v>
      </c>
      <c r="F176" s="2">
        <v>278.43</v>
      </c>
      <c r="G176" s="2">
        <v>-270.61</v>
      </c>
      <c r="H176" s="2">
        <v>-181.1</v>
      </c>
      <c r="I176" s="2">
        <v>182.24</v>
      </c>
      <c r="J176" s="2">
        <v>0.4</v>
      </c>
      <c r="K176" s="2">
        <v>0.12</v>
      </c>
      <c r="L176" s="2">
        <v>0.42</v>
      </c>
      <c r="M176" s="2">
        <v>-1.1599999999999999</v>
      </c>
      <c r="N176" t="s">
        <v>98</v>
      </c>
      <c r="O176">
        <v>18</v>
      </c>
      <c r="P176" t="s">
        <v>322</v>
      </c>
    </row>
    <row r="177" spans="1:16">
      <c r="A177" s="1">
        <v>45944</v>
      </c>
      <c r="B177">
        <v>2</v>
      </c>
      <c r="C177" t="s">
        <v>99</v>
      </c>
      <c r="D177">
        <v>2</v>
      </c>
      <c r="E177" s="2">
        <v>7.5</v>
      </c>
      <c r="F177" s="2">
        <v>298.89</v>
      </c>
      <c r="G177" s="2">
        <v>-282.81</v>
      </c>
      <c r="H177" s="2">
        <v>-169.79</v>
      </c>
      <c r="I177" s="2">
        <v>159.15</v>
      </c>
      <c r="J177" s="2">
        <v>0.4</v>
      </c>
      <c r="K177" s="2">
        <v>0.26</v>
      </c>
      <c r="L177" s="2">
        <v>0.47</v>
      </c>
      <c r="M177" s="2">
        <v>-1.19</v>
      </c>
      <c r="N177" t="s">
        <v>98</v>
      </c>
      <c r="O177">
        <v>18</v>
      </c>
      <c r="P177" t="s">
        <v>322</v>
      </c>
    </row>
    <row r="178" spans="1:16">
      <c r="A178" s="1">
        <v>45944</v>
      </c>
      <c r="B178">
        <v>2</v>
      </c>
      <c r="C178" t="s">
        <v>99</v>
      </c>
      <c r="D178">
        <v>2</v>
      </c>
      <c r="E178" s="2">
        <v>8</v>
      </c>
      <c r="F178" s="2">
        <v>265.94</v>
      </c>
      <c r="G178" s="2">
        <v>-261.68</v>
      </c>
      <c r="H178" s="2">
        <v>-74.13</v>
      </c>
      <c r="I178" s="2">
        <v>80.739999999999995</v>
      </c>
      <c r="J178" s="2">
        <v>0.38</v>
      </c>
      <c r="K178" s="2">
        <v>0.25</v>
      </c>
      <c r="L178" s="2">
        <v>0.46</v>
      </c>
      <c r="M178" s="2">
        <v>-1.04</v>
      </c>
      <c r="N178" t="s">
        <v>98</v>
      </c>
      <c r="O178">
        <v>18</v>
      </c>
      <c r="P178" t="s">
        <v>322</v>
      </c>
    </row>
    <row r="179" spans="1:16">
      <c r="A179" s="1">
        <v>45944</v>
      </c>
      <c r="B179">
        <v>2</v>
      </c>
      <c r="C179" t="s">
        <v>99</v>
      </c>
      <c r="D179">
        <v>2</v>
      </c>
      <c r="E179" s="2">
        <v>8.5</v>
      </c>
      <c r="F179" s="2">
        <v>332.83</v>
      </c>
      <c r="G179" s="2">
        <v>-321.49</v>
      </c>
      <c r="H179" s="2">
        <v>-9.1199999999999992</v>
      </c>
      <c r="I179" s="2">
        <v>5.2</v>
      </c>
      <c r="J179" s="2">
        <v>0.35</v>
      </c>
      <c r="K179" s="2">
        <v>0.09</v>
      </c>
      <c r="L179" s="2">
        <v>0.37</v>
      </c>
      <c r="M179" s="2">
        <v>-1.01</v>
      </c>
      <c r="N179" t="s">
        <v>98</v>
      </c>
      <c r="O179">
        <v>18</v>
      </c>
      <c r="P179" t="s">
        <v>322</v>
      </c>
    </row>
    <row r="180" spans="1:16">
      <c r="A180" s="1">
        <v>45944</v>
      </c>
      <c r="B180">
        <v>2</v>
      </c>
      <c r="C180" t="s">
        <v>99</v>
      </c>
      <c r="D180">
        <v>2</v>
      </c>
      <c r="E180" s="2">
        <v>9</v>
      </c>
      <c r="F180" s="2">
        <v>313.58999999999997</v>
      </c>
      <c r="G180" s="2">
        <v>-306.07</v>
      </c>
      <c r="H180" s="2">
        <v>54.73</v>
      </c>
      <c r="I180" s="2">
        <v>-56.57</v>
      </c>
      <c r="J180" s="2">
        <v>0.27</v>
      </c>
      <c r="K180" s="2">
        <v>0.03</v>
      </c>
      <c r="L180" s="2">
        <v>0.27</v>
      </c>
      <c r="M180" s="2">
        <v>-1.1000000000000001</v>
      </c>
      <c r="N180" t="s">
        <v>98</v>
      </c>
      <c r="O180">
        <v>18</v>
      </c>
      <c r="P180" t="s">
        <v>322</v>
      </c>
    </row>
    <row r="181" spans="1:16">
      <c r="A181" s="1">
        <v>45944</v>
      </c>
      <c r="B181">
        <v>2</v>
      </c>
      <c r="C181" t="s">
        <v>99</v>
      </c>
      <c r="D181">
        <v>2</v>
      </c>
      <c r="E181" s="2">
        <v>9.5</v>
      </c>
      <c r="F181" s="2">
        <v>200.87</v>
      </c>
      <c r="G181" s="2">
        <v>-193.43</v>
      </c>
      <c r="H181" s="2">
        <v>110.17</v>
      </c>
      <c r="I181" s="2">
        <v>-122.13</v>
      </c>
      <c r="J181" s="2">
        <v>0.23</v>
      </c>
      <c r="K181" s="2">
        <v>0.03</v>
      </c>
      <c r="L181" s="2">
        <v>0.23</v>
      </c>
      <c r="M181" s="2">
        <v>-1.1499999999999999</v>
      </c>
      <c r="N181" t="s">
        <v>98</v>
      </c>
      <c r="O181">
        <v>18</v>
      </c>
      <c r="P181" t="s">
        <v>322</v>
      </c>
    </row>
    <row r="182" spans="1:16">
      <c r="A182" s="1">
        <v>45944</v>
      </c>
      <c r="B182">
        <v>2</v>
      </c>
      <c r="C182" t="s">
        <v>99</v>
      </c>
      <c r="D182">
        <v>2</v>
      </c>
      <c r="E182" s="2">
        <v>10</v>
      </c>
      <c r="F182" s="2">
        <v>62.9</v>
      </c>
      <c r="G182" s="2">
        <v>-46.51</v>
      </c>
      <c r="H182" s="2">
        <v>154.80000000000001</v>
      </c>
      <c r="I182" s="2">
        <v>-152.44</v>
      </c>
      <c r="J182" s="2">
        <v>0.23</v>
      </c>
      <c r="K182" s="2">
        <v>-0.01</v>
      </c>
      <c r="L182" s="2">
        <v>0.23</v>
      </c>
      <c r="M182" s="2">
        <v>-1.1000000000000001</v>
      </c>
      <c r="N182" t="s">
        <v>98</v>
      </c>
      <c r="O182">
        <v>18</v>
      </c>
      <c r="P182" t="s">
        <v>322</v>
      </c>
    </row>
    <row r="183" spans="1:16">
      <c r="A183" s="1">
        <v>45944</v>
      </c>
      <c r="B183">
        <v>2</v>
      </c>
      <c r="C183" t="s">
        <v>99</v>
      </c>
      <c r="D183">
        <v>2</v>
      </c>
      <c r="E183" s="2">
        <v>10.5</v>
      </c>
      <c r="F183" s="2">
        <v>80.290000000000006</v>
      </c>
      <c r="G183" s="2">
        <v>-74.03</v>
      </c>
      <c r="H183" s="2">
        <v>74.760000000000005</v>
      </c>
      <c r="I183" s="2">
        <v>-78.2</v>
      </c>
      <c r="J183" s="2">
        <v>0.24</v>
      </c>
      <c r="K183" s="2">
        <v>-7.0000000000000007E-2</v>
      </c>
      <c r="L183" s="2">
        <v>0.24</v>
      </c>
      <c r="M183" s="2">
        <v>-1.03</v>
      </c>
      <c r="N183" t="s">
        <v>98</v>
      </c>
      <c r="O183">
        <v>18</v>
      </c>
      <c r="P183" t="s">
        <v>322</v>
      </c>
    </row>
    <row r="184" spans="1:16">
      <c r="A184" s="1">
        <v>45944</v>
      </c>
      <c r="B184">
        <v>2</v>
      </c>
      <c r="C184" t="s">
        <v>99</v>
      </c>
      <c r="D184">
        <v>2</v>
      </c>
      <c r="E184" s="2">
        <v>11</v>
      </c>
      <c r="F184" s="2">
        <v>13.33</v>
      </c>
      <c r="G184" s="2">
        <v>-4.41</v>
      </c>
      <c r="H184" s="2">
        <v>34.26</v>
      </c>
      <c r="I184" s="2">
        <v>-39.33</v>
      </c>
      <c r="J184" s="2">
        <v>0.26</v>
      </c>
      <c r="K184" s="2">
        <v>-0.12</v>
      </c>
      <c r="L184" s="2">
        <v>0.28000000000000003</v>
      </c>
      <c r="M184" s="2">
        <v>-0.93</v>
      </c>
      <c r="N184" t="s">
        <v>98</v>
      </c>
      <c r="O184">
        <v>18</v>
      </c>
      <c r="P184" t="s">
        <v>322</v>
      </c>
    </row>
    <row r="185" spans="1:16">
      <c r="A185" s="1">
        <v>45944</v>
      </c>
      <c r="B185">
        <v>2</v>
      </c>
      <c r="C185" t="s">
        <v>99</v>
      </c>
      <c r="D185">
        <v>2</v>
      </c>
      <c r="E185" s="2">
        <v>11.5</v>
      </c>
      <c r="F185" s="2">
        <v>-60.81</v>
      </c>
      <c r="G185" s="2">
        <v>64.59</v>
      </c>
      <c r="H185" s="2">
        <v>6.52</v>
      </c>
      <c r="I185" s="2">
        <v>-3.57</v>
      </c>
      <c r="J185" s="2">
        <v>0.26</v>
      </c>
      <c r="K185" s="2">
        <v>-0.19</v>
      </c>
      <c r="L185" s="2">
        <v>0.32</v>
      </c>
      <c r="M185" s="2">
        <v>-0.68</v>
      </c>
      <c r="N185" t="s">
        <v>98</v>
      </c>
      <c r="O185">
        <v>18</v>
      </c>
      <c r="P185" t="s">
        <v>322</v>
      </c>
    </row>
    <row r="186" spans="1:16">
      <c r="A186" s="1">
        <v>45944</v>
      </c>
      <c r="B186">
        <v>2</v>
      </c>
      <c r="C186" t="s">
        <v>99</v>
      </c>
      <c r="D186">
        <v>2</v>
      </c>
      <c r="E186" s="2">
        <v>12</v>
      </c>
      <c r="F186" s="2">
        <v>-73</v>
      </c>
      <c r="G186" s="2">
        <v>84.7</v>
      </c>
      <c r="H186" s="2">
        <v>16.88</v>
      </c>
      <c r="I186" s="2">
        <v>-10.58</v>
      </c>
      <c r="J186" s="2">
        <v>0.27</v>
      </c>
      <c r="K186" s="2">
        <v>-0.21</v>
      </c>
      <c r="L186" s="2">
        <v>0.34</v>
      </c>
      <c r="M186" s="2">
        <v>-0.72</v>
      </c>
      <c r="N186" t="s">
        <v>98</v>
      </c>
      <c r="O186">
        <v>18</v>
      </c>
      <c r="P186" t="s">
        <v>322</v>
      </c>
    </row>
    <row r="187" spans="1:16">
      <c r="A187" s="1">
        <v>45944</v>
      </c>
      <c r="B187">
        <v>2</v>
      </c>
      <c r="C187" t="s">
        <v>99</v>
      </c>
      <c r="D187">
        <v>2</v>
      </c>
      <c r="E187" s="2">
        <v>12.5</v>
      </c>
      <c r="F187" s="2">
        <v>-36.11</v>
      </c>
      <c r="G187" s="2">
        <v>45.12</v>
      </c>
      <c r="H187" s="2">
        <v>12.74</v>
      </c>
      <c r="I187" s="2">
        <v>-21.88</v>
      </c>
      <c r="J187" s="2">
        <v>0.27</v>
      </c>
      <c r="K187" s="2">
        <v>-0.26</v>
      </c>
      <c r="L187" s="2">
        <v>0.38</v>
      </c>
      <c r="M187" s="2">
        <v>-0.68</v>
      </c>
      <c r="N187" t="s">
        <v>98</v>
      </c>
      <c r="O187">
        <v>18</v>
      </c>
      <c r="P187" t="s">
        <v>322</v>
      </c>
    </row>
    <row r="188" spans="1:16">
      <c r="A188" s="1">
        <v>45944</v>
      </c>
      <c r="B188">
        <v>2</v>
      </c>
      <c r="C188" t="s">
        <v>99</v>
      </c>
      <c r="D188">
        <v>2</v>
      </c>
      <c r="E188" s="2">
        <v>13</v>
      </c>
      <c r="F188" s="2">
        <v>-95.62</v>
      </c>
      <c r="G188" s="2">
        <v>102.27</v>
      </c>
      <c r="H188" s="2">
        <v>-38.03</v>
      </c>
      <c r="I188" s="2">
        <v>36.159999999999997</v>
      </c>
      <c r="J188" s="2">
        <v>0.28999999999999998</v>
      </c>
      <c r="K188" s="2">
        <v>-0.17</v>
      </c>
      <c r="L188" s="2">
        <v>0.34</v>
      </c>
      <c r="M188" s="2">
        <v>-0.78</v>
      </c>
      <c r="N188" t="s">
        <v>98</v>
      </c>
      <c r="O188">
        <v>18</v>
      </c>
      <c r="P188" t="s">
        <v>322</v>
      </c>
    </row>
    <row r="189" spans="1:16">
      <c r="A189" s="1">
        <v>45944</v>
      </c>
      <c r="B189">
        <v>2</v>
      </c>
      <c r="C189" t="s">
        <v>99</v>
      </c>
      <c r="D189">
        <v>2</v>
      </c>
      <c r="E189" s="2">
        <v>13.5</v>
      </c>
      <c r="F189" s="2">
        <v>-262.38</v>
      </c>
      <c r="G189" s="2">
        <v>272.07</v>
      </c>
      <c r="H189" s="2">
        <v>-178.43</v>
      </c>
      <c r="I189" s="2">
        <v>184.26</v>
      </c>
      <c r="J189" s="2">
        <v>0.31</v>
      </c>
      <c r="K189" s="2">
        <v>-0.14000000000000001</v>
      </c>
      <c r="L189" s="2">
        <v>0.34</v>
      </c>
      <c r="M189" s="2">
        <v>-0.79</v>
      </c>
      <c r="N189" t="s">
        <v>98</v>
      </c>
      <c r="O189">
        <v>18</v>
      </c>
      <c r="P189" t="s">
        <v>322</v>
      </c>
    </row>
    <row r="190" spans="1:16">
      <c r="A190" s="1">
        <v>45944</v>
      </c>
      <c r="B190">
        <v>2</v>
      </c>
      <c r="C190" t="s">
        <v>99</v>
      </c>
      <c r="D190">
        <v>2</v>
      </c>
      <c r="E190" s="2">
        <v>14</v>
      </c>
      <c r="F190" s="2">
        <v>-293.77999999999997</v>
      </c>
      <c r="G190" s="2">
        <v>301.88</v>
      </c>
      <c r="H190" s="2">
        <v>-301.13</v>
      </c>
      <c r="I190" s="2">
        <v>305.41000000000003</v>
      </c>
      <c r="J190" s="2">
        <v>0.32</v>
      </c>
      <c r="K190" s="2">
        <v>-0.18</v>
      </c>
      <c r="L190" s="2">
        <v>0.37</v>
      </c>
      <c r="M190" s="2">
        <v>-0.73</v>
      </c>
      <c r="N190" t="s">
        <v>98</v>
      </c>
      <c r="O190">
        <v>18</v>
      </c>
      <c r="P190" t="s">
        <v>322</v>
      </c>
    </row>
    <row r="191" spans="1:16">
      <c r="A191" s="1">
        <v>45944</v>
      </c>
      <c r="B191">
        <v>2</v>
      </c>
      <c r="C191" t="s">
        <v>99</v>
      </c>
      <c r="D191">
        <v>2</v>
      </c>
      <c r="E191" s="2">
        <v>14.5</v>
      </c>
      <c r="F191" s="2">
        <v>-259.05</v>
      </c>
      <c r="G191" s="2">
        <v>267.83999999999997</v>
      </c>
      <c r="H191" s="2">
        <v>-254.83</v>
      </c>
      <c r="I191" s="2">
        <v>260.89999999999998</v>
      </c>
      <c r="J191" s="2">
        <v>0.32</v>
      </c>
      <c r="K191" s="2">
        <v>-0.17</v>
      </c>
      <c r="L191" s="2">
        <v>0.36</v>
      </c>
      <c r="M191" s="2">
        <v>-0.68</v>
      </c>
      <c r="N191" t="s">
        <v>98</v>
      </c>
      <c r="O191">
        <v>18</v>
      </c>
      <c r="P191" t="s">
        <v>322</v>
      </c>
    </row>
    <row r="192" spans="1:16">
      <c r="A192" s="1">
        <v>45944</v>
      </c>
      <c r="B192">
        <v>2</v>
      </c>
      <c r="C192" t="s">
        <v>99</v>
      </c>
      <c r="D192">
        <v>2</v>
      </c>
      <c r="E192" s="2">
        <v>15</v>
      </c>
      <c r="F192" s="2">
        <v>-222.07</v>
      </c>
      <c r="G192" s="2">
        <v>233.47</v>
      </c>
      <c r="H192" s="2">
        <v>-205.22</v>
      </c>
      <c r="I192" s="2">
        <v>198.58</v>
      </c>
      <c r="J192" s="2">
        <v>0.3</v>
      </c>
      <c r="K192" s="2">
        <v>-0.17</v>
      </c>
      <c r="L192" s="2">
        <v>0.35</v>
      </c>
      <c r="M192" s="2">
        <v>-0.53</v>
      </c>
      <c r="N192" t="s">
        <v>98</v>
      </c>
      <c r="O192">
        <v>18</v>
      </c>
      <c r="P192" t="s">
        <v>322</v>
      </c>
    </row>
    <row r="193" spans="1:16">
      <c r="A193" s="1">
        <v>45944</v>
      </c>
      <c r="B193">
        <v>2</v>
      </c>
      <c r="C193" t="s">
        <v>99</v>
      </c>
      <c r="D193">
        <v>2</v>
      </c>
      <c r="E193" s="2">
        <v>15.5</v>
      </c>
      <c r="F193" s="2">
        <v>-157.31</v>
      </c>
      <c r="G193" s="2">
        <v>163.68</v>
      </c>
      <c r="H193" s="2">
        <v>-189.38</v>
      </c>
      <c r="I193" s="2">
        <v>185.43</v>
      </c>
      <c r="J193" s="2">
        <v>0.28999999999999998</v>
      </c>
      <c r="K193" s="2">
        <v>-0.18</v>
      </c>
      <c r="L193" s="2">
        <v>0.34</v>
      </c>
      <c r="M193" s="2">
        <v>-0.51</v>
      </c>
      <c r="N193" t="s">
        <v>98</v>
      </c>
      <c r="O193">
        <v>18</v>
      </c>
      <c r="P193" t="s">
        <v>322</v>
      </c>
    </row>
    <row r="194" spans="1:16">
      <c r="A194" s="1">
        <v>45944</v>
      </c>
      <c r="B194">
        <v>2</v>
      </c>
      <c r="C194" t="s">
        <v>99</v>
      </c>
      <c r="D194">
        <v>2</v>
      </c>
      <c r="E194" s="2">
        <v>16</v>
      </c>
      <c r="F194" s="2">
        <v>-71.13</v>
      </c>
      <c r="G194" s="2">
        <v>79.44</v>
      </c>
      <c r="H194" s="2">
        <v>-167.16</v>
      </c>
      <c r="I194" s="2">
        <v>173.46</v>
      </c>
      <c r="J194" s="2">
        <v>0.3</v>
      </c>
      <c r="K194" s="2">
        <v>-0.16</v>
      </c>
      <c r="L194" s="2">
        <v>0.34</v>
      </c>
      <c r="M194" s="2">
        <v>-0.45</v>
      </c>
      <c r="N194" t="s">
        <v>98</v>
      </c>
      <c r="O194">
        <v>18</v>
      </c>
      <c r="P194" t="s">
        <v>322</v>
      </c>
    </row>
    <row r="195" spans="1:16">
      <c r="A195" s="1">
        <v>45944</v>
      </c>
      <c r="B195">
        <v>2</v>
      </c>
      <c r="C195" t="s">
        <v>99</v>
      </c>
      <c r="D195">
        <v>2</v>
      </c>
      <c r="E195" s="2">
        <v>16.5</v>
      </c>
      <c r="F195" s="2">
        <v>111.87</v>
      </c>
      <c r="G195" s="2">
        <v>-105.32</v>
      </c>
      <c r="H195" s="2">
        <v>-117.31</v>
      </c>
      <c r="I195" s="2">
        <v>113.7</v>
      </c>
      <c r="J195" s="2">
        <v>0.31</v>
      </c>
      <c r="K195" s="2">
        <v>-0.14000000000000001</v>
      </c>
      <c r="L195" s="2">
        <v>0.34</v>
      </c>
      <c r="M195" s="2">
        <v>-0.39</v>
      </c>
      <c r="N195" t="s">
        <v>98</v>
      </c>
      <c r="O195">
        <v>18</v>
      </c>
      <c r="P195" t="s">
        <v>322</v>
      </c>
    </row>
    <row r="196" spans="1:16">
      <c r="A196" s="1">
        <v>45944</v>
      </c>
      <c r="B196">
        <v>2</v>
      </c>
      <c r="C196" t="s">
        <v>99</v>
      </c>
      <c r="D196">
        <v>2</v>
      </c>
      <c r="E196" s="2">
        <v>17</v>
      </c>
      <c r="F196" s="2">
        <v>274.41000000000003</v>
      </c>
      <c r="G196" s="2">
        <v>-264.97000000000003</v>
      </c>
      <c r="H196" s="2">
        <v>-64.59</v>
      </c>
      <c r="I196" s="2">
        <v>64.040000000000006</v>
      </c>
      <c r="J196" s="2">
        <v>0.31</v>
      </c>
      <c r="K196" s="2">
        <v>-0.27</v>
      </c>
      <c r="L196" s="2">
        <v>0.41</v>
      </c>
      <c r="M196" s="2">
        <v>-0.11</v>
      </c>
      <c r="N196" t="s">
        <v>98</v>
      </c>
      <c r="O196">
        <v>18</v>
      </c>
      <c r="P196" t="s">
        <v>322</v>
      </c>
    </row>
    <row r="197" spans="1:16">
      <c r="A197" s="1">
        <v>45944</v>
      </c>
      <c r="B197">
        <v>2</v>
      </c>
      <c r="C197" t="s">
        <v>99</v>
      </c>
      <c r="D197">
        <v>2</v>
      </c>
      <c r="E197" s="2">
        <v>17.5</v>
      </c>
      <c r="F197" s="2">
        <v>326.23</v>
      </c>
      <c r="G197" s="2">
        <v>-320.62</v>
      </c>
      <c r="H197" s="2">
        <v>-75.06</v>
      </c>
      <c r="I197" s="2">
        <v>66.92</v>
      </c>
      <c r="J197" s="2">
        <v>0.31</v>
      </c>
      <c r="K197" s="2">
        <v>-0.18</v>
      </c>
      <c r="L197" s="2">
        <v>0.36</v>
      </c>
      <c r="M197" s="2">
        <v>-0.11</v>
      </c>
      <c r="N197" t="s">
        <v>98</v>
      </c>
      <c r="O197">
        <v>18</v>
      </c>
      <c r="P197" t="s">
        <v>322</v>
      </c>
    </row>
    <row r="198" spans="1:16">
      <c r="A198" s="1">
        <v>45944</v>
      </c>
      <c r="B198">
        <v>2</v>
      </c>
      <c r="C198" t="s">
        <v>99</v>
      </c>
      <c r="D198">
        <v>2</v>
      </c>
      <c r="E198" s="2">
        <v>18</v>
      </c>
      <c r="F198" s="2">
        <v>395.81</v>
      </c>
      <c r="G198" s="2">
        <v>-386.82</v>
      </c>
      <c r="H198" s="2">
        <v>-107.41</v>
      </c>
      <c r="I198" s="2">
        <v>102.35</v>
      </c>
      <c r="J198" s="2">
        <v>0.31</v>
      </c>
      <c r="K198" s="2">
        <v>-0.11</v>
      </c>
      <c r="L198" s="2">
        <v>0.33</v>
      </c>
      <c r="M198" s="2">
        <v>-0.14000000000000001</v>
      </c>
      <c r="N198" t="s">
        <v>98</v>
      </c>
      <c r="O198">
        <v>18</v>
      </c>
      <c r="P198" t="s">
        <v>322</v>
      </c>
    </row>
    <row r="199" spans="1:16">
      <c r="A199" s="1">
        <v>45944</v>
      </c>
      <c r="B199">
        <v>2</v>
      </c>
      <c r="C199" t="s">
        <v>99</v>
      </c>
      <c r="D199">
        <v>2</v>
      </c>
      <c r="E199" s="2">
        <v>18.5</v>
      </c>
      <c r="F199" s="2">
        <v>439.25</v>
      </c>
      <c r="G199" s="2">
        <v>-431.9</v>
      </c>
      <c r="H199" s="2">
        <v>-121.92</v>
      </c>
      <c r="I199" s="2">
        <v>115.12</v>
      </c>
      <c r="J199" s="2">
        <v>0.32</v>
      </c>
      <c r="K199" s="2">
        <v>-0.15</v>
      </c>
      <c r="L199" s="2">
        <v>0.35</v>
      </c>
      <c r="M199" s="2">
        <v>0</v>
      </c>
      <c r="N199" t="s">
        <v>98</v>
      </c>
      <c r="O199">
        <v>18</v>
      </c>
      <c r="P199" t="s">
        <v>322</v>
      </c>
    </row>
    <row r="200" spans="1:16">
      <c r="A200" s="1">
        <v>45944</v>
      </c>
      <c r="B200">
        <v>2</v>
      </c>
      <c r="C200" t="s">
        <v>99</v>
      </c>
      <c r="D200">
        <v>2</v>
      </c>
      <c r="E200" s="2">
        <v>19</v>
      </c>
      <c r="F200" s="2">
        <v>448.87</v>
      </c>
      <c r="G200" s="2">
        <v>-442.87</v>
      </c>
      <c r="H200" s="2">
        <v>-121.79</v>
      </c>
      <c r="I200" s="2">
        <v>110.05</v>
      </c>
      <c r="J200" s="2">
        <v>0.32</v>
      </c>
      <c r="K200" s="2">
        <v>-0.21</v>
      </c>
      <c r="L200" s="2">
        <v>0.38</v>
      </c>
      <c r="M200" s="2">
        <v>0.12</v>
      </c>
      <c r="N200" t="s">
        <v>98</v>
      </c>
      <c r="O200">
        <v>18</v>
      </c>
      <c r="P200" t="s">
        <v>322</v>
      </c>
    </row>
    <row r="201" spans="1:16">
      <c r="A201" s="1">
        <v>45944</v>
      </c>
      <c r="B201">
        <v>2</v>
      </c>
      <c r="C201" t="s">
        <v>99</v>
      </c>
      <c r="D201">
        <v>2</v>
      </c>
      <c r="E201" s="2">
        <v>19.5</v>
      </c>
      <c r="F201" s="2">
        <v>329.55</v>
      </c>
      <c r="G201" s="2">
        <v>-322.87</v>
      </c>
      <c r="H201" s="2">
        <v>-44.89</v>
      </c>
      <c r="I201" s="2">
        <v>48.49</v>
      </c>
      <c r="J201" s="2">
        <v>0.34</v>
      </c>
      <c r="K201" s="2">
        <v>-0.12</v>
      </c>
      <c r="L201" s="2">
        <v>0.36</v>
      </c>
      <c r="M201" s="2">
        <v>0.01</v>
      </c>
      <c r="N201" t="s">
        <v>98</v>
      </c>
      <c r="O201">
        <v>18</v>
      </c>
      <c r="P201" t="s">
        <v>322</v>
      </c>
    </row>
    <row r="202" spans="1:16">
      <c r="A202" s="1">
        <v>45944</v>
      </c>
      <c r="B202">
        <v>2</v>
      </c>
      <c r="C202" t="s">
        <v>99</v>
      </c>
      <c r="D202">
        <v>2</v>
      </c>
      <c r="E202" s="2">
        <v>20</v>
      </c>
      <c r="F202" s="2">
        <v>194.63</v>
      </c>
      <c r="G202" s="2">
        <v>-185.83</v>
      </c>
      <c r="H202" s="2">
        <v>-10.54</v>
      </c>
      <c r="I202" s="2">
        <v>6.92</v>
      </c>
      <c r="J202" s="2">
        <v>0.33</v>
      </c>
      <c r="K202" s="2">
        <v>-0.05</v>
      </c>
      <c r="L202" s="2">
        <v>0.33</v>
      </c>
      <c r="M202" s="2">
        <v>-0.04</v>
      </c>
      <c r="N202" t="s">
        <v>98</v>
      </c>
      <c r="O202">
        <v>18</v>
      </c>
      <c r="P202" t="s">
        <v>322</v>
      </c>
    </row>
    <row r="203" spans="1:16">
      <c r="A203" s="1">
        <v>45944</v>
      </c>
      <c r="B203">
        <v>2</v>
      </c>
      <c r="C203" t="s">
        <v>99</v>
      </c>
      <c r="D203">
        <v>2</v>
      </c>
      <c r="E203" s="2">
        <v>20.5</v>
      </c>
      <c r="F203" s="2">
        <v>160.02000000000001</v>
      </c>
      <c r="G203" s="2">
        <v>-151.91</v>
      </c>
      <c r="H203" s="2">
        <v>-12.46</v>
      </c>
      <c r="I203" s="2">
        <v>6.47</v>
      </c>
      <c r="J203" s="2">
        <v>0.26</v>
      </c>
      <c r="K203" s="2">
        <v>0.04</v>
      </c>
      <c r="L203" s="2">
        <v>0.26</v>
      </c>
      <c r="M203" s="2">
        <v>-0.06</v>
      </c>
      <c r="N203" t="s">
        <v>98</v>
      </c>
      <c r="O203">
        <v>18</v>
      </c>
      <c r="P203" t="s">
        <v>322</v>
      </c>
    </row>
    <row r="204" spans="1:16">
      <c r="A204" s="1">
        <v>45944</v>
      </c>
      <c r="B204">
        <v>2</v>
      </c>
      <c r="C204" t="s">
        <v>99</v>
      </c>
      <c r="D204">
        <v>2</v>
      </c>
      <c r="E204" s="2">
        <v>21</v>
      </c>
      <c r="F204" s="2">
        <v>120.04</v>
      </c>
      <c r="G204" s="2">
        <v>-111.37</v>
      </c>
      <c r="H204" s="2">
        <v>-13.88</v>
      </c>
      <c r="I204" s="2">
        <v>16.96</v>
      </c>
      <c r="J204" s="2">
        <v>0.25</v>
      </c>
      <c r="K204" s="2">
        <v>0.2</v>
      </c>
      <c r="L204" s="2">
        <v>0.32</v>
      </c>
      <c r="M204" s="2">
        <v>-0.02</v>
      </c>
      <c r="N204" t="s">
        <v>98</v>
      </c>
      <c r="O204">
        <v>18</v>
      </c>
      <c r="P204" t="s">
        <v>322</v>
      </c>
    </row>
    <row r="205" spans="1:16">
      <c r="A205" s="1">
        <v>45944</v>
      </c>
      <c r="B205">
        <v>2</v>
      </c>
      <c r="C205" t="s">
        <v>99</v>
      </c>
      <c r="D205">
        <v>2</v>
      </c>
      <c r="E205" s="2">
        <v>21.5</v>
      </c>
      <c r="F205" s="2">
        <v>-10.16</v>
      </c>
      <c r="G205" s="2">
        <v>20.57</v>
      </c>
      <c r="H205" s="2">
        <v>-31</v>
      </c>
      <c r="I205" s="2">
        <v>19.25</v>
      </c>
      <c r="J205" s="2">
        <v>0.15</v>
      </c>
      <c r="K205" s="2">
        <v>0.02</v>
      </c>
      <c r="L205" s="2">
        <v>0.15</v>
      </c>
      <c r="M205" s="2">
        <v>0.01</v>
      </c>
      <c r="N205" t="s">
        <v>98</v>
      </c>
      <c r="O205">
        <v>18</v>
      </c>
      <c r="P205" t="s">
        <v>322</v>
      </c>
    </row>
    <row r="206" spans="1:16">
      <c r="A206" s="1">
        <v>45944</v>
      </c>
      <c r="B206">
        <v>2</v>
      </c>
      <c r="C206" t="s">
        <v>99</v>
      </c>
      <c r="D206">
        <v>2</v>
      </c>
      <c r="E206" s="2">
        <v>22</v>
      </c>
      <c r="F206" s="2">
        <v>-56.62</v>
      </c>
      <c r="G206" s="2">
        <v>63.67</v>
      </c>
      <c r="H206" s="2">
        <v>-14.8</v>
      </c>
      <c r="I206" s="2">
        <v>25.34</v>
      </c>
      <c r="J206" s="2">
        <v>0.14000000000000001</v>
      </c>
      <c r="K206" s="2">
        <v>0.1</v>
      </c>
      <c r="L206" s="2">
        <v>0.17</v>
      </c>
      <c r="M206" s="2">
        <v>-0.04</v>
      </c>
      <c r="N206" t="s">
        <v>98</v>
      </c>
      <c r="O206">
        <v>18</v>
      </c>
      <c r="P206" t="s">
        <v>322</v>
      </c>
    </row>
    <row r="207" spans="1:16">
      <c r="A207" s="1">
        <v>45944</v>
      </c>
      <c r="B207">
        <v>2</v>
      </c>
      <c r="C207" t="s">
        <v>99</v>
      </c>
      <c r="D207">
        <v>2</v>
      </c>
      <c r="E207" s="2">
        <v>22.5</v>
      </c>
      <c r="F207" s="2">
        <v>-43.91</v>
      </c>
      <c r="G207" s="2">
        <v>52.28</v>
      </c>
      <c r="H207" s="2">
        <v>-124.03</v>
      </c>
      <c r="I207" s="2">
        <v>119.3</v>
      </c>
      <c r="J207" s="2">
        <v>0.14000000000000001</v>
      </c>
      <c r="K207" s="2">
        <v>0.08</v>
      </c>
      <c r="L207" s="2">
        <v>0.16</v>
      </c>
      <c r="M207" s="2">
        <v>7.0000000000000007E-2</v>
      </c>
      <c r="N207" t="s">
        <v>98</v>
      </c>
      <c r="O207">
        <v>18</v>
      </c>
      <c r="P207" t="s">
        <v>322</v>
      </c>
    </row>
    <row r="208" spans="1:16">
      <c r="A208" s="1">
        <v>45944</v>
      </c>
      <c r="B208">
        <v>2</v>
      </c>
      <c r="C208" t="s">
        <v>99</v>
      </c>
      <c r="D208">
        <v>2</v>
      </c>
      <c r="E208" s="2">
        <v>23</v>
      </c>
      <c r="F208" s="2">
        <v>-56.6</v>
      </c>
      <c r="G208" s="2">
        <v>60.96</v>
      </c>
      <c r="H208" s="2">
        <v>-167.92</v>
      </c>
      <c r="I208" s="2">
        <v>159.59</v>
      </c>
      <c r="J208" s="2">
        <v>0.13</v>
      </c>
      <c r="K208" s="2">
        <v>0.09</v>
      </c>
      <c r="L208" s="2">
        <v>0.16</v>
      </c>
      <c r="M208" s="2">
        <v>0.04</v>
      </c>
      <c r="N208" t="s">
        <v>98</v>
      </c>
      <c r="O208">
        <v>18</v>
      </c>
      <c r="P208" t="s">
        <v>322</v>
      </c>
    </row>
    <row r="209" spans="1:16">
      <c r="A209" s="1">
        <v>45944</v>
      </c>
      <c r="B209">
        <v>2</v>
      </c>
      <c r="C209" t="s">
        <v>99</v>
      </c>
      <c r="D209">
        <v>2</v>
      </c>
      <c r="E209" s="2">
        <v>23.5</v>
      </c>
      <c r="F209" s="2">
        <v>-122.76</v>
      </c>
      <c r="G209" s="2">
        <v>133.63999999999999</v>
      </c>
      <c r="H209" s="2">
        <v>-196.94</v>
      </c>
      <c r="I209" s="2">
        <v>206.1</v>
      </c>
      <c r="J209" s="2">
        <v>0.12</v>
      </c>
      <c r="K209" s="2">
        <v>0.11</v>
      </c>
      <c r="L209" s="2">
        <v>0.17</v>
      </c>
      <c r="M209" s="2">
        <v>-7.0000000000000007E-2</v>
      </c>
      <c r="N209" t="s">
        <v>98</v>
      </c>
      <c r="O209">
        <v>18</v>
      </c>
      <c r="P209" t="s">
        <v>322</v>
      </c>
    </row>
    <row r="210" spans="1:16">
      <c r="A210" s="1">
        <v>45944</v>
      </c>
      <c r="B210">
        <v>2</v>
      </c>
      <c r="C210" t="s">
        <v>99</v>
      </c>
      <c r="D210">
        <v>2</v>
      </c>
      <c r="E210" s="2">
        <v>24</v>
      </c>
      <c r="F210" s="2">
        <v>-156.03</v>
      </c>
      <c r="G210" s="2">
        <v>163.16999999999999</v>
      </c>
      <c r="H210" s="2">
        <v>-267.02999999999997</v>
      </c>
      <c r="I210" s="2">
        <v>260.73</v>
      </c>
      <c r="J210" s="2">
        <v>0.13</v>
      </c>
      <c r="K210" s="2">
        <v>0.16</v>
      </c>
      <c r="L210" s="2">
        <v>0.2</v>
      </c>
      <c r="M210" s="2">
        <v>-0.05</v>
      </c>
      <c r="N210" t="s">
        <v>98</v>
      </c>
      <c r="O210">
        <v>18</v>
      </c>
      <c r="P210" t="s">
        <v>322</v>
      </c>
    </row>
    <row r="211" spans="1:16">
      <c r="A211" s="1">
        <v>45944</v>
      </c>
      <c r="B211">
        <v>2</v>
      </c>
      <c r="C211" t="s">
        <v>99</v>
      </c>
      <c r="D211">
        <v>2</v>
      </c>
      <c r="E211" s="2">
        <v>24.5</v>
      </c>
      <c r="F211" s="2">
        <v>-51.54</v>
      </c>
      <c r="G211" s="2">
        <v>55.27</v>
      </c>
      <c r="H211" s="2">
        <v>-250.08</v>
      </c>
      <c r="I211" s="2">
        <v>241.52</v>
      </c>
      <c r="J211" s="2">
        <v>0.13</v>
      </c>
      <c r="K211" s="2">
        <v>0.05</v>
      </c>
      <c r="L211" s="2">
        <v>0.13</v>
      </c>
      <c r="M211" s="2">
        <v>-7.0000000000000007E-2</v>
      </c>
      <c r="N211" t="s">
        <v>98</v>
      </c>
      <c r="O211">
        <v>18</v>
      </c>
      <c r="P211" t="s">
        <v>322</v>
      </c>
    </row>
    <row r="212" spans="1:16">
      <c r="A212" s="1">
        <v>45944</v>
      </c>
      <c r="B212">
        <v>2</v>
      </c>
      <c r="C212" t="s">
        <v>99</v>
      </c>
      <c r="D212">
        <v>2</v>
      </c>
      <c r="E212" s="2">
        <v>25</v>
      </c>
      <c r="F212" s="2">
        <v>45.22</v>
      </c>
      <c r="G212" s="2">
        <v>-37.03</v>
      </c>
      <c r="H212" s="2">
        <v>-237.32</v>
      </c>
      <c r="I212" s="2">
        <v>224.08</v>
      </c>
      <c r="J212" s="2">
        <v>0.09</v>
      </c>
      <c r="K212" s="2">
        <v>-0.06</v>
      </c>
      <c r="L212" s="2">
        <v>0.11</v>
      </c>
      <c r="M212" s="2">
        <v>0.06</v>
      </c>
      <c r="N212" t="s">
        <v>98</v>
      </c>
      <c r="O212">
        <v>18</v>
      </c>
      <c r="P212" t="s">
        <v>322</v>
      </c>
    </row>
    <row r="213" spans="1:16">
      <c r="A213" s="1">
        <v>45944</v>
      </c>
      <c r="B213">
        <v>2</v>
      </c>
      <c r="C213" t="s">
        <v>99</v>
      </c>
      <c r="D213">
        <v>2</v>
      </c>
      <c r="E213" s="2">
        <v>25.5</v>
      </c>
      <c r="F213" s="2">
        <v>101.26</v>
      </c>
      <c r="G213" s="2">
        <v>-94.75</v>
      </c>
      <c r="H213" s="2">
        <v>-212.76</v>
      </c>
      <c r="I213" s="2">
        <v>193.12</v>
      </c>
      <c r="J213" s="2">
        <v>7.0000000000000007E-2</v>
      </c>
      <c r="K213" s="2">
        <v>-0.02</v>
      </c>
      <c r="L213" s="2">
        <v>7.0000000000000007E-2</v>
      </c>
      <c r="M213" s="2">
        <v>-0.06</v>
      </c>
      <c r="N213" t="s">
        <v>98</v>
      </c>
      <c r="O213">
        <v>18</v>
      </c>
      <c r="P213" t="s">
        <v>322</v>
      </c>
    </row>
    <row r="214" spans="1:16">
      <c r="A214" s="1">
        <v>45944</v>
      </c>
      <c r="B214">
        <v>2</v>
      </c>
      <c r="C214" t="s">
        <v>99</v>
      </c>
      <c r="D214">
        <v>2</v>
      </c>
      <c r="E214" s="2">
        <v>26</v>
      </c>
      <c r="F214" s="2">
        <v>148.32</v>
      </c>
      <c r="G214" s="2">
        <v>-138.49</v>
      </c>
      <c r="H214" s="2">
        <v>-252.02</v>
      </c>
      <c r="I214" s="2">
        <v>245</v>
      </c>
      <c r="J214" s="2">
        <v>0.05</v>
      </c>
      <c r="K214" s="2">
        <v>0.09</v>
      </c>
      <c r="L214" s="2">
        <v>0.1</v>
      </c>
      <c r="M214" s="2">
        <v>-0.14000000000000001</v>
      </c>
      <c r="N214" t="s">
        <v>98</v>
      </c>
      <c r="O214">
        <v>18</v>
      </c>
      <c r="P214" t="s">
        <v>322</v>
      </c>
    </row>
    <row r="215" spans="1:16">
      <c r="A215" s="1">
        <v>45944</v>
      </c>
      <c r="B215">
        <v>2</v>
      </c>
      <c r="C215" t="s">
        <v>99</v>
      </c>
      <c r="D215">
        <v>2</v>
      </c>
      <c r="E215" s="2">
        <v>26.5</v>
      </c>
      <c r="F215" s="2">
        <v>153.52000000000001</v>
      </c>
      <c r="G215" s="2">
        <v>-145.47</v>
      </c>
      <c r="H215" s="2">
        <v>-249.87</v>
      </c>
      <c r="I215" s="2">
        <v>262.60000000000002</v>
      </c>
      <c r="J215" s="2">
        <v>0.03</v>
      </c>
      <c r="K215" s="2">
        <v>0.01</v>
      </c>
      <c r="L215" s="2">
        <v>0.03</v>
      </c>
      <c r="M215" s="2">
        <v>-0.1</v>
      </c>
      <c r="N215" t="s">
        <v>98</v>
      </c>
      <c r="O215">
        <v>18</v>
      </c>
      <c r="P215" t="s">
        <v>322</v>
      </c>
    </row>
    <row r="216" spans="1:16">
      <c r="A216" s="1">
        <v>45944</v>
      </c>
      <c r="B216">
        <v>2</v>
      </c>
      <c r="C216" t="s">
        <v>100</v>
      </c>
      <c r="D216">
        <v>1</v>
      </c>
      <c r="E216" s="2">
        <v>0.5</v>
      </c>
      <c r="F216" s="2">
        <v>409.65</v>
      </c>
      <c r="G216" s="2">
        <v>-395.24</v>
      </c>
      <c r="H216" s="2">
        <v>482.04</v>
      </c>
      <c r="I216" s="2">
        <v>-486.52</v>
      </c>
      <c r="J216" s="2">
        <v>-0.28000000000000003</v>
      </c>
      <c r="K216" s="2">
        <v>-1.32</v>
      </c>
      <c r="L216" s="2">
        <v>1.35</v>
      </c>
      <c r="M216" s="2">
        <v>1.35</v>
      </c>
      <c r="N216" t="s">
        <v>98</v>
      </c>
      <c r="O216">
        <v>26</v>
      </c>
      <c r="P216" t="s">
        <v>322</v>
      </c>
    </row>
    <row r="217" spans="1:16">
      <c r="A217" s="1">
        <v>45944</v>
      </c>
      <c r="B217">
        <v>2</v>
      </c>
      <c r="C217" t="s">
        <v>100</v>
      </c>
      <c r="D217">
        <v>1</v>
      </c>
      <c r="E217" s="2">
        <v>1</v>
      </c>
      <c r="F217" s="2">
        <v>409.5</v>
      </c>
      <c r="G217" s="2">
        <v>-395.18</v>
      </c>
      <c r="H217" s="2">
        <v>482.08</v>
      </c>
      <c r="I217" s="2">
        <v>-486.29</v>
      </c>
      <c r="J217" s="2">
        <v>-0.3</v>
      </c>
      <c r="K217" s="2">
        <v>-1.35</v>
      </c>
      <c r="L217" s="2">
        <v>1.38</v>
      </c>
      <c r="M217" s="2">
        <v>1.38</v>
      </c>
      <c r="N217" t="s">
        <v>98</v>
      </c>
      <c r="O217">
        <v>26</v>
      </c>
      <c r="P217" t="s">
        <v>322</v>
      </c>
    </row>
    <row r="218" spans="1:16">
      <c r="A218" s="1">
        <v>45944</v>
      </c>
      <c r="B218">
        <v>2</v>
      </c>
      <c r="C218" t="s">
        <v>100</v>
      </c>
      <c r="D218">
        <v>1</v>
      </c>
      <c r="E218" s="2">
        <v>1.5</v>
      </c>
      <c r="F218" s="2">
        <v>439.13</v>
      </c>
      <c r="G218" s="2">
        <v>-431.99</v>
      </c>
      <c r="H218" s="2">
        <v>417.91</v>
      </c>
      <c r="I218" s="2">
        <v>-401.92</v>
      </c>
      <c r="J218" s="2">
        <v>-0.31</v>
      </c>
      <c r="K218" s="2">
        <v>-1.37</v>
      </c>
      <c r="L218" s="2">
        <v>1.41</v>
      </c>
      <c r="M218" s="2">
        <v>1.41</v>
      </c>
      <c r="N218" t="s">
        <v>98</v>
      </c>
      <c r="O218">
        <v>26</v>
      </c>
      <c r="P218" t="s">
        <v>322</v>
      </c>
    </row>
    <row r="219" spans="1:16">
      <c r="A219" s="1">
        <v>45944</v>
      </c>
      <c r="B219">
        <v>2</v>
      </c>
      <c r="C219" t="s">
        <v>100</v>
      </c>
      <c r="D219">
        <v>1</v>
      </c>
      <c r="E219" s="2">
        <v>2</v>
      </c>
      <c r="F219" s="2">
        <v>497.12</v>
      </c>
      <c r="G219" s="2">
        <v>-489.98</v>
      </c>
      <c r="H219" s="2">
        <v>236.06</v>
      </c>
      <c r="I219" s="2">
        <v>-223.41</v>
      </c>
      <c r="J219" s="2">
        <v>-0.31</v>
      </c>
      <c r="K219" s="2">
        <v>-1.37</v>
      </c>
      <c r="L219" s="2">
        <v>1.41</v>
      </c>
      <c r="M219" s="2">
        <v>1.41</v>
      </c>
      <c r="N219" t="s">
        <v>98</v>
      </c>
      <c r="O219">
        <v>26</v>
      </c>
      <c r="P219" t="s">
        <v>322</v>
      </c>
    </row>
    <row r="220" spans="1:16">
      <c r="A220" s="1">
        <v>45944</v>
      </c>
      <c r="B220">
        <v>2</v>
      </c>
      <c r="C220" t="s">
        <v>100</v>
      </c>
      <c r="D220">
        <v>1</v>
      </c>
      <c r="E220" s="2">
        <v>2.5</v>
      </c>
      <c r="F220" s="2">
        <v>449.96</v>
      </c>
      <c r="G220" s="2">
        <v>-443.42</v>
      </c>
      <c r="H220" s="2">
        <v>125.57</v>
      </c>
      <c r="I220" s="2">
        <v>-106.35</v>
      </c>
      <c r="J220" s="2">
        <v>-0.28000000000000003</v>
      </c>
      <c r="K220" s="2">
        <v>-1.63</v>
      </c>
      <c r="L220" s="2">
        <v>1.65</v>
      </c>
      <c r="M220" s="2">
        <v>1.65</v>
      </c>
      <c r="N220" t="s">
        <v>98</v>
      </c>
      <c r="O220">
        <v>26</v>
      </c>
      <c r="P220" t="s">
        <v>322</v>
      </c>
    </row>
    <row r="221" spans="1:16">
      <c r="A221" s="1">
        <v>45944</v>
      </c>
      <c r="B221">
        <v>2</v>
      </c>
      <c r="C221" t="s">
        <v>100</v>
      </c>
      <c r="D221">
        <v>1</v>
      </c>
      <c r="E221" s="2">
        <v>3</v>
      </c>
      <c r="F221" s="2">
        <v>399.5</v>
      </c>
      <c r="G221" s="2">
        <v>-389.83</v>
      </c>
      <c r="H221" s="2">
        <v>-4.07</v>
      </c>
      <c r="I221" s="2">
        <v>15.77</v>
      </c>
      <c r="J221" s="2">
        <v>-0.26</v>
      </c>
      <c r="K221" s="2">
        <v>-1.86</v>
      </c>
      <c r="L221" s="2">
        <v>1.88</v>
      </c>
      <c r="M221" s="2">
        <v>1.88</v>
      </c>
      <c r="N221" t="s">
        <v>98</v>
      </c>
      <c r="O221">
        <v>26</v>
      </c>
      <c r="P221" t="s">
        <v>322</v>
      </c>
    </row>
    <row r="222" spans="1:16">
      <c r="A222" s="1">
        <v>45944</v>
      </c>
      <c r="B222">
        <v>2</v>
      </c>
      <c r="C222" t="s">
        <v>100</v>
      </c>
      <c r="D222">
        <v>1</v>
      </c>
      <c r="E222" s="2">
        <v>3.5</v>
      </c>
      <c r="F222" s="2">
        <v>358.62</v>
      </c>
      <c r="G222" s="2">
        <v>-350.78</v>
      </c>
      <c r="H222" s="2">
        <v>-91.5</v>
      </c>
      <c r="I222" s="2">
        <v>97.76</v>
      </c>
      <c r="J222" s="2">
        <v>-0.23</v>
      </c>
      <c r="K222" s="2">
        <v>-1.98</v>
      </c>
      <c r="L222" s="2">
        <v>1.99</v>
      </c>
      <c r="M222" s="2">
        <v>1.99</v>
      </c>
      <c r="N222" t="s">
        <v>98</v>
      </c>
      <c r="O222">
        <v>26</v>
      </c>
      <c r="P222" t="s">
        <v>322</v>
      </c>
    </row>
    <row r="223" spans="1:16">
      <c r="A223" s="1">
        <v>45944</v>
      </c>
      <c r="B223">
        <v>2</v>
      </c>
      <c r="C223" t="s">
        <v>100</v>
      </c>
      <c r="D223">
        <v>1</v>
      </c>
      <c r="E223" s="2">
        <v>4</v>
      </c>
      <c r="F223" s="2">
        <v>346.3</v>
      </c>
      <c r="G223" s="2">
        <v>-338.36</v>
      </c>
      <c r="H223" s="2">
        <v>-102.34</v>
      </c>
      <c r="I223" s="2">
        <v>120.56</v>
      </c>
      <c r="J223" s="2">
        <v>-0.2</v>
      </c>
      <c r="K223" s="2">
        <v>-1.96</v>
      </c>
      <c r="L223" s="2">
        <v>1.97</v>
      </c>
      <c r="M223" s="2">
        <v>1.97</v>
      </c>
      <c r="N223" t="s">
        <v>98</v>
      </c>
      <c r="O223">
        <v>26</v>
      </c>
      <c r="P223" t="s">
        <v>322</v>
      </c>
    </row>
    <row r="224" spans="1:16">
      <c r="A224" s="1">
        <v>45944</v>
      </c>
      <c r="B224">
        <v>2</v>
      </c>
      <c r="C224" t="s">
        <v>100</v>
      </c>
      <c r="D224">
        <v>1</v>
      </c>
      <c r="E224" s="2">
        <v>4.5</v>
      </c>
      <c r="F224" s="2">
        <v>350.4</v>
      </c>
      <c r="G224" s="2">
        <v>-339.94</v>
      </c>
      <c r="H224" s="2">
        <v>-113.81</v>
      </c>
      <c r="I224" s="2">
        <v>108.44</v>
      </c>
      <c r="J224" s="2">
        <v>-0.18</v>
      </c>
      <c r="K224" s="2">
        <v>-1.92</v>
      </c>
      <c r="L224" s="2">
        <v>1.93</v>
      </c>
      <c r="M224" s="2">
        <v>1.93</v>
      </c>
      <c r="N224" t="s">
        <v>98</v>
      </c>
      <c r="O224">
        <v>26</v>
      </c>
      <c r="P224" t="s">
        <v>322</v>
      </c>
    </row>
    <row r="225" spans="1:16">
      <c r="A225" s="1">
        <v>45944</v>
      </c>
      <c r="B225">
        <v>2</v>
      </c>
      <c r="C225" t="s">
        <v>100</v>
      </c>
      <c r="D225">
        <v>1</v>
      </c>
      <c r="E225" s="2">
        <v>5</v>
      </c>
      <c r="F225" s="2">
        <v>287.92</v>
      </c>
      <c r="G225" s="2">
        <v>-279.24</v>
      </c>
      <c r="H225" s="2">
        <v>-74.239999999999995</v>
      </c>
      <c r="I225" s="2">
        <v>65.22</v>
      </c>
      <c r="J225" s="2">
        <v>-0.16</v>
      </c>
      <c r="K225" s="2">
        <v>-1.9</v>
      </c>
      <c r="L225" s="2">
        <v>1.91</v>
      </c>
      <c r="M225" s="2">
        <v>1.91</v>
      </c>
      <c r="N225" t="s">
        <v>98</v>
      </c>
      <c r="O225">
        <v>26</v>
      </c>
      <c r="P225" t="s">
        <v>322</v>
      </c>
    </row>
    <row r="226" spans="1:16">
      <c r="A226" s="1">
        <v>45944</v>
      </c>
      <c r="B226">
        <v>2</v>
      </c>
      <c r="C226" t="s">
        <v>100</v>
      </c>
      <c r="D226">
        <v>1</v>
      </c>
      <c r="E226" s="2">
        <v>5.5</v>
      </c>
      <c r="F226" s="2">
        <v>204.97</v>
      </c>
      <c r="G226" s="2">
        <v>-195.34</v>
      </c>
      <c r="H226" s="2">
        <v>-24.15</v>
      </c>
      <c r="I226" s="2">
        <v>21.44</v>
      </c>
      <c r="J226" s="2">
        <v>-0.13</v>
      </c>
      <c r="K226" s="2">
        <v>-1.89</v>
      </c>
      <c r="L226" s="2">
        <v>1.89</v>
      </c>
      <c r="M226" s="2">
        <v>1.89</v>
      </c>
      <c r="N226" t="s">
        <v>98</v>
      </c>
      <c r="O226">
        <v>26</v>
      </c>
      <c r="P226" t="s">
        <v>322</v>
      </c>
    </row>
    <row r="227" spans="1:16">
      <c r="A227" s="1">
        <v>45944</v>
      </c>
      <c r="B227">
        <v>2</v>
      </c>
      <c r="C227" t="s">
        <v>100</v>
      </c>
      <c r="D227">
        <v>1</v>
      </c>
      <c r="E227" s="2">
        <v>6</v>
      </c>
      <c r="F227" s="2">
        <v>170.67</v>
      </c>
      <c r="G227" s="2">
        <v>-161.30000000000001</v>
      </c>
      <c r="H227" s="2">
        <v>20.46</v>
      </c>
      <c r="I227" s="2">
        <v>-20.32</v>
      </c>
      <c r="J227" s="2">
        <v>-0.1</v>
      </c>
      <c r="K227" s="2">
        <v>-1.81</v>
      </c>
      <c r="L227" s="2">
        <v>1.82</v>
      </c>
      <c r="M227" s="2">
        <v>1.82</v>
      </c>
      <c r="N227" t="s">
        <v>98</v>
      </c>
      <c r="O227">
        <v>26</v>
      </c>
      <c r="P227" t="s">
        <v>322</v>
      </c>
    </row>
    <row r="228" spans="1:16">
      <c r="A228" s="1">
        <v>45944</v>
      </c>
      <c r="B228">
        <v>2</v>
      </c>
      <c r="C228" t="s">
        <v>100</v>
      </c>
      <c r="D228">
        <v>1</v>
      </c>
      <c r="E228" s="2">
        <v>6.5</v>
      </c>
      <c r="F228" s="2">
        <v>173.22</v>
      </c>
      <c r="G228" s="2">
        <v>-164.86</v>
      </c>
      <c r="H228" s="2">
        <v>71.02</v>
      </c>
      <c r="I228" s="2">
        <v>-71.66</v>
      </c>
      <c r="J228" s="2">
        <v>-7.0000000000000007E-2</v>
      </c>
      <c r="K228" s="2">
        <v>-1.88</v>
      </c>
      <c r="L228" s="2">
        <v>1.88</v>
      </c>
      <c r="M228" s="2">
        <v>1.88</v>
      </c>
      <c r="N228" t="s">
        <v>98</v>
      </c>
      <c r="O228">
        <v>26</v>
      </c>
      <c r="P228" t="s">
        <v>322</v>
      </c>
    </row>
    <row r="229" spans="1:16">
      <c r="A229" s="1">
        <v>45944</v>
      </c>
      <c r="B229">
        <v>2</v>
      </c>
      <c r="C229" t="s">
        <v>100</v>
      </c>
      <c r="D229">
        <v>1</v>
      </c>
      <c r="E229" s="2">
        <v>7</v>
      </c>
      <c r="F229" s="2">
        <v>136.31</v>
      </c>
      <c r="G229" s="2">
        <v>-127.84</v>
      </c>
      <c r="H229" s="2">
        <v>133.53</v>
      </c>
      <c r="I229" s="2">
        <v>-136.16</v>
      </c>
      <c r="J229" s="2">
        <v>-0.06</v>
      </c>
      <c r="K229" s="2">
        <v>-1.9</v>
      </c>
      <c r="L229" s="2">
        <v>1.9</v>
      </c>
      <c r="M229" s="2">
        <v>1.9</v>
      </c>
      <c r="N229" t="s">
        <v>98</v>
      </c>
      <c r="O229">
        <v>26</v>
      </c>
      <c r="P229" t="s">
        <v>322</v>
      </c>
    </row>
    <row r="230" spans="1:16">
      <c r="A230" s="1">
        <v>45944</v>
      </c>
      <c r="B230">
        <v>2</v>
      </c>
      <c r="C230" t="s">
        <v>100</v>
      </c>
      <c r="D230">
        <v>1</v>
      </c>
      <c r="E230" s="2">
        <v>7.5</v>
      </c>
      <c r="F230" s="2">
        <v>95.31</v>
      </c>
      <c r="G230" s="2">
        <v>-87.94</v>
      </c>
      <c r="H230" s="2">
        <v>208.26</v>
      </c>
      <c r="I230" s="2">
        <v>-200.68</v>
      </c>
      <c r="J230" s="2">
        <v>-0.04</v>
      </c>
      <c r="K230" s="2">
        <v>-1.89</v>
      </c>
      <c r="L230" s="2">
        <v>1.89</v>
      </c>
      <c r="M230" s="2">
        <v>1.89</v>
      </c>
      <c r="N230" t="s">
        <v>98</v>
      </c>
      <c r="O230">
        <v>26</v>
      </c>
      <c r="P230" t="s">
        <v>322</v>
      </c>
    </row>
    <row r="231" spans="1:16">
      <c r="A231" s="1">
        <v>45944</v>
      </c>
      <c r="B231">
        <v>2</v>
      </c>
      <c r="C231" t="s">
        <v>100</v>
      </c>
      <c r="D231">
        <v>1</v>
      </c>
      <c r="E231" s="2">
        <v>8</v>
      </c>
      <c r="F231" s="2">
        <v>98</v>
      </c>
      <c r="G231" s="2">
        <v>-91.74</v>
      </c>
      <c r="H231" s="2">
        <v>245</v>
      </c>
      <c r="I231" s="2">
        <v>-246.54</v>
      </c>
      <c r="J231" s="2">
        <v>-0.03</v>
      </c>
      <c r="K231" s="2">
        <v>-1.8</v>
      </c>
      <c r="L231" s="2">
        <v>1.8</v>
      </c>
      <c r="M231" s="2">
        <v>1.8</v>
      </c>
      <c r="N231" t="s">
        <v>98</v>
      </c>
      <c r="O231">
        <v>26</v>
      </c>
      <c r="P231" t="s">
        <v>322</v>
      </c>
    </row>
    <row r="232" spans="1:16">
      <c r="A232" s="1">
        <v>45944</v>
      </c>
      <c r="B232">
        <v>2</v>
      </c>
      <c r="C232" t="s">
        <v>100</v>
      </c>
      <c r="D232">
        <v>1</v>
      </c>
      <c r="E232" s="2">
        <v>8.5</v>
      </c>
      <c r="F232" s="2">
        <v>128.26</v>
      </c>
      <c r="G232" s="2">
        <v>-121.72</v>
      </c>
      <c r="H232" s="2">
        <v>329.27</v>
      </c>
      <c r="I232" s="2">
        <v>-314.44</v>
      </c>
      <c r="J232" s="2">
        <v>-0.01</v>
      </c>
      <c r="K232" s="2">
        <v>-1.64</v>
      </c>
      <c r="L232" s="2">
        <v>1.64</v>
      </c>
      <c r="M232" s="2">
        <v>1.64</v>
      </c>
      <c r="N232" t="s">
        <v>98</v>
      </c>
      <c r="O232">
        <v>26</v>
      </c>
      <c r="P232" t="s">
        <v>322</v>
      </c>
    </row>
    <row r="233" spans="1:16">
      <c r="A233" s="1">
        <v>45944</v>
      </c>
      <c r="B233">
        <v>2</v>
      </c>
      <c r="C233" t="s">
        <v>100</v>
      </c>
      <c r="D233">
        <v>1</v>
      </c>
      <c r="E233" s="2">
        <v>9</v>
      </c>
      <c r="F233" s="2">
        <v>177.83</v>
      </c>
      <c r="G233" s="2">
        <v>-170.61</v>
      </c>
      <c r="H233" s="2">
        <v>373.25</v>
      </c>
      <c r="I233" s="2">
        <v>-357.66</v>
      </c>
      <c r="J233" s="2">
        <v>0.02</v>
      </c>
      <c r="K233" s="2">
        <v>-1.41</v>
      </c>
      <c r="L233" s="2">
        <v>1.41</v>
      </c>
      <c r="M233" s="2">
        <v>1.41</v>
      </c>
      <c r="N233" t="s">
        <v>98</v>
      </c>
      <c r="O233">
        <v>26</v>
      </c>
      <c r="P233" t="s">
        <v>322</v>
      </c>
    </row>
    <row r="234" spans="1:16">
      <c r="A234" s="1">
        <v>45944</v>
      </c>
      <c r="B234">
        <v>2</v>
      </c>
      <c r="C234" t="s">
        <v>100</v>
      </c>
      <c r="D234">
        <v>1</v>
      </c>
      <c r="E234" s="2">
        <v>9.5</v>
      </c>
      <c r="F234" s="2">
        <v>161.72999999999999</v>
      </c>
      <c r="G234" s="2">
        <v>-161.26</v>
      </c>
      <c r="H234" s="2">
        <v>430.08</v>
      </c>
      <c r="I234" s="2">
        <v>-409.86</v>
      </c>
      <c r="J234" s="2">
        <v>0.01</v>
      </c>
      <c r="K234" s="2">
        <v>-1.38</v>
      </c>
      <c r="L234" s="2">
        <v>1.38</v>
      </c>
      <c r="M234" s="2">
        <v>1.38</v>
      </c>
      <c r="N234" t="s">
        <v>98</v>
      </c>
      <c r="O234">
        <v>26</v>
      </c>
      <c r="P234" t="s">
        <v>322</v>
      </c>
    </row>
    <row r="235" spans="1:16">
      <c r="A235" s="1">
        <v>45944</v>
      </c>
      <c r="B235">
        <v>2</v>
      </c>
      <c r="C235" t="s">
        <v>100</v>
      </c>
      <c r="D235">
        <v>1</v>
      </c>
      <c r="E235" s="2">
        <v>10</v>
      </c>
      <c r="F235" s="2">
        <v>145.37</v>
      </c>
      <c r="G235" s="2">
        <v>-138.72999999999999</v>
      </c>
      <c r="H235" s="2">
        <v>445.18</v>
      </c>
      <c r="I235" s="2">
        <v>-430.78</v>
      </c>
      <c r="J235" s="2">
        <v>0</v>
      </c>
      <c r="K235" s="2">
        <v>-1.26</v>
      </c>
      <c r="L235" s="2">
        <v>1.26</v>
      </c>
      <c r="M235" s="2">
        <v>1.26</v>
      </c>
      <c r="N235" t="s">
        <v>98</v>
      </c>
      <c r="O235">
        <v>26</v>
      </c>
      <c r="P235" t="s">
        <v>322</v>
      </c>
    </row>
    <row r="236" spans="1:16">
      <c r="A236" s="1">
        <v>45944</v>
      </c>
      <c r="B236">
        <v>2</v>
      </c>
      <c r="C236" t="s">
        <v>100</v>
      </c>
      <c r="D236">
        <v>1</v>
      </c>
      <c r="E236" s="2">
        <v>10.5</v>
      </c>
      <c r="F236" s="2">
        <v>329.31</v>
      </c>
      <c r="G236" s="2">
        <v>-323.42</v>
      </c>
      <c r="H236" s="2">
        <v>467.43</v>
      </c>
      <c r="I236" s="2">
        <v>-462.03</v>
      </c>
      <c r="J236" s="2">
        <v>0</v>
      </c>
      <c r="K236" s="2">
        <v>-1.35</v>
      </c>
      <c r="L236" s="2">
        <v>1.35</v>
      </c>
      <c r="M236" s="2">
        <v>1.35</v>
      </c>
      <c r="N236" t="s">
        <v>98</v>
      </c>
      <c r="O236">
        <v>26</v>
      </c>
      <c r="P236" t="s">
        <v>322</v>
      </c>
    </row>
    <row r="237" spans="1:16">
      <c r="A237" s="1">
        <v>45944</v>
      </c>
      <c r="B237">
        <v>2</v>
      </c>
      <c r="C237" t="s">
        <v>100</v>
      </c>
      <c r="D237">
        <v>1</v>
      </c>
      <c r="E237" s="2">
        <v>11</v>
      </c>
      <c r="F237" s="2">
        <v>346.25</v>
      </c>
      <c r="G237" s="2">
        <v>-338</v>
      </c>
      <c r="H237" s="2">
        <v>452.25</v>
      </c>
      <c r="I237" s="2">
        <v>-449.55</v>
      </c>
      <c r="J237" s="2">
        <v>0</v>
      </c>
      <c r="K237" s="2">
        <v>-1.26</v>
      </c>
      <c r="L237" s="2">
        <v>1.26</v>
      </c>
      <c r="M237" s="2">
        <v>1.26</v>
      </c>
      <c r="N237" t="s">
        <v>98</v>
      </c>
      <c r="O237">
        <v>26</v>
      </c>
      <c r="P237" t="s">
        <v>322</v>
      </c>
    </row>
    <row r="238" spans="1:16">
      <c r="A238" s="1">
        <v>45944</v>
      </c>
      <c r="B238">
        <v>2</v>
      </c>
      <c r="C238" t="s">
        <v>100</v>
      </c>
      <c r="D238">
        <v>1</v>
      </c>
      <c r="E238" s="2">
        <v>11.5</v>
      </c>
      <c r="F238" s="2">
        <v>320.58999999999997</v>
      </c>
      <c r="G238" s="2">
        <v>-307.76</v>
      </c>
      <c r="H238" s="2">
        <v>355.7</v>
      </c>
      <c r="I238" s="2">
        <v>-366.6</v>
      </c>
      <c r="J238" s="2">
        <v>0.01</v>
      </c>
      <c r="K238" s="2">
        <v>-1.3</v>
      </c>
      <c r="L238" s="2">
        <v>1.3</v>
      </c>
      <c r="M238" s="2">
        <v>1.3</v>
      </c>
      <c r="N238" t="s">
        <v>98</v>
      </c>
      <c r="O238">
        <v>26</v>
      </c>
      <c r="P238" t="s">
        <v>322</v>
      </c>
    </row>
    <row r="239" spans="1:16">
      <c r="A239" s="1">
        <v>45944</v>
      </c>
      <c r="B239">
        <v>2</v>
      </c>
      <c r="C239" t="s">
        <v>100</v>
      </c>
      <c r="D239">
        <v>1</v>
      </c>
      <c r="E239" s="2">
        <v>12</v>
      </c>
      <c r="F239" s="2">
        <v>299.58</v>
      </c>
      <c r="G239" s="2">
        <v>-287.58</v>
      </c>
      <c r="H239" s="2">
        <v>255.62</v>
      </c>
      <c r="I239" s="2">
        <v>-270.58999999999997</v>
      </c>
      <c r="J239" s="2">
        <v>0.01</v>
      </c>
      <c r="K239" s="2">
        <v>-1.48</v>
      </c>
      <c r="L239" s="2">
        <v>1.48</v>
      </c>
      <c r="M239" s="2">
        <v>1.48</v>
      </c>
      <c r="N239" t="s">
        <v>98</v>
      </c>
      <c r="O239">
        <v>26</v>
      </c>
      <c r="P239" t="s">
        <v>322</v>
      </c>
    </row>
    <row r="240" spans="1:16">
      <c r="A240" s="1">
        <v>45944</v>
      </c>
      <c r="B240">
        <v>2</v>
      </c>
      <c r="C240" t="s">
        <v>100</v>
      </c>
      <c r="D240">
        <v>1</v>
      </c>
      <c r="E240" s="2">
        <v>12.5</v>
      </c>
      <c r="F240" s="2">
        <v>251.32</v>
      </c>
      <c r="G240" s="2">
        <v>-241.99</v>
      </c>
      <c r="H240" s="2">
        <v>178.13</v>
      </c>
      <c r="I240" s="2">
        <v>-178.09</v>
      </c>
      <c r="J240" s="2">
        <v>7.0000000000000007E-2</v>
      </c>
      <c r="K240" s="2">
        <v>-1.98</v>
      </c>
      <c r="L240" s="2">
        <v>1.98</v>
      </c>
      <c r="M240" s="2">
        <v>1.98</v>
      </c>
      <c r="N240" t="s">
        <v>98</v>
      </c>
      <c r="O240">
        <v>26</v>
      </c>
      <c r="P240" t="s">
        <v>322</v>
      </c>
    </row>
    <row r="241" spans="1:16">
      <c r="A241" s="1">
        <v>45944</v>
      </c>
      <c r="B241">
        <v>2</v>
      </c>
      <c r="C241" t="s">
        <v>100</v>
      </c>
      <c r="D241">
        <v>1</v>
      </c>
      <c r="E241" s="2">
        <v>13</v>
      </c>
      <c r="F241" s="2">
        <v>219.76</v>
      </c>
      <c r="G241" s="2">
        <v>-211.78</v>
      </c>
      <c r="H241" s="2">
        <v>136.02000000000001</v>
      </c>
      <c r="I241" s="2">
        <v>-122.1</v>
      </c>
      <c r="J241" s="2">
        <v>0.1</v>
      </c>
      <c r="K241" s="2">
        <v>-2.2999999999999998</v>
      </c>
      <c r="L241" s="2">
        <v>2.2999999999999998</v>
      </c>
      <c r="M241" s="2">
        <v>2.2999999999999998</v>
      </c>
      <c r="N241" t="s">
        <v>98</v>
      </c>
      <c r="O241">
        <v>26</v>
      </c>
      <c r="P241" t="s">
        <v>322</v>
      </c>
    </row>
    <row r="242" spans="1:16">
      <c r="A242" s="1">
        <v>45944</v>
      </c>
      <c r="B242">
        <v>2</v>
      </c>
      <c r="C242" t="s">
        <v>100</v>
      </c>
      <c r="D242">
        <v>1</v>
      </c>
      <c r="E242" s="2">
        <v>13.5</v>
      </c>
      <c r="F242" s="2">
        <v>191.33</v>
      </c>
      <c r="G242" s="2">
        <v>-185.12</v>
      </c>
      <c r="H242" s="2">
        <v>139.71</v>
      </c>
      <c r="I242" s="2">
        <v>-159.51</v>
      </c>
      <c r="J242" s="2">
        <v>0.08</v>
      </c>
      <c r="K242" s="2">
        <v>-2.25</v>
      </c>
      <c r="L242" s="2">
        <v>2.25</v>
      </c>
      <c r="M242" s="2">
        <v>2.25</v>
      </c>
      <c r="N242" t="s">
        <v>98</v>
      </c>
      <c r="O242">
        <v>26</v>
      </c>
      <c r="P242" t="s">
        <v>322</v>
      </c>
    </row>
    <row r="243" spans="1:16">
      <c r="A243" s="1">
        <v>45944</v>
      </c>
      <c r="B243">
        <v>2</v>
      </c>
      <c r="C243" t="s">
        <v>100</v>
      </c>
      <c r="D243">
        <v>1</v>
      </c>
      <c r="E243" s="2">
        <v>14</v>
      </c>
      <c r="F243" s="2">
        <v>149.78</v>
      </c>
      <c r="G243" s="2">
        <v>-143.56</v>
      </c>
      <c r="H243" s="2">
        <v>158.78</v>
      </c>
      <c r="I243" s="2">
        <v>-171.86</v>
      </c>
      <c r="J243" s="2">
        <v>0.04</v>
      </c>
      <c r="K243" s="2">
        <v>-1.71</v>
      </c>
      <c r="L243" s="2">
        <v>1.71</v>
      </c>
      <c r="M243" s="2">
        <v>1.71</v>
      </c>
      <c r="N243" t="s">
        <v>98</v>
      </c>
      <c r="O243">
        <v>26</v>
      </c>
      <c r="P243" t="s">
        <v>322</v>
      </c>
    </row>
    <row r="244" spans="1:16">
      <c r="A244" s="1">
        <v>45944</v>
      </c>
      <c r="B244">
        <v>2</v>
      </c>
      <c r="C244" t="s">
        <v>100</v>
      </c>
      <c r="D244">
        <v>1</v>
      </c>
      <c r="E244" s="2">
        <v>14.5</v>
      </c>
      <c r="F244" s="2">
        <v>144.32</v>
      </c>
      <c r="G244" s="2">
        <v>-136.38</v>
      </c>
      <c r="H244" s="2">
        <v>186.17</v>
      </c>
      <c r="I244" s="2">
        <v>-198.08</v>
      </c>
      <c r="J244" s="2">
        <v>0.11</v>
      </c>
      <c r="K244" s="2">
        <v>-2.02</v>
      </c>
      <c r="L244" s="2">
        <v>2.02</v>
      </c>
      <c r="M244" s="2">
        <v>2.02</v>
      </c>
      <c r="N244" t="s">
        <v>98</v>
      </c>
      <c r="O244">
        <v>26</v>
      </c>
      <c r="P244" t="s">
        <v>322</v>
      </c>
    </row>
    <row r="245" spans="1:16">
      <c r="A245" s="1">
        <v>45944</v>
      </c>
      <c r="B245">
        <v>2</v>
      </c>
      <c r="C245" t="s">
        <v>100</v>
      </c>
      <c r="D245">
        <v>1</v>
      </c>
      <c r="E245" s="2">
        <v>15</v>
      </c>
      <c r="F245" s="2">
        <v>150.44999999999999</v>
      </c>
      <c r="G245" s="2">
        <v>-141.49</v>
      </c>
      <c r="H245" s="2">
        <v>265.94</v>
      </c>
      <c r="I245" s="2">
        <v>-263.95</v>
      </c>
      <c r="J245" s="2">
        <v>0.1</v>
      </c>
      <c r="K245" s="2">
        <v>-1.94</v>
      </c>
      <c r="L245" s="2">
        <v>1.94</v>
      </c>
      <c r="M245" s="2">
        <v>1.94</v>
      </c>
      <c r="N245" t="s">
        <v>98</v>
      </c>
      <c r="O245">
        <v>26</v>
      </c>
      <c r="P245" t="s">
        <v>322</v>
      </c>
    </row>
    <row r="246" spans="1:16">
      <c r="A246" s="1">
        <v>45944</v>
      </c>
      <c r="B246">
        <v>2</v>
      </c>
      <c r="C246" t="s">
        <v>100</v>
      </c>
      <c r="D246">
        <v>1</v>
      </c>
      <c r="E246" s="2">
        <v>15.5</v>
      </c>
      <c r="F246" s="2">
        <v>62.02</v>
      </c>
      <c r="G246" s="2">
        <v>-57.01</v>
      </c>
      <c r="H246" s="2">
        <v>360.76</v>
      </c>
      <c r="I246" s="2">
        <v>-340.91</v>
      </c>
      <c r="J246" s="2">
        <v>0.12</v>
      </c>
      <c r="K246" s="2">
        <v>-1.84</v>
      </c>
      <c r="L246" s="2">
        <v>1.84</v>
      </c>
      <c r="M246" s="2">
        <v>1.84</v>
      </c>
      <c r="N246" t="s">
        <v>98</v>
      </c>
      <c r="O246">
        <v>26</v>
      </c>
      <c r="P246" t="s">
        <v>322</v>
      </c>
    </row>
    <row r="247" spans="1:16">
      <c r="A247" s="1">
        <v>45944</v>
      </c>
      <c r="B247">
        <v>2</v>
      </c>
      <c r="C247" t="s">
        <v>100</v>
      </c>
      <c r="D247">
        <v>1</v>
      </c>
      <c r="E247" s="2">
        <v>16</v>
      </c>
      <c r="F247" s="2">
        <v>200.95</v>
      </c>
      <c r="G247" s="2">
        <v>-185.47</v>
      </c>
      <c r="H247" s="2">
        <v>194.82</v>
      </c>
      <c r="I247" s="2">
        <v>-175.79</v>
      </c>
      <c r="J247" s="2">
        <v>0.13</v>
      </c>
      <c r="K247" s="2">
        <v>-1.6</v>
      </c>
      <c r="L247" s="2">
        <v>1.61</v>
      </c>
      <c r="M247" s="2">
        <v>1.61</v>
      </c>
      <c r="N247" t="s">
        <v>98</v>
      </c>
      <c r="O247">
        <v>26</v>
      </c>
      <c r="P247" t="s">
        <v>322</v>
      </c>
    </row>
    <row r="248" spans="1:16">
      <c r="A248" s="1">
        <v>45944</v>
      </c>
      <c r="B248">
        <v>2</v>
      </c>
      <c r="C248" t="s">
        <v>100</v>
      </c>
      <c r="D248">
        <v>1</v>
      </c>
      <c r="E248" s="2">
        <v>16.5</v>
      </c>
      <c r="F248" s="2">
        <v>323.79000000000002</v>
      </c>
      <c r="G248" s="2">
        <v>-320.02</v>
      </c>
      <c r="H248" s="2">
        <v>201.35</v>
      </c>
      <c r="I248" s="2">
        <v>-210.35</v>
      </c>
      <c r="J248" s="2">
        <v>0.13</v>
      </c>
      <c r="K248" s="2">
        <v>-1.74</v>
      </c>
      <c r="L248" s="2">
        <v>1.75</v>
      </c>
      <c r="M248" s="2">
        <v>1.75</v>
      </c>
      <c r="N248" t="s">
        <v>98</v>
      </c>
      <c r="O248">
        <v>26</v>
      </c>
      <c r="P248" t="s">
        <v>322</v>
      </c>
    </row>
    <row r="249" spans="1:16">
      <c r="A249" s="1">
        <v>45944</v>
      </c>
      <c r="B249">
        <v>2</v>
      </c>
      <c r="C249" t="s">
        <v>100</v>
      </c>
      <c r="D249">
        <v>1</v>
      </c>
      <c r="E249" s="2">
        <v>17</v>
      </c>
      <c r="F249" s="2">
        <v>385.84</v>
      </c>
      <c r="G249" s="2">
        <v>-375.91</v>
      </c>
      <c r="H249" s="2">
        <v>221.9</v>
      </c>
      <c r="I249" s="2">
        <v>-244.12</v>
      </c>
      <c r="J249" s="2">
        <v>0.13</v>
      </c>
      <c r="K249" s="2">
        <v>-1.4</v>
      </c>
      <c r="L249" s="2">
        <v>1.41</v>
      </c>
      <c r="M249" s="2">
        <v>1.41</v>
      </c>
      <c r="N249" t="s">
        <v>98</v>
      </c>
      <c r="O249">
        <v>26</v>
      </c>
      <c r="P249" t="s">
        <v>322</v>
      </c>
    </row>
    <row r="250" spans="1:16">
      <c r="A250" s="1">
        <v>45944</v>
      </c>
      <c r="B250">
        <v>2</v>
      </c>
      <c r="C250" t="s">
        <v>100</v>
      </c>
      <c r="D250">
        <v>1</v>
      </c>
      <c r="E250" s="2">
        <v>17.5</v>
      </c>
      <c r="F250" s="2">
        <v>381.07</v>
      </c>
      <c r="G250" s="2">
        <v>-375.47</v>
      </c>
      <c r="H250" s="2">
        <v>144.34</v>
      </c>
      <c r="I250" s="2">
        <v>-157.06</v>
      </c>
      <c r="J250" s="2">
        <v>0.13</v>
      </c>
      <c r="K250" s="2">
        <v>-1.51</v>
      </c>
      <c r="L250" s="2">
        <v>1.52</v>
      </c>
      <c r="M250" s="2">
        <v>1.52</v>
      </c>
      <c r="N250" t="s">
        <v>98</v>
      </c>
      <c r="O250">
        <v>26</v>
      </c>
      <c r="P250" t="s">
        <v>322</v>
      </c>
    </row>
    <row r="251" spans="1:16">
      <c r="A251" s="1">
        <v>45944</v>
      </c>
      <c r="B251">
        <v>2</v>
      </c>
      <c r="C251" t="s">
        <v>100</v>
      </c>
      <c r="D251">
        <v>1</v>
      </c>
      <c r="E251" s="2">
        <v>18</v>
      </c>
      <c r="F251" s="2">
        <v>350.05</v>
      </c>
      <c r="G251" s="2">
        <v>-341.25</v>
      </c>
      <c r="H251" s="2">
        <v>105.71</v>
      </c>
      <c r="I251" s="2">
        <v>-100.86</v>
      </c>
      <c r="J251" s="2">
        <v>0.13</v>
      </c>
      <c r="K251" s="2">
        <v>-1.39</v>
      </c>
      <c r="L251" s="2">
        <v>1.39</v>
      </c>
      <c r="M251" s="2">
        <v>1.39</v>
      </c>
      <c r="N251" t="s">
        <v>98</v>
      </c>
      <c r="O251">
        <v>26</v>
      </c>
      <c r="P251" t="s">
        <v>322</v>
      </c>
    </row>
    <row r="252" spans="1:16">
      <c r="A252" s="1">
        <v>45944</v>
      </c>
      <c r="B252">
        <v>2</v>
      </c>
      <c r="C252" t="s">
        <v>100</v>
      </c>
      <c r="D252">
        <v>1</v>
      </c>
      <c r="E252" s="2">
        <v>18.5</v>
      </c>
      <c r="F252" s="2">
        <v>321.5</v>
      </c>
      <c r="G252" s="2">
        <v>-315.51</v>
      </c>
      <c r="H252" s="2">
        <v>69.33</v>
      </c>
      <c r="I252" s="2">
        <v>-75.47</v>
      </c>
      <c r="J252" s="2">
        <v>0.13</v>
      </c>
      <c r="K252" s="2">
        <v>-1.19</v>
      </c>
      <c r="L252" s="2">
        <v>1.2</v>
      </c>
      <c r="M252" s="2">
        <v>1.2</v>
      </c>
      <c r="N252" t="s">
        <v>98</v>
      </c>
      <c r="O252">
        <v>26</v>
      </c>
      <c r="P252" t="s">
        <v>322</v>
      </c>
    </row>
    <row r="253" spans="1:16">
      <c r="A253" s="1">
        <v>45944</v>
      </c>
      <c r="B253">
        <v>2</v>
      </c>
      <c r="C253" t="s">
        <v>100</v>
      </c>
      <c r="D253">
        <v>1</v>
      </c>
      <c r="E253" s="2">
        <v>19</v>
      </c>
      <c r="F253" s="2">
        <v>306.94</v>
      </c>
      <c r="G253" s="2">
        <v>-300.87</v>
      </c>
      <c r="H253" s="2">
        <v>61.95</v>
      </c>
      <c r="I253" s="2">
        <v>-56.32</v>
      </c>
      <c r="J253" s="2">
        <v>0.12</v>
      </c>
      <c r="K253" s="2">
        <v>-1.05</v>
      </c>
      <c r="L253" s="2">
        <v>1.06</v>
      </c>
      <c r="M253" s="2">
        <v>1.06</v>
      </c>
      <c r="N253" t="s">
        <v>98</v>
      </c>
      <c r="O253">
        <v>26</v>
      </c>
      <c r="P253" t="s">
        <v>322</v>
      </c>
    </row>
    <row r="254" spans="1:16">
      <c r="A254" s="1">
        <v>45944</v>
      </c>
      <c r="B254">
        <v>2</v>
      </c>
      <c r="C254" t="s">
        <v>100</v>
      </c>
      <c r="D254">
        <v>1</v>
      </c>
      <c r="E254" s="2">
        <v>19.5</v>
      </c>
      <c r="F254" s="2">
        <v>214.32</v>
      </c>
      <c r="G254" s="2">
        <v>-208.71</v>
      </c>
      <c r="H254" s="2">
        <v>88.43</v>
      </c>
      <c r="I254" s="2">
        <v>-91.82</v>
      </c>
      <c r="J254" s="2">
        <v>0.13</v>
      </c>
      <c r="K254" s="2">
        <v>-0.93</v>
      </c>
      <c r="L254" s="2">
        <v>0.94</v>
      </c>
      <c r="M254" s="2">
        <v>0.94</v>
      </c>
      <c r="N254" t="s">
        <v>98</v>
      </c>
      <c r="O254">
        <v>26</v>
      </c>
      <c r="P254" t="s">
        <v>322</v>
      </c>
    </row>
    <row r="255" spans="1:16">
      <c r="A255" s="1">
        <v>45944</v>
      </c>
      <c r="B255">
        <v>2</v>
      </c>
      <c r="C255" t="s">
        <v>100</v>
      </c>
      <c r="D255">
        <v>1</v>
      </c>
      <c r="E255" s="2">
        <v>20</v>
      </c>
      <c r="F255" s="2">
        <v>145.43</v>
      </c>
      <c r="G255" s="2">
        <v>-138.86000000000001</v>
      </c>
      <c r="H255" s="2">
        <v>142.65</v>
      </c>
      <c r="I255" s="2">
        <v>-141.63</v>
      </c>
      <c r="J255" s="2">
        <v>0.09</v>
      </c>
      <c r="K255" s="2">
        <v>-0.72</v>
      </c>
      <c r="L255" s="2">
        <v>0.73</v>
      </c>
      <c r="M255" s="2">
        <v>0.73</v>
      </c>
      <c r="N255" t="s">
        <v>98</v>
      </c>
      <c r="O255">
        <v>26</v>
      </c>
      <c r="P255" t="s">
        <v>322</v>
      </c>
    </row>
    <row r="256" spans="1:16">
      <c r="A256" s="1">
        <v>45944</v>
      </c>
      <c r="B256">
        <v>2</v>
      </c>
      <c r="C256" t="s">
        <v>100</v>
      </c>
      <c r="D256">
        <v>1</v>
      </c>
      <c r="E256" s="2">
        <v>20.5</v>
      </c>
      <c r="F256" s="2">
        <v>155.87</v>
      </c>
      <c r="G256" s="2">
        <v>-149.19999999999999</v>
      </c>
      <c r="H256" s="2">
        <v>163.98</v>
      </c>
      <c r="I256" s="2">
        <v>-147.59</v>
      </c>
      <c r="J256" s="2">
        <v>0.06</v>
      </c>
      <c r="K256" s="2">
        <v>-0.6</v>
      </c>
      <c r="L256" s="2">
        <v>0.61</v>
      </c>
      <c r="M256" s="2">
        <v>0.61</v>
      </c>
      <c r="N256" t="s">
        <v>98</v>
      </c>
      <c r="O256">
        <v>26</v>
      </c>
      <c r="P256" t="s">
        <v>322</v>
      </c>
    </row>
    <row r="257" spans="1:16">
      <c r="A257" s="1">
        <v>45944</v>
      </c>
      <c r="B257">
        <v>2</v>
      </c>
      <c r="C257" t="s">
        <v>100</v>
      </c>
      <c r="D257">
        <v>1</v>
      </c>
      <c r="E257" s="2">
        <v>21</v>
      </c>
      <c r="F257" s="2">
        <v>163.98</v>
      </c>
      <c r="G257" s="2">
        <v>-157.93</v>
      </c>
      <c r="H257" s="2">
        <v>172.35</v>
      </c>
      <c r="I257" s="2">
        <v>-174.42</v>
      </c>
      <c r="J257" s="2">
        <v>0.05</v>
      </c>
      <c r="K257" s="2">
        <v>-0.26</v>
      </c>
      <c r="L257" s="2">
        <v>0.27</v>
      </c>
      <c r="M257" s="2">
        <v>0.27</v>
      </c>
      <c r="N257" t="s">
        <v>98</v>
      </c>
      <c r="O257">
        <v>26</v>
      </c>
      <c r="P257" t="s">
        <v>322</v>
      </c>
    </row>
    <row r="258" spans="1:16">
      <c r="A258" s="1">
        <v>45944</v>
      </c>
      <c r="B258">
        <v>2</v>
      </c>
      <c r="C258" t="s">
        <v>100</v>
      </c>
      <c r="D258">
        <v>1</v>
      </c>
      <c r="E258" s="2">
        <v>21.5</v>
      </c>
      <c r="F258" s="2">
        <v>180.87</v>
      </c>
      <c r="G258" s="2">
        <v>-175.1</v>
      </c>
      <c r="H258" s="2">
        <v>164.69</v>
      </c>
      <c r="I258" s="2">
        <v>-172.5</v>
      </c>
      <c r="J258" s="2">
        <v>0.01</v>
      </c>
      <c r="K258" s="2">
        <v>-0.01</v>
      </c>
      <c r="L258" s="2">
        <v>0.01</v>
      </c>
      <c r="M258" s="2">
        <v>0.01</v>
      </c>
      <c r="N258" t="s">
        <v>98</v>
      </c>
      <c r="O258">
        <v>26</v>
      </c>
      <c r="P258" t="s">
        <v>322</v>
      </c>
    </row>
    <row r="259" spans="1:16">
      <c r="A259" s="1">
        <v>45944</v>
      </c>
      <c r="B259">
        <v>2</v>
      </c>
      <c r="C259" t="s">
        <v>100</v>
      </c>
      <c r="D259">
        <v>1</v>
      </c>
      <c r="E259" s="2">
        <v>22</v>
      </c>
      <c r="F259" s="2">
        <v>192.7</v>
      </c>
      <c r="G259" s="2">
        <v>-184.45</v>
      </c>
      <c r="H259" s="2">
        <v>192.63</v>
      </c>
      <c r="I259" s="2">
        <v>-187.79</v>
      </c>
      <c r="J259" s="2">
        <v>-0.02</v>
      </c>
      <c r="K259" s="2">
        <v>0.01</v>
      </c>
      <c r="L259" s="2">
        <v>0.02</v>
      </c>
      <c r="M259" s="2">
        <v>0.02</v>
      </c>
      <c r="N259" t="s">
        <v>98</v>
      </c>
      <c r="O259">
        <v>26</v>
      </c>
      <c r="P259" t="s">
        <v>322</v>
      </c>
    </row>
    <row r="260" spans="1:16">
      <c r="A260" s="1">
        <v>45950</v>
      </c>
      <c r="B260">
        <v>3</v>
      </c>
      <c r="C260" t="s">
        <v>94</v>
      </c>
      <c r="D260">
        <v>3</v>
      </c>
      <c r="E260" s="2">
        <v>0.5</v>
      </c>
      <c r="F260" s="2">
        <v>-385.86</v>
      </c>
      <c r="G260" s="2">
        <v>382.37</v>
      </c>
      <c r="H260" s="2">
        <v>-834.89</v>
      </c>
      <c r="I260" s="2">
        <v>871.48</v>
      </c>
      <c r="J260" s="2">
        <v>0.36</v>
      </c>
      <c r="K260" s="2">
        <v>1.56</v>
      </c>
      <c r="L260" s="2">
        <v>1.6</v>
      </c>
      <c r="M260" s="2">
        <v>-3.5</v>
      </c>
      <c r="N260" t="s">
        <v>98</v>
      </c>
      <c r="O260">
        <v>10</v>
      </c>
      <c r="P260" t="s">
        <v>322</v>
      </c>
    </row>
    <row r="261" spans="1:16">
      <c r="A261" s="1">
        <v>45950</v>
      </c>
      <c r="B261">
        <v>3</v>
      </c>
      <c r="C261" t="s">
        <v>94</v>
      </c>
      <c r="D261">
        <v>3</v>
      </c>
      <c r="E261" s="2">
        <v>1</v>
      </c>
      <c r="F261" s="2">
        <v>-385.73</v>
      </c>
      <c r="G261" s="2">
        <v>382.2</v>
      </c>
      <c r="H261" s="2">
        <v>-834.61</v>
      </c>
      <c r="I261" s="2">
        <v>871.41</v>
      </c>
      <c r="J261" s="2">
        <v>0.85</v>
      </c>
      <c r="K261" s="2">
        <v>2.25</v>
      </c>
      <c r="L261" s="2">
        <v>2.4</v>
      </c>
      <c r="M261" s="2">
        <v>-1.76</v>
      </c>
      <c r="N261" t="s">
        <v>98</v>
      </c>
      <c r="O261">
        <v>10</v>
      </c>
      <c r="P261" t="s">
        <v>322</v>
      </c>
    </row>
    <row r="262" spans="1:16">
      <c r="A262" s="1">
        <v>45950</v>
      </c>
      <c r="B262">
        <v>3</v>
      </c>
      <c r="C262" t="s">
        <v>94</v>
      </c>
      <c r="D262">
        <v>3</v>
      </c>
      <c r="E262" s="2">
        <v>1.5</v>
      </c>
      <c r="F262" s="2">
        <v>-3.88</v>
      </c>
      <c r="G262" s="2">
        <v>16.79</v>
      </c>
      <c r="H262" s="2">
        <v>-270.81</v>
      </c>
      <c r="I262" s="2">
        <v>296.14</v>
      </c>
      <c r="J262" s="2">
        <v>1.38</v>
      </c>
      <c r="K262" s="2">
        <v>2.5299999999999998</v>
      </c>
      <c r="L262" s="2">
        <v>2.89</v>
      </c>
      <c r="M262" s="2">
        <v>-0.78</v>
      </c>
      <c r="N262" t="s">
        <v>98</v>
      </c>
      <c r="O262">
        <v>10</v>
      </c>
      <c r="P262" t="s">
        <v>322</v>
      </c>
    </row>
    <row r="263" spans="1:16">
      <c r="A263" s="1">
        <v>45950</v>
      </c>
      <c r="B263">
        <v>3</v>
      </c>
      <c r="C263" t="s">
        <v>94</v>
      </c>
      <c r="D263">
        <v>3</v>
      </c>
      <c r="E263" s="2">
        <v>2</v>
      </c>
      <c r="F263" s="2">
        <v>10.14</v>
      </c>
      <c r="G263" s="2">
        <v>-0.92</v>
      </c>
      <c r="H263" s="2">
        <v>-238.29</v>
      </c>
      <c r="I263" s="2">
        <v>241.78</v>
      </c>
      <c r="J263" s="2">
        <v>1.3</v>
      </c>
      <c r="K263" s="2">
        <v>2.42</v>
      </c>
      <c r="L263" s="2">
        <v>2.75</v>
      </c>
      <c r="M263" s="2">
        <v>-0.59</v>
      </c>
      <c r="N263" t="s">
        <v>98</v>
      </c>
      <c r="O263">
        <v>10</v>
      </c>
      <c r="P263" t="s">
        <v>322</v>
      </c>
    </row>
    <row r="264" spans="1:16">
      <c r="A264" s="1">
        <v>45950</v>
      </c>
      <c r="B264">
        <v>3</v>
      </c>
      <c r="C264" t="s">
        <v>94</v>
      </c>
      <c r="D264">
        <v>3</v>
      </c>
      <c r="E264" s="2">
        <v>2.5</v>
      </c>
      <c r="F264" s="2">
        <v>28.8</v>
      </c>
      <c r="G264" s="2">
        <v>-21.88</v>
      </c>
      <c r="H264" s="2">
        <v>-215.77</v>
      </c>
      <c r="I264" s="2">
        <v>224.46</v>
      </c>
      <c r="J264" s="2">
        <v>1.71</v>
      </c>
      <c r="K264" s="2">
        <v>2.38</v>
      </c>
      <c r="L264" s="2">
        <v>2.93</v>
      </c>
      <c r="M264" s="2">
        <v>-0.4</v>
      </c>
      <c r="N264" t="s">
        <v>98</v>
      </c>
      <c r="O264">
        <v>10</v>
      </c>
      <c r="P264" t="s">
        <v>322</v>
      </c>
    </row>
    <row r="265" spans="1:16">
      <c r="A265" s="1">
        <v>45950</v>
      </c>
      <c r="B265">
        <v>3</v>
      </c>
      <c r="C265" t="s">
        <v>94</v>
      </c>
      <c r="D265">
        <v>3</v>
      </c>
      <c r="E265" s="2">
        <v>3</v>
      </c>
      <c r="F265" s="2">
        <v>9.58</v>
      </c>
      <c r="G265" s="2">
        <v>0.52</v>
      </c>
      <c r="H265" s="2">
        <v>-163.21</v>
      </c>
      <c r="I265" s="2">
        <v>177.32</v>
      </c>
      <c r="J265" s="2">
        <v>1.89</v>
      </c>
      <c r="K265" s="2">
        <v>2.14</v>
      </c>
      <c r="L265" s="2">
        <v>2.86</v>
      </c>
      <c r="M265" s="2">
        <v>-0.64</v>
      </c>
      <c r="N265" t="s">
        <v>98</v>
      </c>
      <c r="O265">
        <v>10</v>
      </c>
      <c r="P265" t="s">
        <v>322</v>
      </c>
    </row>
    <row r="266" spans="1:16">
      <c r="A266" s="1">
        <v>45950</v>
      </c>
      <c r="B266">
        <v>3</v>
      </c>
      <c r="C266" t="s">
        <v>94</v>
      </c>
      <c r="D266">
        <v>3</v>
      </c>
      <c r="E266" s="2">
        <v>3.5</v>
      </c>
      <c r="F266" s="2">
        <v>-7.67</v>
      </c>
      <c r="G266" s="2">
        <v>17.46</v>
      </c>
      <c r="H266" s="2">
        <v>-102.7</v>
      </c>
      <c r="I266" s="2">
        <v>107.29</v>
      </c>
      <c r="J266" s="2">
        <v>1.93</v>
      </c>
      <c r="K266" s="2">
        <v>1.78</v>
      </c>
      <c r="L266" s="2">
        <v>2.62</v>
      </c>
      <c r="M266" s="2">
        <v>-1.1200000000000001</v>
      </c>
      <c r="N266" t="s">
        <v>98</v>
      </c>
      <c r="O266">
        <v>10</v>
      </c>
      <c r="P266" t="s">
        <v>322</v>
      </c>
    </row>
    <row r="267" spans="1:16">
      <c r="A267" s="1">
        <v>45950</v>
      </c>
      <c r="B267">
        <v>3</v>
      </c>
      <c r="C267" t="s">
        <v>94</v>
      </c>
      <c r="D267">
        <v>3</v>
      </c>
      <c r="E267" s="2">
        <v>4</v>
      </c>
      <c r="F267" s="2">
        <v>62.79</v>
      </c>
      <c r="G267" s="2">
        <v>-53.56</v>
      </c>
      <c r="H267" s="2">
        <v>-82.81</v>
      </c>
      <c r="I267" s="2">
        <v>65.77</v>
      </c>
      <c r="J267" s="2">
        <v>1.95</v>
      </c>
      <c r="K267" s="2">
        <v>1.77</v>
      </c>
      <c r="L267" s="2">
        <v>2.64</v>
      </c>
      <c r="M267" s="2">
        <v>-0.95</v>
      </c>
      <c r="N267" t="s">
        <v>98</v>
      </c>
      <c r="O267">
        <v>10</v>
      </c>
      <c r="P267" t="s">
        <v>322</v>
      </c>
    </row>
    <row r="268" spans="1:16">
      <c r="A268" s="1">
        <v>45950</v>
      </c>
      <c r="B268">
        <v>3</v>
      </c>
      <c r="C268" t="s">
        <v>94</v>
      </c>
      <c r="D268">
        <v>3</v>
      </c>
      <c r="E268" s="2">
        <v>4.5</v>
      </c>
      <c r="F268" s="2">
        <v>60.25</v>
      </c>
      <c r="G268" s="2">
        <v>-50.04</v>
      </c>
      <c r="H268" s="2">
        <v>-40.39</v>
      </c>
      <c r="I268" s="2">
        <v>45.02</v>
      </c>
      <c r="J268" s="2">
        <v>2.0299999999999998</v>
      </c>
      <c r="K268" s="2">
        <v>1.66</v>
      </c>
      <c r="L268" s="2">
        <v>2.63</v>
      </c>
      <c r="M268" s="2">
        <v>-0.87</v>
      </c>
      <c r="N268" t="s">
        <v>98</v>
      </c>
      <c r="O268">
        <v>10</v>
      </c>
      <c r="P268" t="s">
        <v>322</v>
      </c>
    </row>
    <row r="269" spans="1:16">
      <c r="A269" s="1">
        <v>45950</v>
      </c>
      <c r="B269">
        <v>3</v>
      </c>
      <c r="C269" t="s">
        <v>94</v>
      </c>
      <c r="D269">
        <v>3</v>
      </c>
      <c r="E269" s="2">
        <v>5</v>
      </c>
      <c r="F269" s="2">
        <v>4.2</v>
      </c>
      <c r="G269" s="2">
        <v>5.75</v>
      </c>
      <c r="H269" s="2">
        <v>17.149999999999999</v>
      </c>
      <c r="I269" s="2">
        <v>-3.83</v>
      </c>
      <c r="J269" s="2">
        <v>2.2799999999999998</v>
      </c>
      <c r="K269" s="2">
        <v>1.42</v>
      </c>
      <c r="L269" s="2">
        <v>2.69</v>
      </c>
      <c r="M269" s="2">
        <v>-0.93</v>
      </c>
      <c r="N269" t="s">
        <v>98</v>
      </c>
      <c r="O269">
        <v>10</v>
      </c>
      <c r="P269" t="s">
        <v>322</v>
      </c>
    </row>
    <row r="270" spans="1:16">
      <c r="A270" s="1">
        <v>45950</v>
      </c>
      <c r="B270">
        <v>3</v>
      </c>
      <c r="C270" t="s">
        <v>94</v>
      </c>
      <c r="D270">
        <v>3</v>
      </c>
      <c r="E270" s="2">
        <v>5.5</v>
      </c>
      <c r="F270" s="2">
        <v>2.15</v>
      </c>
      <c r="G270" s="2">
        <v>6.42</v>
      </c>
      <c r="H270" s="2">
        <v>3.89</v>
      </c>
      <c r="I270" s="2">
        <v>-19.95</v>
      </c>
      <c r="J270" s="2">
        <v>2.39</v>
      </c>
      <c r="K270" s="2">
        <v>1.26</v>
      </c>
      <c r="L270" s="2">
        <v>2.7</v>
      </c>
      <c r="M270" s="2">
        <v>-0.71</v>
      </c>
      <c r="N270" t="s">
        <v>98</v>
      </c>
      <c r="O270">
        <v>10</v>
      </c>
      <c r="P270" t="s">
        <v>322</v>
      </c>
    </row>
    <row r="271" spans="1:16">
      <c r="A271" s="1">
        <v>45950</v>
      </c>
      <c r="B271">
        <v>3</v>
      </c>
      <c r="C271" t="s">
        <v>94</v>
      </c>
      <c r="D271">
        <v>3</v>
      </c>
      <c r="E271" s="2">
        <v>6</v>
      </c>
      <c r="F271" s="2">
        <v>17.73</v>
      </c>
      <c r="G271" s="2">
        <v>-10.27</v>
      </c>
      <c r="H271" s="2">
        <v>-42.16</v>
      </c>
      <c r="I271" s="2">
        <v>28.53</v>
      </c>
      <c r="J271" s="2">
        <v>2.5</v>
      </c>
      <c r="K271" s="2">
        <v>1.33</v>
      </c>
      <c r="L271" s="2">
        <v>2.83</v>
      </c>
      <c r="M271" s="2">
        <v>-0.42</v>
      </c>
      <c r="N271" t="s">
        <v>98</v>
      </c>
      <c r="O271">
        <v>10</v>
      </c>
      <c r="P271" t="s">
        <v>322</v>
      </c>
    </row>
    <row r="272" spans="1:16">
      <c r="A272" s="1">
        <v>45950</v>
      </c>
      <c r="B272">
        <v>3</v>
      </c>
      <c r="C272" t="s">
        <v>94</v>
      </c>
      <c r="D272">
        <v>3</v>
      </c>
      <c r="E272" s="2">
        <v>6.5</v>
      </c>
      <c r="F272" s="2">
        <v>28.17</v>
      </c>
      <c r="G272" s="2">
        <v>-16.47</v>
      </c>
      <c r="H272" s="2">
        <v>-56.67</v>
      </c>
      <c r="I272" s="2">
        <v>60.69</v>
      </c>
      <c r="J272" s="2">
        <v>2.59</v>
      </c>
      <c r="K272" s="2">
        <v>1.4</v>
      </c>
      <c r="L272" s="2">
        <v>2.94</v>
      </c>
      <c r="M272" s="2">
        <v>-0.04</v>
      </c>
      <c r="N272" t="s">
        <v>98</v>
      </c>
      <c r="O272">
        <v>10</v>
      </c>
      <c r="P272" t="s">
        <v>323</v>
      </c>
    </row>
    <row r="273" spans="1:16">
      <c r="A273" s="1">
        <v>45950</v>
      </c>
      <c r="B273">
        <v>3</v>
      </c>
      <c r="C273" t="s">
        <v>94</v>
      </c>
      <c r="D273">
        <v>3</v>
      </c>
      <c r="E273" s="2">
        <v>7</v>
      </c>
      <c r="F273" s="2">
        <v>101.97</v>
      </c>
      <c r="G273" s="2">
        <v>-96.08</v>
      </c>
      <c r="H273" s="2">
        <v>-51.61</v>
      </c>
      <c r="I273" s="2">
        <v>47.23</v>
      </c>
      <c r="J273" s="2">
        <v>2.4</v>
      </c>
      <c r="K273" s="2">
        <v>1.47</v>
      </c>
      <c r="L273" s="2">
        <v>2.81</v>
      </c>
      <c r="M273" s="2">
        <v>7.0000000000000007E-2</v>
      </c>
      <c r="N273" t="s">
        <v>98</v>
      </c>
      <c r="O273">
        <v>10</v>
      </c>
      <c r="P273" t="s">
        <v>323</v>
      </c>
    </row>
    <row r="274" spans="1:16">
      <c r="A274" s="1">
        <v>45950</v>
      </c>
      <c r="B274">
        <v>3</v>
      </c>
      <c r="C274" t="s">
        <v>94</v>
      </c>
      <c r="D274">
        <v>3</v>
      </c>
      <c r="E274" s="2">
        <v>7.5</v>
      </c>
      <c r="F274" s="2">
        <v>63.92</v>
      </c>
      <c r="G274" s="2">
        <v>-57.19</v>
      </c>
      <c r="H274" s="2">
        <v>-42.53</v>
      </c>
      <c r="I274" s="2">
        <v>47.52</v>
      </c>
      <c r="J274" s="2">
        <v>2.33</v>
      </c>
      <c r="K274" s="2">
        <v>1.53</v>
      </c>
      <c r="L274" s="2">
        <v>2.79</v>
      </c>
      <c r="M274" s="2">
        <v>0.3</v>
      </c>
      <c r="N274" t="s">
        <v>98</v>
      </c>
      <c r="O274">
        <v>10</v>
      </c>
      <c r="P274" t="s">
        <v>322</v>
      </c>
    </row>
    <row r="275" spans="1:16">
      <c r="A275" s="1">
        <v>45950</v>
      </c>
      <c r="B275">
        <v>3</v>
      </c>
      <c r="C275" t="s">
        <v>94</v>
      </c>
      <c r="D275">
        <v>3</v>
      </c>
      <c r="E275" s="2">
        <v>8</v>
      </c>
      <c r="F275" s="2">
        <v>42.05</v>
      </c>
      <c r="G275" s="2">
        <v>-32.450000000000003</v>
      </c>
      <c r="H275" s="2">
        <v>-34.909999999999997</v>
      </c>
      <c r="I275" s="2">
        <v>41.63</v>
      </c>
      <c r="J275" s="2">
        <v>2.1800000000000002</v>
      </c>
      <c r="K275" s="2">
        <v>1.57</v>
      </c>
      <c r="L275" s="2">
        <v>2.69</v>
      </c>
      <c r="M275" s="2">
        <v>0.42</v>
      </c>
      <c r="N275" t="s">
        <v>98</v>
      </c>
      <c r="O275">
        <v>10</v>
      </c>
      <c r="P275" t="s">
        <v>322</v>
      </c>
    </row>
    <row r="276" spans="1:16">
      <c r="A276" s="1">
        <v>45950</v>
      </c>
      <c r="B276">
        <v>3</v>
      </c>
      <c r="C276" t="s">
        <v>94</v>
      </c>
      <c r="D276">
        <v>3</v>
      </c>
      <c r="E276" s="2">
        <v>8.5</v>
      </c>
      <c r="F276" s="2">
        <v>3.44</v>
      </c>
      <c r="G276" s="2">
        <v>3.56</v>
      </c>
      <c r="H276" s="2">
        <v>-9.5299999999999994</v>
      </c>
      <c r="I276" s="2">
        <v>13.7</v>
      </c>
      <c r="J276" s="2">
        <v>2.04</v>
      </c>
      <c r="K276" s="2">
        <v>1.47</v>
      </c>
      <c r="L276" s="2">
        <v>2.52</v>
      </c>
      <c r="M276" s="2">
        <v>0.38</v>
      </c>
      <c r="N276" t="s">
        <v>98</v>
      </c>
      <c r="O276">
        <v>10</v>
      </c>
      <c r="P276" t="s">
        <v>322</v>
      </c>
    </row>
    <row r="277" spans="1:16">
      <c r="A277" s="1">
        <v>45950</v>
      </c>
      <c r="B277">
        <v>3</v>
      </c>
      <c r="C277" t="s">
        <v>94</v>
      </c>
      <c r="D277">
        <v>3</v>
      </c>
      <c r="E277" s="2">
        <v>9</v>
      </c>
      <c r="F277" s="2">
        <v>-42.09</v>
      </c>
      <c r="G277" s="2">
        <v>50.24</v>
      </c>
      <c r="H277" s="2">
        <v>4.79</v>
      </c>
      <c r="I277" s="2">
        <v>-7.36</v>
      </c>
      <c r="J277" s="2">
        <v>1.94</v>
      </c>
      <c r="K277" s="2">
        <v>1.47</v>
      </c>
      <c r="L277" s="2">
        <v>2.4300000000000002</v>
      </c>
      <c r="M277" s="2">
        <v>0.44</v>
      </c>
      <c r="N277" t="s">
        <v>98</v>
      </c>
      <c r="O277">
        <v>10</v>
      </c>
      <c r="P277" t="s">
        <v>322</v>
      </c>
    </row>
    <row r="278" spans="1:16">
      <c r="A278" s="1">
        <v>45950</v>
      </c>
      <c r="B278">
        <v>3</v>
      </c>
      <c r="C278" t="s">
        <v>94</v>
      </c>
      <c r="D278">
        <v>3</v>
      </c>
      <c r="E278" s="2">
        <v>9.5</v>
      </c>
      <c r="F278" s="2">
        <v>-109.35</v>
      </c>
      <c r="G278" s="2">
        <v>113.89</v>
      </c>
      <c r="H278" s="2">
        <v>17.170000000000002</v>
      </c>
      <c r="I278" s="2">
        <v>-21.9</v>
      </c>
      <c r="J278" s="2">
        <v>1.87</v>
      </c>
      <c r="K278" s="2">
        <v>1.47</v>
      </c>
      <c r="L278" s="2">
        <v>2.38</v>
      </c>
      <c r="M278" s="2">
        <v>0.5</v>
      </c>
      <c r="N278" t="s">
        <v>98</v>
      </c>
      <c r="O278">
        <v>10</v>
      </c>
      <c r="P278" t="s">
        <v>322</v>
      </c>
    </row>
    <row r="279" spans="1:16">
      <c r="A279" s="1">
        <v>45950</v>
      </c>
      <c r="B279">
        <v>3</v>
      </c>
      <c r="C279" t="s">
        <v>94</v>
      </c>
      <c r="D279">
        <v>3</v>
      </c>
      <c r="E279" s="2">
        <v>10</v>
      </c>
      <c r="F279" s="2">
        <v>-198.25</v>
      </c>
      <c r="G279" s="2">
        <v>207.7</v>
      </c>
      <c r="H279" s="2">
        <v>-51.4</v>
      </c>
      <c r="I279" s="2">
        <v>47.51</v>
      </c>
      <c r="J279" s="2">
        <v>1.73</v>
      </c>
      <c r="K279" s="2">
        <v>1.4</v>
      </c>
      <c r="L279" s="2">
        <v>2.2200000000000002</v>
      </c>
      <c r="M279" s="2">
        <v>0.47</v>
      </c>
      <c r="N279" t="s">
        <v>98</v>
      </c>
      <c r="O279">
        <v>10</v>
      </c>
      <c r="P279" t="s">
        <v>322</v>
      </c>
    </row>
    <row r="280" spans="1:16">
      <c r="A280" s="1">
        <v>45950</v>
      </c>
      <c r="B280">
        <v>3</v>
      </c>
      <c r="C280" t="s">
        <v>94</v>
      </c>
      <c r="D280">
        <v>3</v>
      </c>
      <c r="E280" s="2">
        <v>10.5</v>
      </c>
      <c r="F280" s="2">
        <v>-193.95</v>
      </c>
      <c r="G280" s="2">
        <v>201.1</v>
      </c>
      <c r="H280" s="2">
        <v>-42.38</v>
      </c>
      <c r="I280" s="2">
        <v>41.13</v>
      </c>
      <c r="J280" s="2">
        <v>1.55</v>
      </c>
      <c r="K280" s="2">
        <v>1.32</v>
      </c>
      <c r="L280" s="2">
        <v>2.0299999999999998</v>
      </c>
      <c r="M280" s="2">
        <v>0.4</v>
      </c>
      <c r="N280" t="s">
        <v>98</v>
      </c>
      <c r="O280">
        <v>10</v>
      </c>
      <c r="P280" t="s">
        <v>322</v>
      </c>
    </row>
    <row r="281" spans="1:16">
      <c r="A281" s="1">
        <v>45950</v>
      </c>
      <c r="B281">
        <v>3</v>
      </c>
      <c r="C281" t="s">
        <v>94</v>
      </c>
      <c r="D281">
        <v>3</v>
      </c>
      <c r="E281" s="2">
        <v>11</v>
      </c>
      <c r="F281" s="2">
        <v>-171.12</v>
      </c>
      <c r="G281" s="2">
        <v>174.04</v>
      </c>
      <c r="H281" s="2">
        <v>14.17</v>
      </c>
      <c r="I281" s="2">
        <v>-7.43</v>
      </c>
      <c r="J281" s="2">
        <v>1.46</v>
      </c>
      <c r="K281" s="2">
        <v>1.26</v>
      </c>
      <c r="L281" s="2">
        <v>1.93</v>
      </c>
      <c r="M281" s="2">
        <v>0.36</v>
      </c>
      <c r="N281" t="s">
        <v>98</v>
      </c>
      <c r="O281">
        <v>10</v>
      </c>
      <c r="P281" t="s">
        <v>322</v>
      </c>
    </row>
    <row r="282" spans="1:16">
      <c r="A282" s="1">
        <v>45950</v>
      </c>
      <c r="B282">
        <v>3</v>
      </c>
      <c r="C282" t="s">
        <v>94</v>
      </c>
      <c r="D282">
        <v>3</v>
      </c>
      <c r="E282" s="2">
        <v>11.5</v>
      </c>
      <c r="F282" s="2">
        <v>-76.510000000000005</v>
      </c>
      <c r="G282" s="2">
        <v>82.08</v>
      </c>
      <c r="H282" s="2">
        <v>9.65</v>
      </c>
      <c r="I282" s="2">
        <v>-20.32</v>
      </c>
      <c r="J282" s="2">
        <v>1.39</v>
      </c>
      <c r="K282" s="2">
        <v>1.4</v>
      </c>
      <c r="L282" s="2">
        <v>1.97</v>
      </c>
      <c r="M282" s="2">
        <v>0.5</v>
      </c>
      <c r="N282" t="s">
        <v>98</v>
      </c>
      <c r="O282">
        <v>10</v>
      </c>
      <c r="P282" t="s">
        <v>322</v>
      </c>
    </row>
    <row r="283" spans="1:16">
      <c r="A283" s="1">
        <v>45950</v>
      </c>
      <c r="B283">
        <v>3</v>
      </c>
      <c r="C283" t="s">
        <v>94</v>
      </c>
      <c r="D283">
        <v>3</v>
      </c>
      <c r="E283" s="2">
        <v>12</v>
      </c>
      <c r="F283" s="2">
        <v>-144.87</v>
      </c>
      <c r="G283" s="2">
        <v>154.83000000000001</v>
      </c>
      <c r="H283" s="2">
        <v>-14.78</v>
      </c>
      <c r="I283" s="2">
        <v>8.86</v>
      </c>
      <c r="J283" s="2">
        <v>1.31</v>
      </c>
      <c r="K283" s="2">
        <v>1.5</v>
      </c>
      <c r="L283" s="2">
        <v>1.99</v>
      </c>
      <c r="M283" s="2">
        <v>0.62</v>
      </c>
      <c r="N283" t="s">
        <v>98</v>
      </c>
      <c r="O283">
        <v>10</v>
      </c>
      <c r="P283" t="s">
        <v>322</v>
      </c>
    </row>
    <row r="284" spans="1:16">
      <c r="A284" s="1">
        <v>45950</v>
      </c>
      <c r="B284">
        <v>3</v>
      </c>
      <c r="C284" t="s">
        <v>94</v>
      </c>
      <c r="D284">
        <v>3</v>
      </c>
      <c r="E284" s="2">
        <v>12.5</v>
      </c>
      <c r="F284" s="2">
        <v>-133.91999999999999</v>
      </c>
      <c r="G284" s="2">
        <v>139.35</v>
      </c>
      <c r="H284" s="2">
        <v>50.04</v>
      </c>
      <c r="I284" s="2">
        <v>-42.73</v>
      </c>
      <c r="J284" s="2">
        <v>1.28</v>
      </c>
      <c r="K284" s="2">
        <v>1.42</v>
      </c>
      <c r="L284" s="2">
        <v>1.91</v>
      </c>
      <c r="M284" s="2">
        <v>0.56000000000000005</v>
      </c>
      <c r="N284" t="s">
        <v>98</v>
      </c>
      <c r="O284">
        <v>10</v>
      </c>
      <c r="P284" t="s">
        <v>322</v>
      </c>
    </row>
    <row r="285" spans="1:16">
      <c r="A285" s="1">
        <v>45950</v>
      </c>
      <c r="B285">
        <v>3</v>
      </c>
      <c r="C285" t="s">
        <v>94</v>
      </c>
      <c r="D285">
        <v>3</v>
      </c>
      <c r="E285" s="2">
        <v>13</v>
      </c>
      <c r="F285" s="2">
        <v>-61.7</v>
      </c>
      <c r="G285" s="2">
        <v>69.319999999999993</v>
      </c>
      <c r="H285" s="2">
        <v>51.72</v>
      </c>
      <c r="I285" s="2">
        <v>-34.979999999999997</v>
      </c>
      <c r="J285" s="2">
        <v>1.22</v>
      </c>
      <c r="K285" s="2">
        <v>1.35</v>
      </c>
      <c r="L285" s="2">
        <v>1.82</v>
      </c>
      <c r="M285" s="2">
        <v>0.52</v>
      </c>
      <c r="N285" t="s">
        <v>98</v>
      </c>
      <c r="O285">
        <v>10</v>
      </c>
      <c r="P285" t="s">
        <v>322</v>
      </c>
    </row>
    <row r="286" spans="1:16">
      <c r="A286" s="1">
        <v>45950</v>
      </c>
      <c r="B286">
        <v>3</v>
      </c>
      <c r="C286" t="s">
        <v>94</v>
      </c>
      <c r="D286">
        <v>3</v>
      </c>
      <c r="E286" s="2">
        <v>13.5</v>
      </c>
      <c r="F286" s="2">
        <v>-48.62</v>
      </c>
      <c r="G286" s="2">
        <v>55.61</v>
      </c>
      <c r="H286" s="2">
        <v>65.5</v>
      </c>
      <c r="I286" s="2">
        <v>-56.18</v>
      </c>
      <c r="J286" s="2">
        <v>1.05</v>
      </c>
      <c r="K286" s="2">
        <v>1.31</v>
      </c>
      <c r="L286" s="2">
        <v>1.68</v>
      </c>
      <c r="M286" s="2">
        <v>0.52</v>
      </c>
      <c r="N286" t="s">
        <v>98</v>
      </c>
      <c r="O286">
        <v>10</v>
      </c>
      <c r="P286" t="s">
        <v>322</v>
      </c>
    </row>
    <row r="287" spans="1:16">
      <c r="A287" s="1">
        <v>45950</v>
      </c>
      <c r="B287">
        <v>3</v>
      </c>
      <c r="C287" t="s">
        <v>94</v>
      </c>
      <c r="D287">
        <v>3</v>
      </c>
      <c r="E287" s="2">
        <v>14</v>
      </c>
      <c r="F287" s="2">
        <v>-48.53</v>
      </c>
      <c r="G287" s="2">
        <v>53.33</v>
      </c>
      <c r="H287" s="2">
        <v>84.27</v>
      </c>
      <c r="I287" s="2">
        <v>-71.790000000000006</v>
      </c>
      <c r="J287" s="2">
        <v>0.78</v>
      </c>
      <c r="K287" s="2">
        <v>1.29</v>
      </c>
      <c r="L287" s="2">
        <v>1.51</v>
      </c>
      <c r="M287" s="2">
        <v>0.56999999999999995</v>
      </c>
      <c r="N287" t="s">
        <v>98</v>
      </c>
      <c r="O287">
        <v>10</v>
      </c>
      <c r="P287" t="s">
        <v>322</v>
      </c>
    </row>
    <row r="288" spans="1:16">
      <c r="A288" s="1">
        <v>45950</v>
      </c>
      <c r="B288">
        <v>3</v>
      </c>
      <c r="C288" t="s">
        <v>94</v>
      </c>
      <c r="D288">
        <v>3</v>
      </c>
      <c r="E288" s="2">
        <v>14.5</v>
      </c>
      <c r="F288" s="2">
        <v>-39</v>
      </c>
      <c r="G288" s="2">
        <v>44.16</v>
      </c>
      <c r="H288" s="2">
        <v>110.68</v>
      </c>
      <c r="I288" s="2">
        <v>-94.93</v>
      </c>
      <c r="J288" s="2">
        <v>0.49</v>
      </c>
      <c r="K288" s="2">
        <v>1.08</v>
      </c>
      <c r="L288" s="2">
        <v>1.19</v>
      </c>
      <c r="M288" s="2">
        <v>0.39</v>
      </c>
      <c r="N288" t="s">
        <v>98</v>
      </c>
      <c r="O288">
        <v>10</v>
      </c>
      <c r="P288" t="s">
        <v>322</v>
      </c>
    </row>
    <row r="289" spans="1:16">
      <c r="A289" s="1">
        <v>45950</v>
      </c>
      <c r="B289">
        <v>3</v>
      </c>
      <c r="C289" t="s">
        <v>94</v>
      </c>
      <c r="D289">
        <v>3</v>
      </c>
      <c r="E289" s="2">
        <v>15</v>
      </c>
      <c r="F289" s="2">
        <v>-7.65</v>
      </c>
      <c r="G289" s="2">
        <v>14.57</v>
      </c>
      <c r="H289" s="2">
        <v>119.8</v>
      </c>
      <c r="I289" s="2">
        <v>-108.55</v>
      </c>
      <c r="J289" s="2">
        <v>0.24</v>
      </c>
      <c r="K289" s="2">
        <v>0.99</v>
      </c>
      <c r="L289" s="2">
        <v>1.02</v>
      </c>
      <c r="M289" s="2">
        <v>0.38</v>
      </c>
      <c r="N289" t="s">
        <v>98</v>
      </c>
      <c r="O289">
        <v>10</v>
      </c>
      <c r="P289" t="s">
        <v>322</v>
      </c>
    </row>
    <row r="290" spans="1:16">
      <c r="A290" s="1">
        <v>45950</v>
      </c>
      <c r="B290">
        <v>3</v>
      </c>
      <c r="C290" t="s">
        <v>94</v>
      </c>
      <c r="D290">
        <v>3</v>
      </c>
      <c r="E290" s="2">
        <v>15.5</v>
      </c>
      <c r="F290" s="2">
        <v>-27.38</v>
      </c>
      <c r="G290" s="2">
        <v>29.27</v>
      </c>
      <c r="H290" s="2">
        <v>141.32</v>
      </c>
      <c r="I290" s="2">
        <v>-111.57</v>
      </c>
      <c r="J290" s="2">
        <v>0.06</v>
      </c>
      <c r="K290" s="2">
        <v>0.83</v>
      </c>
      <c r="L290" s="2">
        <v>0.83</v>
      </c>
      <c r="M290" s="2">
        <v>0.17</v>
      </c>
      <c r="N290" t="s">
        <v>98</v>
      </c>
      <c r="O290">
        <v>10</v>
      </c>
      <c r="P290" t="s">
        <v>322</v>
      </c>
    </row>
    <row r="291" spans="1:16">
      <c r="A291" s="1">
        <v>45950</v>
      </c>
      <c r="B291">
        <v>3</v>
      </c>
      <c r="C291" t="s">
        <v>94</v>
      </c>
      <c r="D291">
        <v>3</v>
      </c>
      <c r="E291" s="2">
        <v>16</v>
      </c>
      <c r="F291" s="2">
        <v>-16.059999999999999</v>
      </c>
      <c r="G291" s="2">
        <v>20.78</v>
      </c>
      <c r="H291" s="2">
        <v>-28.54</v>
      </c>
      <c r="I291" s="2">
        <v>33.549999999999997</v>
      </c>
      <c r="J291" s="2">
        <v>-0.33</v>
      </c>
      <c r="K291" s="2">
        <v>0.59</v>
      </c>
      <c r="L291" s="2">
        <v>0.67</v>
      </c>
      <c r="M291" s="2">
        <v>0.02</v>
      </c>
      <c r="N291" t="s">
        <v>98</v>
      </c>
      <c r="O291">
        <v>10</v>
      </c>
      <c r="P291" t="s">
        <v>322</v>
      </c>
    </row>
    <row r="292" spans="1:16">
      <c r="A292" s="1">
        <v>45950</v>
      </c>
      <c r="B292">
        <v>3</v>
      </c>
      <c r="C292" t="s">
        <v>94</v>
      </c>
      <c r="D292">
        <v>3</v>
      </c>
      <c r="E292" s="2">
        <v>16.5</v>
      </c>
      <c r="F292" s="2">
        <v>4.6900000000000004</v>
      </c>
      <c r="G292" s="2">
        <v>0.84</v>
      </c>
      <c r="H292" s="2">
        <v>-8.84</v>
      </c>
      <c r="I292" s="2">
        <v>22.93</v>
      </c>
      <c r="J292" s="2">
        <v>-0.31</v>
      </c>
      <c r="K292" s="2">
        <v>0.61</v>
      </c>
      <c r="L292" s="2">
        <v>0.69</v>
      </c>
      <c r="M292" s="2">
        <v>0.27</v>
      </c>
      <c r="N292" t="s">
        <v>98</v>
      </c>
      <c r="O292">
        <v>10</v>
      </c>
      <c r="P292" t="s">
        <v>322</v>
      </c>
    </row>
    <row r="293" spans="1:16">
      <c r="A293" s="1">
        <v>45950</v>
      </c>
      <c r="B293">
        <v>3</v>
      </c>
      <c r="C293" t="s">
        <v>94</v>
      </c>
      <c r="D293">
        <v>3</v>
      </c>
      <c r="E293" s="2">
        <v>17</v>
      </c>
      <c r="F293" s="2">
        <v>16.11</v>
      </c>
      <c r="G293" s="2">
        <v>-12.28</v>
      </c>
      <c r="H293" s="2">
        <v>6.43</v>
      </c>
      <c r="I293" s="2">
        <v>3.42</v>
      </c>
      <c r="J293" s="2">
        <v>-0.3</v>
      </c>
      <c r="K293" s="2">
        <v>0.63</v>
      </c>
      <c r="L293" s="2">
        <v>0.69</v>
      </c>
      <c r="M293" s="2">
        <v>0.32</v>
      </c>
      <c r="N293" t="s">
        <v>98</v>
      </c>
      <c r="O293">
        <v>10</v>
      </c>
      <c r="P293" t="s">
        <v>322</v>
      </c>
    </row>
    <row r="294" spans="1:16">
      <c r="A294" s="1">
        <v>45950</v>
      </c>
      <c r="B294">
        <v>3</v>
      </c>
      <c r="C294" t="s">
        <v>94</v>
      </c>
      <c r="D294">
        <v>3</v>
      </c>
      <c r="E294" s="2">
        <v>17.5</v>
      </c>
      <c r="F294" s="2">
        <v>-11.92</v>
      </c>
      <c r="G294" s="2">
        <v>16.89</v>
      </c>
      <c r="H294" s="2">
        <v>38.51</v>
      </c>
      <c r="I294" s="2">
        <v>-30.26</v>
      </c>
      <c r="J294" s="2">
        <v>-0.33</v>
      </c>
      <c r="K294" s="2">
        <v>0.74</v>
      </c>
      <c r="L294" s="2">
        <v>0.81</v>
      </c>
      <c r="M294" s="2">
        <v>0.54</v>
      </c>
      <c r="N294" t="s">
        <v>98</v>
      </c>
      <c r="O294">
        <v>10</v>
      </c>
      <c r="P294" t="s">
        <v>322</v>
      </c>
    </row>
    <row r="295" spans="1:16">
      <c r="A295" s="1">
        <v>45950</v>
      </c>
      <c r="B295">
        <v>3</v>
      </c>
      <c r="C295" t="s">
        <v>94</v>
      </c>
      <c r="D295">
        <v>3</v>
      </c>
      <c r="E295" s="2">
        <v>18</v>
      </c>
      <c r="F295" s="2">
        <v>-31.81</v>
      </c>
      <c r="G295" s="2">
        <v>35.4</v>
      </c>
      <c r="H295" s="2">
        <v>55.52</v>
      </c>
      <c r="I295" s="2">
        <v>-31.68</v>
      </c>
      <c r="J295" s="2">
        <v>-0.34</v>
      </c>
      <c r="K295" s="2">
        <v>0.79</v>
      </c>
      <c r="L295" s="2">
        <v>0.86</v>
      </c>
      <c r="M295" s="2">
        <v>0.62</v>
      </c>
      <c r="N295" t="s">
        <v>98</v>
      </c>
      <c r="O295">
        <v>10</v>
      </c>
      <c r="P295" t="s">
        <v>322</v>
      </c>
    </row>
    <row r="296" spans="1:16">
      <c r="A296" s="1">
        <v>45950</v>
      </c>
      <c r="B296">
        <v>3</v>
      </c>
      <c r="C296" t="s">
        <v>94</v>
      </c>
      <c r="D296">
        <v>3</v>
      </c>
      <c r="E296" s="2">
        <v>18.5</v>
      </c>
      <c r="F296" s="2">
        <v>-35.65</v>
      </c>
      <c r="G296" s="2">
        <v>46.46</v>
      </c>
      <c r="H296" s="2">
        <v>79.099999999999994</v>
      </c>
      <c r="I296" s="2">
        <v>-51.47</v>
      </c>
      <c r="J296" s="2">
        <v>-0.36</v>
      </c>
      <c r="K296" s="2">
        <v>0.75</v>
      </c>
      <c r="L296" s="2">
        <v>0.83</v>
      </c>
      <c r="M296" s="2">
        <v>0.66</v>
      </c>
      <c r="N296" t="s">
        <v>98</v>
      </c>
      <c r="O296">
        <v>10</v>
      </c>
      <c r="P296" t="s">
        <v>322</v>
      </c>
    </row>
    <row r="297" spans="1:16">
      <c r="A297" s="1">
        <v>45950</v>
      </c>
      <c r="B297">
        <v>3</v>
      </c>
      <c r="C297" t="s">
        <v>94</v>
      </c>
      <c r="D297">
        <v>3</v>
      </c>
      <c r="E297" s="2">
        <v>19</v>
      </c>
      <c r="F297" s="2">
        <v>-138.46</v>
      </c>
      <c r="G297" s="2">
        <v>136.38999999999999</v>
      </c>
      <c r="H297" s="2">
        <v>-32.51</v>
      </c>
      <c r="I297" s="2">
        <v>49.34</v>
      </c>
      <c r="J297" s="2">
        <v>-0.37</v>
      </c>
      <c r="K297" s="2">
        <v>0.75</v>
      </c>
      <c r="L297" s="2">
        <v>0.84</v>
      </c>
      <c r="M297" s="2">
        <v>0.6</v>
      </c>
      <c r="N297" t="s">
        <v>98</v>
      </c>
      <c r="O297">
        <v>10</v>
      </c>
      <c r="P297" t="s">
        <v>322</v>
      </c>
    </row>
    <row r="298" spans="1:16">
      <c r="A298" s="1">
        <v>45950</v>
      </c>
      <c r="B298">
        <v>3</v>
      </c>
      <c r="C298" t="s">
        <v>94</v>
      </c>
      <c r="D298">
        <v>3</v>
      </c>
      <c r="E298" s="2">
        <v>19.5</v>
      </c>
      <c r="F298" s="2">
        <v>-132.44</v>
      </c>
      <c r="G298" s="2">
        <v>136.91</v>
      </c>
      <c r="H298" s="2">
        <v>-36.18</v>
      </c>
      <c r="I298" s="2">
        <v>47.26</v>
      </c>
      <c r="J298" s="2">
        <v>-0.4</v>
      </c>
      <c r="K298" s="2">
        <v>0.68</v>
      </c>
      <c r="L298" s="2">
        <v>0.79</v>
      </c>
      <c r="M298" s="2">
        <v>0.56000000000000005</v>
      </c>
      <c r="N298" t="s">
        <v>98</v>
      </c>
      <c r="O298">
        <v>10</v>
      </c>
      <c r="P298" t="s">
        <v>322</v>
      </c>
    </row>
    <row r="299" spans="1:16">
      <c r="A299" s="1">
        <v>45950</v>
      </c>
      <c r="B299">
        <v>3</v>
      </c>
      <c r="C299" t="s">
        <v>94</v>
      </c>
      <c r="D299">
        <v>3</v>
      </c>
      <c r="E299" s="2">
        <v>20</v>
      </c>
      <c r="F299" s="2">
        <v>-142.15</v>
      </c>
      <c r="G299" s="2">
        <v>145.63999999999999</v>
      </c>
      <c r="H299" s="2">
        <v>-39.51</v>
      </c>
      <c r="I299" s="2">
        <v>46.52</v>
      </c>
      <c r="J299" s="2">
        <v>-0.44</v>
      </c>
      <c r="K299" s="2">
        <v>0.56999999999999995</v>
      </c>
      <c r="L299" s="2">
        <v>0.72</v>
      </c>
      <c r="M299" s="2">
        <v>0.43</v>
      </c>
      <c r="N299" t="s">
        <v>98</v>
      </c>
      <c r="O299">
        <v>10</v>
      </c>
      <c r="P299" t="s">
        <v>322</v>
      </c>
    </row>
    <row r="300" spans="1:16">
      <c r="A300" s="1">
        <v>45950</v>
      </c>
      <c r="B300">
        <v>3</v>
      </c>
      <c r="C300" t="s">
        <v>94</v>
      </c>
      <c r="D300">
        <v>3</v>
      </c>
      <c r="E300" s="2">
        <v>20.5</v>
      </c>
      <c r="F300" s="2">
        <v>-167.21</v>
      </c>
      <c r="G300" s="2">
        <v>170.65</v>
      </c>
      <c r="H300" s="2">
        <v>-26.43</v>
      </c>
      <c r="I300" s="2">
        <v>16.399999999999999</v>
      </c>
      <c r="J300" s="2">
        <v>-0.44</v>
      </c>
      <c r="K300" s="2">
        <v>0.43</v>
      </c>
      <c r="L300" s="2">
        <v>0.62</v>
      </c>
      <c r="M300" s="2">
        <v>0.33</v>
      </c>
      <c r="N300" t="s">
        <v>98</v>
      </c>
      <c r="O300">
        <v>10</v>
      </c>
      <c r="P300" t="s">
        <v>322</v>
      </c>
    </row>
    <row r="301" spans="1:16">
      <c r="A301" s="1">
        <v>45950</v>
      </c>
      <c r="B301">
        <v>3</v>
      </c>
      <c r="C301" t="s">
        <v>94</v>
      </c>
      <c r="D301">
        <v>3</v>
      </c>
      <c r="E301" s="2">
        <v>21</v>
      </c>
      <c r="F301" s="2">
        <v>-156.22</v>
      </c>
      <c r="G301" s="2">
        <v>157.96</v>
      </c>
      <c r="H301" s="2">
        <v>-24.87</v>
      </c>
      <c r="I301" s="2">
        <v>17.989999999999998</v>
      </c>
      <c r="J301" s="2">
        <v>-0.44</v>
      </c>
      <c r="K301" s="2">
        <v>0.4</v>
      </c>
      <c r="L301" s="2">
        <v>0.59</v>
      </c>
      <c r="M301" s="2">
        <v>0.21</v>
      </c>
      <c r="N301" t="s">
        <v>98</v>
      </c>
      <c r="O301">
        <v>10</v>
      </c>
      <c r="P301" t="s">
        <v>322</v>
      </c>
    </row>
    <row r="302" spans="1:16">
      <c r="A302" s="1">
        <v>45950</v>
      </c>
      <c r="B302">
        <v>3</v>
      </c>
      <c r="C302" t="s">
        <v>94</v>
      </c>
      <c r="D302">
        <v>3</v>
      </c>
      <c r="E302" s="2">
        <v>21.5</v>
      </c>
      <c r="F302" s="2">
        <v>-76.09</v>
      </c>
      <c r="G302" s="2">
        <v>82.13</v>
      </c>
      <c r="H302" s="2">
        <v>-20.22</v>
      </c>
      <c r="I302" s="2">
        <v>22.5</v>
      </c>
      <c r="J302" s="2">
        <v>-0.44</v>
      </c>
      <c r="K302" s="2">
        <v>0.32</v>
      </c>
      <c r="L302" s="2">
        <v>0.54</v>
      </c>
      <c r="M302" s="2">
        <v>0.25</v>
      </c>
      <c r="N302" t="s">
        <v>98</v>
      </c>
      <c r="O302">
        <v>10</v>
      </c>
      <c r="P302" t="s">
        <v>322</v>
      </c>
    </row>
    <row r="303" spans="1:16">
      <c r="A303" s="1">
        <v>45950</v>
      </c>
      <c r="B303">
        <v>3</v>
      </c>
      <c r="C303" t="s">
        <v>94</v>
      </c>
      <c r="D303">
        <v>3</v>
      </c>
      <c r="E303" s="2">
        <v>22</v>
      </c>
      <c r="F303" s="2">
        <v>6.39</v>
      </c>
      <c r="G303" s="2">
        <v>-6.08</v>
      </c>
      <c r="H303" s="2">
        <v>-97.34</v>
      </c>
      <c r="I303" s="2">
        <v>97.16</v>
      </c>
      <c r="J303" s="2">
        <v>-0.47</v>
      </c>
      <c r="K303" s="2">
        <v>0.4</v>
      </c>
      <c r="L303" s="2">
        <v>0.62</v>
      </c>
      <c r="M303" s="2">
        <v>0.37</v>
      </c>
      <c r="N303" t="s">
        <v>98</v>
      </c>
      <c r="O303">
        <v>10</v>
      </c>
      <c r="P303" t="s">
        <v>322</v>
      </c>
    </row>
    <row r="304" spans="1:16">
      <c r="A304" s="1">
        <v>45950</v>
      </c>
      <c r="B304">
        <v>3</v>
      </c>
      <c r="C304" t="s">
        <v>94</v>
      </c>
      <c r="D304">
        <v>3</v>
      </c>
      <c r="E304" s="2">
        <v>22.5</v>
      </c>
      <c r="F304" s="2">
        <v>-23.81</v>
      </c>
      <c r="G304" s="2">
        <v>27.29</v>
      </c>
      <c r="H304" s="2">
        <v>-46.13</v>
      </c>
      <c r="I304" s="2">
        <v>39.69</v>
      </c>
      <c r="J304" s="2">
        <v>-0.49</v>
      </c>
      <c r="K304" s="2">
        <v>0.52</v>
      </c>
      <c r="L304" s="2">
        <v>0.72</v>
      </c>
      <c r="M304" s="2">
        <v>0.46</v>
      </c>
      <c r="N304" t="s">
        <v>98</v>
      </c>
      <c r="O304">
        <v>10</v>
      </c>
      <c r="P304" t="s">
        <v>322</v>
      </c>
    </row>
    <row r="305" spans="1:16">
      <c r="A305" s="1">
        <v>45950</v>
      </c>
      <c r="B305">
        <v>3</v>
      </c>
      <c r="C305" t="s">
        <v>94</v>
      </c>
      <c r="D305">
        <v>3</v>
      </c>
      <c r="E305" s="2">
        <v>23</v>
      </c>
      <c r="F305" s="2">
        <v>-45.58</v>
      </c>
      <c r="G305" s="2">
        <v>48</v>
      </c>
      <c r="H305" s="2">
        <v>-2.56</v>
      </c>
      <c r="I305" s="2">
        <v>4.1100000000000003</v>
      </c>
      <c r="J305" s="2">
        <v>-0.51</v>
      </c>
      <c r="K305" s="2">
        <v>0.44</v>
      </c>
      <c r="L305" s="2">
        <v>0.67</v>
      </c>
      <c r="M305" s="2">
        <v>0.38</v>
      </c>
      <c r="N305" t="s">
        <v>98</v>
      </c>
      <c r="O305">
        <v>10</v>
      </c>
      <c r="P305" t="s">
        <v>322</v>
      </c>
    </row>
    <row r="306" spans="1:16">
      <c r="A306" s="1">
        <v>45950</v>
      </c>
      <c r="B306">
        <v>3</v>
      </c>
      <c r="C306" t="s">
        <v>94</v>
      </c>
      <c r="D306">
        <v>3</v>
      </c>
      <c r="E306" s="2">
        <v>23.5</v>
      </c>
      <c r="F306" s="2">
        <v>-63.33</v>
      </c>
      <c r="G306" s="2">
        <v>68.14</v>
      </c>
      <c r="H306" s="2">
        <v>21.64</v>
      </c>
      <c r="I306" s="2">
        <v>-18.420000000000002</v>
      </c>
      <c r="J306" s="2">
        <v>-0.47</v>
      </c>
      <c r="K306" s="2">
        <v>0.35</v>
      </c>
      <c r="L306" s="2">
        <v>0.59</v>
      </c>
      <c r="M306" s="2">
        <v>0.34</v>
      </c>
      <c r="N306" t="s">
        <v>98</v>
      </c>
      <c r="O306">
        <v>10</v>
      </c>
      <c r="P306" t="s">
        <v>322</v>
      </c>
    </row>
    <row r="307" spans="1:16">
      <c r="A307" s="1">
        <v>45950</v>
      </c>
      <c r="B307">
        <v>3</v>
      </c>
      <c r="C307" t="s">
        <v>94</v>
      </c>
      <c r="D307">
        <v>3</v>
      </c>
      <c r="E307" s="2">
        <v>24</v>
      </c>
      <c r="F307" s="2">
        <v>-88.16</v>
      </c>
      <c r="G307" s="2">
        <v>92.83</v>
      </c>
      <c r="H307" s="2">
        <v>20.03</v>
      </c>
      <c r="I307" s="2">
        <v>-15.5</v>
      </c>
      <c r="J307" s="2">
        <v>-0.41</v>
      </c>
      <c r="K307" s="2">
        <v>0.31</v>
      </c>
      <c r="L307" s="2">
        <v>0.52</v>
      </c>
      <c r="M307" s="2">
        <v>0.32</v>
      </c>
      <c r="N307" t="s">
        <v>98</v>
      </c>
      <c r="O307">
        <v>10</v>
      </c>
      <c r="P307" t="s">
        <v>322</v>
      </c>
    </row>
    <row r="308" spans="1:16">
      <c r="A308" s="1">
        <v>45950</v>
      </c>
      <c r="B308">
        <v>3</v>
      </c>
      <c r="C308" t="s">
        <v>94</v>
      </c>
      <c r="D308">
        <v>3</v>
      </c>
      <c r="E308" s="2">
        <v>24.5</v>
      </c>
      <c r="F308" s="2">
        <v>-119.8</v>
      </c>
      <c r="G308" s="2">
        <v>117.79</v>
      </c>
      <c r="H308" s="2">
        <v>27.08</v>
      </c>
      <c r="I308" s="2">
        <v>-8.26</v>
      </c>
      <c r="J308" s="2">
        <v>-0.41</v>
      </c>
      <c r="K308" s="2">
        <v>0.19</v>
      </c>
      <c r="L308" s="2">
        <v>0.45</v>
      </c>
      <c r="M308" s="2">
        <v>0.08</v>
      </c>
      <c r="N308" t="s">
        <v>98</v>
      </c>
      <c r="O308">
        <v>10</v>
      </c>
      <c r="P308" t="s">
        <v>322</v>
      </c>
    </row>
    <row r="309" spans="1:16">
      <c r="A309" s="1">
        <v>45950</v>
      </c>
      <c r="B309">
        <v>3</v>
      </c>
      <c r="C309" t="s">
        <v>94</v>
      </c>
      <c r="D309">
        <v>3</v>
      </c>
      <c r="E309" s="2">
        <v>25</v>
      </c>
      <c r="F309" s="2">
        <v>-104.84</v>
      </c>
      <c r="G309" s="2">
        <v>113.97</v>
      </c>
      <c r="H309" s="2">
        <v>-29.75</v>
      </c>
      <c r="I309" s="2">
        <v>45.82</v>
      </c>
      <c r="J309" s="2">
        <v>-0.37</v>
      </c>
      <c r="K309" s="2">
        <v>0.33</v>
      </c>
      <c r="L309" s="2">
        <v>0.5</v>
      </c>
      <c r="M309" s="2">
        <v>0.28999999999999998</v>
      </c>
      <c r="N309" t="s">
        <v>98</v>
      </c>
      <c r="O309">
        <v>10</v>
      </c>
      <c r="P309" t="s">
        <v>322</v>
      </c>
    </row>
    <row r="310" spans="1:16">
      <c r="A310" s="1">
        <v>45950</v>
      </c>
      <c r="B310">
        <v>3</v>
      </c>
      <c r="C310" t="s">
        <v>94</v>
      </c>
      <c r="D310">
        <v>3</v>
      </c>
      <c r="E310" s="2">
        <v>25.5</v>
      </c>
      <c r="F310" s="2">
        <v>-93.47</v>
      </c>
      <c r="G310" s="2">
        <v>98.26</v>
      </c>
      <c r="H310" s="2">
        <v>-44.39</v>
      </c>
      <c r="I310" s="2">
        <v>40.68</v>
      </c>
      <c r="J310" s="2">
        <v>-0.34</v>
      </c>
      <c r="K310" s="2">
        <v>0.33</v>
      </c>
      <c r="L310" s="2">
        <v>0.47</v>
      </c>
      <c r="M310" s="2">
        <v>0.21</v>
      </c>
      <c r="N310" t="s">
        <v>98</v>
      </c>
      <c r="O310">
        <v>10</v>
      </c>
      <c r="P310" t="s">
        <v>322</v>
      </c>
    </row>
    <row r="311" spans="1:16">
      <c r="A311" s="1">
        <v>45950</v>
      </c>
      <c r="B311">
        <v>3</v>
      </c>
      <c r="C311" t="s">
        <v>94</v>
      </c>
      <c r="D311">
        <v>3</v>
      </c>
      <c r="E311" s="2">
        <v>26</v>
      </c>
      <c r="F311" s="2">
        <v>-61.56</v>
      </c>
      <c r="G311" s="2">
        <v>66.569999999999993</v>
      </c>
      <c r="H311" s="2">
        <v>-27.77</v>
      </c>
      <c r="I311" s="2">
        <v>33.86</v>
      </c>
      <c r="J311" s="2">
        <v>-0.38</v>
      </c>
      <c r="K311" s="2">
        <v>0.14000000000000001</v>
      </c>
      <c r="L311" s="2">
        <v>0.41</v>
      </c>
      <c r="M311" s="2">
        <v>0.02</v>
      </c>
      <c r="N311" t="s">
        <v>98</v>
      </c>
      <c r="O311">
        <v>10</v>
      </c>
      <c r="P311" t="s">
        <v>322</v>
      </c>
    </row>
    <row r="312" spans="1:16">
      <c r="A312" s="1">
        <v>45950</v>
      </c>
      <c r="B312">
        <v>3</v>
      </c>
      <c r="C312" t="s">
        <v>94</v>
      </c>
      <c r="D312">
        <v>3</v>
      </c>
      <c r="E312" s="2">
        <v>26.5</v>
      </c>
      <c r="F312" s="2">
        <v>-24.35</v>
      </c>
      <c r="G312" s="2">
        <v>29.32</v>
      </c>
      <c r="H312" s="2">
        <v>7.58</v>
      </c>
      <c r="I312" s="2">
        <v>-6.25</v>
      </c>
      <c r="J312" s="2">
        <v>-0.44</v>
      </c>
      <c r="K312" s="2">
        <v>0.05</v>
      </c>
      <c r="L312" s="2">
        <v>0.44</v>
      </c>
      <c r="M312" s="2">
        <v>0.16</v>
      </c>
      <c r="N312" t="s">
        <v>98</v>
      </c>
      <c r="O312">
        <v>10</v>
      </c>
      <c r="P312" t="s">
        <v>322</v>
      </c>
    </row>
    <row r="313" spans="1:16">
      <c r="A313" s="1">
        <v>45950</v>
      </c>
      <c r="B313">
        <v>3</v>
      </c>
      <c r="C313" t="s">
        <v>94</v>
      </c>
      <c r="D313">
        <v>3</v>
      </c>
      <c r="E313" s="2">
        <v>27</v>
      </c>
      <c r="F313" s="2">
        <v>31.04</v>
      </c>
      <c r="G313" s="2">
        <v>-26.29</v>
      </c>
      <c r="H313" s="2">
        <v>60.34</v>
      </c>
      <c r="I313" s="2">
        <v>-56.84</v>
      </c>
      <c r="J313" s="2">
        <v>-0.32</v>
      </c>
      <c r="K313" s="2">
        <v>-0.02</v>
      </c>
      <c r="L313" s="2">
        <v>0.32</v>
      </c>
      <c r="M313" s="2">
        <v>0.1</v>
      </c>
      <c r="N313" t="s">
        <v>98</v>
      </c>
      <c r="O313">
        <v>10</v>
      </c>
      <c r="P313" t="s">
        <v>322</v>
      </c>
    </row>
    <row r="314" spans="1:16">
      <c r="A314" s="1">
        <v>45950</v>
      </c>
      <c r="B314">
        <v>3</v>
      </c>
      <c r="C314" t="s">
        <v>99</v>
      </c>
      <c r="D314">
        <v>3</v>
      </c>
      <c r="E314" s="2">
        <v>0.5</v>
      </c>
      <c r="F314" s="2">
        <v>-406.14</v>
      </c>
      <c r="G314" s="2">
        <v>406.8</v>
      </c>
      <c r="H314" s="2">
        <v>-134.08000000000001</v>
      </c>
      <c r="I314" s="2">
        <v>129.35</v>
      </c>
      <c r="J314" s="2">
        <v>-7.0000000000000007E-2</v>
      </c>
      <c r="K314" s="2">
        <v>-1.9</v>
      </c>
      <c r="L314" s="2">
        <v>1.9</v>
      </c>
      <c r="M314" s="2">
        <v>-1.29</v>
      </c>
      <c r="N314" t="s">
        <v>98</v>
      </c>
      <c r="O314">
        <v>20</v>
      </c>
      <c r="P314" t="s">
        <v>322</v>
      </c>
    </row>
    <row r="315" spans="1:16">
      <c r="A315" s="1">
        <v>45950</v>
      </c>
      <c r="B315">
        <v>3</v>
      </c>
      <c r="C315" t="s">
        <v>99</v>
      </c>
      <c r="D315">
        <v>3</v>
      </c>
      <c r="E315" s="2">
        <v>1</v>
      </c>
      <c r="F315" s="2">
        <v>-406.11</v>
      </c>
      <c r="G315" s="2">
        <v>406.24</v>
      </c>
      <c r="H315" s="2">
        <v>-134.36000000000001</v>
      </c>
      <c r="I315" s="2">
        <v>131.1</v>
      </c>
      <c r="J315" s="2">
        <v>0.19</v>
      </c>
      <c r="K315" s="2">
        <v>-0.85</v>
      </c>
      <c r="L315" s="2">
        <v>0.87</v>
      </c>
      <c r="M315" s="2">
        <v>-1</v>
      </c>
      <c r="N315" t="s">
        <v>98</v>
      </c>
      <c r="O315">
        <v>20</v>
      </c>
      <c r="P315" t="s">
        <v>322</v>
      </c>
    </row>
    <row r="316" spans="1:16">
      <c r="A316" s="1">
        <v>45950</v>
      </c>
      <c r="B316">
        <v>3</v>
      </c>
      <c r="C316" t="s">
        <v>99</v>
      </c>
      <c r="D316">
        <v>3</v>
      </c>
      <c r="E316" s="2">
        <v>1.5</v>
      </c>
      <c r="F316" s="2">
        <v>-375.61</v>
      </c>
      <c r="G316" s="2">
        <v>381.89</v>
      </c>
      <c r="H316" s="2">
        <v>-158.11000000000001</v>
      </c>
      <c r="I316" s="2">
        <v>147.16999999999999</v>
      </c>
      <c r="J316" s="2">
        <v>0.53</v>
      </c>
      <c r="K316" s="2">
        <v>0.14000000000000001</v>
      </c>
      <c r="L316" s="2">
        <v>0.54</v>
      </c>
      <c r="M316" s="2">
        <v>-0.2</v>
      </c>
      <c r="N316" t="s">
        <v>98</v>
      </c>
      <c r="O316">
        <v>20</v>
      </c>
      <c r="P316" t="s">
        <v>322</v>
      </c>
    </row>
    <row r="317" spans="1:16">
      <c r="A317" s="1">
        <v>45950</v>
      </c>
      <c r="B317">
        <v>3</v>
      </c>
      <c r="C317" t="s">
        <v>99</v>
      </c>
      <c r="D317">
        <v>3</v>
      </c>
      <c r="E317" s="2">
        <v>2</v>
      </c>
      <c r="F317" s="2">
        <v>-332.88</v>
      </c>
      <c r="G317" s="2">
        <v>343.94</v>
      </c>
      <c r="H317" s="2">
        <v>-214.7</v>
      </c>
      <c r="I317" s="2">
        <v>208.1</v>
      </c>
      <c r="J317" s="2">
        <v>0.65</v>
      </c>
      <c r="K317" s="2">
        <v>0.32</v>
      </c>
      <c r="L317" s="2">
        <v>0.73</v>
      </c>
      <c r="M317" s="2">
        <v>0.19</v>
      </c>
      <c r="N317" t="s">
        <v>98</v>
      </c>
      <c r="O317">
        <v>20</v>
      </c>
      <c r="P317" t="s">
        <v>322</v>
      </c>
    </row>
    <row r="318" spans="1:16">
      <c r="A318" s="1">
        <v>45950</v>
      </c>
      <c r="B318">
        <v>3</v>
      </c>
      <c r="C318" t="s">
        <v>99</v>
      </c>
      <c r="D318">
        <v>3</v>
      </c>
      <c r="E318" s="2">
        <v>2.5</v>
      </c>
      <c r="F318" s="2">
        <v>-305.48</v>
      </c>
      <c r="G318" s="2">
        <v>316.06</v>
      </c>
      <c r="H318" s="2">
        <v>-191.63</v>
      </c>
      <c r="I318" s="2">
        <v>191.65</v>
      </c>
      <c r="J318" s="2">
        <v>0.67</v>
      </c>
      <c r="K318" s="2">
        <v>0.37</v>
      </c>
      <c r="L318" s="2">
        <v>0.76</v>
      </c>
      <c r="M318" s="2">
        <v>0.24</v>
      </c>
      <c r="N318" t="s">
        <v>98</v>
      </c>
      <c r="O318">
        <v>20</v>
      </c>
      <c r="P318" t="s">
        <v>322</v>
      </c>
    </row>
    <row r="319" spans="1:16">
      <c r="A319" s="1">
        <v>45950</v>
      </c>
      <c r="B319">
        <v>3</v>
      </c>
      <c r="C319" t="s">
        <v>99</v>
      </c>
      <c r="D319">
        <v>3</v>
      </c>
      <c r="E319" s="2">
        <v>3</v>
      </c>
      <c r="F319" s="2">
        <v>-269.2</v>
      </c>
      <c r="G319" s="2">
        <v>279.35000000000002</v>
      </c>
      <c r="H319" s="2">
        <v>-138.74</v>
      </c>
      <c r="I319" s="2">
        <v>133.63</v>
      </c>
      <c r="J319" s="2">
        <v>0.67</v>
      </c>
      <c r="K319" s="2">
        <v>0.32</v>
      </c>
      <c r="L319" s="2">
        <v>0.74</v>
      </c>
      <c r="M319" s="2">
        <v>0.25</v>
      </c>
      <c r="N319" t="s">
        <v>98</v>
      </c>
      <c r="O319">
        <v>20</v>
      </c>
      <c r="P319" t="s">
        <v>322</v>
      </c>
    </row>
    <row r="320" spans="1:16">
      <c r="A320" s="1">
        <v>45950</v>
      </c>
      <c r="B320">
        <v>3</v>
      </c>
      <c r="C320" t="s">
        <v>99</v>
      </c>
      <c r="D320">
        <v>3</v>
      </c>
      <c r="E320" s="2">
        <v>3.5</v>
      </c>
      <c r="F320" s="2">
        <v>-208.83</v>
      </c>
      <c r="G320" s="2">
        <v>218.98</v>
      </c>
      <c r="H320" s="2">
        <v>-81.03</v>
      </c>
      <c r="I320" s="2">
        <v>74.83</v>
      </c>
      <c r="J320" s="2">
        <v>0.68</v>
      </c>
      <c r="K320" s="2">
        <v>0.37</v>
      </c>
      <c r="L320" s="2">
        <v>0.77</v>
      </c>
      <c r="M320" s="2">
        <v>0.28000000000000003</v>
      </c>
      <c r="N320" t="s">
        <v>98</v>
      </c>
      <c r="O320">
        <v>20</v>
      </c>
      <c r="P320" t="s">
        <v>322</v>
      </c>
    </row>
    <row r="321" spans="1:16">
      <c r="A321" s="1">
        <v>45950</v>
      </c>
      <c r="B321">
        <v>3</v>
      </c>
      <c r="C321" t="s">
        <v>99</v>
      </c>
      <c r="D321">
        <v>3</v>
      </c>
      <c r="E321" s="2">
        <v>4</v>
      </c>
      <c r="F321" s="2">
        <v>-153.32</v>
      </c>
      <c r="G321" s="2">
        <v>164.3</v>
      </c>
      <c r="H321" s="2">
        <v>-74.73</v>
      </c>
      <c r="I321" s="2">
        <v>60.82</v>
      </c>
      <c r="J321" s="2">
        <v>0.72</v>
      </c>
      <c r="K321" s="2">
        <v>0.57999999999999996</v>
      </c>
      <c r="L321" s="2">
        <v>0.92</v>
      </c>
      <c r="M321" s="2">
        <v>0.51</v>
      </c>
      <c r="N321" t="s">
        <v>98</v>
      </c>
      <c r="O321">
        <v>20</v>
      </c>
      <c r="P321" t="s">
        <v>322</v>
      </c>
    </row>
    <row r="322" spans="1:16">
      <c r="A322" s="1">
        <v>45950</v>
      </c>
      <c r="B322">
        <v>3</v>
      </c>
      <c r="C322" t="s">
        <v>99</v>
      </c>
      <c r="D322">
        <v>3</v>
      </c>
      <c r="E322" s="2">
        <v>4.5</v>
      </c>
      <c r="F322" s="2">
        <v>-104.92</v>
      </c>
      <c r="G322" s="2">
        <v>113.36</v>
      </c>
      <c r="H322" s="2">
        <v>-119.28</v>
      </c>
      <c r="I322" s="2">
        <v>115.84</v>
      </c>
      <c r="J322" s="2">
        <v>0.73</v>
      </c>
      <c r="K322" s="2">
        <v>0.56999999999999995</v>
      </c>
      <c r="L322" s="2">
        <v>0.93</v>
      </c>
      <c r="M322" s="2">
        <v>0.51</v>
      </c>
      <c r="N322" t="s">
        <v>98</v>
      </c>
      <c r="O322">
        <v>20</v>
      </c>
      <c r="P322" t="s">
        <v>322</v>
      </c>
    </row>
    <row r="323" spans="1:16">
      <c r="A323" s="1">
        <v>45950</v>
      </c>
      <c r="B323">
        <v>3</v>
      </c>
      <c r="C323" t="s">
        <v>99</v>
      </c>
      <c r="D323">
        <v>3</v>
      </c>
      <c r="E323" s="2">
        <v>5</v>
      </c>
      <c r="F323" s="2">
        <v>-34.840000000000003</v>
      </c>
      <c r="G323" s="2">
        <v>43.19</v>
      </c>
      <c r="H323" s="2">
        <v>-155.01</v>
      </c>
      <c r="I323" s="2">
        <v>149.71</v>
      </c>
      <c r="J323" s="2">
        <v>0.75</v>
      </c>
      <c r="K323" s="2">
        <v>0.54</v>
      </c>
      <c r="L323" s="2">
        <v>0.93</v>
      </c>
      <c r="M323" s="2">
        <v>0.52</v>
      </c>
      <c r="N323" t="s">
        <v>98</v>
      </c>
      <c r="O323">
        <v>20</v>
      </c>
      <c r="P323" t="s">
        <v>322</v>
      </c>
    </row>
    <row r="324" spans="1:16">
      <c r="A324" s="1">
        <v>45950</v>
      </c>
      <c r="B324">
        <v>3</v>
      </c>
      <c r="C324" t="s">
        <v>99</v>
      </c>
      <c r="D324">
        <v>3</v>
      </c>
      <c r="E324" s="2">
        <v>5.5</v>
      </c>
      <c r="F324" s="2">
        <v>33.770000000000003</v>
      </c>
      <c r="G324" s="2">
        <v>-24.08</v>
      </c>
      <c r="H324" s="2">
        <v>-153.16</v>
      </c>
      <c r="I324" s="2">
        <v>145.66999999999999</v>
      </c>
      <c r="J324" s="2">
        <v>0.76</v>
      </c>
      <c r="K324" s="2">
        <v>0.54</v>
      </c>
      <c r="L324" s="2">
        <v>0.93</v>
      </c>
      <c r="M324" s="2">
        <v>0.51</v>
      </c>
      <c r="N324" t="s">
        <v>98</v>
      </c>
      <c r="O324">
        <v>20</v>
      </c>
      <c r="P324" t="s">
        <v>322</v>
      </c>
    </row>
    <row r="325" spans="1:16">
      <c r="A325" s="1">
        <v>45950</v>
      </c>
      <c r="B325">
        <v>3</v>
      </c>
      <c r="C325" t="s">
        <v>99</v>
      </c>
      <c r="D325">
        <v>3</v>
      </c>
      <c r="E325" s="2">
        <v>6</v>
      </c>
      <c r="F325" s="2">
        <v>70.67</v>
      </c>
      <c r="G325" s="2">
        <v>-61.99</v>
      </c>
      <c r="H325" s="2">
        <v>-184.03</v>
      </c>
      <c r="I325" s="2">
        <v>184.03</v>
      </c>
      <c r="J325" s="2">
        <v>0.8</v>
      </c>
      <c r="K325" s="2">
        <v>0.49</v>
      </c>
      <c r="L325" s="2">
        <v>0.94</v>
      </c>
      <c r="M325" s="2">
        <v>0.51</v>
      </c>
      <c r="N325" t="s">
        <v>98</v>
      </c>
      <c r="O325">
        <v>20</v>
      </c>
      <c r="P325" t="s">
        <v>323</v>
      </c>
    </row>
    <row r="326" spans="1:16">
      <c r="A326" s="1">
        <v>45950</v>
      </c>
      <c r="B326">
        <v>3</v>
      </c>
      <c r="C326" t="s">
        <v>99</v>
      </c>
      <c r="D326">
        <v>3</v>
      </c>
      <c r="E326" s="2">
        <v>6.5</v>
      </c>
      <c r="F326" s="2">
        <v>172.98</v>
      </c>
      <c r="G326" s="2">
        <v>-163.6</v>
      </c>
      <c r="H326" s="2">
        <v>-188.39</v>
      </c>
      <c r="I326" s="2">
        <v>182</v>
      </c>
      <c r="J326" s="2">
        <v>0.81</v>
      </c>
      <c r="K326" s="2">
        <v>0.57999999999999996</v>
      </c>
      <c r="L326" s="2">
        <v>1</v>
      </c>
      <c r="M326" s="2">
        <v>0.56999999999999995</v>
      </c>
      <c r="N326" t="s">
        <v>98</v>
      </c>
      <c r="O326">
        <v>20</v>
      </c>
      <c r="P326" t="s">
        <v>323</v>
      </c>
    </row>
    <row r="327" spans="1:16">
      <c r="A327" s="1">
        <v>45950</v>
      </c>
      <c r="B327">
        <v>3</v>
      </c>
      <c r="C327" t="s">
        <v>99</v>
      </c>
      <c r="D327">
        <v>3</v>
      </c>
      <c r="E327" s="2">
        <v>7</v>
      </c>
      <c r="F327" s="2">
        <v>279.08</v>
      </c>
      <c r="G327" s="2">
        <v>-270.86</v>
      </c>
      <c r="H327" s="2">
        <v>-185</v>
      </c>
      <c r="I327" s="2">
        <v>183.03</v>
      </c>
      <c r="J327" s="2">
        <v>0.8</v>
      </c>
      <c r="K327" s="2">
        <v>0.51</v>
      </c>
      <c r="L327" s="2">
        <v>0.95</v>
      </c>
      <c r="M327" s="2">
        <v>0.54</v>
      </c>
      <c r="N327" t="s">
        <v>98</v>
      </c>
      <c r="O327">
        <v>20</v>
      </c>
      <c r="P327" t="s">
        <v>322</v>
      </c>
    </row>
    <row r="328" spans="1:16">
      <c r="A328" s="1">
        <v>45950</v>
      </c>
      <c r="B328">
        <v>3</v>
      </c>
      <c r="C328" t="s">
        <v>99</v>
      </c>
      <c r="D328">
        <v>3</v>
      </c>
      <c r="E328" s="2">
        <v>7.5</v>
      </c>
      <c r="F328" s="2">
        <v>300.58</v>
      </c>
      <c r="G328" s="2">
        <v>-283.76</v>
      </c>
      <c r="H328" s="2">
        <v>-170.54</v>
      </c>
      <c r="I328" s="2">
        <v>167.58</v>
      </c>
      <c r="J328" s="2">
        <v>0.81</v>
      </c>
      <c r="K328" s="2">
        <v>0.6</v>
      </c>
      <c r="L328" s="2">
        <v>1.01</v>
      </c>
      <c r="M328" s="2">
        <v>0.53</v>
      </c>
      <c r="N328" t="s">
        <v>98</v>
      </c>
      <c r="O328">
        <v>20</v>
      </c>
      <c r="P328" t="s">
        <v>322</v>
      </c>
    </row>
    <row r="329" spans="1:16">
      <c r="A329" s="1">
        <v>45950</v>
      </c>
      <c r="B329">
        <v>3</v>
      </c>
      <c r="C329" t="s">
        <v>99</v>
      </c>
      <c r="D329">
        <v>3</v>
      </c>
      <c r="E329" s="2">
        <v>8</v>
      </c>
      <c r="F329" s="2">
        <v>266.45999999999998</v>
      </c>
      <c r="G329" s="2">
        <v>-262.75</v>
      </c>
      <c r="H329" s="2">
        <v>-76.290000000000006</v>
      </c>
      <c r="I329" s="2">
        <v>72.52</v>
      </c>
      <c r="J329" s="2">
        <v>0.83</v>
      </c>
      <c r="K329" s="2">
        <v>0.47</v>
      </c>
      <c r="L329" s="2">
        <v>0.95</v>
      </c>
      <c r="M329" s="2">
        <v>0.5</v>
      </c>
      <c r="N329" t="s">
        <v>98</v>
      </c>
      <c r="O329">
        <v>20</v>
      </c>
      <c r="P329" t="s">
        <v>322</v>
      </c>
    </row>
    <row r="330" spans="1:16">
      <c r="A330" s="1">
        <v>45950</v>
      </c>
      <c r="B330">
        <v>3</v>
      </c>
      <c r="C330" t="s">
        <v>99</v>
      </c>
      <c r="D330">
        <v>3</v>
      </c>
      <c r="E330" s="2">
        <v>8.5</v>
      </c>
      <c r="F330" s="2">
        <v>333.56</v>
      </c>
      <c r="G330" s="2">
        <v>-321.83</v>
      </c>
      <c r="H330" s="2">
        <v>-8.3800000000000008</v>
      </c>
      <c r="I330" s="2">
        <v>12.69</v>
      </c>
      <c r="J330" s="2">
        <v>0.82</v>
      </c>
      <c r="K330" s="2">
        <v>0.39</v>
      </c>
      <c r="L330" s="2">
        <v>0.91</v>
      </c>
      <c r="M330" s="2">
        <v>0.54</v>
      </c>
      <c r="N330" t="s">
        <v>98</v>
      </c>
      <c r="O330">
        <v>20</v>
      </c>
      <c r="P330" t="s">
        <v>322</v>
      </c>
    </row>
    <row r="331" spans="1:16">
      <c r="A331" s="1">
        <v>45950</v>
      </c>
      <c r="B331">
        <v>3</v>
      </c>
      <c r="C331" t="s">
        <v>99</v>
      </c>
      <c r="D331">
        <v>3</v>
      </c>
      <c r="E331" s="2">
        <v>9</v>
      </c>
      <c r="F331" s="2">
        <v>314.67</v>
      </c>
      <c r="G331" s="2">
        <v>-305.43</v>
      </c>
      <c r="H331" s="2">
        <v>51.03</v>
      </c>
      <c r="I331" s="2">
        <v>-47.2</v>
      </c>
      <c r="J331" s="2">
        <v>0.75</v>
      </c>
      <c r="K331" s="2">
        <v>0.24</v>
      </c>
      <c r="L331" s="2">
        <v>0.78</v>
      </c>
      <c r="M331" s="2">
        <v>0.52</v>
      </c>
      <c r="N331" t="s">
        <v>98</v>
      </c>
      <c r="O331">
        <v>20</v>
      </c>
      <c r="P331" t="s">
        <v>322</v>
      </c>
    </row>
    <row r="332" spans="1:16">
      <c r="A332" s="1">
        <v>45950</v>
      </c>
      <c r="B332">
        <v>3</v>
      </c>
      <c r="C332" t="s">
        <v>99</v>
      </c>
      <c r="D332">
        <v>3</v>
      </c>
      <c r="E332" s="2">
        <v>9.5</v>
      </c>
      <c r="F332" s="2">
        <v>202.2</v>
      </c>
      <c r="G332" s="2">
        <v>-193.98</v>
      </c>
      <c r="H332" s="2">
        <v>111.59</v>
      </c>
      <c r="I332" s="2">
        <v>-127.96</v>
      </c>
      <c r="J332" s="2">
        <v>0.71</v>
      </c>
      <c r="K332" s="2">
        <v>0.08</v>
      </c>
      <c r="L332" s="2">
        <v>0.72</v>
      </c>
      <c r="M332" s="2">
        <v>0.49</v>
      </c>
      <c r="N332" t="s">
        <v>98</v>
      </c>
      <c r="O332">
        <v>20</v>
      </c>
      <c r="P332" t="s">
        <v>322</v>
      </c>
    </row>
    <row r="333" spans="1:16">
      <c r="A333" s="1">
        <v>45950</v>
      </c>
      <c r="B333">
        <v>3</v>
      </c>
      <c r="C333" t="s">
        <v>99</v>
      </c>
      <c r="D333">
        <v>3</v>
      </c>
      <c r="E333" s="2">
        <v>10</v>
      </c>
      <c r="F333" s="2">
        <v>63.38</v>
      </c>
      <c r="G333" s="2">
        <v>-46.4</v>
      </c>
      <c r="H333" s="2">
        <v>155.02000000000001</v>
      </c>
      <c r="I333" s="2">
        <v>-148.47</v>
      </c>
      <c r="J333" s="2">
        <v>0.74</v>
      </c>
      <c r="K333" s="2">
        <v>0.13</v>
      </c>
      <c r="L333" s="2">
        <v>0.75</v>
      </c>
      <c r="M333" s="2">
        <v>0.52</v>
      </c>
      <c r="N333" t="s">
        <v>98</v>
      </c>
      <c r="O333">
        <v>20</v>
      </c>
      <c r="P333" t="s">
        <v>322</v>
      </c>
    </row>
    <row r="334" spans="1:16">
      <c r="A334" s="1">
        <v>45950</v>
      </c>
      <c r="B334">
        <v>3</v>
      </c>
      <c r="C334" t="s">
        <v>99</v>
      </c>
      <c r="D334">
        <v>3</v>
      </c>
      <c r="E334" s="2">
        <v>10.5</v>
      </c>
      <c r="F334" s="2">
        <v>80.430000000000007</v>
      </c>
      <c r="G334" s="2">
        <v>-73.8</v>
      </c>
      <c r="H334" s="2">
        <v>69.459999999999994</v>
      </c>
      <c r="I334" s="2">
        <v>-76.89</v>
      </c>
      <c r="J334" s="2">
        <v>0.75</v>
      </c>
      <c r="K334" s="2">
        <v>0.03</v>
      </c>
      <c r="L334" s="2">
        <v>0.75</v>
      </c>
      <c r="M334" s="2">
        <v>0.51</v>
      </c>
      <c r="N334" t="s">
        <v>98</v>
      </c>
      <c r="O334">
        <v>20</v>
      </c>
      <c r="P334" t="s">
        <v>322</v>
      </c>
    </row>
    <row r="335" spans="1:16">
      <c r="A335" s="1">
        <v>45950</v>
      </c>
      <c r="B335">
        <v>3</v>
      </c>
      <c r="C335" t="s">
        <v>99</v>
      </c>
      <c r="D335">
        <v>3</v>
      </c>
      <c r="E335" s="2">
        <v>11</v>
      </c>
      <c r="F335" s="2">
        <v>13.41</v>
      </c>
      <c r="G335" s="2">
        <v>-3.64</v>
      </c>
      <c r="H335" s="2">
        <v>30.55</v>
      </c>
      <c r="I335" s="2">
        <v>-35.380000000000003</v>
      </c>
      <c r="J335" s="2">
        <v>0.77</v>
      </c>
      <c r="K335" s="2">
        <v>-0.1</v>
      </c>
      <c r="L335" s="2">
        <v>0.78</v>
      </c>
      <c r="M335" s="2">
        <v>0.49</v>
      </c>
      <c r="N335" t="s">
        <v>98</v>
      </c>
      <c r="O335">
        <v>20</v>
      </c>
      <c r="P335" t="s">
        <v>322</v>
      </c>
    </row>
    <row r="336" spans="1:16">
      <c r="A336" s="1">
        <v>45950</v>
      </c>
      <c r="B336">
        <v>3</v>
      </c>
      <c r="C336" t="s">
        <v>99</v>
      </c>
      <c r="D336">
        <v>3</v>
      </c>
      <c r="E336" s="2">
        <v>11.5</v>
      </c>
      <c r="F336" s="2">
        <v>-60.52</v>
      </c>
      <c r="G336" s="2">
        <v>65.459999999999994</v>
      </c>
      <c r="H336" s="2">
        <v>12.73</v>
      </c>
      <c r="I336" s="2">
        <v>-8.5399999999999991</v>
      </c>
      <c r="J336" s="2">
        <v>0.77</v>
      </c>
      <c r="K336" s="2">
        <v>-0.27</v>
      </c>
      <c r="L336" s="2">
        <v>0.81</v>
      </c>
      <c r="M336" s="2">
        <v>0.49</v>
      </c>
      <c r="N336" t="s">
        <v>98</v>
      </c>
      <c r="O336">
        <v>20</v>
      </c>
      <c r="P336" t="s">
        <v>322</v>
      </c>
    </row>
    <row r="337" spans="1:16">
      <c r="A337" s="1">
        <v>45950</v>
      </c>
      <c r="B337">
        <v>3</v>
      </c>
      <c r="C337" t="s">
        <v>99</v>
      </c>
      <c r="D337">
        <v>3</v>
      </c>
      <c r="E337" s="2">
        <v>12</v>
      </c>
      <c r="F337" s="2">
        <v>-74</v>
      </c>
      <c r="G337" s="2">
        <v>85.47</v>
      </c>
      <c r="H337" s="2">
        <v>15.4</v>
      </c>
      <c r="I337" s="2">
        <v>-22.87</v>
      </c>
      <c r="J337" s="2">
        <v>0.77</v>
      </c>
      <c r="K337" s="2">
        <v>-0.15</v>
      </c>
      <c r="L337" s="2">
        <v>0.78</v>
      </c>
      <c r="M337" s="2">
        <v>0.44</v>
      </c>
      <c r="N337" t="s">
        <v>98</v>
      </c>
      <c r="O337">
        <v>20</v>
      </c>
      <c r="P337" t="s">
        <v>322</v>
      </c>
    </row>
    <row r="338" spans="1:16">
      <c r="A338" s="1">
        <v>45950</v>
      </c>
      <c r="B338">
        <v>3</v>
      </c>
      <c r="C338" t="s">
        <v>99</v>
      </c>
      <c r="D338">
        <v>3</v>
      </c>
      <c r="E338" s="2">
        <v>12.5</v>
      </c>
      <c r="F338" s="2">
        <v>-37.119999999999997</v>
      </c>
      <c r="G338" s="2">
        <v>46.75</v>
      </c>
      <c r="H338" s="2">
        <v>13.11</v>
      </c>
      <c r="I338" s="2">
        <v>-18.18</v>
      </c>
      <c r="J338" s="2">
        <v>0.75</v>
      </c>
      <c r="K338" s="2">
        <v>-7.0000000000000007E-2</v>
      </c>
      <c r="L338" s="2">
        <v>0.75</v>
      </c>
      <c r="M338" s="2">
        <v>0.37</v>
      </c>
      <c r="N338" t="s">
        <v>98</v>
      </c>
      <c r="O338">
        <v>20</v>
      </c>
      <c r="P338" t="s">
        <v>322</v>
      </c>
    </row>
    <row r="339" spans="1:16">
      <c r="A339" s="1">
        <v>45950</v>
      </c>
      <c r="B339">
        <v>3</v>
      </c>
      <c r="C339" t="s">
        <v>99</v>
      </c>
      <c r="D339">
        <v>3</v>
      </c>
      <c r="E339" s="2">
        <v>13</v>
      </c>
      <c r="F339" s="2">
        <v>-95.28</v>
      </c>
      <c r="G339" s="2">
        <v>103.32</v>
      </c>
      <c r="H339" s="2">
        <v>-37.159999999999997</v>
      </c>
      <c r="I339" s="2">
        <v>37.33</v>
      </c>
      <c r="J339" s="2">
        <v>0.73</v>
      </c>
      <c r="K339" s="2">
        <v>-0.02</v>
      </c>
      <c r="L339" s="2">
        <v>0.73</v>
      </c>
      <c r="M339" s="2">
        <v>0.39</v>
      </c>
      <c r="N339" t="s">
        <v>98</v>
      </c>
      <c r="O339">
        <v>20</v>
      </c>
      <c r="P339" t="s">
        <v>322</v>
      </c>
    </row>
    <row r="340" spans="1:16">
      <c r="A340" s="1">
        <v>45950</v>
      </c>
      <c r="B340">
        <v>3</v>
      </c>
      <c r="C340" t="s">
        <v>99</v>
      </c>
      <c r="D340">
        <v>3</v>
      </c>
      <c r="E340" s="2">
        <v>13.5</v>
      </c>
      <c r="F340" s="2">
        <v>-261.55</v>
      </c>
      <c r="G340" s="2">
        <v>272.8</v>
      </c>
      <c r="H340" s="2">
        <v>-180.3</v>
      </c>
      <c r="I340" s="2">
        <v>180.48</v>
      </c>
      <c r="J340" s="2">
        <v>0.74</v>
      </c>
      <c r="K340" s="2">
        <v>0</v>
      </c>
      <c r="L340" s="2">
        <v>0.74</v>
      </c>
      <c r="M340" s="2">
        <v>0.4</v>
      </c>
      <c r="N340" t="s">
        <v>98</v>
      </c>
      <c r="O340">
        <v>20</v>
      </c>
      <c r="P340" t="s">
        <v>322</v>
      </c>
    </row>
    <row r="341" spans="1:16">
      <c r="A341" s="1">
        <v>45950</v>
      </c>
      <c r="B341">
        <v>3</v>
      </c>
      <c r="C341" t="s">
        <v>99</v>
      </c>
      <c r="D341">
        <v>3</v>
      </c>
      <c r="E341" s="2">
        <v>14</v>
      </c>
      <c r="F341" s="2">
        <v>-293.63</v>
      </c>
      <c r="G341" s="2">
        <v>303.89</v>
      </c>
      <c r="H341" s="2">
        <v>-305.69</v>
      </c>
      <c r="I341" s="2">
        <v>304.24</v>
      </c>
      <c r="J341" s="2">
        <v>0.75</v>
      </c>
      <c r="K341" s="2">
        <v>-0.01</v>
      </c>
      <c r="L341" s="2">
        <v>0.75</v>
      </c>
      <c r="M341" s="2">
        <v>0.39</v>
      </c>
      <c r="N341" t="s">
        <v>98</v>
      </c>
      <c r="O341">
        <v>20</v>
      </c>
      <c r="P341" t="s">
        <v>322</v>
      </c>
    </row>
    <row r="342" spans="1:16">
      <c r="A342" s="1">
        <v>45950</v>
      </c>
      <c r="B342">
        <v>3</v>
      </c>
      <c r="C342" t="s">
        <v>99</v>
      </c>
      <c r="D342">
        <v>3</v>
      </c>
      <c r="E342" s="2">
        <v>14.5</v>
      </c>
      <c r="F342" s="2">
        <v>-259.13</v>
      </c>
      <c r="G342" s="2">
        <v>270.08999999999997</v>
      </c>
      <c r="H342" s="2">
        <v>-253.99</v>
      </c>
      <c r="I342" s="2">
        <v>265.75</v>
      </c>
      <c r="J342" s="2">
        <v>0.73</v>
      </c>
      <c r="K342" s="2">
        <v>-0.04</v>
      </c>
      <c r="L342" s="2">
        <v>0.73</v>
      </c>
      <c r="M342" s="2">
        <v>0.37</v>
      </c>
      <c r="N342" t="s">
        <v>98</v>
      </c>
      <c r="O342">
        <v>20</v>
      </c>
      <c r="P342" t="s">
        <v>322</v>
      </c>
    </row>
    <row r="343" spans="1:16">
      <c r="A343" s="1">
        <v>45950</v>
      </c>
      <c r="B343">
        <v>3</v>
      </c>
      <c r="C343" t="s">
        <v>99</v>
      </c>
      <c r="D343">
        <v>3</v>
      </c>
      <c r="E343" s="2">
        <v>15</v>
      </c>
      <c r="F343" s="2">
        <v>-222.32</v>
      </c>
      <c r="G343" s="2">
        <v>234.95</v>
      </c>
      <c r="H343" s="2">
        <v>-204.79</v>
      </c>
      <c r="I343" s="2">
        <v>198.31</v>
      </c>
      <c r="J343" s="2">
        <v>0.68</v>
      </c>
      <c r="K343" s="2">
        <v>-0.1</v>
      </c>
      <c r="L343" s="2">
        <v>0.69</v>
      </c>
      <c r="M343" s="2">
        <v>0.34</v>
      </c>
      <c r="N343" t="s">
        <v>98</v>
      </c>
      <c r="O343">
        <v>20</v>
      </c>
      <c r="P343" t="s">
        <v>322</v>
      </c>
    </row>
    <row r="344" spans="1:16">
      <c r="A344" s="1">
        <v>45950</v>
      </c>
      <c r="B344">
        <v>3</v>
      </c>
      <c r="C344" t="s">
        <v>99</v>
      </c>
      <c r="D344">
        <v>3</v>
      </c>
      <c r="E344" s="2">
        <v>15.5</v>
      </c>
      <c r="F344" s="2">
        <v>-157.68</v>
      </c>
      <c r="G344" s="2">
        <v>164.97</v>
      </c>
      <c r="H344" s="2">
        <v>-193.78</v>
      </c>
      <c r="I344" s="2">
        <v>181.25</v>
      </c>
      <c r="J344" s="2">
        <v>0.65</v>
      </c>
      <c r="K344" s="2">
        <v>-0.09</v>
      </c>
      <c r="L344" s="2">
        <v>0.66</v>
      </c>
      <c r="M344" s="2">
        <v>0.32</v>
      </c>
      <c r="N344" t="s">
        <v>98</v>
      </c>
      <c r="O344">
        <v>20</v>
      </c>
      <c r="P344" t="s">
        <v>322</v>
      </c>
    </row>
    <row r="345" spans="1:16">
      <c r="A345" s="1">
        <v>45950</v>
      </c>
      <c r="B345">
        <v>3</v>
      </c>
      <c r="C345" t="s">
        <v>99</v>
      </c>
      <c r="D345">
        <v>3</v>
      </c>
      <c r="E345" s="2">
        <v>16</v>
      </c>
      <c r="F345" s="2">
        <v>-72.06</v>
      </c>
      <c r="G345" s="2">
        <v>81.040000000000006</v>
      </c>
      <c r="H345" s="2">
        <v>-167.78</v>
      </c>
      <c r="I345" s="2">
        <v>170.89</v>
      </c>
      <c r="J345" s="2">
        <v>0.64</v>
      </c>
      <c r="K345" s="2">
        <v>-0.08</v>
      </c>
      <c r="L345" s="2">
        <v>0.65</v>
      </c>
      <c r="M345" s="2">
        <v>0.3</v>
      </c>
      <c r="N345" t="s">
        <v>98</v>
      </c>
      <c r="O345">
        <v>20</v>
      </c>
      <c r="P345" t="s">
        <v>322</v>
      </c>
    </row>
    <row r="346" spans="1:16">
      <c r="A346" s="1">
        <v>45950</v>
      </c>
      <c r="B346">
        <v>3</v>
      </c>
      <c r="C346" t="s">
        <v>99</v>
      </c>
      <c r="D346">
        <v>3</v>
      </c>
      <c r="E346" s="2">
        <v>16.5</v>
      </c>
      <c r="F346" s="2">
        <v>110.77</v>
      </c>
      <c r="G346" s="2">
        <v>-103.59</v>
      </c>
      <c r="H346" s="2">
        <v>-117.54</v>
      </c>
      <c r="I346" s="2">
        <v>114.54</v>
      </c>
      <c r="J346" s="2">
        <v>0.62</v>
      </c>
      <c r="K346" s="2">
        <v>-0.03</v>
      </c>
      <c r="L346" s="2">
        <v>0.62</v>
      </c>
      <c r="M346" s="2">
        <v>0.28000000000000003</v>
      </c>
      <c r="N346" t="s">
        <v>98</v>
      </c>
      <c r="O346">
        <v>20</v>
      </c>
      <c r="P346" t="s">
        <v>322</v>
      </c>
    </row>
    <row r="347" spans="1:16">
      <c r="A347" s="1">
        <v>45950</v>
      </c>
      <c r="B347">
        <v>3</v>
      </c>
      <c r="C347" t="s">
        <v>99</v>
      </c>
      <c r="D347">
        <v>3</v>
      </c>
      <c r="E347" s="2">
        <v>17</v>
      </c>
      <c r="F347" s="2">
        <v>273.94</v>
      </c>
      <c r="G347" s="2">
        <v>-263.68</v>
      </c>
      <c r="H347" s="2">
        <v>-65.16</v>
      </c>
      <c r="I347" s="2">
        <v>56.85</v>
      </c>
      <c r="J347" s="2">
        <v>0.57999999999999996</v>
      </c>
      <c r="K347" s="2">
        <v>-0.17</v>
      </c>
      <c r="L347" s="2">
        <v>0.61</v>
      </c>
      <c r="M347" s="2">
        <v>0.2</v>
      </c>
      <c r="N347" t="s">
        <v>98</v>
      </c>
      <c r="O347">
        <v>20</v>
      </c>
      <c r="P347" t="s">
        <v>322</v>
      </c>
    </row>
    <row r="348" spans="1:16">
      <c r="A348" s="1">
        <v>45950</v>
      </c>
      <c r="B348">
        <v>3</v>
      </c>
      <c r="C348" t="s">
        <v>99</v>
      </c>
      <c r="D348">
        <v>3</v>
      </c>
      <c r="E348" s="2">
        <v>17.5</v>
      </c>
      <c r="F348" s="2">
        <v>325.68</v>
      </c>
      <c r="G348" s="2">
        <v>-319.27999999999997</v>
      </c>
      <c r="H348" s="2">
        <v>-70.489999999999995</v>
      </c>
      <c r="I348" s="2">
        <v>64.89</v>
      </c>
      <c r="J348" s="2">
        <v>0.56000000000000005</v>
      </c>
      <c r="K348" s="2">
        <v>0</v>
      </c>
      <c r="L348" s="2">
        <v>0.56000000000000005</v>
      </c>
      <c r="M348" s="2">
        <v>0.2</v>
      </c>
      <c r="N348" t="s">
        <v>98</v>
      </c>
      <c r="O348">
        <v>20</v>
      </c>
      <c r="P348" t="s">
        <v>322</v>
      </c>
    </row>
    <row r="349" spans="1:16">
      <c r="A349" s="1">
        <v>45950</v>
      </c>
      <c r="B349">
        <v>3</v>
      </c>
      <c r="C349" t="s">
        <v>99</v>
      </c>
      <c r="D349">
        <v>3</v>
      </c>
      <c r="E349" s="2">
        <v>18</v>
      </c>
      <c r="F349" s="2">
        <v>395.34</v>
      </c>
      <c r="G349" s="2">
        <v>-385.49</v>
      </c>
      <c r="H349" s="2">
        <v>-108.18</v>
      </c>
      <c r="I349" s="2">
        <v>102.5</v>
      </c>
      <c r="J349" s="2">
        <v>0.54</v>
      </c>
      <c r="K349" s="2">
        <v>0.15</v>
      </c>
      <c r="L349" s="2">
        <v>0.56000000000000005</v>
      </c>
      <c r="M349" s="2">
        <v>0.23</v>
      </c>
      <c r="N349" t="s">
        <v>98</v>
      </c>
      <c r="O349">
        <v>20</v>
      </c>
      <c r="P349" t="s">
        <v>322</v>
      </c>
    </row>
    <row r="350" spans="1:16">
      <c r="A350" s="1">
        <v>45950</v>
      </c>
      <c r="B350">
        <v>3</v>
      </c>
      <c r="C350" t="s">
        <v>99</v>
      </c>
      <c r="D350">
        <v>3</v>
      </c>
      <c r="E350" s="2">
        <v>18.5</v>
      </c>
      <c r="F350" s="2">
        <v>440.12</v>
      </c>
      <c r="G350" s="2">
        <v>-430.03</v>
      </c>
      <c r="H350" s="2">
        <v>-117.67</v>
      </c>
      <c r="I350" s="2">
        <v>116.81</v>
      </c>
      <c r="J350" s="2">
        <v>0.52</v>
      </c>
      <c r="K350" s="2">
        <v>0.1</v>
      </c>
      <c r="L350" s="2">
        <v>0.53</v>
      </c>
      <c r="M350" s="2">
        <v>0.18</v>
      </c>
      <c r="N350" t="s">
        <v>98</v>
      </c>
      <c r="O350">
        <v>20</v>
      </c>
      <c r="P350" t="s">
        <v>322</v>
      </c>
    </row>
    <row r="351" spans="1:16">
      <c r="A351" s="1">
        <v>45950</v>
      </c>
      <c r="B351">
        <v>3</v>
      </c>
      <c r="C351" t="s">
        <v>99</v>
      </c>
      <c r="D351">
        <v>3</v>
      </c>
      <c r="E351" s="2">
        <v>19</v>
      </c>
      <c r="F351" s="2">
        <v>447.59</v>
      </c>
      <c r="G351" s="2">
        <v>-440.78</v>
      </c>
      <c r="H351" s="2">
        <v>-123.04</v>
      </c>
      <c r="I351" s="2">
        <v>109.07</v>
      </c>
      <c r="J351" s="2">
        <v>0.51</v>
      </c>
      <c r="K351" s="2">
        <v>7.0000000000000007E-2</v>
      </c>
      <c r="L351" s="2">
        <v>0.52</v>
      </c>
      <c r="M351" s="2">
        <v>0.14000000000000001</v>
      </c>
      <c r="N351" t="s">
        <v>98</v>
      </c>
      <c r="O351">
        <v>20</v>
      </c>
      <c r="P351" t="s">
        <v>322</v>
      </c>
    </row>
    <row r="352" spans="1:16">
      <c r="A352" s="1">
        <v>45950</v>
      </c>
      <c r="B352">
        <v>3</v>
      </c>
      <c r="C352" t="s">
        <v>99</v>
      </c>
      <c r="D352">
        <v>3</v>
      </c>
      <c r="E352" s="2">
        <v>19.5</v>
      </c>
      <c r="F352" s="2">
        <v>330.28</v>
      </c>
      <c r="G352" s="2">
        <v>-322.33999999999997</v>
      </c>
      <c r="H352" s="2">
        <v>-43.82</v>
      </c>
      <c r="I352" s="2">
        <v>49.16</v>
      </c>
      <c r="J352" s="2">
        <v>0.48</v>
      </c>
      <c r="K352" s="2">
        <v>0.16</v>
      </c>
      <c r="L352" s="2">
        <v>0.51</v>
      </c>
      <c r="M352" s="2">
        <v>0.15</v>
      </c>
      <c r="N352" t="s">
        <v>98</v>
      </c>
      <c r="O352">
        <v>20</v>
      </c>
      <c r="P352" t="s">
        <v>322</v>
      </c>
    </row>
    <row r="353" spans="1:16">
      <c r="A353" s="1">
        <v>45950</v>
      </c>
      <c r="B353">
        <v>3</v>
      </c>
      <c r="C353" t="s">
        <v>99</v>
      </c>
      <c r="D353">
        <v>3</v>
      </c>
      <c r="E353" s="2">
        <v>20</v>
      </c>
      <c r="F353" s="2">
        <v>195.03</v>
      </c>
      <c r="G353" s="2">
        <v>-184.96</v>
      </c>
      <c r="H353" s="2">
        <v>-6.06</v>
      </c>
      <c r="I353" s="2">
        <v>11.46</v>
      </c>
      <c r="J353" s="2">
        <v>0.48</v>
      </c>
      <c r="K353" s="2">
        <v>0.23</v>
      </c>
      <c r="L353" s="2">
        <v>0.53</v>
      </c>
      <c r="M353" s="2">
        <v>0.2</v>
      </c>
      <c r="N353" t="s">
        <v>98</v>
      </c>
      <c r="O353">
        <v>20</v>
      </c>
      <c r="P353" t="s">
        <v>322</v>
      </c>
    </row>
    <row r="354" spans="1:16">
      <c r="A354" s="1">
        <v>45950</v>
      </c>
      <c r="B354">
        <v>3</v>
      </c>
      <c r="C354" t="s">
        <v>99</v>
      </c>
      <c r="D354">
        <v>3</v>
      </c>
      <c r="E354" s="2">
        <v>20.5</v>
      </c>
      <c r="F354" s="2">
        <v>159.76</v>
      </c>
      <c r="G354" s="2">
        <v>-152.06</v>
      </c>
      <c r="H354" s="2">
        <v>-14.89</v>
      </c>
      <c r="I354" s="2">
        <v>15.74</v>
      </c>
      <c r="J354" s="2">
        <v>0.4</v>
      </c>
      <c r="K354" s="2">
        <v>0.32</v>
      </c>
      <c r="L354" s="2">
        <v>0.52</v>
      </c>
      <c r="M354" s="2">
        <v>0.26</v>
      </c>
      <c r="N354" t="s">
        <v>98</v>
      </c>
      <c r="O354">
        <v>20</v>
      </c>
      <c r="P354" t="s">
        <v>322</v>
      </c>
    </row>
    <row r="355" spans="1:16">
      <c r="A355" s="1">
        <v>45950</v>
      </c>
      <c r="B355">
        <v>3</v>
      </c>
      <c r="C355" t="s">
        <v>99</v>
      </c>
      <c r="D355">
        <v>3</v>
      </c>
      <c r="E355" s="2">
        <v>21</v>
      </c>
      <c r="F355" s="2">
        <v>120.01</v>
      </c>
      <c r="G355" s="2">
        <v>-110.3</v>
      </c>
      <c r="H355" s="2">
        <v>-13.96</v>
      </c>
      <c r="I355" s="2">
        <v>19.71</v>
      </c>
      <c r="J355" s="2">
        <v>0.4</v>
      </c>
      <c r="K355" s="2">
        <v>0.33</v>
      </c>
      <c r="L355" s="2">
        <v>0.52</v>
      </c>
      <c r="M355" s="2">
        <v>0.2</v>
      </c>
      <c r="N355" t="s">
        <v>98</v>
      </c>
      <c r="O355">
        <v>20</v>
      </c>
      <c r="P355" t="s">
        <v>322</v>
      </c>
    </row>
    <row r="356" spans="1:16">
      <c r="A356" s="1">
        <v>45950</v>
      </c>
      <c r="B356">
        <v>3</v>
      </c>
      <c r="C356" t="s">
        <v>99</v>
      </c>
      <c r="D356">
        <v>3</v>
      </c>
      <c r="E356" s="2">
        <v>21.5</v>
      </c>
      <c r="F356" s="2">
        <v>-9.6199999999999992</v>
      </c>
      <c r="G356" s="2">
        <v>20.91</v>
      </c>
      <c r="H356" s="2">
        <v>-28.32</v>
      </c>
      <c r="I356" s="2">
        <v>21.9</v>
      </c>
      <c r="J356" s="2">
        <v>0.28000000000000003</v>
      </c>
      <c r="K356" s="2">
        <v>0.11</v>
      </c>
      <c r="L356" s="2">
        <v>0.3</v>
      </c>
      <c r="M356" s="2">
        <v>0.15</v>
      </c>
      <c r="N356" t="s">
        <v>98</v>
      </c>
      <c r="O356">
        <v>20</v>
      </c>
      <c r="P356" t="s">
        <v>322</v>
      </c>
    </row>
    <row r="357" spans="1:16">
      <c r="A357" s="1">
        <v>45950</v>
      </c>
      <c r="B357">
        <v>3</v>
      </c>
      <c r="C357" t="s">
        <v>99</v>
      </c>
      <c r="D357">
        <v>3</v>
      </c>
      <c r="E357" s="2">
        <v>22</v>
      </c>
      <c r="F357" s="2">
        <v>-56.25</v>
      </c>
      <c r="G357" s="2">
        <v>64.44</v>
      </c>
      <c r="H357" s="2">
        <v>-15.09</v>
      </c>
      <c r="I357" s="2">
        <v>26.15</v>
      </c>
      <c r="J357" s="2">
        <v>0.27</v>
      </c>
      <c r="K357" s="2">
        <v>0.2</v>
      </c>
      <c r="L357" s="2">
        <v>0.34</v>
      </c>
      <c r="M357" s="2">
        <v>0.17</v>
      </c>
      <c r="N357" t="s">
        <v>98</v>
      </c>
      <c r="O357">
        <v>20</v>
      </c>
      <c r="P357" t="s">
        <v>322</v>
      </c>
    </row>
    <row r="358" spans="1:16">
      <c r="A358" s="1">
        <v>45950</v>
      </c>
      <c r="B358">
        <v>3</v>
      </c>
      <c r="C358" t="s">
        <v>99</v>
      </c>
      <c r="D358">
        <v>3</v>
      </c>
      <c r="E358" s="2">
        <v>22.5</v>
      </c>
      <c r="F358" s="2">
        <v>-43.59</v>
      </c>
      <c r="G358" s="2">
        <v>53.43</v>
      </c>
      <c r="H358" s="2">
        <v>-121.67</v>
      </c>
      <c r="I358" s="2">
        <v>123.19</v>
      </c>
      <c r="J358" s="2">
        <v>0.27</v>
      </c>
      <c r="K358" s="2">
        <v>0.16</v>
      </c>
      <c r="L358" s="2">
        <v>0.32</v>
      </c>
      <c r="M358" s="2">
        <v>0.15</v>
      </c>
      <c r="N358" t="s">
        <v>98</v>
      </c>
      <c r="O358">
        <v>20</v>
      </c>
      <c r="P358" t="s">
        <v>322</v>
      </c>
    </row>
    <row r="359" spans="1:16">
      <c r="A359" s="1">
        <v>45950</v>
      </c>
      <c r="B359">
        <v>3</v>
      </c>
      <c r="C359" t="s">
        <v>99</v>
      </c>
      <c r="D359">
        <v>3</v>
      </c>
      <c r="E359" s="2">
        <v>23</v>
      </c>
      <c r="F359" s="2">
        <v>-56.19</v>
      </c>
      <c r="G359" s="2">
        <v>62.92</v>
      </c>
      <c r="H359" s="2">
        <v>-164.68</v>
      </c>
      <c r="I359" s="2">
        <v>166.58</v>
      </c>
      <c r="J359" s="2">
        <v>0.25</v>
      </c>
      <c r="K359" s="2">
        <v>0.15</v>
      </c>
      <c r="L359" s="2">
        <v>0.3</v>
      </c>
      <c r="M359" s="2">
        <v>0.14000000000000001</v>
      </c>
      <c r="N359" t="s">
        <v>98</v>
      </c>
      <c r="O359">
        <v>20</v>
      </c>
      <c r="P359" t="s">
        <v>322</v>
      </c>
    </row>
    <row r="360" spans="1:16">
      <c r="A360" s="1">
        <v>45950</v>
      </c>
      <c r="B360">
        <v>3</v>
      </c>
      <c r="C360" t="s">
        <v>99</v>
      </c>
      <c r="D360">
        <v>3</v>
      </c>
      <c r="E360" s="2">
        <v>23.5</v>
      </c>
      <c r="F360" s="2">
        <v>-121.91</v>
      </c>
      <c r="G360" s="2">
        <v>134.82</v>
      </c>
      <c r="H360" s="2">
        <v>-201.62</v>
      </c>
      <c r="I360" s="2">
        <v>211.76</v>
      </c>
      <c r="J360" s="2">
        <v>0.22</v>
      </c>
      <c r="K360" s="2">
        <v>0.13</v>
      </c>
      <c r="L360" s="2">
        <v>0.26</v>
      </c>
      <c r="M360" s="2">
        <v>0.09</v>
      </c>
      <c r="N360" t="s">
        <v>98</v>
      </c>
      <c r="O360">
        <v>20</v>
      </c>
      <c r="P360" t="s">
        <v>322</v>
      </c>
    </row>
    <row r="361" spans="1:16">
      <c r="A361" s="1">
        <v>45950</v>
      </c>
      <c r="B361">
        <v>3</v>
      </c>
      <c r="C361" t="s">
        <v>99</v>
      </c>
      <c r="D361">
        <v>3</v>
      </c>
      <c r="E361" s="2">
        <v>24</v>
      </c>
      <c r="F361" s="2">
        <v>-156.08000000000001</v>
      </c>
      <c r="G361" s="2">
        <v>164.49</v>
      </c>
      <c r="H361" s="2">
        <v>-261.52999999999997</v>
      </c>
      <c r="I361" s="2">
        <v>260.98</v>
      </c>
      <c r="J361" s="2">
        <v>0.22</v>
      </c>
      <c r="K361" s="2">
        <v>0.05</v>
      </c>
      <c r="L361" s="2">
        <v>0.23</v>
      </c>
      <c r="M361" s="2">
        <v>0.02</v>
      </c>
      <c r="N361" t="s">
        <v>98</v>
      </c>
      <c r="O361">
        <v>20</v>
      </c>
      <c r="P361" t="s">
        <v>322</v>
      </c>
    </row>
    <row r="362" spans="1:16">
      <c r="A362" s="1">
        <v>45950</v>
      </c>
      <c r="B362">
        <v>3</v>
      </c>
      <c r="C362" t="s">
        <v>99</v>
      </c>
      <c r="D362">
        <v>3</v>
      </c>
      <c r="E362" s="2">
        <v>24.5</v>
      </c>
      <c r="F362" s="2">
        <v>-52.1</v>
      </c>
      <c r="G362" s="2">
        <v>56.72</v>
      </c>
      <c r="H362" s="2">
        <v>-250.86</v>
      </c>
      <c r="I362" s="2">
        <v>237.91</v>
      </c>
      <c r="J362" s="2">
        <v>0.2</v>
      </c>
      <c r="K362" s="2">
        <v>0.01</v>
      </c>
      <c r="L362" s="2">
        <v>0.2</v>
      </c>
      <c r="M362" s="2">
        <v>7.0000000000000007E-2</v>
      </c>
      <c r="N362" t="s">
        <v>98</v>
      </c>
      <c r="O362">
        <v>20</v>
      </c>
      <c r="P362" t="s">
        <v>322</v>
      </c>
    </row>
    <row r="363" spans="1:16">
      <c r="A363" s="1">
        <v>45950</v>
      </c>
      <c r="B363">
        <v>3</v>
      </c>
      <c r="C363" t="s">
        <v>99</v>
      </c>
      <c r="D363">
        <v>3</v>
      </c>
      <c r="E363" s="2">
        <v>25</v>
      </c>
      <c r="F363" s="2">
        <v>45.43</v>
      </c>
      <c r="G363" s="2">
        <v>-34.92</v>
      </c>
      <c r="H363" s="2">
        <v>-230.57</v>
      </c>
      <c r="I363" s="2">
        <v>229.54</v>
      </c>
      <c r="J363" s="2">
        <v>0.14000000000000001</v>
      </c>
      <c r="K363" s="2">
        <v>-7.0000000000000007E-2</v>
      </c>
      <c r="L363" s="2">
        <v>0.16</v>
      </c>
      <c r="M363" s="2">
        <v>0.05</v>
      </c>
      <c r="N363" t="s">
        <v>98</v>
      </c>
      <c r="O363">
        <v>20</v>
      </c>
      <c r="P363" t="s">
        <v>322</v>
      </c>
    </row>
    <row r="364" spans="1:16">
      <c r="A364" s="1">
        <v>45950</v>
      </c>
      <c r="B364">
        <v>3</v>
      </c>
      <c r="C364" t="s">
        <v>99</v>
      </c>
      <c r="D364">
        <v>3</v>
      </c>
      <c r="E364" s="2">
        <v>25.5</v>
      </c>
      <c r="F364" s="2">
        <v>101.88</v>
      </c>
      <c r="G364" s="2">
        <v>-93.47</v>
      </c>
      <c r="H364" s="2">
        <v>-195.64</v>
      </c>
      <c r="I364" s="2">
        <v>203.39</v>
      </c>
      <c r="J364" s="2">
        <v>0.09</v>
      </c>
      <c r="K364" s="2">
        <v>-0.01</v>
      </c>
      <c r="L364" s="2">
        <v>0.09</v>
      </c>
      <c r="M364" s="2">
        <v>0.03</v>
      </c>
      <c r="N364" t="s">
        <v>98</v>
      </c>
      <c r="O364">
        <v>20</v>
      </c>
      <c r="P364" t="s">
        <v>322</v>
      </c>
    </row>
    <row r="365" spans="1:16">
      <c r="A365" s="1">
        <v>45950</v>
      </c>
      <c r="B365">
        <v>3</v>
      </c>
      <c r="C365" t="s">
        <v>99</v>
      </c>
      <c r="D365">
        <v>3</v>
      </c>
      <c r="E365" s="2">
        <v>26</v>
      </c>
      <c r="F365" s="2">
        <v>148.91999999999999</v>
      </c>
      <c r="G365" s="2">
        <v>-137.22999999999999</v>
      </c>
      <c r="H365" s="2">
        <v>-244.05</v>
      </c>
      <c r="I365" s="2">
        <v>252.58</v>
      </c>
      <c r="J365" s="2">
        <v>7.0000000000000007E-2</v>
      </c>
      <c r="K365" s="2">
        <v>0.19</v>
      </c>
      <c r="L365" s="2">
        <v>0.2</v>
      </c>
      <c r="M365" s="2">
        <v>0.09</v>
      </c>
      <c r="N365" t="s">
        <v>98</v>
      </c>
      <c r="O365">
        <v>20</v>
      </c>
      <c r="P365" t="s">
        <v>322</v>
      </c>
    </row>
    <row r="366" spans="1:16">
      <c r="A366" s="1">
        <v>45950</v>
      </c>
      <c r="B366">
        <v>3</v>
      </c>
      <c r="C366" t="s">
        <v>99</v>
      </c>
      <c r="D366">
        <v>3</v>
      </c>
      <c r="E366" s="2">
        <v>26.5</v>
      </c>
      <c r="F366" s="2">
        <v>155.37</v>
      </c>
      <c r="G366" s="2">
        <v>-142.66999999999999</v>
      </c>
      <c r="H366" s="2">
        <v>-258.47000000000003</v>
      </c>
      <c r="I366" s="2">
        <v>261.83999999999997</v>
      </c>
      <c r="J366" s="2">
        <v>0.04</v>
      </c>
      <c r="K366" s="2">
        <v>0.11</v>
      </c>
      <c r="L366" s="2">
        <v>0.11</v>
      </c>
      <c r="M366" s="2">
        <v>0.09</v>
      </c>
      <c r="N366" t="s">
        <v>98</v>
      </c>
      <c r="O366">
        <v>20</v>
      </c>
      <c r="P366" t="s">
        <v>322</v>
      </c>
    </row>
    <row r="367" spans="1:16">
      <c r="A367" s="1">
        <v>45950</v>
      </c>
      <c r="B367">
        <v>3</v>
      </c>
      <c r="C367" t="s">
        <v>100</v>
      </c>
      <c r="D367">
        <v>2</v>
      </c>
      <c r="E367" s="2">
        <v>0.5</v>
      </c>
      <c r="F367" s="2">
        <v>409.04</v>
      </c>
      <c r="G367" s="2">
        <v>-396.9</v>
      </c>
      <c r="H367" s="2">
        <v>476.78</v>
      </c>
      <c r="I367" s="2">
        <v>-475.98</v>
      </c>
      <c r="J367" s="2">
        <v>-0.03</v>
      </c>
      <c r="K367" s="2">
        <v>0.26</v>
      </c>
      <c r="L367" s="2">
        <v>0.26</v>
      </c>
      <c r="M367" s="2">
        <v>-1.0900000000000001</v>
      </c>
      <c r="N367" t="s">
        <v>98</v>
      </c>
      <c r="O367">
        <v>28</v>
      </c>
      <c r="P367" t="s">
        <v>322</v>
      </c>
    </row>
    <row r="368" spans="1:16">
      <c r="A368" s="1">
        <v>45950</v>
      </c>
      <c r="B368">
        <v>3</v>
      </c>
      <c r="C368" t="s">
        <v>100</v>
      </c>
      <c r="D368">
        <v>2</v>
      </c>
      <c r="E368" s="2">
        <v>1</v>
      </c>
      <c r="F368" s="2">
        <v>409.24</v>
      </c>
      <c r="G368" s="2">
        <v>-397.43</v>
      </c>
      <c r="H368" s="2">
        <v>476.63</v>
      </c>
      <c r="I368" s="2">
        <v>-476.11</v>
      </c>
      <c r="J368" s="2">
        <v>-0.04</v>
      </c>
      <c r="K368" s="2">
        <v>0.04</v>
      </c>
      <c r="L368" s="2">
        <v>0.05</v>
      </c>
      <c r="M368" s="2">
        <v>-1.33</v>
      </c>
      <c r="N368" t="s">
        <v>98</v>
      </c>
      <c r="O368">
        <v>28</v>
      </c>
      <c r="P368" t="s">
        <v>322</v>
      </c>
    </row>
    <row r="369" spans="1:16">
      <c r="A369" s="1">
        <v>45950</v>
      </c>
      <c r="B369">
        <v>3</v>
      </c>
      <c r="C369" t="s">
        <v>100</v>
      </c>
      <c r="D369">
        <v>2</v>
      </c>
      <c r="E369" s="2">
        <v>1.5</v>
      </c>
      <c r="F369" s="2">
        <v>440.23</v>
      </c>
      <c r="G369" s="2">
        <v>-432.54</v>
      </c>
      <c r="H369" s="2">
        <v>413.83</v>
      </c>
      <c r="I369" s="2">
        <v>-399.29</v>
      </c>
      <c r="J369" s="2">
        <v>-0.03</v>
      </c>
      <c r="K369" s="2">
        <v>-0.18</v>
      </c>
      <c r="L369" s="2">
        <v>0.18</v>
      </c>
      <c r="M369" s="2">
        <v>-1.22</v>
      </c>
      <c r="N369" t="s">
        <v>98</v>
      </c>
      <c r="O369">
        <v>28</v>
      </c>
      <c r="P369" t="s">
        <v>322</v>
      </c>
    </row>
    <row r="370" spans="1:16">
      <c r="A370" s="1">
        <v>45950</v>
      </c>
      <c r="B370">
        <v>3</v>
      </c>
      <c r="C370" t="s">
        <v>100</v>
      </c>
      <c r="D370">
        <v>2</v>
      </c>
      <c r="E370" s="2">
        <v>2</v>
      </c>
      <c r="F370" s="2">
        <v>495.69</v>
      </c>
      <c r="G370" s="2">
        <v>-488.91</v>
      </c>
      <c r="H370" s="2">
        <v>247.73</v>
      </c>
      <c r="I370" s="2">
        <v>-236.11</v>
      </c>
      <c r="J370" s="2">
        <v>-0.01</v>
      </c>
      <c r="K370" s="2">
        <v>-0.27</v>
      </c>
      <c r="L370" s="2">
        <v>0.27</v>
      </c>
      <c r="M370" s="2">
        <v>-1.1399999999999999</v>
      </c>
      <c r="N370" t="s">
        <v>98</v>
      </c>
      <c r="O370">
        <v>28</v>
      </c>
      <c r="P370" t="s">
        <v>322</v>
      </c>
    </row>
    <row r="371" spans="1:16">
      <c r="A371" s="1">
        <v>45950</v>
      </c>
      <c r="B371">
        <v>3</v>
      </c>
      <c r="C371" t="s">
        <v>100</v>
      </c>
      <c r="D371">
        <v>2</v>
      </c>
      <c r="E371" s="2">
        <v>2.5</v>
      </c>
      <c r="F371" s="2">
        <v>449.43</v>
      </c>
      <c r="G371" s="2">
        <v>-442.92</v>
      </c>
      <c r="H371" s="2">
        <v>138.96</v>
      </c>
      <c r="I371" s="2">
        <v>-119.31</v>
      </c>
      <c r="J371" s="2">
        <v>-0.01</v>
      </c>
      <c r="K371" s="2">
        <v>-0.22</v>
      </c>
      <c r="L371" s="2">
        <v>0.22</v>
      </c>
      <c r="M371" s="2">
        <v>-1.43</v>
      </c>
      <c r="N371" t="s">
        <v>98</v>
      </c>
      <c r="O371">
        <v>28</v>
      </c>
      <c r="P371" t="s">
        <v>322</v>
      </c>
    </row>
    <row r="372" spans="1:16">
      <c r="A372" s="1">
        <v>45950</v>
      </c>
      <c r="B372">
        <v>3</v>
      </c>
      <c r="C372" t="s">
        <v>100</v>
      </c>
      <c r="D372">
        <v>2</v>
      </c>
      <c r="E372" s="2">
        <v>3</v>
      </c>
      <c r="F372" s="2">
        <v>398.95</v>
      </c>
      <c r="G372" s="2">
        <v>-389.78</v>
      </c>
      <c r="H372" s="2">
        <v>-6.45</v>
      </c>
      <c r="I372" s="2">
        <v>8.5500000000000007</v>
      </c>
      <c r="J372" s="2">
        <v>0</v>
      </c>
      <c r="K372" s="2">
        <v>-0.12</v>
      </c>
      <c r="L372" s="2">
        <v>0.12</v>
      </c>
      <c r="M372" s="2">
        <v>-1.76</v>
      </c>
      <c r="N372" t="s">
        <v>98</v>
      </c>
      <c r="O372">
        <v>28</v>
      </c>
      <c r="P372" t="s">
        <v>322</v>
      </c>
    </row>
    <row r="373" spans="1:16">
      <c r="A373" s="1">
        <v>45950</v>
      </c>
      <c r="B373">
        <v>3</v>
      </c>
      <c r="C373" t="s">
        <v>100</v>
      </c>
      <c r="D373">
        <v>2</v>
      </c>
      <c r="E373" s="2">
        <v>3.5</v>
      </c>
      <c r="F373" s="2">
        <v>357.5</v>
      </c>
      <c r="G373" s="2">
        <v>-350.38</v>
      </c>
      <c r="H373" s="2">
        <v>-78.91</v>
      </c>
      <c r="I373" s="2">
        <v>97.36</v>
      </c>
      <c r="J373" s="2">
        <v>0.03</v>
      </c>
      <c r="K373" s="2">
        <v>-0.18</v>
      </c>
      <c r="L373" s="2">
        <v>0.18</v>
      </c>
      <c r="M373" s="2">
        <v>-1.81</v>
      </c>
      <c r="N373" t="s">
        <v>98</v>
      </c>
      <c r="O373">
        <v>28</v>
      </c>
      <c r="P373" t="s">
        <v>322</v>
      </c>
    </row>
    <row r="374" spans="1:16">
      <c r="A374" s="1">
        <v>45950</v>
      </c>
      <c r="B374">
        <v>3</v>
      </c>
      <c r="C374" t="s">
        <v>100</v>
      </c>
      <c r="D374">
        <v>2</v>
      </c>
      <c r="E374" s="2">
        <v>4</v>
      </c>
      <c r="F374" s="2">
        <v>347.28</v>
      </c>
      <c r="G374" s="2">
        <v>-338.54</v>
      </c>
      <c r="H374" s="2">
        <v>-102.79</v>
      </c>
      <c r="I374" s="2">
        <v>120.53</v>
      </c>
      <c r="J374" s="2">
        <v>0.03</v>
      </c>
      <c r="K374" s="2">
        <v>0</v>
      </c>
      <c r="L374" s="2">
        <v>0.03</v>
      </c>
      <c r="M374" s="2">
        <v>-1.93</v>
      </c>
      <c r="N374" t="s">
        <v>98</v>
      </c>
      <c r="O374">
        <v>28</v>
      </c>
      <c r="P374" t="s">
        <v>322</v>
      </c>
    </row>
    <row r="375" spans="1:16">
      <c r="A375" s="1">
        <v>45950</v>
      </c>
      <c r="B375">
        <v>3</v>
      </c>
      <c r="C375" t="s">
        <v>100</v>
      </c>
      <c r="D375">
        <v>2</v>
      </c>
      <c r="E375" s="2">
        <v>4.5</v>
      </c>
      <c r="F375" s="2">
        <v>350.49</v>
      </c>
      <c r="G375" s="2">
        <v>-340.68</v>
      </c>
      <c r="H375" s="2">
        <v>-109.01</v>
      </c>
      <c r="I375" s="2">
        <v>121.19</v>
      </c>
      <c r="J375" s="2">
        <v>7.0000000000000007E-2</v>
      </c>
      <c r="K375" s="2">
        <v>0.04</v>
      </c>
      <c r="L375" s="2">
        <v>0.08</v>
      </c>
      <c r="M375" s="2">
        <v>-1.85</v>
      </c>
      <c r="N375" t="s">
        <v>98</v>
      </c>
      <c r="O375">
        <v>28</v>
      </c>
      <c r="P375" t="s">
        <v>322</v>
      </c>
    </row>
    <row r="376" spans="1:16">
      <c r="A376" s="1">
        <v>45950</v>
      </c>
      <c r="B376">
        <v>3</v>
      </c>
      <c r="C376" t="s">
        <v>100</v>
      </c>
      <c r="D376">
        <v>2</v>
      </c>
      <c r="E376" s="2">
        <v>5</v>
      </c>
      <c r="F376" s="2">
        <v>287.54000000000002</v>
      </c>
      <c r="G376" s="2">
        <v>-280.14999999999998</v>
      </c>
      <c r="H376" s="2">
        <v>-75.78</v>
      </c>
      <c r="I376" s="2">
        <v>68.77</v>
      </c>
      <c r="J376" s="2">
        <v>0.1</v>
      </c>
      <c r="K376" s="2">
        <v>-0.04</v>
      </c>
      <c r="L376" s="2">
        <v>0.11</v>
      </c>
      <c r="M376" s="2">
        <v>-1.8</v>
      </c>
      <c r="N376" t="s">
        <v>98</v>
      </c>
      <c r="O376">
        <v>28</v>
      </c>
      <c r="P376" t="s">
        <v>322</v>
      </c>
    </row>
    <row r="377" spans="1:16">
      <c r="A377" s="1">
        <v>45950</v>
      </c>
      <c r="B377">
        <v>3</v>
      </c>
      <c r="C377" t="s">
        <v>100</v>
      </c>
      <c r="D377">
        <v>2</v>
      </c>
      <c r="E377" s="2">
        <v>5.5</v>
      </c>
      <c r="F377" s="2">
        <v>204.91</v>
      </c>
      <c r="G377" s="2">
        <v>-195.75</v>
      </c>
      <c r="H377" s="2">
        <v>-23.57</v>
      </c>
      <c r="I377" s="2">
        <v>24.4</v>
      </c>
      <c r="J377" s="2">
        <v>0.13</v>
      </c>
      <c r="K377" s="2">
        <v>-0.09</v>
      </c>
      <c r="L377" s="2">
        <v>0.16</v>
      </c>
      <c r="M377" s="2">
        <v>-1.73</v>
      </c>
      <c r="N377" t="s">
        <v>98</v>
      </c>
      <c r="O377">
        <v>28</v>
      </c>
      <c r="P377" t="s">
        <v>322</v>
      </c>
    </row>
    <row r="378" spans="1:16">
      <c r="A378" s="1">
        <v>45950</v>
      </c>
      <c r="B378">
        <v>3</v>
      </c>
      <c r="C378" t="s">
        <v>100</v>
      </c>
      <c r="D378">
        <v>2</v>
      </c>
      <c r="E378" s="2">
        <v>6</v>
      </c>
      <c r="F378" s="2">
        <v>170.59</v>
      </c>
      <c r="G378" s="2">
        <v>-161.74</v>
      </c>
      <c r="H378" s="2">
        <v>18.79</v>
      </c>
      <c r="I378" s="2">
        <v>-22.28</v>
      </c>
      <c r="J378" s="2">
        <v>0.17</v>
      </c>
      <c r="K378" s="2">
        <v>-0.05</v>
      </c>
      <c r="L378" s="2">
        <v>0.17</v>
      </c>
      <c r="M378" s="2">
        <v>-1.64</v>
      </c>
      <c r="N378" t="s">
        <v>98</v>
      </c>
      <c r="O378">
        <v>28</v>
      </c>
      <c r="P378" t="s">
        <v>323</v>
      </c>
    </row>
    <row r="379" spans="1:16">
      <c r="A379" s="1">
        <v>45950</v>
      </c>
      <c r="B379">
        <v>3</v>
      </c>
      <c r="C379" t="s">
        <v>100</v>
      </c>
      <c r="D379">
        <v>2</v>
      </c>
      <c r="E379" s="2">
        <v>6.5</v>
      </c>
      <c r="F379" s="2">
        <v>173.69</v>
      </c>
      <c r="G379" s="2">
        <v>-165.25</v>
      </c>
      <c r="H379" s="2">
        <v>72.38</v>
      </c>
      <c r="I379" s="2">
        <v>-76.45</v>
      </c>
      <c r="J379" s="2">
        <v>0.2</v>
      </c>
      <c r="K379" s="2">
        <v>-0.11</v>
      </c>
      <c r="L379" s="2">
        <v>0.23</v>
      </c>
      <c r="M379" s="2">
        <v>-1.65</v>
      </c>
      <c r="N379" t="s">
        <v>98</v>
      </c>
      <c r="O379">
        <v>28</v>
      </c>
      <c r="P379" t="s">
        <v>323</v>
      </c>
    </row>
    <row r="380" spans="1:16">
      <c r="A380" s="1">
        <v>45950</v>
      </c>
      <c r="B380">
        <v>3</v>
      </c>
      <c r="C380" t="s">
        <v>100</v>
      </c>
      <c r="D380">
        <v>2</v>
      </c>
      <c r="E380" s="2">
        <v>7</v>
      </c>
      <c r="F380" s="2">
        <v>136.85</v>
      </c>
      <c r="G380" s="2">
        <v>-128.28</v>
      </c>
      <c r="H380" s="2">
        <v>133.08000000000001</v>
      </c>
      <c r="I380" s="2">
        <v>-126.08</v>
      </c>
      <c r="J380" s="2">
        <v>0.23</v>
      </c>
      <c r="K380" s="2">
        <v>-0.05</v>
      </c>
      <c r="L380" s="2">
        <v>0.23</v>
      </c>
      <c r="M380" s="2">
        <v>-1.67</v>
      </c>
      <c r="N380" t="s">
        <v>98</v>
      </c>
      <c r="O380">
        <v>28</v>
      </c>
      <c r="P380" t="s">
        <v>322</v>
      </c>
    </row>
    <row r="381" spans="1:16">
      <c r="A381" s="1">
        <v>45950</v>
      </c>
      <c r="B381">
        <v>3</v>
      </c>
      <c r="C381" t="s">
        <v>100</v>
      </c>
      <c r="D381">
        <v>2</v>
      </c>
      <c r="E381" s="2">
        <v>7.5</v>
      </c>
      <c r="F381" s="2">
        <v>95.71</v>
      </c>
      <c r="G381" s="2">
        <v>-88.67</v>
      </c>
      <c r="H381" s="2">
        <v>210.78</v>
      </c>
      <c r="I381" s="2">
        <v>-184.21</v>
      </c>
      <c r="J381" s="2">
        <v>0.25</v>
      </c>
      <c r="K381" s="2">
        <v>-0.18</v>
      </c>
      <c r="L381" s="2">
        <v>0.31</v>
      </c>
      <c r="M381" s="2">
        <v>-1.58</v>
      </c>
      <c r="N381" t="s">
        <v>98</v>
      </c>
      <c r="O381">
        <v>28</v>
      </c>
      <c r="P381" t="s">
        <v>322</v>
      </c>
    </row>
    <row r="382" spans="1:16">
      <c r="A382" s="1">
        <v>45950</v>
      </c>
      <c r="B382">
        <v>3</v>
      </c>
      <c r="C382" t="s">
        <v>100</v>
      </c>
      <c r="D382">
        <v>2</v>
      </c>
      <c r="E382" s="2">
        <v>8</v>
      </c>
      <c r="F382" s="2">
        <v>97.41</v>
      </c>
      <c r="G382" s="2">
        <v>-93.88</v>
      </c>
      <c r="H382" s="2">
        <v>236.7</v>
      </c>
      <c r="I382" s="2">
        <v>-213.72</v>
      </c>
      <c r="J382" s="2">
        <v>0.28000000000000003</v>
      </c>
      <c r="K382" s="2">
        <v>-0.27</v>
      </c>
      <c r="L382" s="2">
        <v>0.39</v>
      </c>
      <c r="M382" s="2">
        <v>-1.42</v>
      </c>
      <c r="N382" t="s">
        <v>98</v>
      </c>
      <c r="O382">
        <v>28</v>
      </c>
      <c r="P382" t="s">
        <v>322</v>
      </c>
    </row>
    <row r="383" spans="1:16">
      <c r="A383" s="1">
        <v>45950</v>
      </c>
      <c r="B383">
        <v>3</v>
      </c>
      <c r="C383" t="s">
        <v>100</v>
      </c>
      <c r="D383">
        <v>2</v>
      </c>
      <c r="E383" s="2">
        <v>8.5</v>
      </c>
      <c r="F383" s="2">
        <v>128.12</v>
      </c>
      <c r="G383" s="2">
        <v>-122.42</v>
      </c>
      <c r="H383" s="2">
        <v>322.88</v>
      </c>
      <c r="I383" s="2">
        <v>-290.43</v>
      </c>
      <c r="J383" s="2">
        <v>0.33</v>
      </c>
      <c r="K383" s="2">
        <v>-0.62</v>
      </c>
      <c r="L383" s="2">
        <v>0.7</v>
      </c>
      <c r="M383" s="2">
        <v>-0.94</v>
      </c>
      <c r="N383" t="s">
        <v>98</v>
      </c>
      <c r="O383">
        <v>28</v>
      </c>
      <c r="P383" t="s">
        <v>322</v>
      </c>
    </row>
    <row r="384" spans="1:16">
      <c r="A384" s="1">
        <v>45950</v>
      </c>
      <c r="B384">
        <v>3</v>
      </c>
      <c r="C384" t="s">
        <v>100</v>
      </c>
      <c r="D384">
        <v>2</v>
      </c>
      <c r="E384" s="2">
        <v>9</v>
      </c>
      <c r="F384" s="2">
        <v>179.97</v>
      </c>
      <c r="G384" s="2">
        <v>-169.65</v>
      </c>
      <c r="H384" s="2">
        <v>371.49</v>
      </c>
      <c r="I384" s="2">
        <v>-353.17</v>
      </c>
      <c r="J384" s="2">
        <v>0.36</v>
      </c>
      <c r="K384" s="2">
        <v>-0.77</v>
      </c>
      <c r="L384" s="2">
        <v>0.85</v>
      </c>
      <c r="M384" s="2">
        <v>-0.56000000000000005</v>
      </c>
      <c r="N384" t="s">
        <v>98</v>
      </c>
      <c r="O384">
        <v>28</v>
      </c>
      <c r="P384" t="s">
        <v>322</v>
      </c>
    </row>
    <row r="385" spans="1:16">
      <c r="A385" s="1">
        <v>45950</v>
      </c>
      <c r="B385">
        <v>3</v>
      </c>
      <c r="C385" t="s">
        <v>100</v>
      </c>
      <c r="D385">
        <v>2</v>
      </c>
      <c r="E385" s="2">
        <v>9.5</v>
      </c>
      <c r="F385" s="2">
        <v>160.59</v>
      </c>
      <c r="G385" s="2">
        <v>-161.5</v>
      </c>
      <c r="H385" s="2">
        <v>428.22</v>
      </c>
      <c r="I385" s="2">
        <v>-402.72</v>
      </c>
      <c r="J385" s="2">
        <v>0.37</v>
      </c>
      <c r="K385" s="2">
        <v>-0.81</v>
      </c>
      <c r="L385" s="2">
        <v>0.89</v>
      </c>
      <c r="M385" s="2">
        <v>-0.49</v>
      </c>
      <c r="N385" t="s">
        <v>98</v>
      </c>
      <c r="O385">
        <v>28</v>
      </c>
      <c r="P385" t="s">
        <v>322</v>
      </c>
    </row>
    <row r="386" spans="1:16">
      <c r="A386" s="1">
        <v>45950</v>
      </c>
      <c r="B386">
        <v>3</v>
      </c>
      <c r="C386" t="s">
        <v>100</v>
      </c>
      <c r="D386">
        <v>2</v>
      </c>
      <c r="E386" s="2">
        <v>10</v>
      </c>
      <c r="F386" s="2">
        <v>144.84</v>
      </c>
      <c r="G386" s="2">
        <v>-138.61000000000001</v>
      </c>
      <c r="H386" s="2">
        <v>452.13</v>
      </c>
      <c r="I386" s="2">
        <v>-431.41</v>
      </c>
      <c r="J386" s="2">
        <v>0.35</v>
      </c>
      <c r="K386" s="2">
        <v>-0.8</v>
      </c>
      <c r="L386" s="2">
        <v>0.87</v>
      </c>
      <c r="M386" s="2">
        <v>-0.38</v>
      </c>
      <c r="N386" t="s">
        <v>98</v>
      </c>
      <c r="O386">
        <v>28</v>
      </c>
      <c r="P386" t="s">
        <v>322</v>
      </c>
    </row>
    <row r="387" spans="1:16">
      <c r="A387" s="1">
        <v>45950</v>
      </c>
      <c r="B387">
        <v>3</v>
      </c>
      <c r="C387" t="s">
        <v>100</v>
      </c>
      <c r="D387">
        <v>2</v>
      </c>
      <c r="E387" s="2">
        <v>10.5</v>
      </c>
      <c r="F387" s="2">
        <v>328.94</v>
      </c>
      <c r="G387" s="2">
        <v>-324.52999999999997</v>
      </c>
      <c r="H387" s="2">
        <v>460.19</v>
      </c>
      <c r="I387" s="2">
        <v>-422.4</v>
      </c>
      <c r="J387" s="2">
        <v>0.34</v>
      </c>
      <c r="K387" s="2">
        <v>-0.8</v>
      </c>
      <c r="L387" s="2">
        <v>0.87</v>
      </c>
      <c r="M387" s="2">
        <v>-0.48</v>
      </c>
      <c r="N387" t="s">
        <v>98</v>
      </c>
      <c r="O387">
        <v>28</v>
      </c>
      <c r="P387" t="s">
        <v>322</v>
      </c>
    </row>
    <row r="388" spans="1:16">
      <c r="A388" s="1">
        <v>45950</v>
      </c>
      <c r="B388">
        <v>3</v>
      </c>
      <c r="C388" t="s">
        <v>100</v>
      </c>
      <c r="D388">
        <v>2</v>
      </c>
      <c r="E388" s="2">
        <v>11</v>
      </c>
      <c r="F388" s="2">
        <v>346.87</v>
      </c>
      <c r="G388" s="2">
        <v>-337.59</v>
      </c>
      <c r="H388" s="2">
        <v>459.57</v>
      </c>
      <c r="I388" s="2">
        <v>-450.55</v>
      </c>
      <c r="J388" s="2">
        <v>0.34</v>
      </c>
      <c r="K388" s="2">
        <v>-1.29</v>
      </c>
      <c r="L388" s="2">
        <v>1.34</v>
      </c>
      <c r="M388" s="2">
        <v>0.08</v>
      </c>
      <c r="N388" t="s">
        <v>98</v>
      </c>
      <c r="O388">
        <v>28</v>
      </c>
      <c r="P388" t="s">
        <v>322</v>
      </c>
    </row>
    <row r="389" spans="1:16">
      <c r="A389" s="1">
        <v>45950</v>
      </c>
      <c r="B389">
        <v>3</v>
      </c>
      <c r="C389" t="s">
        <v>100</v>
      </c>
      <c r="D389">
        <v>2</v>
      </c>
      <c r="E389" s="2">
        <v>11.5</v>
      </c>
      <c r="F389" s="2">
        <v>320.51</v>
      </c>
      <c r="G389" s="2">
        <v>-307.45</v>
      </c>
      <c r="H389" s="2">
        <v>374.34</v>
      </c>
      <c r="I389" s="2">
        <v>-366.11</v>
      </c>
      <c r="J389" s="2">
        <v>0.35</v>
      </c>
      <c r="K389" s="2">
        <v>-1.23</v>
      </c>
      <c r="L389" s="2">
        <v>1.28</v>
      </c>
      <c r="M389" s="2">
        <v>-0.02</v>
      </c>
      <c r="N389" t="s">
        <v>98</v>
      </c>
      <c r="O389">
        <v>28</v>
      </c>
      <c r="P389" t="s">
        <v>322</v>
      </c>
    </row>
    <row r="390" spans="1:16">
      <c r="A390" s="1">
        <v>45950</v>
      </c>
      <c r="B390">
        <v>3</v>
      </c>
      <c r="C390" t="s">
        <v>100</v>
      </c>
      <c r="D390">
        <v>2</v>
      </c>
      <c r="E390" s="2">
        <v>12</v>
      </c>
      <c r="F390" s="2">
        <v>297.85000000000002</v>
      </c>
      <c r="G390" s="2">
        <v>-287.27999999999997</v>
      </c>
      <c r="H390" s="2">
        <v>264.93</v>
      </c>
      <c r="I390" s="2">
        <v>-270</v>
      </c>
      <c r="J390" s="2">
        <v>0.35</v>
      </c>
      <c r="K390" s="2">
        <v>-1.18</v>
      </c>
      <c r="L390" s="2">
        <v>1.24</v>
      </c>
      <c r="M390" s="2">
        <v>-0.24</v>
      </c>
      <c r="N390" t="s">
        <v>98</v>
      </c>
      <c r="O390">
        <v>28</v>
      </c>
      <c r="P390" t="s">
        <v>322</v>
      </c>
    </row>
    <row r="391" spans="1:16">
      <c r="A391" s="1">
        <v>45950</v>
      </c>
      <c r="B391">
        <v>3</v>
      </c>
      <c r="C391" t="s">
        <v>100</v>
      </c>
      <c r="D391">
        <v>2</v>
      </c>
      <c r="E391" s="2">
        <v>12.5</v>
      </c>
      <c r="F391" s="2">
        <v>250.42</v>
      </c>
      <c r="G391" s="2">
        <v>-242.75</v>
      </c>
      <c r="H391" s="2">
        <v>198.13</v>
      </c>
      <c r="I391" s="2">
        <v>-178.06</v>
      </c>
      <c r="J391" s="2">
        <v>0.38</v>
      </c>
      <c r="K391" s="2">
        <v>-1.58</v>
      </c>
      <c r="L391" s="2">
        <v>1.63</v>
      </c>
      <c r="M391" s="2">
        <v>-0.36</v>
      </c>
      <c r="N391" t="s">
        <v>98</v>
      </c>
      <c r="O391">
        <v>28</v>
      </c>
      <c r="P391" t="s">
        <v>322</v>
      </c>
    </row>
    <row r="392" spans="1:16">
      <c r="A392" s="1">
        <v>45950</v>
      </c>
      <c r="B392">
        <v>3</v>
      </c>
      <c r="C392" t="s">
        <v>100</v>
      </c>
      <c r="D392">
        <v>2</v>
      </c>
      <c r="E392" s="2">
        <v>13</v>
      </c>
      <c r="F392" s="2">
        <v>219.43</v>
      </c>
      <c r="G392" s="2">
        <v>-211.97</v>
      </c>
      <c r="H392" s="2">
        <v>136.69999999999999</v>
      </c>
      <c r="I392" s="2">
        <v>-116.39</v>
      </c>
      <c r="J392" s="2">
        <v>0.41</v>
      </c>
      <c r="K392" s="2">
        <v>-1.65</v>
      </c>
      <c r="L392" s="2">
        <v>1.7</v>
      </c>
      <c r="M392" s="2">
        <v>-0.6</v>
      </c>
      <c r="N392" t="s">
        <v>98</v>
      </c>
      <c r="O392">
        <v>28</v>
      </c>
      <c r="P392" t="s">
        <v>322</v>
      </c>
    </row>
    <row r="393" spans="1:16">
      <c r="A393" s="1">
        <v>45950</v>
      </c>
      <c r="B393">
        <v>3</v>
      </c>
      <c r="C393" t="s">
        <v>100</v>
      </c>
      <c r="D393">
        <v>2</v>
      </c>
      <c r="E393" s="2">
        <v>13.5</v>
      </c>
      <c r="F393" s="2">
        <v>189.85</v>
      </c>
      <c r="G393" s="2">
        <v>-185.04</v>
      </c>
      <c r="H393" s="2">
        <v>144.47</v>
      </c>
      <c r="I393" s="2">
        <v>-146.57</v>
      </c>
      <c r="J393" s="2">
        <v>0.39</v>
      </c>
      <c r="K393" s="2">
        <v>-1.66</v>
      </c>
      <c r="L393" s="2">
        <v>1.7</v>
      </c>
      <c r="M393" s="2">
        <v>-0.54</v>
      </c>
      <c r="N393" t="s">
        <v>98</v>
      </c>
      <c r="O393">
        <v>28</v>
      </c>
      <c r="P393" t="s">
        <v>322</v>
      </c>
    </row>
    <row r="394" spans="1:16">
      <c r="A394" s="1">
        <v>45950</v>
      </c>
      <c r="B394">
        <v>3</v>
      </c>
      <c r="C394" t="s">
        <v>100</v>
      </c>
      <c r="D394">
        <v>2</v>
      </c>
      <c r="E394" s="2">
        <v>14</v>
      </c>
      <c r="F394" s="2">
        <v>148.74</v>
      </c>
      <c r="G394" s="2">
        <v>-142.94999999999999</v>
      </c>
      <c r="H394" s="2">
        <v>161.1</v>
      </c>
      <c r="I394" s="2">
        <v>-163.80000000000001</v>
      </c>
      <c r="J394" s="2">
        <v>0.33</v>
      </c>
      <c r="K394" s="2">
        <v>-1.22</v>
      </c>
      <c r="L394" s="2">
        <v>1.27</v>
      </c>
      <c r="M394" s="2">
        <v>-0.44</v>
      </c>
      <c r="N394" t="s">
        <v>98</v>
      </c>
      <c r="O394">
        <v>28</v>
      </c>
      <c r="P394" t="s">
        <v>322</v>
      </c>
    </row>
    <row r="395" spans="1:16">
      <c r="A395" s="1">
        <v>45950</v>
      </c>
      <c r="B395">
        <v>3</v>
      </c>
      <c r="C395" t="s">
        <v>100</v>
      </c>
      <c r="D395">
        <v>2</v>
      </c>
      <c r="E395" s="2">
        <v>14.5</v>
      </c>
      <c r="F395" s="2">
        <v>142.61000000000001</v>
      </c>
      <c r="G395" s="2">
        <v>-136.21</v>
      </c>
      <c r="H395" s="2">
        <v>186.53</v>
      </c>
      <c r="I395" s="2">
        <v>-181.05</v>
      </c>
      <c r="J395" s="2">
        <v>0.38</v>
      </c>
      <c r="K395" s="2">
        <v>-1.6</v>
      </c>
      <c r="L395" s="2">
        <v>1.65</v>
      </c>
      <c r="M395" s="2">
        <v>-0.37</v>
      </c>
      <c r="N395" t="s">
        <v>98</v>
      </c>
      <c r="O395">
        <v>28</v>
      </c>
      <c r="P395" t="s">
        <v>322</v>
      </c>
    </row>
    <row r="396" spans="1:16">
      <c r="A396" s="1">
        <v>45950</v>
      </c>
      <c r="B396">
        <v>3</v>
      </c>
      <c r="C396" t="s">
        <v>100</v>
      </c>
      <c r="D396">
        <v>2</v>
      </c>
      <c r="E396" s="2">
        <v>15</v>
      </c>
      <c r="F396" s="2">
        <v>147.77000000000001</v>
      </c>
      <c r="G396" s="2">
        <v>-143</v>
      </c>
      <c r="H396" s="2">
        <v>263.39999999999998</v>
      </c>
      <c r="I396" s="2">
        <v>-225.27</v>
      </c>
      <c r="J396" s="2">
        <v>0.35</v>
      </c>
      <c r="K396" s="2">
        <v>-1.74</v>
      </c>
      <c r="L396" s="2">
        <v>1.77</v>
      </c>
      <c r="M396" s="2">
        <v>-0.17</v>
      </c>
      <c r="N396" t="s">
        <v>98</v>
      </c>
      <c r="O396">
        <v>28</v>
      </c>
      <c r="P396" t="s">
        <v>322</v>
      </c>
    </row>
    <row r="397" spans="1:16">
      <c r="A397" s="1">
        <v>45950</v>
      </c>
      <c r="B397">
        <v>3</v>
      </c>
      <c r="C397" t="s">
        <v>100</v>
      </c>
      <c r="D397">
        <v>2</v>
      </c>
      <c r="E397" s="2">
        <v>15.5</v>
      </c>
      <c r="F397" s="2">
        <v>59.45</v>
      </c>
      <c r="G397" s="2">
        <v>-57.46</v>
      </c>
      <c r="H397" s="2">
        <v>340.12</v>
      </c>
      <c r="I397" s="2">
        <v>-336.58</v>
      </c>
      <c r="J397" s="2">
        <v>0.35</v>
      </c>
      <c r="K397" s="2">
        <v>-2.15</v>
      </c>
      <c r="L397" s="2">
        <v>2.17</v>
      </c>
      <c r="M397" s="2">
        <v>0.33</v>
      </c>
      <c r="N397" t="s">
        <v>98</v>
      </c>
      <c r="O397">
        <v>28</v>
      </c>
      <c r="P397" t="s">
        <v>322</v>
      </c>
    </row>
    <row r="398" spans="1:16">
      <c r="A398" s="1">
        <v>45950</v>
      </c>
      <c r="B398">
        <v>3</v>
      </c>
      <c r="C398" t="s">
        <v>100</v>
      </c>
      <c r="D398">
        <v>2</v>
      </c>
      <c r="E398" s="2">
        <v>16</v>
      </c>
      <c r="F398" s="2">
        <v>199.73</v>
      </c>
      <c r="G398" s="2">
        <v>-186.2</v>
      </c>
      <c r="H398" s="2">
        <v>209.93</v>
      </c>
      <c r="I398" s="2">
        <v>-201.52</v>
      </c>
      <c r="J398" s="2">
        <v>0.34</v>
      </c>
      <c r="K398" s="2">
        <v>-2.2200000000000002</v>
      </c>
      <c r="L398" s="2">
        <v>2.25</v>
      </c>
      <c r="M398" s="2">
        <v>0.64</v>
      </c>
      <c r="N398" t="s">
        <v>98</v>
      </c>
      <c r="O398">
        <v>28</v>
      </c>
      <c r="P398" t="s">
        <v>322</v>
      </c>
    </row>
    <row r="399" spans="1:16">
      <c r="A399" s="1">
        <v>45950</v>
      </c>
      <c r="B399">
        <v>3</v>
      </c>
      <c r="C399" t="s">
        <v>100</v>
      </c>
      <c r="D399">
        <v>2</v>
      </c>
      <c r="E399" s="2">
        <v>16.5</v>
      </c>
      <c r="F399" s="2">
        <v>322.41000000000003</v>
      </c>
      <c r="G399" s="2">
        <v>-319.68</v>
      </c>
      <c r="H399" s="2">
        <v>203.25</v>
      </c>
      <c r="I399" s="2">
        <v>-185.59</v>
      </c>
      <c r="J399" s="2">
        <v>0.33</v>
      </c>
      <c r="K399" s="2">
        <v>-1.85</v>
      </c>
      <c r="L399" s="2">
        <v>1.88</v>
      </c>
      <c r="M399" s="2">
        <v>0.13</v>
      </c>
      <c r="N399" t="s">
        <v>98</v>
      </c>
      <c r="O399">
        <v>28</v>
      </c>
      <c r="P399" t="s">
        <v>322</v>
      </c>
    </row>
    <row r="400" spans="1:16">
      <c r="A400" s="1">
        <v>45950</v>
      </c>
      <c r="B400">
        <v>3</v>
      </c>
      <c r="C400" t="s">
        <v>100</v>
      </c>
      <c r="D400">
        <v>2</v>
      </c>
      <c r="E400" s="2">
        <v>17</v>
      </c>
      <c r="F400" s="2">
        <v>385.44</v>
      </c>
      <c r="G400" s="2">
        <v>-376.48</v>
      </c>
      <c r="H400" s="2">
        <v>249.65</v>
      </c>
      <c r="I400" s="2">
        <v>-242.63</v>
      </c>
      <c r="J400" s="2">
        <v>0.32</v>
      </c>
      <c r="K400" s="2">
        <v>-1.8</v>
      </c>
      <c r="L400" s="2">
        <v>1.82</v>
      </c>
      <c r="M400" s="2">
        <v>0.42</v>
      </c>
      <c r="N400" t="s">
        <v>98</v>
      </c>
      <c r="O400">
        <v>28</v>
      </c>
      <c r="P400" t="s">
        <v>322</v>
      </c>
    </row>
    <row r="401" spans="1:16">
      <c r="A401" s="1">
        <v>45950</v>
      </c>
      <c r="B401">
        <v>3</v>
      </c>
      <c r="C401" t="s">
        <v>100</v>
      </c>
      <c r="D401">
        <v>2</v>
      </c>
      <c r="E401" s="2">
        <v>17.5</v>
      </c>
      <c r="F401" s="2">
        <v>381.29</v>
      </c>
      <c r="G401" s="2">
        <v>-375.93</v>
      </c>
      <c r="H401" s="2">
        <v>161.13</v>
      </c>
      <c r="I401" s="2">
        <v>-154.53</v>
      </c>
      <c r="J401" s="2">
        <v>0.31</v>
      </c>
      <c r="K401" s="2">
        <v>-1.58</v>
      </c>
      <c r="L401" s="2">
        <v>1.61</v>
      </c>
      <c r="M401" s="2">
        <v>0.09</v>
      </c>
      <c r="N401" t="s">
        <v>98</v>
      </c>
      <c r="O401">
        <v>28</v>
      </c>
      <c r="P401" t="s">
        <v>322</v>
      </c>
    </row>
    <row r="402" spans="1:16">
      <c r="A402" s="1">
        <v>45950</v>
      </c>
      <c r="B402">
        <v>3</v>
      </c>
      <c r="C402" t="s">
        <v>100</v>
      </c>
      <c r="D402">
        <v>2</v>
      </c>
      <c r="E402" s="2">
        <v>18</v>
      </c>
      <c r="F402" s="2">
        <v>349.63</v>
      </c>
      <c r="G402" s="2">
        <v>-341.27</v>
      </c>
      <c r="H402" s="2">
        <v>107.09</v>
      </c>
      <c r="I402" s="2">
        <v>-94.26</v>
      </c>
      <c r="J402" s="2">
        <v>0.32</v>
      </c>
      <c r="K402" s="2">
        <v>-1.28</v>
      </c>
      <c r="L402" s="2">
        <v>1.32</v>
      </c>
      <c r="M402" s="2">
        <v>-0.08</v>
      </c>
      <c r="N402" t="s">
        <v>98</v>
      </c>
      <c r="O402">
        <v>28</v>
      </c>
      <c r="P402" t="s">
        <v>322</v>
      </c>
    </row>
    <row r="403" spans="1:16">
      <c r="A403" s="1">
        <v>45950</v>
      </c>
      <c r="B403">
        <v>3</v>
      </c>
      <c r="C403" t="s">
        <v>100</v>
      </c>
      <c r="D403">
        <v>2</v>
      </c>
      <c r="E403" s="2">
        <v>18.5</v>
      </c>
      <c r="F403" s="2">
        <v>320.05</v>
      </c>
      <c r="G403" s="2">
        <v>-313.92</v>
      </c>
      <c r="H403" s="2">
        <v>65.69</v>
      </c>
      <c r="I403" s="2">
        <v>-58.97</v>
      </c>
      <c r="J403" s="2">
        <v>0.32</v>
      </c>
      <c r="K403" s="2">
        <v>-1.1499999999999999</v>
      </c>
      <c r="L403" s="2">
        <v>1.19</v>
      </c>
      <c r="M403" s="2">
        <v>-0.01</v>
      </c>
      <c r="N403" t="s">
        <v>98</v>
      </c>
      <c r="O403">
        <v>28</v>
      </c>
      <c r="P403" t="s">
        <v>322</v>
      </c>
    </row>
    <row r="404" spans="1:16">
      <c r="A404" s="1">
        <v>45950</v>
      </c>
      <c r="B404">
        <v>3</v>
      </c>
      <c r="C404" t="s">
        <v>100</v>
      </c>
      <c r="D404">
        <v>2</v>
      </c>
      <c r="E404" s="2">
        <v>19</v>
      </c>
      <c r="F404" s="2">
        <v>305.24</v>
      </c>
      <c r="G404" s="2">
        <v>-300.2</v>
      </c>
      <c r="H404" s="2">
        <v>58.17</v>
      </c>
      <c r="I404" s="2">
        <v>-52.12</v>
      </c>
      <c r="J404" s="2">
        <v>0.27</v>
      </c>
      <c r="K404" s="2">
        <v>-1.26</v>
      </c>
      <c r="L404" s="2">
        <v>1.28</v>
      </c>
      <c r="M404" s="2">
        <v>0.23</v>
      </c>
      <c r="N404" t="s">
        <v>98</v>
      </c>
      <c r="O404">
        <v>28</v>
      </c>
      <c r="P404" t="s">
        <v>322</v>
      </c>
    </row>
    <row r="405" spans="1:16">
      <c r="A405" s="1">
        <v>45950</v>
      </c>
      <c r="B405">
        <v>3</v>
      </c>
      <c r="C405" t="s">
        <v>100</v>
      </c>
      <c r="D405">
        <v>2</v>
      </c>
      <c r="E405" s="2">
        <v>19.5</v>
      </c>
      <c r="F405" s="2">
        <v>213.63</v>
      </c>
      <c r="G405" s="2">
        <v>-208.36</v>
      </c>
      <c r="H405" s="2">
        <v>92.47</v>
      </c>
      <c r="I405" s="2">
        <v>-86.53</v>
      </c>
      <c r="J405" s="2">
        <v>0.25</v>
      </c>
      <c r="K405" s="2">
        <v>-1.24</v>
      </c>
      <c r="L405" s="2">
        <v>1.26</v>
      </c>
      <c r="M405" s="2">
        <v>0.32</v>
      </c>
      <c r="N405" t="s">
        <v>98</v>
      </c>
      <c r="O405">
        <v>28</v>
      </c>
      <c r="P405" t="s">
        <v>322</v>
      </c>
    </row>
    <row r="406" spans="1:16">
      <c r="A406" s="1">
        <v>45950</v>
      </c>
      <c r="B406">
        <v>3</v>
      </c>
      <c r="C406" t="s">
        <v>100</v>
      </c>
      <c r="D406">
        <v>2</v>
      </c>
      <c r="E406" s="2">
        <v>20</v>
      </c>
      <c r="F406" s="2">
        <v>145.57</v>
      </c>
      <c r="G406" s="2">
        <v>-138.26</v>
      </c>
      <c r="H406" s="2">
        <v>153.57</v>
      </c>
      <c r="I406" s="2">
        <v>-130.69999999999999</v>
      </c>
      <c r="J406" s="2">
        <v>0.2</v>
      </c>
      <c r="K406" s="2">
        <v>-1.04</v>
      </c>
      <c r="L406" s="2">
        <v>1.06</v>
      </c>
      <c r="M406" s="2">
        <v>0.34</v>
      </c>
      <c r="N406" t="s">
        <v>98</v>
      </c>
      <c r="O406">
        <v>28</v>
      </c>
      <c r="P406" t="s">
        <v>322</v>
      </c>
    </row>
    <row r="407" spans="1:16">
      <c r="A407" s="1">
        <v>45950</v>
      </c>
      <c r="B407">
        <v>3</v>
      </c>
      <c r="C407" t="s">
        <v>100</v>
      </c>
      <c r="D407">
        <v>2</v>
      </c>
      <c r="E407" s="2">
        <v>20.5</v>
      </c>
      <c r="F407" s="2">
        <v>153.81</v>
      </c>
      <c r="G407" s="2">
        <v>-149.54</v>
      </c>
      <c r="H407" s="2">
        <v>162.58000000000001</v>
      </c>
      <c r="I407" s="2">
        <v>-158.41</v>
      </c>
      <c r="J407" s="2">
        <v>0.16</v>
      </c>
      <c r="K407" s="2">
        <v>-0.93</v>
      </c>
      <c r="L407" s="2">
        <v>0.94</v>
      </c>
      <c r="M407" s="2">
        <v>0.33</v>
      </c>
      <c r="N407" t="s">
        <v>98</v>
      </c>
      <c r="O407">
        <v>28</v>
      </c>
      <c r="P407" t="s">
        <v>322</v>
      </c>
    </row>
    <row r="408" spans="1:16">
      <c r="A408" s="1">
        <v>45950</v>
      </c>
      <c r="B408">
        <v>3</v>
      </c>
      <c r="C408" t="s">
        <v>100</v>
      </c>
      <c r="D408">
        <v>2</v>
      </c>
      <c r="E408" s="2">
        <v>21</v>
      </c>
      <c r="F408" s="2">
        <v>162.43</v>
      </c>
      <c r="G408" s="2">
        <v>-157.66</v>
      </c>
      <c r="H408" s="2">
        <v>173.63</v>
      </c>
      <c r="I408" s="2">
        <v>-169.88</v>
      </c>
      <c r="J408" s="2">
        <v>0.13</v>
      </c>
      <c r="K408" s="2">
        <v>-0.47</v>
      </c>
      <c r="L408" s="2">
        <v>0.48</v>
      </c>
      <c r="M408" s="2">
        <v>0.22</v>
      </c>
      <c r="N408" t="s">
        <v>98</v>
      </c>
      <c r="O408">
        <v>28</v>
      </c>
      <c r="P408" t="s">
        <v>322</v>
      </c>
    </row>
    <row r="409" spans="1:16">
      <c r="A409" s="1">
        <v>45950</v>
      </c>
      <c r="B409">
        <v>3</v>
      </c>
      <c r="C409" t="s">
        <v>100</v>
      </c>
      <c r="D409">
        <v>2</v>
      </c>
      <c r="E409" s="2">
        <v>21.5</v>
      </c>
      <c r="F409" s="2">
        <v>178.58</v>
      </c>
      <c r="G409" s="2">
        <v>-174.84</v>
      </c>
      <c r="H409" s="2">
        <v>182.73</v>
      </c>
      <c r="I409" s="2">
        <v>-174.68</v>
      </c>
      <c r="J409" s="2">
        <v>7.0000000000000007E-2</v>
      </c>
      <c r="K409" s="2">
        <v>-0.25</v>
      </c>
      <c r="L409" s="2">
        <v>0.26</v>
      </c>
      <c r="M409" s="2">
        <v>0.25</v>
      </c>
      <c r="N409" t="s">
        <v>98</v>
      </c>
      <c r="O409">
        <v>28</v>
      </c>
      <c r="P409" t="s">
        <v>322</v>
      </c>
    </row>
    <row r="410" spans="1:16">
      <c r="A410" s="1">
        <v>45950</v>
      </c>
      <c r="B410">
        <v>3</v>
      </c>
      <c r="C410" t="s">
        <v>100</v>
      </c>
      <c r="D410">
        <v>2</v>
      </c>
      <c r="E410" s="2">
        <v>22</v>
      </c>
      <c r="F410" s="2">
        <v>191.05</v>
      </c>
      <c r="G410" s="2">
        <v>-184.17</v>
      </c>
      <c r="H410" s="2">
        <v>193.71</v>
      </c>
      <c r="I410" s="2">
        <v>-186.12</v>
      </c>
      <c r="J410" s="2">
        <v>0.01</v>
      </c>
      <c r="K410" s="2">
        <v>0.02</v>
      </c>
      <c r="L410" s="2">
        <v>0.02</v>
      </c>
      <c r="M410" s="2">
        <v>0</v>
      </c>
      <c r="N410" t="s">
        <v>98</v>
      </c>
      <c r="O410">
        <v>28</v>
      </c>
      <c r="P410" t="s">
        <v>322</v>
      </c>
    </row>
    <row r="411" spans="1:16">
      <c r="A411" s="1">
        <v>45959</v>
      </c>
      <c r="B411">
        <v>4</v>
      </c>
      <c r="C411" t="s">
        <v>94</v>
      </c>
      <c r="D411">
        <v>4</v>
      </c>
      <c r="E411" s="2">
        <v>0.5</v>
      </c>
      <c r="F411" s="2">
        <v>-385.45</v>
      </c>
      <c r="G411" s="2">
        <v>375</v>
      </c>
      <c r="H411" s="2">
        <v>-830.74</v>
      </c>
      <c r="I411" s="2">
        <v>880.19</v>
      </c>
      <c r="J411" s="2">
        <v>0.93</v>
      </c>
      <c r="K411" s="2">
        <v>0.89</v>
      </c>
      <c r="L411" s="2">
        <v>1.29</v>
      </c>
      <c r="M411" s="2">
        <v>-0.32</v>
      </c>
      <c r="N411" t="s">
        <v>98</v>
      </c>
      <c r="O411">
        <v>12</v>
      </c>
      <c r="P411" t="s">
        <v>322</v>
      </c>
    </row>
    <row r="412" spans="1:16">
      <c r="A412" s="1">
        <v>45959</v>
      </c>
      <c r="B412">
        <v>4</v>
      </c>
      <c r="C412" t="s">
        <v>94</v>
      </c>
      <c r="D412">
        <v>4</v>
      </c>
      <c r="E412" s="2">
        <v>1</v>
      </c>
      <c r="F412" s="2">
        <v>-385.69</v>
      </c>
      <c r="G412" s="2">
        <v>379.16</v>
      </c>
      <c r="H412" s="2">
        <v>-817.81</v>
      </c>
      <c r="I412" s="2">
        <v>878.75</v>
      </c>
      <c r="J412" s="2">
        <v>1.51</v>
      </c>
      <c r="K412" s="2">
        <v>1.52</v>
      </c>
      <c r="L412" s="2">
        <v>2.14</v>
      </c>
      <c r="M412" s="2">
        <v>-0.26</v>
      </c>
      <c r="N412" t="s">
        <v>98</v>
      </c>
      <c r="O412">
        <v>12</v>
      </c>
      <c r="P412" t="s">
        <v>322</v>
      </c>
    </row>
    <row r="413" spans="1:16">
      <c r="A413" s="1">
        <v>45959</v>
      </c>
      <c r="B413">
        <v>4</v>
      </c>
      <c r="C413" t="s">
        <v>94</v>
      </c>
      <c r="D413">
        <v>4</v>
      </c>
      <c r="E413" s="2">
        <v>1.5</v>
      </c>
      <c r="F413" s="2">
        <v>-3.62</v>
      </c>
      <c r="G413" s="2">
        <v>17.48</v>
      </c>
      <c r="H413" s="2">
        <v>-278.76</v>
      </c>
      <c r="I413" s="2">
        <v>280.69</v>
      </c>
      <c r="J413" s="2">
        <v>2.09</v>
      </c>
      <c r="K413" s="2">
        <v>1.92</v>
      </c>
      <c r="L413" s="2">
        <v>2.84</v>
      </c>
      <c r="M413" s="2">
        <v>-0.05</v>
      </c>
      <c r="N413" t="s">
        <v>98</v>
      </c>
      <c r="O413">
        <v>12</v>
      </c>
      <c r="P413" t="s">
        <v>322</v>
      </c>
    </row>
    <row r="414" spans="1:16">
      <c r="A414" s="1">
        <v>45959</v>
      </c>
      <c r="B414">
        <v>4</v>
      </c>
      <c r="C414" t="s">
        <v>94</v>
      </c>
      <c r="D414">
        <v>4</v>
      </c>
      <c r="E414" s="2">
        <v>2</v>
      </c>
      <c r="F414" s="2">
        <v>10.73</v>
      </c>
      <c r="G414" s="2">
        <v>-1.29</v>
      </c>
      <c r="H414" s="2">
        <v>-232.46</v>
      </c>
      <c r="I414" s="2">
        <v>238.31</v>
      </c>
      <c r="J414" s="2">
        <v>2</v>
      </c>
      <c r="K414" s="2">
        <v>1.9</v>
      </c>
      <c r="L414" s="2">
        <v>2.76</v>
      </c>
      <c r="M414" s="2">
        <v>0.01</v>
      </c>
      <c r="N414" t="s">
        <v>98</v>
      </c>
      <c r="O414">
        <v>12</v>
      </c>
      <c r="P414" t="s">
        <v>322</v>
      </c>
    </row>
    <row r="415" spans="1:16">
      <c r="A415" s="1">
        <v>45959</v>
      </c>
      <c r="B415">
        <v>4</v>
      </c>
      <c r="C415" t="s">
        <v>94</v>
      </c>
      <c r="D415">
        <v>4</v>
      </c>
      <c r="E415" s="2">
        <v>2.5</v>
      </c>
      <c r="F415" s="2">
        <v>30.64</v>
      </c>
      <c r="G415" s="2">
        <v>-22.13</v>
      </c>
      <c r="H415" s="2">
        <v>-212.87</v>
      </c>
      <c r="I415" s="2">
        <v>228.19</v>
      </c>
      <c r="J415" s="2">
        <v>2.42</v>
      </c>
      <c r="K415" s="2">
        <v>1.97</v>
      </c>
      <c r="L415" s="2">
        <v>3.12</v>
      </c>
      <c r="M415" s="2">
        <v>0.2</v>
      </c>
      <c r="N415" t="s">
        <v>98</v>
      </c>
      <c r="O415">
        <v>12</v>
      </c>
      <c r="P415" t="s">
        <v>322</v>
      </c>
    </row>
    <row r="416" spans="1:16">
      <c r="A416" s="1">
        <v>45959</v>
      </c>
      <c r="B416">
        <v>4</v>
      </c>
      <c r="C416" t="s">
        <v>94</v>
      </c>
      <c r="D416">
        <v>4</v>
      </c>
      <c r="E416" s="2">
        <v>3</v>
      </c>
      <c r="F416" s="2">
        <v>11</v>
      </c>
      <c r="G416" s="2">
        <v>-1.1000000000000001</v>
      </c>
      <c r="H416" s="2">
        <v>-161.6</v>
      </c>
      <c r="I416" s="2">
        <v>173.16</v>
      </c>
      <c r="J416" s="2">
        <v>2.63</v>
      </c>
      <c r="K416" s="2">
        <v>1.73</v>
      </c>
      <c r="L416" s="2">
        <v>3.14</v>
      </c>
      <c r="M416" s="2">
        <v>0.28999999999999998</v>
      </c>
      <c r="N416" t="s">
        <v>98</v>
      </c>
      <c r="O416">
        <v>12</v>
      </c>
      <c r="P416" t="s">
        <v>322</v>
      </c>
    </row>
    <row r="417" spans="1:16">
      <c r="A417" s="1">
        <v>45959</v>
      </c>
      <c r="B417">
        <v>4</v>
      </c>
      <c r="C417" t="s">
        <v>94</v>
      </c>
      <c r="D417">
        <v>4</v>
      </c>
      <c r="E417" s="2">
        <v>3.5</v>
      </c>
      <c r="F417" s="2">
        <v>-6.63</v>
      </c>
      <c r="G417" s="2">
        <v>16.329999999999998</v>
      </c>
      <c r="H417" s="2">
        <v>-102.16</v>
      </c>
      <c r="I417" s="2">
        <v>109.81</v>
      </c>
      <c r="J417" s="2">
        <v>2.7</v>
      </c>
      <c r="K417" s="2">
        <v>1.43</v>
      </c>
      <c r="L417" s="2">
        <v>3.06</v>
      </c>
      <c r="M417" s="2">
        <v>0.44</v>
      </c>
      <c r="N417" t="s">
        <v>98</v>
      </c>
      <c r="O417">
        <v>12</v>
      </c>
      <c r="P417" t="s">
        <v>322</v>
      </c>
    </row>
    <row r="418" spans="1:16">
      <c r="A418" s="1">
        <v>45959</v>
      </c>
      <c r="B418">
        <v>4</v>
      </c>
      <c r="C418" t="s">
        <v>94</v>
      </c>
      <c r="D418">
        <v>4</v>
      </c>
      <c r="E418" s="2">
        <v>4</v>
      </c>
      <c r="F418" s="2">
        <v>61.62</v>
      </c>
      <c r="G418" s="2">
        <v>-53.2</v>
      </c>
      <c r="H418" s="2">
        <v>-87.68</v>
      </c>
      <c r="I418" s="2">
        <v>76.42</v>
      </c>
      <c r="J418" s="2">
        <v>2.76</v>
      </c>
      <c r="K418" s="2">
        <v>1.41</v>
      </c>
      <c r="L418" s="2">
        <v>3.09</v>
      </c>
      <c r="M418" s="2">
        <v>0.46</v>
      </c>
      <c r="N418" t="s">
        <v>98</v>
      </c>
      <c r="O418">
        <v>12</v>
      </c>
      <c r="P418" t="s">
        <v>322</v>
      </c>
    </row>
    <row r="419" spans="1:16">
      <c r="A419" s="1">
        <v>45959</v>
      </c>
      <c r="B419">
        <v>4</v>
      </c>
      <c r="C419" t="s">
        <v>94</v>
      </c>
      <c r="D419">
        <v>4</v>
      </c>
      <c r="E419" s="2">
        <v>4.5</v>
      </c>
      <c r="F419" s="2">
        <v>59.01</v>
      </c>
      <c r="G419" s="2">
        <v>-49.78</v>
      </c>
      <c r="H419" s="2">
        <v>-46.44</v>
      </c>
      <c r="I419" s="2">
        <v>43.5</v>
      </c>
      <c r="J419" s="2">
        <v>2.82</v>
      </c>
      <c r="K419" s="2">
        <v>1.1000000000000001</v>
      </c>
      <c r="L419" s="2">
        <v>3.02</v>
      </c>
      <c r="M419" s="2">
        <v>0.4</v>
      </c>
      <c r="N419" t="s">
        <v>98</v>
      </c>
      <c r="O419">
        <v>12</v>
      </c>
      <c r="P419" t="s">
        <v>322</v>
      </c>
    </row>
    <row r="420" spans="1:16">
      <c r="A420" s="1">
        <v>45959</v>
      </c>
      <c r="B420">
        <v>4</v>
      </c>
      <c r="C420" t="s">
        <v>94</v>
      </c>
      <c r="D420">
        <v>4</v>
      </c>
      <c r="E420" s="2">
        <v>5</v>
      </c>
      <c r="F420" s="2">
        <v>2.5099999999999998</v>
      </c>
      <c r="G420" s="2">
        <v>6.51</v>
      </c>
      <c r="H420" s="2">
        <v>20.02</v>
      </c>
      <c r="I420" s="2">
        <v>-15.08</v>
      </c>
      <c r="J420" s="2">
        <v>3.05</v>
      </c>
      <c r="K420" s="2">
        <v>0.8</v>
      </c>
      <c r="L420" s="2">
        <v>3.15</v>
      </c>
      <c r="M420" s="2">
        <v>0.46</v>
      </c>
      <c r="N420" t="s">
        <v>98</v>
      </c>
      <c r="O420">
        <v>12</v>
      </c>
      <c r="P420" t="s">
        <v>322</v>
      </c>
    </row>
    <row r="421" spans="1:16">
      <c r="A421" s="1">
        <v>45959</v>
      </c>
      <c r="B421">
        <v>4</v>
      </c>
      <c r="C421" t="s">
        <v>94</v>
      </c>
      <c r="D421">
        <v>4</v>
      </c>
      <c r="E421" s="2">
        <v>5.5</v>
      </c>
      <c r="F421" s="2">
        <v>2.4900000000000002</v>
      </c>
      <c r="G421" s="2">
        <v>6.54</v>
      </c>
      <c r="H421" s="2">
        <v>12.62</v>
      </c>
      <c r="I421" s="2">
        <v>-13.24</v>
      </c>
      <c r="J421" s="2">
        <v>3.13</v>
      </c>
      <c r="K421" s="2">
        <v>0.82</v>
      </c>
      <c r="L421" s="2">
        <v>3.23</v>
      </c>
      <c r="M421" s="2">
        <v>0.53</v>
      </c>
      <c r="N421" t="s">
        <v>98</v>
      </c>
      <c r="O421">
        <v>12</v>
      </c>
      <c r="P421" t="s">
        <v>322</v>
      </c>
    </row>
    <row r="422" spans="1:16">
      <c r="A422" s="1">
        <v>45959</v>
      </c>
      <c r="B422">
        <v>4</v>
      </c>
      <c r="C422" t="s">
        <v>94</v>
      </c>
      <c r="D422">
        <v>4</v>
      </c>
      <c r="E422" s="2">
        <v>6</v>
      </c>
      <c r="F422" s="2">
        <v>16.66</v>
      </c>
      <c r="G422" s="2">
        <v>-9.2799999999999994</v>
      </c>
      <c r="H422" s="2">
        <v>-21.46</v>
      </c>
      <c r="I422" s="2">
        <v>33.700000000000003</v>
      </c>
      <c r="J422" s="2">
        <v>3.23</v>
      </c>
      <c r="K422" s="2">
        <v>0.91</v>
      </c>
      <c r="L422" s="2">
        <v>3.36</v>
      </c>
      <c r="M422" s="2">
        <v>0.53</v>
      </c>
      <c r="N422" t="s">
        <v>98</v>
      </c>
      <c r="O422">
        <v>12</v>
      </c>
      <c r="P422" t="s">
        <v>322</v>
      </c>
    </row>
    <row r="423" spans="1:16">
      <c r="A423" s="1">
        <v>45959</v>
      </c>
      <c r="B423">
        <v>4</v>
      </c>
      <c r="C423" t="s">
        <v>94</v>
      </c>
      <c r="D423">
        <v>4</v>
      </c>
      <c r="E423" s="2">
        <v>6.5</v>
      </c>
      <c r="F423" s="2">
        <v>23.82</v>
      </c>
      <c r="G423" s="2">
        <v>-12.54</v>
      </c>
      <c r="H423" s="2">
        <v>-68.88</v>
      </c>
      <c r="I423" s="2">
        <v>72.58</v>
      </c>
      <c r="J423" s="2">
        <v>3.3</v>
      </c>
      <c r="K423" s="2">
        <v>1.18</v>
      </c>
      <c r="L423" s="2">
        <v>3.5</v>
      </c>
      <c r="M423" s="2">
        <v>0.56000000000000005</v>
      </c>
      <c r="N423" t="s">
        <v>98</v>
      </c>
      <c r="O423">
        <v>12</v>
      </c>
      <c r="P423" t="s">
        <v>322</v>
      </c>
    </row>
    <row r="424" spans="1:16">
      <c r="A424" s="1">
        <v>45959</v>
      </c>
      <c r="B424">
        <v>4</v>
      </c>
      <c r="C424" t="s">
        <v>94</v>
      </c>
      <c r="D424">
        <v>4</v>
      </c>
      <c r="E424" s="2">
        <v>7</v>
      </c>
      <c r="F424" s="2">
        <v>100.24</v>
      </c>
      <c r="G424" s="2">
        <v>-94.11</v>
      </c>
      <c r="H424" s="2">
        <v>-52.73</v>
      </c>
      <c r="I424" s="2">
        <v>53.33</v>
      </c>
      <c r="J424" s="2">
        <v>3.01</v>
      </c>
      <c r="K424" s="2">
        <v>0.94</v>
      </c>
      <c r="L424" s="2">
        <v>3.15</v>
      </c>
      <c r="M424" s="2">
        <v>0.34</v>
      </c>
      <c r="N424" t="s">
        <v>98</v>
      </c>
      <c r="O424">
        <v>12</v>
      </c>
      <c r="P424" t="s">
        <v>322</v>
      </c>
    </row>
    <row r="425" spans="1:16">
      <c r="A425" s="1">
        <v>45959</v>
      </c>
      <c r="B425">
        <v>4</v>
      </c>
      <c r="C425" t="s">
        <v>94</v>
      </c>
      <c r="D425">
        <v>4</v>
      </c>
      <c r="E425" s="2">
        <v>7.5</v>
      </c>
      <c r="F425" s="2">
        <v>60.16</v>
      </c>
      <c r="G425" s="2">
        <v>-55.57</v>
      </c>
      <c r="H425" s="2">
        <v>-56.51</v>
      </c>
      <c r="I425" s="2">
        <v>43.68</v>
      </c>
      <c r="J425" s="2">
        <v>2.9</v>
      </c>
      <c r="K425" s="2">
        <v>0.92</v>
      </c>
      <c r="L425" s="2">
        <v>3.04</v>
      </c>
      <c r="M425" s="2">
        <v>0.25</v>
      </c>
      <c r="N425" t="s">
        <v>98</v>
      </c>
      <c r="O425">
        <v>12</v>
      </c>
      <c r="P425" t="s">
        <v>322</v>
      </c>
    </row>
    <row r="426" spans="1:16">
      <c r="A426" s="1">
        <v>45959</v>
      </c>
      <c r="B426">
        <v>4</v>
      </c>
      <c r="C426" t="s">
        <v>94</v>
      </c>
      <c r="D426">
        <v>4</v>
      </c>
      <c r="E426" s="2">
        <v>8</v>
      </c>
      <c r="F426" s="2">
        <v>39.29</v>
      </c>
      <c r="G426" s="2">
        <v>-31.26</v>
      </c>
      <c r="H426" s="2">
        <v>-45.17</v>
      </c>
      <c r="I426" s="2">
        <v>34.99</v>
      </c>
      <c r="J426" s="2">
        <v>2.67</v>
      </c>
      <c r="K426" s="2">
        <v>0.83</v>
      </c>
      <c r="L426" s="2">
        <v>2.8</v>
      </c>
      <c r="M426" s="2">
        <v>0.11</v>
      </c>
      <c r="N426" t="s">
        <v>98</v>
      </c>
      <c r="O426">
        <v>12</v>
      </c>
      <c r="P426" t="s">
        <v>322</v>
      </c>
    </row>
    <row r="427" spans="1:16">
      <c r="A427" s="1">
        <v>45959</v>
      </c>
      <c r="B427">
        <v>4</v>
      </c>
      <c r="C427" t="s">
        <v>94</v>
      </c>
      <c r="D427">
        <v>4</v>
      </c>
      <c r="E427" s="2">
        <v>8.5</v>
      </c>
      <c r="F427" s="2">
        <v>1.76</v>
      </c>
      <c r="G427" s="2">
        <v>3.42</v>
      </c>
      <c r="H427" s="2">
        <v>-19.14</v>
      </c>
      <c r="I427" s="2">
        <v>4.0199999999999996</v>
      </c>
      <c r="J427" s="2">
        <v>2.4900000000000002</v>
      </c>
      <c r="K427" s="2">
        <v>0.68</v>
      </c>
      <c r="L427" s="2">
        <v>2.58</v>
      </c>
      <c r="M427" s="2">
        <v>0.06</v>
      </c>
      <c r="N427" t="s">
        <v>98</v>
      </c>
      <c r="O427">
        <v>12</v>
      </c>
      <c r="P427" t="s">
        <v>322</v>
      </c>
    </row>
    <row r="428" spans="1:16">
      <c r="A428" s="1">
        <v>45959</v>
      </c>
      <c r="B428">
        <v>4</v>
      </c>
      <c r="C428" t="s">
        <v>94</v>
      </c>
      <c r="D428">
        <v>4</v>
      </c>
      <c r="E428" s="2">
        <v>9</v>
      </c>
      <c r="F428" s="2">
        <v>-43.39</v>
      </c>
      <c r="G428" s="2">
        <v>49.63</v>
      </c>
      <c r="H428" s="2">
        <v>0.94</v>
      </c>
      <c r="I428" s="2">
        <v>-9.14</v>
      </c>
      <c r="J428" s="2">
        <v>2.37</v>
      </c>
      <c r="K428" s="2">
        <v>0.68</v>
      </c>
      <c r="L428" s="2">
        <v>2.4700000000000002</v>
      </c>
      <c r="M428" s="2">
        <v>0.03</v>
      </c>
      <c r="N428" t="s">
        <v>98</v>
      </c>
      <c r="O428">
        <v>12</v>
      </c>
      <c r="P428" t="s">
        <v>322</v>
      </c>
    </row>
    <row r="429" spans="1:16">
      <c r="A429" s="1">
        <v>45959</v>
      </c>
      <c r="B429">
        <v>4</v>
      </c>
      <c r="C429" t="s">
        <v>94</v>
      </c>
      <c r="D429">
        <v>4</v>
      </c>
      <c r="E429" s="2">
        <v>9.5</v>
      </c>
      <c r="F429" s="2">
        <v>-110.28</v>
      </c>
      <c r="G429" s="2">
        <v>114.88</v>
      </c>
      <c r="H429" s="2">
        <v>29.9</v>
      </c>
      <c r="I429" s="2">
        <v>-19.14</v>
      </c>
      <c r="J429" s="2">
        <v>2.29</v>
      </c>
      <c r="K429" s="2">
        <v>0.66</v>
      </c>
      <c r="L429" s="2">
        <v>2.39</v>
      </c>
      <c r="M429" s="2">
        <v>0</v>
      </c>
      <c r="N429" t="s">
        <v>98</v>
      </c>
      <c r="O429">
        <v>12</v>
      </c>
      <c r="P429" t="s">
        <v>322</v>
      </c>
    </row>
    <row r="430" spans="1:16">
      <c r="A430" s="1">
        <v>45959</v>
      </c>
      <c r="B430">
        <v>4</v>
      </c>
      <c r="C430" t="s">
        <v>94</v>
      </c>
      <c r="D430">
        <v>4</v>
      </c>
      <c r="E430" s="2">
        <v>10</v>
      </c>
      <c r="F430" s="2">
        <v>-201.06</v>
      </c>
      <c r="G430" s="2">
        <v>209.49</v>
      </c>
      <c r="H430" s="2">
        <v>-58.98</v>
      </c>
      <c r="I430" s="2">
        <v>57.17</v>
      </c>
      <c r="J430" s="2">
        <v>2.12</v>
      </c>
      <c r="K430" s="2">
        <v>0.71</v>
      </c>
      <c r="L430" s="2">
        <v>2.2400000000000002</v>
      </c>
      <c r="M430" s="2">
        <v>0.02</v>
      </c>
      <c r="N430" t="s">
        <v>98</v>
      </c>
      <c r="O430">
        <v>12</v>
      </c>
      <c r="P430" t="s">
        <v>322</v>
      </c>
    </row>
    <row r="431" spans="1:16">
      <c r="A431" s="1">
        <v>45959</v>
      </c>
      <c r="B431">
        <v>4</v>
      </c>
      <c r="C431" t="s">
        <v>94</v>
      </c>
      <c r="D431">
        <v>4</v>
      </c>
      <c r="E431" s="2">
        <v>10.5</v>
      </c>
      <c r="F431" s="2">
        <v>-194.56</v>
      </c>
      <c r="G431" s="2">
        <v>201.27</v>
      </c>
      <c r="H431" s="2">
        <v>-42.92</v>
      </c>
      <c r="I431" s="2">
        <v>36</v>
      </c>
      <c r="J431" s="2">
        <v>1.89</v>
      </c>
      <c r="K431" s="2">
        <v>0.41</v>
      </c>
      <c r="L431" s="2">
        <v>1.93</v>
      </c>
      <c r="M431" s="2">
        <v>-0.1</v>
      </c>
      <c r="N431" t="s">
        <v>98</v>
      </c>
      <c r="O431">
        <v>12</v>
      </c>
      <c r="P431" t="s">
        <v>323</v>
      </c>
    </row>
    <row r="432" spans="1:16">
      <c r="A432" s="1">
        <v>45959</v>
      </c>
      <c r="B432">
        <v>4</v>
      </c>
      <c r="C432" t="s">
        <v>94</v>
      </c>
      <c r="D432">
        <v>4</v>
      </c>
      <c r="E432" s="2">
        <v>11</v>
      </c>
      <c r="F432" s="2">
        <v>-172.12</v>
      </c>
      <c r="G432" s="2">
        <v>173.33</v>
      </c>
      <c r="H432" s="2">
        <v>9.98</v>
      </c>
      <c r="I432" s="2">
        <v>-13.43</v>
      </c>
      <c r="J432" s="2">
        <v>1.79</v>
      </c>
      <c r="K432" s="2">
        <v>0.41</v>
      </c>
      <c r="L432" s="2">
        <v>1.84</v>
      </c>
      <c r="M432" s="2">
        <v>-0.09</v>
      </c>
      <c r="N432" t="s">
        <v>98</v>
      </c>
      <c r="O432">
        <v>12</v>
      </c>
      <c r="P432" t="s">
        <v>323</v>
      </c>
    </row>
    <row r="433" spans="1:16">
      <c r="A433" s="1">
        <v>45959</v>
      </c>
      <c r="B433">
        <v>4</v>
      </c>
      <c r="C433" t="s">
        <v>94</v>
      </c>
      <c r="D433">
        <v>4</v>
      </c>
      <c r="E433" s="2">
        <v>11.5</v>
      </c>
      <c r="F433" s="2">
        <v>-76.650000000000006</v>
      </c>
      <c r="G433" s="2">
        <v>80.739999999999995</v>
      </c>
      <c r="H433" s="2">
        <v>22.12</v>
      </c>
      <c r="I433" s="2">
        <v>-27.84</v>
      </c>
      <c r="J433" s="2">
        <v>1.71</v>
      </c>
      <c r="K433" s="2">
        <v>0.57999999999999996</v>
      </c>
      <c r="L433" s="2">
        <v>1.81</v>
      </c>
      <c r="M433" s="2">
        <v>-0.17</v>
      </c>
      <c r="N433" t="s">
        <v>98</v>
      </c>
      <c r="O433">
        <v>12</v>
      </c>
      <c r="P433" t="s">
        <v>322</v>
      </c>
    </row>
    <row r="434" spans="1:16">
      <c r="A434" s="1">
        <v>45959</v>
      </c>
      <c r="B434">
        <v>4</v>
      </c>
      <c r="C434" t="s">
        <v>94</v>
      </c>
      <c r="D434">
        <v>4</v>
      </c>
      <c r="E434" s="2">
        <v>12</v>
      </c>
      <c r="F434" s="2">
        <v>-145.72999999999999</v>
      </c>
      <c r="G434" s="2">
        <v>154.25</v>
      </c>
      <c r="H434" s="2">
        <v>-17.079999999999998</v>
      </c>
      <c r="I434" s="2">
        <v>6.84</v>
      </c>
      <c r="J434" s="2">
        <v>1.65</v>
      </c>
      <c r="K434" s="2">
        <v>0.93</v>
      </c>
      <c r="L434" s="2">
        <v>1.89</v>
      </c>
      <c r="M434" s="2">
        <v>-0.1</v>
      </c>
      <c r="N434" t="s">
        <v>98</v>
      </c>
      <c r="O434">
        <v>12</v>
      </c>
      <c r="P434" t="s">
        <v>322</v>
      </c>
    </row>
    <row r="435" spans="1:16">
      <c r="A435" s="1">
        <v>45959</v>
      </c>
      <c r="B435">
        <v>4</v>
      </c>
      <c r="C435" t="s">
        <v>94</v>
      </c>
      <c r="D435">
        <v>4</v>
      </c>
      <c r="E435" s="2">
        <v>12.5</v>
      </c>
      <c r="F435" s="2">
        <v>-134.28</v>
      </c>
      <c r="G435" s="2">
        <v>138.6</v>
      </c>
      <c r="H435" s="2">
        <v>49.89</v>
      </c>
      <c r="I435" s="2">
        <v>-43.79</v>
      </c>
      <c r="J435" s="2">
        <v>1.62</v>
      </c>
      <c r="K435" s="2">
        <v>0.84</v>
      </c>
      <c r="L435" s="2">
        <v>1.82</v>
      </c>
      <c r="M435" s="2">
        <v>-0.09</v>
      </c>
      <c r="N435" t="s">
        <v>98</v>
      </c>
      <c r="O435">
        <v>12</v>
      </c>
      <c r="P435" t="s">
        <v>322</v>
      </c>
    </row>
    <row r="436" spans="1:16">
      <c r="A436" s="1">
        <v>45959</v>
      </c>
      <c r="B436">
        <v>4</v>
      </c>
      <c r="C436" t="s">
        <v>94</v>
      </c>
      <c r="D436">
        <v>4</v>
      </c>
      <c r="E436" s="2">
        <v>13</v>
      </c>
      <c r="F436" s="2">
        <v>-62.97</v>
      </c>
      <c r="G436" s="2">
        <v>69.97</v>
      </c>
      <c r="H436" s="2">
        <v>49.67</v>
      </c>
      <c r="I436" s="2">
        <v>-33.520000000000003</v>
      </c>
      <c r="J436" s="2">
        <v>1.56</v>
      </c>
      <c r="K436" s="2">
        <v>0.78</v>
      </c>
      <c r="L436" s="2">
        <v>1.75</v>
      </c>
      <c r="M436" s="2">
        <v>-7.0000000000000007E-2</v>
      </c>
      <c r="N436" t="s">
        <v>98</v>
      </c>
      <c r="O436">
        <v>12</v>
      </c>
      <c r="P436" t="s">
        <v>322</v>
      </c>
    </row>
    <row r="437" spans="1:16">
      <c r="A437" s="1">
        <v>45959</v>
      </c>
      <c r="B437">
        <v>4</v>
      </c>
      <c r="C437" t="s">
        <v>94</v>
      </c>
      <c r="D437">
        <v>4</v>
      </c>
      <c r="E437" s="2">
        <v>13.5</v>
      </c>
      <c r="F437" s="2">
        <v>-50.41</v>
      </c>
      <c r="G437" s="2">
        <v>57.1</v>
      </c>
      <c r="H437" s="2">
        <v>62.71</v>
      </c>
      <c r="I437" s="2">
        <v>-55.76</v>
      </c>
      <c r="J437" s="2">
        <v>1.36</v>
      </c>
      <c r="K437" s="2">
        <v>0.71</v>
      </c>
      <c r="L437" s="2">
        <v>1.54</v>
      </c>
      <c r="M437" s="2">
        <v>-0.14000000000000001</v>
      </c>
      <c r="N437" t="s">
        <v>98</v>
      </c>
      <c r="O437">
        <v>12</v>
      </c>
      <c r="P437" t="s">
        <v>322</v>
      </c>
    </row>
    <row r="438" spans="1:16">
      <c r="A438" s="1">
        <v>45959</v>
      </c>
      <c r="B438">
        <v>4</v>
      </c>
      <c r="C438" t="s">
        <v>94</v>
      </c>
      <c r="D438">
        <v>4</v>
      </c>
      <c r="E438" s="2">
        <v>14</v>
      </c>
      <c r="F438" s="2">
        <v>-50.53</v>
      </c>
      <c r="G438" s="2">
        <v>55.56</v>
      </c>
      <c r="H438" s="2">
        <v>81.489999999999995</v>
      </c>
      <c r="I438" s="2">
        <v>-79.3</v>
      </c>
      <c r="J438" s="2">
        <v>1.06</v>
      </c>
      <c r="K438" s="2">
        <v>0.64</v>
      </c>
      <c r="L438" s="2">
        <v>1.24</v>
      </c>
      <c r="M438" s="2">
        <v>-0.27</v>
      </c>
      <c r="N438" t="s">
        <v>98</v>
      </c>
      <c r="O438">
        <v>12</v>
      </c>
      <c r="P438" t="s">
        <v>322</v>
      </c>
    </row>
    <row r="439" spans="1:16">
      <c r="A439" s="1">
        <v>45959</v>
      </c>
      <c r="B439">
        <v>4</v>
      </c>
      <c r="C439" t="s">
        <v>94</v>
      </c>
      <c r="D439">
        <v>4</v>
      </c>
      <c r="E439" s="2">
        <v>14.5</v>
      </c>
      <c r="F439" s="2">
        <v>-40.68</v>
      </c>
      <c r="G439" s="2">
        <v>46.23</v>
      </c>
      <c r="H439" s="2">
        <v>105.82</v>
      </c>
      <c r="I439" s="2">
        <v>-98.32</v>
      </c>
      <c r="J439" s="2">
        <v>0.71</v>
      </c>
      <c r="K439" s="2">
        <v>0.49</v>
      </c>
      <c r="L439" s="2">
        <v>0.87</v>
      </c>
      <c r="M439" s="2">
        <v>-0.32</v>
      </c>
      <c r="N439" t="s">
        <v>98</v>
      </c>
      <c r="O439">
        <v>12</v>
      </c>
      <c r="P439" t="s">
        <v>322</v>
      </c>
    </row>
    <row r="440" spans="1:16">
      <c r="A440" s="1">
        <v>45959</v>
      </c>
      <c r="B440">
        <v>4</v>
      </c>
      <c r="C440" t="s">
        <v>94</v>
      </c>
      <c r="D440">
        <v>4</v>
      </c>
      <c r="E440" s="2">
        <v>15</v>
      </c>
      <c r="F440" s="2">
        <v>-8.48</v>
      </c>
      <c r="G440" s="2">
        <v>15.82</v>
      </c>
      <c r="H440" s="2">
        <v>115.23</v>
      </c>
      <c r="I440" s="2">
        <v>-115.67</v>
      </c>
      <c r="J440" s="2">
        <v>0.41</v>
      </c>
      <c r="K440" s="2">
        <v>0.38</v>
      </c>
      <c r="L440" s="2">
        <v>0.56000000000000005</v>
      </c>
      <c r="M440" s="2">
        <v>-0.46</v>
      </c>
      <c r="N440" t="s">
        <v>98</v>
      </c>
      <c r="O440">
        <v>12</v>
      </c>
      <c r="P440" t="s">
        <v>322</v>
      </c>
    </row>
    <row r="441" spans="1:16">
      <c r="A441" s="1">
        <v>45959</v>
      </c>
      <c r="B441">
        <v>4</v>
      </c>
      <c r="C441" t="s">
        <v>94</v>
      </c>
      <c r="D441">
        <v>4</v>
      </c>
      <c r="E441" s="2">
        <v>15.5</v>
      </c>
      <c r="F441" s="2">
        <v>-32.68</v>
      </c>
      <c r="G441" s="2">
        <v>35.1</v>
      </c>
      <c r="H441" s="2">
        <v>135.94999999999999</v>
      </c>
      <c r="I441" s="2">
        <v>-107.92</v>
      </c>
      <c r="J441" s="2">
        <v>0.21</v>
      </c>
      <c r="K441" s="2">
        <v>0.26</v>
      </c>
      <c r="L441" s="2">
        <v>0.33</v>
      </c>
      <c r="M441" s="2">
        <v>-0.5</v>
      </c>
      <c r="N441" t="s">
        <v>98</v>
      </c>
      <c r="O441">
        <v>12</v>
      </c>
      <c r="P441" t="s">
        <v>322</v>
      </c>
    </row>
    <row r="442" spans="1:16">
      <c r="A442" s="1">
        <v>45959</v>
      </c>
      <c r="B442">
        <v>4</v>
      </c>
      <c r="C442" t="s">
        <v>94</v>
      </c>
      <c r="D442">
        <v>4</v>
      </c>
      <c r="E442" s="2">
        <v>16</v>
      </c>
      <c r="F442" s="2">
        <v>-15.1</v>
      </c>
      <c r="G442" s="2">
        <v>20.97</v>
      </c>
      <c r="H442" s="2">
        <v>-20.96</v>
      </c>
      <c r="I442" s="2">
        <v>34.19</v>
      </c>
      <c r="J442" s="2">
        <v>-0.32</v>
      </c>
      <c r="K442" s="2">
        <v>-0.1</v>
      </c>
      <c r="L442" s="2">
        <v>0.33</v>
      </c>
      <c r="M442" s="2">
        <v>-0.34</v>
      </c>
      <c r="N442" t="s">
        <v>98</v>
      </c>
      <c r="O442">
        <v>12</v>
      </c>
      <c r="P442" t="s">
        <v>322</v>
      </c>
    </row>
    <row r="443" spans="1:16">
      <c r="A443" s="1">
        <v>45959</v>
      </c>
      <c r="B443">
        <v>4</v>
      </c>
      <c r="C443" t="s">
        <v>94</v>
      </c>
      <c r="D443">
        <v>4</v>
      </c>
      <c r="E443" s="2">
        <v>16.5</v>
      </c>
      <c r="F443" s="2">
        <v>5.1100000000000003</v>
      </c>
      <c r="G443" s="2">
        <v>0.61</v>
      </c>
      <c r="H443" s="2">
        <v>-9.4499999999999993</v>
      </c>
      <c r="I443" s="2">
        <v>22.69</v>
      </c>
      <c r="J443" s="2">
        <v>-0.3</v>
      </c>
      <c r="K443" s="2">
        <v>0.01</v>
      </c>
      <c r="L443" s="2">
        <v>0.3</v>
      </c>
      <c r="M443" s="2">
        <v>-0.39</v>
      </c>
      <c r="N443" t="s">
        <v>98</v>
      </c>
      <c r="O443">
        <v>12</v>
      </c>
      <c r="P443" t="s">
        <v>322</v>
      </c>
    </row>
    <row r="444" spans="1:16">
      <c r="A444" s="1">
        <v>45959</v>
      </c>
      <c r="B444">
        <v>4</v>
      </c>
      <c r="C444" t="s">
        <v>94</v>
      </c>
      <c r="D444">
        <v>4</v>
      </c>
      <c r="E444" s="2">
        <v>17</v>
      </c>
      <c r="F444" s="2">
        <v>16.920000000000002</v>
      </c>
      <c r="G444" s="2">
        <v>-11.95</v>
      </c>
      <c r="H444" s="2">
        <v>5.18</v>
      </c>
      <c r="I444" s="2">
        <v>-0.73</v>
      </c>
      <c r="J444" s="2">
        <v>-0.27</v>
      </c>
      <c r="K444" s="2">
        <v>0.02</v>
      </c>
      <c r="L444" s="2">
        <v>0.27</v>
      </c>
      <c r="M444" s="2">
        <v>-0.42</v>
      </c>
      <c r="N444" t="s">
        <v>98</v>
      </c>
      <c r="O444">
        <v>12</v>
      </c>
      <c r="P444" t="s">
        <v>322</v>
      </c>
    </row>
    <row r="445" spans="1:16">
      <c r="A445" s="1">
        <v>45959</v>
      </c>
      <c r="B445">
        <v>4</v>
      </c>
      <c r="C445" t="s">
        <v>94</v>
      </c>
      <c r="D445">
        <v>4</v>
      </c>
      <c r="E445" s="2">
        <v>17.5</v>
      </c>
      <c r="F445" s="2">
        <v>-10.89</v>
      </c>
      <c r="G445" s="2">
        <v>16.170000000000002</v>
      </c>
      <c r="H445" s="2">
        <v>36.29</v>
      </c>
      <c r="I445" s="2">
        <v>-28.69</v>
      </c>
      <c r="J445" s="2">
        <v>-0.3</v>
      </c>
      <c r="K445" s="2">
        <v>0.17</v>
      </c>
      <c r="L445" s="2">
        <v>0.34</v>
      </c>
      <c r="M445" s="2">
        <v>-0.47</v>
      </c>
      <c r="N445" t="s">
        <v>98</v>
      </c>
      <c r="O445">
        <v>12</v>
      </c>
      <c r="P445" t="s">
        <v>322</v>
      </c>
    </row>
    <row r="446" spans="1:16">
      <c r="A446" s="1">
        <v>45959</v>
      </c>
      <c r="B446">
        <v>4</v>
      </c>
      <c r="C446" t="s">
        <v>94</v>
      </c>
      <c r="D446">
        <v>4</v>
      </c>
      <c r="E446" s="2">
        <v>18</v>
      </c>
      <c r="F446" s="2">
        <v>-31.29</v>
      </c>
      <c r="G446" s="2">
        <v>35.409999999999997</v>
      </c>
      <c r="H446" s="2">
        <v>57.51</v>
      </c>
      <c r="I446" s="2">
        <v>-42.41</v>
      </c>
      <c r="J446" s="2">
        <v>-0.28999999999999998</v>
      </c>
      <c r="K446" s="2">
        <v>0.17</v>
      </c>
      <c r="L446" s="2">
        <v>0.33</v>
      </c>
      <c r="M446" s="2">
        <v>-0.53</v>
      </c>
      <c r="N446" t="s">
        <v>98</v>
      </c>
      <c r="O446">
        <v>12</v>
      </c>
      <c r="P446" t="s">
        <v>322</v>
      </c>
    </row>
    <row r="447" spans="1:16">
      <c r="A447" s="1">
        <v>45959</v>
      </c>
      <c r="B447">
        <v>4</v>
      </c>
      <c r="C447" t="s">
        <v>94</v>
      </c>
      <c r="D447">
        <v>4</v>
      </c>
      <c r="E447" s="2">
        <v>18.5</v>
      </c>
      <c r="F447" s="2">
        <v>-34.840000000000003</v>
      </c>
      <c r="G447" s="2">
        <v>46.41</v>
      </c>
      <c r="H447" s="2">
        <v>73.2</v>
      </c>
      <c r="I447" s="2">
        <v>-50.4</v>
      </c>
      <c r="J447" s="2">
        <v>-0.28999999999999998</v>
      </c>
      <c r="K447" s="2">
        <v>0.3</v>
      </c>
      <c r="L447" s="2">
        <v>0.42</v>
      </c>
      <c r="M447" s="2">
        <v>-0.42</v>
      </c>
      <c r="N447" t="s">
        <v>98</v>
      </c>
      <c r="O447">
        <v>12</v>
      </c>
      <c r="P447" t="s">
        <v>322</v>
      </c>
    </row>
    <row r="448" spans="1:16">
      <c r="A448" s="1">
        <v>45959</v>
      </c>
      <c r="B448">
        <v>4</v>
      </c>
      <c r="C448" t="s">
        <v>94</v>
      </c>
      <c r="D448">
        <v>4</v>
      </c>
      <c r="E448" s="2">
        <v>19</v>
      </c>
      <c r="F448" s="2">
        <v>-139.32</v>
      </c>
      <c r="G448" s="2">
        <v>136.46</v>
      </c>
      <c r="H448" s="2">
        <v>-33.520000000000003</v>
      </c>
      <c r="I448" s="2">
        <v>48.98</v>
      </c>
      <c r="J448" s="2">
        <v>-0.28999999999999998</v>
      </c>
      <c r="K448" s="2">
        <v>0.21</v>
      </c>
      <c r="L448" s="2">
        <v>0.36</v>
      </c>
      <c r="M448" s="2">
        <v>-0.48</v>
      </c>
      <c r="N448" t="s">
        <v>98</v>
      </c>
      <c r="O448">
        <v>12</v>
      </c>
      <c r="P448" t="s">
        <v>322</v>
      </c>
    </row>
    <row r="449" spans="1:16">
      <c r="A449" s="1">
        <v>45959</v>
      </c>
      <c r="B449">
        <v>4</v>
      </c>
      <c r="C449" t="s">
        <v>94</v>
      </c>
      <c r="D449">
        <v>4</v>
      </c>
      <c r="E449" s="2">
        <v>19.5</v>
      </c>
      <c r="F449" s="2">
        <v>-133.27000000000001</v>
      </c>
      <c r="G449" s="2">
        <v>137.44</v>
      </c>
      <c r="H449" s="2">
        <v>-23.29</v>
      </c>
      <c r="I449" s="2">
        <v>39.78</v>
      </c>
      <c r="J449" s="2">
        <v>-0.34</v>
      </c>
      <c r="K449" s="2">
        <v>0.13</v>
      </c>
      <c r="L449" s="2">
        <v>0.36</v>
      </c>
      <c r="M449" s="2">
        <v>-0.43</v>
      </c>
      <c r="N449" t="s">
        <v>98</v>
      </c>
      <c r="O449">
        <v>12</v>
      </c>
      <c r="P449" t="s">
        <v>322</v>
      </c>
    </row>
    <row r="450" spans="1:16">
      <c r="A450" s="1">
        <v>45959</v>
      </c>
      <c r="B450">
        <v>4</v>
      </c>
      <c r="C450" t="s">
        <v>94</v>
      </c>
      <c r="D450">
        <v>4</v>
      </c>
      <c r="E450" s="2">
        <v>20</v>
      </c>
      <c r="F450" s="2">
        <v>-142.80000000000001</v>
      </c>
      <c r="G450" s="2">
        <v>146.57</v>
      </c>
      <c r="H450" s="2">
        <v>-44.08</v>
      </c>
      <c r="I450" s="2">
        <v>40.53</v>
      </c>
      <c r="J450" s="2">
        <v>-0.4</v>
      </c>
      <c r="K450" s="2">
        <v>0.27</v>
      </c>
      <c r="L450" s="2">
        <v>0.48</v>
      </c>
      <c r="M450" s="2">
        <v>-0.24</v>
      </c>
      <c r="N450" t="s">
        <v>98</v>
      </c>
      <c r="O450">
        <v>12</v>
      </c>
      <c r="P450" t="s">
        <v>322</v>
      </c>
    </row>
    <row r="451" spans="1:16">
      <c r="A451" s="1">
        <v>45959</v>
      </c>
      <c r="B451">
        <v>4</v>
      </c>
      <c r="C451" t="s">
        <v>94</v>
      </c>
      <c r="D451">
        <v>4</v>
      </c>
      <c r="E451" s="2">
        <v>20.5</v>
      </c>
      <c r="F451" s="2">
        <v>-167.88</v>
      </c>
      <c r="G451" s="2">
        <v>171.64</v>
      </c>
      <c r="H451" s="2">
        <v>-26.7</v>
      </c>
      <c r="I451" s="2">
        <v>13.78</v>
      </c>
      <c r="J451" s="2">
        <v>-0.42</v>
      </c>
      <c r="K451" s="2">
        <v>0.15</v>
      </c>
      <c r="L451" s="2">
        <v>0.44</v>
      </c>
      <c r="M451" s="2">
        <v>-0.17</v>
      </c>
      <c r="N451" t="s">
        <v>98</v>
      </c>
      <c r="O451">
        <v>12</v>
      </c>
      <c r="P451" t="s">
        <v>322</v>
      </c>
    </row>
    <row r="452" spans="1:16">
      <c r="A452" s="1">
        <v>45959</v>
      </c>
      <c r="B452">
        <v>4</v>
      </c>
      <c r="C452" t="s">
        <v>94</v>
      </c>
      <c r="D452">
        <v>4</v>
      </c>
      <c r="E452" s="2">
        <v>21</v>
      </c>
      <c r="F452" s="2">
        <v>-155.93</v>
      </c>
      <c r="G452" s="2">
        <v>158.34</v>
      </c>
      <c r="H452" s="2">
        <v>-5.58</v>
      </c>
      <c r="I452" s="2">
        <v>2.69</v>
      </c>
      <c r="J452" s="2">
        <v>-0.44</v>
      </c>
      <c r="K452" s="2">
        <v>0.15</v>
      </c>
      <c r="L452" s="2">
        <v>0.46</v>
      </c>
      <c r="M452" s="2">
        <v>-0.13</v>
      </c>
      <c r="N452" t="s">
        <v>98</v>
      </c>
      <c r="O452">
        <v>12</v>
      </c>
      <c r="P452" t="s">
        <v>322</v>
      </c>
    </row>
    <row r="453" spans="1:16">
      <c r="A453" s="1">
        <v>45959</v>
      </c>
      <c r="B453">
        <v>4</v>
      </c>
      <c r="C453" t="s">
        <v>94</v>
      </c>
      <c r="D453">
        <v>4</v>
      </c>
      <c r="E453" s="2">
        <v>21.5</v>
      </c>
      <c r="F453" s="2">
        <v>-75.709999999999994</v>
      </c>
      <c r="G453" s="2">
        <v>83.2</v>
      </c>
      <c r="H453" s="2">
        <v>-16.260000000000002</v>
      </c>
      <c r="I453" s="2">
        <v>25.51</v>
      </c>
      <c r="J453" s="2">
        <v>-0.44</v>
      </c>
      <c r="K453" s="2">
        <v>0.5</v>
      </c>
      <c r="L453" s="2">
        <v>0.66</v>
      </c>
      <c r="M453" s="2">
        <v>0.12</v>
      </c>
      <c r="N453" t="s">
        <v>98</v>
      </c>
      <c r="O453">
        <v>12</v>
      </c>
      <c r="P453" t="s">
        <v>322</v>
      </c>
    </row>
    <row r="454" spans="1:16">
      <c r="A454" s="1">
        <v>45959</v>
      </c>
      <c r="B454">
        <v>4</v>
      </c>
      <c r="C454" t="s">
        <v>94</v>
      </c>
      <c r="D454">
        <v>4</v>
      </c>
      <c r="E454" s="2">
        <v>22</v>
      </c>
      <c r="F454" s="2">
        <v>5.07</v>
      </c>
      <c r="G454" s="2">
        <v>-4.32</v>
      </c>
      <c r="H454" s="2">
        <v>-106.42</v>
      </c>
      <c r="I454" s="2">
        <v>103.48</v>
      </c>
      <c r="J454" s="2">
        <v>-0.48</v>
      </c>
      <c r="K454" s="2">
        <v>0.59</v>
      </c>
      <c r="L454" s="2">
        <v>0.76</v>
      </c>
      <c r="M454" s="2">
        <v>0.14000000000000001</v>
      </c>
      <c r="N454" t="s">
        <v>98</v>
      </c>
      <c r="O454">
        <v>12</v>
      </c>
      <c r="P454" t="s">
        <v>322</v>
      </c>
    </row>
    <row r="455" spans="1:16">
      <c r="A455" s="1">
        <v>45959</v>
      </c>
      <c r="B455">
        <v>4</v>
      </c>
      <c r="C455" t="s">
        <v>94</v>
      </c>
      <c r="D455">
        <v>4</v>
      </c>
      <c r="E455" s="2">
        <v>22.5</v>
      </c>
      <c r="F455" s="2">
        <v>-24.73</v>
      </c>
      <c r="G455" s="2">
        <v>28.23</v>
      </c>
      <c r="H455" s="2">
        <v>-52.7</v>
      </c>
      <c r="I455" s="2">
        <v>38.36</v>
      </c>
      <c r="J455" s="2">
        <v>-0.54</v>
      </c>
      <c r="K455" s="2">
        <v>0.52</v>
      </c>
      <c r="L455" s="2">
        <v>0.75</v>
      </c>
      <c r="M455" s="2">
        <v>0.03</v>
      </c>
      <c r="N455" t="s">
        <v>98</v>
      </c>
      <c r="O455">
        <v>12</v>
      </c>
      <c r="P455" t="s">
        <v>322</v>
      </c>
    </row>
    <row r="456" spans="1:16">
      <c r="A456" s="1">
        <v>45959</v>
      </c>
      <c r="B456">
        <v>4</v>
      </c>
      <c r="C456" t="s">
        <v>94</v>
      </c>
      <c r="D456">
        <v>4</v>
      </c>
      <c r="E456" s="2">
        <v>23</v>
      </c>
      <c r="F456" s="2">
        <v>-46.09</v>
      </c>
      <c r="G456" s="2">
        <v>48.94</v>
      </c>
      <c r="H456" s="2">
        <v>-7.01</v>
      </c>
      <c r="I456" s="2">
        <v>1.55</v>
      </c>
      <c r="J456" s="2">
        <v>-0.56999999999999995</v>
      </c>
      <c r="K456" s="2">
        <v>0.37</v>
      </c>
      <c r="L456" s="2">
        <v>0.68</v>
      </c>
      <c r="M456" s="2">
        <v>0.02</v>
      </c>
      <c r="N456" t="s">
        <v>98</v>
      </c>
      <c r="O456">
        <v>12</v>
      </c>
      <c r="P456" t="s">
        <v>322</v>
      </c>
    </row>
    <row r="457" spans="1:16">
      <c r="A457" s="1">
        <v>45959</v>
      </c>
      <c r="B457">
        <v>4</v>
      </c>
      <c r="C457" t="s">
        <v>94</v>
      </c>
      <c r="D457">
        <v>4</v>
      </c>
      <c r="E457" s="2">
        <v>23.5</v>
      </c>
      <c r="F457" s="2">
        <v>-63.49</v>
      </c>
      <c r="G457" s="2">
        <v>68.87</v>
      </c>
      <c r="H457" s="2">
        <v>20.11</v>
      </c>
      <c r="I457" s="2">
        <v>-23.97</v>
      </c>
      <c r="J457" s="2">
        <v>-0.55000000000000004</v>
      </c>
      <c r="K457" s="2">
        <v>0.26</v>
      </c>
      <c r="L457" s="2">
        <v>0.61</v>
      </c>
      <c r="M457" s="2">
        <v>0.03</v>
      </c>
      <c r="N457" t="s">
        <v>98</v>
      </c>
      <c r="O457">
        <v>12</v>
      </c>
      <c r="P457" t="s">
        <v>322</v>
      </c>
    </row>
    <row r="458" spans="1:16">
      <c r="A458" s="1">
        <v>45959</v>
      </c>
      <c r="B458">
        <v>4</v>
      </c>
      <c r="C458" t="s">
        <v>94</v>
      </c>
      <c r="D458">
        <v>4</v>
      </c>
      <c r="E458" s="2">
        <v>24</v>
      </c>
      <c r="F458" s="2">
        <v>-88.14</v>
      </c>
      <c r="G458" s="2">
        <v>93.27</v>
      </c>
      <c r="H458" s="2">
        <v>20.170000000000002</v>
      </c>
      <c r="I458" s="2">
        <v>-24.79</v>
      </c>
      <c r="J458" s="2">
        <v>-0.51</v>
      </c>
      <c r="K458" s="2">
        <v>0.27</v>
      </c>
      <c r="L458" s="2">
        <v>0.57999999999999996</v>
      </c>
      <c r="M458" s="2">
        <v>0.06</v>
      </c>
      <c r="N458" t="s">
        <v>98</v>
      </c>
      <c r="O458">
        <v>12</v>
      </c>
      <c r="P458" t="s">
        <v>322</v>
      </c>
    </row>
    <row r="459" spans="1:16">
      <c r="A459" s="1">
        <v>45959</v>
      </c>
      <c r="B459">
        <v>4</v>
      </c>
      <c r="C459" t="s">
        <v>94</v>
      </c>
      <c r="D459">
        <v>4</v>
      </c>
      <c r="E459" s="2">
        <v>24.5</v>
      </c>
      <c r="F459" s="2">
        <v>-119.85</v>
      </c>
      <c r="G459" s="2">
        <v>109.72</v>
      </c>
      <c r="H459" s="2">
        <v>32.479999999999997</v>
      </c>
      <c r="I459" s="2">
        <v>-11.91</v>
      </c>
      <c r="J459" s="2">
        <v>-0.51</v>
      </c>
      <c r="K459" s="2">
        <v>0.27</v>
      </c>
      <c r="L459" s="2">
        <v>0.56999999999999995</v>
      </c>
      <c r="M459" s="2">
        <v>0.13</v>
      </c>
      <c r="N459" t="s">
        <v>98</v>
      </c>
      <c r="O459">
        <v>12</v>
      </c>
      <c r="P459" t="s">
        <v>322</v>
      </c>
    </row>
    <row r="460" spans="1:16">
      <c r="A460" s="1">
        <v>45959</v>
      </c>
      <c r="B460">
        <v>4</v>
      </c>
      <c r="C460" t="s">
        <v>94</v>
      </c>
      <c r="D460">
        <v>4</v>
      </c>
      <c r="E460" s="2">
        <v>25</v>
      </c>
      <c r="F460" s="2">
        <v>-105.04</v>
      </c>
      <c r="G460" s="2">
        <v>117.08</v>
      </c>
      <c r="H460" s="2">
        <v>-28.04</v>
      </c>
      <c r="I460" s="2">
        <v>52.02</v>
      </c>
      <c r="J460" s="2">
        <v>-0.37</v>
      </c>
      <c r="K460" s="2">
        <v>0.53</v>
      </c>
      <c r="L460" s="2">
        <v>0.64</v>
      </c>
      <c r="M460" s="2">
        <v>0.15</v>
      </c>
      <c r="N460" t="s">
        <v>98</v>
      </c>
      <c r="O460">
        <v>12</v>
      </c>
      <c r="P460" t="s">
        <v>322</v>
      </c>
    </row>
    <row r="461" spans="1:16">
      <c r="A461" s="1">
        <v>45959</v>
      </c>
      <c r="B461">
        <v>4</v>
      </c>
      <c r="C461" t="s">
        <v>94</v>
      </c>
      <c r="D461">
        <v>4</v>
      </c>
      <c r="E461" s="2">
        <v>25.5</v>
      </c>
      <c r="F461" s="2">
        <v>-94.19</v>
      </c>
      <c r="G461" s="2">
        <v>99.13</v>
      </c>
      <c r="H461" s="2">
        <v>-40.65</v>
      </c>
      <c r="I461" s="2">
        <v>52.35</v>
      </c>
      <c r="J461" s="2">
        <v>-0.38</v>
      </c>
      <c r="K461" s="2">
        <v>0.47</v>
      </c>
      <c r="L461" s="2">
        <v>0.6</v>
      </c>
      <c r="M461" s="2">
        <v>0.13</v>
      </c>
      <c r="N461" t="s">
        <v>98</v>
      </c>
      <c r="O461">
        <v>12</v>
      </c>
      <c r="P461" t="s">
        <v>322</v>
      </c>
    </row>
    <row r="462" spans="1:16">
      <c r="A462" s="1">
        <v>45959</v>
      </c>
      <c r="B462">
        <v>4</v>
      </c>
      <c r="C462" t="s">
        <v>94</v>
      </c>
      <c r="D462">
        <v>4</v>
      </c>
      <c r="E462" s="2">
        <v>26</v>
      </c>
      <c r="F462" s="2">
        <v>-61.15</v>
      </c>
      <c r="G462" s="2">
        <v>67.77</v>
      </c>
      <c r="H462" s="2">
        <v>-27.06</v>
      </c>
      <c r="I462" s="2">
        <v>27.2</v>
      </c>
      <c r="J462" s="2">
        <v>-0.45</v>
      </c>
      <c r="K462" s="2">
        <v>0.18</v>
      </c>
      <c r="L462" s="2">
        <v>0.48</v>
      </c>
      <c r="M462" s="2">
        <v>7.0000000000000007E-2</v>
      </c>
      <c r="N462" t="s">
        <v>98</v>
      </c>
      <c r="O462">
        <v>12</v>
      </c>
      <c r="P462" t="s">
        <v>322</v>
      </c>
    </row>
    <row r="463" spans="1:16">
      <c r="A463" s="1">
        <v>45959</v>
      </c>
      <c r="B463">
        <v>4</v>
      </c>
      <c r="C463" t="s">
        <v>94</v>
      </c>
      <c r="D463">
        <v>4</v>
      </c>
      <c r="E463" s="2">
        <v>26.5</v>
      </c>
      <c r="F463" s="2">
        <v>-22.14</v>
      </c>
      <c r="G463" s="2">
        <v>28.18</v>
      </c>
      <c r="H463" s="2">
        <v>8.66</v>
      </c>
      <c r="I463" s="2">
        <v>-5.43</v>
      </c>
      <c r="J463" s="2">
        <v>-0.51</v>
      </c>
      <c r="K463" s="2">
        <v>0.18</v>
      </c>
      <c r="L463" s="2">
        <v>0.54</v>
      </c>
      <c r="M463" s="2">
        <v>0.1</v>
      </c>
      <c r="N463" t="s">
        <v>98</v>
      </c>
      <c r="O463">
        <v>12</v>
      </c>
      <c r="P463" t="s">
        <v>322</v>
      </c>
    </row>
    <row r="464" spans="1:16">
      <c r="A464" s="1">
        <v>45959</v>
      </c>
      <c r="B464">
        <v>4</v>
      </c>
      <c r="C464" t="s">
        <v>94</v>
      </c>
      <c r="D464">
        <v>4</v>
      </c>
      <c r="E464" s="2">
        <v>27</v>
      </c>
      <c r="F464" s="2">
        <v>32.700000000000003</v>
      </c>
      <c r="G464" s="2">
        <v>-27.16</v>
      </c>
      <c r="H464" s="2">
        <v>74.89</v>
      </c>
      <c r="I464" s="2">
        <v>-31.67</v>
      </c>
      <c r="J464" s="2">
        <v>-0.35</v>
      </c>
      <c r="K464" s="2">
        <v>0.12</v>
      </c>
      <c r="L464" s="2">
        <v>0.37</v>
      </c>
      <c r="M464" s="2">
        <v>0.05</v>
      </c>
      <c r="N464" t="s">
        <v>98</v>
      </c>
      <c r="O464">
        <v>12</v>
      </c>
      <c r="P464" t="s">
        <v>322</v>
      </c>
    </row>
    <row r="465" spans="1:16">
      <c r="A465" s="1">
        <v>45959</v>
      </c>
      <c r="B465">
        <v>4</v>
      </c>
      <c r="C465" t="s">
        <v>99</v>
      </c>
      <c r="D465">
        <v>4</v>
      </c>
      <c r="E465" s="2">
        <v>0.5</v>
      </c>
      <c r="F465" s="2">
        <v>-391.92</v>
      </c>
      <c r="G465" s="2">
        <v>384.19</v>
      </c>
      <c r="H465" s="2">
        <v>-96.61</v>
      </c>
      <c r="I465" s="2">
        <v>156.07</v>
      </c>
      <c r="J465" s="2">
        <v>0.06</v>
      </c>
      <c r="K465" s="2">
        <v>-3.64</v>
      </c>
      <c r="L465" s="2">
        <v>3.64</v>
      </c>
      <c r="M465" s="2">
        <v>1.73</v>
      </c>
      <c r="N465" t="s">
        <v>98</v>
      </c>
      <c r="O465">
        <v>22</v>
      </c>
      <c r="P465" t="s">
        <v>322</v>
      </c>
    </row>
    <row r="466" spans="1:16">
      <c r="A466" s="1">
        <v>45959</v>
      </c>
      <c r="B466">
        <v>4</v>
      </c>
      <c r="C466" t="s">
        <v>99</v>
      </c>
      <c r="D466">
        <v>4</v>
      </c>
      <c r="E466" s="2">
        <v>1</v>
      </c>
      <c r="F466" s="2">
        <v>-395.98</v>
      </c>
      <c r="G466" s="2">
        <v>391.87</v>
      </c>
      <c r="H466" s="2">
        <v>-122.68</v>
      </c>
      <c r="I466" s="2">
        <v>129.68</v>
      </c>
      <c r="J466" s="2">
        <v>0.78</v>
      </c>
      <c r="K466" s="2">
        <v>-2.4500000000000002</v>
      </c>
      <c r="L466" s="2">
        <v>2.57</v>
      </c>
      <c r="M466" s="2">
        <v>1.7</v>
      </c>
      <c r="N466" t="s">
        <v>98</v>
      </c>
      <c r="O466">
        <v>22</v>
      </c>
      <c r="P466" t="s">
        <v>322</v>
      </c>
    </row>
    <row r="467" spans="1:16">
      <c r="A467" s="1">
        <v>45959</v>
      </c>
      <c r="B467">
        <v>4</v>
      </c>
      <c r="C467" t="s">
        <v>99</v>
      </c>
      <c r="D467">
        <v>4</v>
      </c>
      <c r="E467" s="2">
        <v>1.5</v>
      </c>
      <c r="F467" s="2">
        <v>-374.3</v>
      </c>
      <c r="G467" s="2">
        <v>381.9</v>
      </c>
      <c r="H467" s="2">
        <v>-137.77000000000001</v>
      </c>
      <c r="I467" s="2">
        <v>147</v>
      </c>
      <c r="J467" s="2">
        <v>1.42</v>
      </c>
      <c r="K467" s="2">
        <v>-1.3</v>
      </c>
      <c r="L467" s="2">
        <v>1.93</v>
      </c>
      <c r="M467" s="2">
        <v>1.38</v>
      </c>
      <c r="N467" t="s">
        <v>98</v>
      </c>
      <c r="O467">
        <v>22</v>
      </c>
      <c r="P467" t="s">
        <v>322</v>
      </c>
    </row>
    <row r="468" spans="1:16">
      <c r="A468" s="1">
        <v>45959</v>
      </c>
      <c r="B468">
        <v>4</v>
      </c>
      <c r="C468" t="s">
        <v>99</v>
      </c>
      <c r="D468">
        <v>4</v>
      </c>
      <c r="E468" s="2">
        <v>2</v>
      </c>
      <c r="F468" s="2">
        <v>-331.31</v>
      </c>
      <c r="G468" s="2">
        <v>341.26</v>
      </c>
      <c r="H468" s="2">
        <v>-208.8</v>
      </c>
      <c r="I468" s="2">
        <v>212.15</v>
      </c>
      <c r="J468" s="2">
        <v>1.56</v>
      </c>
      <c r="K468" s="2">
        <v>-0.86</v>
      </c>
      <c r="L468" s="2">
        <v>1.79</v>
      </c>
      <c r="M468" s="2">
        <v>1.06</v>
      </c>
      <c r="N468" t="s">
        <v>98</v>
      </c>
      <c r="O468">
        <v>22</v>
      </c>
      <c r="P468" t="s">
        <v>322</v>
      </c>
    </row>
    <row r="469" spans="1:16">
      <c r="A469" s="1">
        <v>45959</v>
      </c>
      <c r="B469">
        <v>4</v>
      </c>
      <c r="C469" t="s">
        <v>99</v>
      </c>
      <c r="D469">
        <v>4</v>
      </c>
      <c r="E469" s="2">
        <v>2.5</v>
      </c>
      <c r="F469" s="2">
        <v>-304.69</v>
      </c>
      <c r="G469" s="2">
        <v>313.95999999999998</v>
      </c>
      <c r="H469" s="2">
        <v>-189.19</v>
      </c>
      <c r="I469" s="2">
        <v>193.95</v>
      </c>
      <c r="J469" s="2">
        <v>1.63</v>
      </c>
      <c r="K469" s="2">
        <v>-0.79</v>
      </c>
      <c r="L469" s="2">
        <v>1.81</v>
      </c>
      <c r="M469" s="2">
        <v>1.05</v>
      </c>
      <c r="N469" t="s">
        <v>98</v>
      </c>
      <c r="O469">
        <v>22</v>
      </c>
      <c r="P469" t="s">
        <v>322</v>
      </c>
    </row>
    <row r="470" spans="1:16">
      <c r="A470" s="1">
        <v>45959</v>
      </c>
      <c r="B470">
        <v>4</v>
      </c>
      <c r="C470" t="s">
        <v>99</v>
      </c>
      <c r="D470">
        <v>4</v>
      </c>
      <c r="E470" s="2">
        <v>3</v>
      </c>
      <c r="F470" s="2">
        <v>-267.32</v>
      </c>
      <c r="G470" s="2">
        <v>277.20999999999998</v>
      </c>
      <c r="H470" s="2">
        <v>-135.41999999999999</v>
      </c>
      <c r="I470" s="2">
        <v>147.06</v>
      </c>
      <c r="J470" s="2">
        <v>1.67</v>
      </c>
      <c r="K470" s="2">
        <v>-0.83</v>
      </c>
      <c r="L470" s="2">
        <v>1.87</v>
      </c>
      <c r="M470" s="2">
        <v>1.1200000000000001</v>
      </c>
      <c r="N470" t="s">
        <v>98</v>
      </c>
      <c r="O470">
        <v>22</v>
      </c>
      <c r="P470" t="s">
        <v>322</v>
      </c>
    </row>
    <row r="471" spans="1:16">
      <c r="A471" s="1">
        <v>45959</v>
      </c>
      <c r="B471">
        <v>4</v>
      </c>
      <c r="C471" t="s">
        <v>99</v>
      </c>
      <c r="D471">
        <v>4</v>
      </c>
      <c r="E471" s="2">
        <v>3.5</v>
      </c>
      <c r="F471" s="2">
        <v>-205.77</v>
      </c>
      <c r="G471" s="2">
        <v>214.88</v>
      </c>
      <c r="H471" s="2">
        <v>-77.86</v>
      </c>
      <c r="I471" s="2">
        <v>77.14</v>
      </c>
      <c r="J471" s="2">
        <v>1.73</v>
      </c>
      <c r="K471" s="2">
        <v>-0.92</v>
      </c>
      <c r="L471" s="2">
        <v>1.96</v>
      </c>
      <c r="M471" s="2">
        <v>1.19</v>
      </c>
      <c r="N471" t="s">
        <v>98</v>
      </c>
      <c r="O471">
        <v>22</v>
      </c>
      <c r="P471" t="s">
        <v>322</v>
      </c>
    </row>
    <row r="472" spans="1:16">
      <c r="A472" s="1">
        <v>45959</v>
      </c>
      <c r="B472">
        <v>4</v>
      </c>
      <c r="C472" t="s">
        <v>99</v>
      </c>
      <c r="D472">
        <v>4</v>
      </c>
      <c r="E472" s="2">
        <v>4</v>
      </c>
      <c r="F472" s="2">
        <v>-148.87</v>
      </c>
      <c r="G472" s="2">
        <v>160.19</v>
      </c>
      <c r="H472" s="2">
        <v>-63.94</v>
      </c>
      <c r="I472" s="2">
        <v>65.400000000000006</v>
      </c>
      <c r="J472" s="2">
        <v>1.86</v>
      </c>
      <c r="K472" s="2">
        <v>-0.69</v>
      </c>
      <c r="L472" s="2">
        <v>1.98</v>
      </c>
      <c r="M472" s="2">
        <v>1.06</v>
      </c>
      <c r="N472" t="s">
        <v>98</v>
      </c>
      <c r="O472">
        <v>22</v>
      </c>
      <c r="P472" t="s">
        <v>322</v>
      </c>
    </row>
    <row r="473" spans="1:16">
      <c r="A473" s="1">
        <v>45959</v>
      </c>
      <c r="B473">
        <v>4</v>
      </c>
      <c r="C473" t="s">
        <v>99</v>
      </c>
      <c r="D473">
        <v>4</v>
      </c>
      <c r="E473" s="2">
        <v>4.5</v>
      </c>
      <c r="F473" s="2">
        <v>-101.84</v>
      </c>
      <c r="G473" s="2">
        <v>109.73</v>
      </c>
      <c r="H473" s="2">
        <v>-115.71</v>
      </c>
      <c r="I473" s="2">
        <v>117.47</v>
      </c>
      <c r="J473" s="2">
        <v>1.98</v>
      </c>
      <c r="K473" s="2">
        <v>-0.63</v>
      </c>
      <c r="L473" s="2">
        <v>2.08</v>
      </c>
      <c r="M473" s="2">
        <v>1.1499999999999999</v>
      </c>
      <c r="N473" t="s">
        <v>98</v>
      </c>
      <c r="O473">
        <v>22</v>
      </c>
      <c r="P473" t="s">
        <v>322</v>
      </c>
    </row>
    <row r="474" spans="1:16">
      <c r="A474" s="1">
        <v>45959</v>
      </c>
      <c r="B474">
        <v>4</v>
      </c>
      <c r="C474" t="s">
        <v>99</v>
      </c>
      <c r="D474">
        <v>4</v>
      </c>
      <c r="E474" s="2">
        <v>5</v>
      </c>
      <c r="F474" s="2">
        <v>-27.71</v>
      </c>
      <c r="G474" s="2">
        <v>35.99</v>
      </c>
      <c r="H474" s="2">
        <v>-151.88</v>
      </c>
      <c r="I474" s="2">
        <v>145.25</v>
      </c>
      <c r="J474" s="2">
        <v>2.08</v>
      </c>
      <c r="K474" s="2">
        <v>-0.63</v>
      </c>
      <c r="L474" s="2">
        <v>2.1800000000000002</v>
      </c>
      <c r="M474" s="2">
        <v>1.25</v>
      </c>
      <c r="N474" t="s">
        <v>98</v>
      </c>
      <c r="O474">
        <v>22</v>
      </c>
      <c r="P474" t="s">
        <v>322</v>
      </c>
    </row>
    <row r="475" spans="1:16">
      <c r="A475" s="1">
        <v>45959</v>
      </c>
      <c r="B475">
        <v>4</v>
      </c>
      <c r="C475" t="s">
        <v>99</v>
      </c>
      <c r="D475">
        <v>4</v>
      </c>
      <c r="E475" s="2">
        <v>5.5</v>
      </c>
      <c r="F475" s="2">
        <v>38.619999999999997</v>
      </c>
      <c r="G475" s="2">
        <v>-28.75</v>
      </c>
      <c r="H475" s="2">
        <v>-152.33000000000001</v>
      </c>
      <c r="I475" s="2">
        <v>149.13</v>
      </c>
      <c r="J475" s="2">
        <v>2.27</v>
      </c>
      <c r="K475" s="2">
        <v>-0.54</v>
      </c>
      <c r="L475" s="2">
        <v>2.33</v>
      </c>
      <c r="M475" s="2">
        <v>1.4</v>
      </c>
      <c r="N475" t="s">
        <v>98</v>
      </c>
      <c r="O475">
        <v>22</v>
      </c>
      <c r="P475" t="s">
        <v>322</v>
      </c>
    </row>
    <row r="476" spans="1:16">
      <c r="A476" s="1">
        <v>45959</v>
      </c>
      <c r="B476">
        <v>4</v>
      </c>
      <c r="C476" t="s">
        <v>99</v>
      </c>
      <c r="D476">
        <v>4</v>
      </c>
      <c r="E476" s="2">
        <v>6</v>
      </c>
      <c r="F476" s="2">
        <v>72.56</v>
      </c>
      <c r="G476" s="2">
        <v>-63.44</v>
      </c>
      <c r="H476" s="2">
        <v>-187.55</v>
      </c>
      <c r="I476" s="2">
        <v>194.99</v>
      </c>
      <c r="J476" s="2">
        <v>2.4300000000000002</v>
      </c>
      <c r="K476" s="2">
        <v>-0.61</v>
      </c>
      <c r="L476" s="2">
        <v>2.5</v>
      </c>
      <c r="M476" s="2">
        <v>1.57</v>
      </c>
      <c r="N476" t="s">
        <v>98</v>
      </c>
      <c r="O476">
        <v>22</v>
      </c>
      <c r="P476" t="s">
        <v>322</v>
      </c>
    </row>
    <row r="477" spans="1:16">
      <c r="A477" s="1">
        <v>45959</v>
      </c>
      <c r="B477">
        <v>4</v>
      </c>
      <c r="C477" t="s">
        <v>99</v>
      </c>
      <c r="D477">
        <v>4</v>
      </c>
      <c r="E477" s="2">
        <v>6.5</v>
      </c>
      <c r="F477" s="2">
        <v>175.66</v>
      </c>
      <c r="G477" s="2">
        <v>-165.9</v>
      </c>
      <c r="H477" s="2">
        <v>-179.85</v>
      </c>
      <c r="I477" s="2">
        <v>182.32</v>
      </c>
      <c r="J477" s="2">
        <v>2.48</v>
      </c>
      <c r="K477" s="2">
        <v>-0.71</v>
      </c>
      <c r="L477" s="2">
        <v>2.58</v>
      </c>
      <c r="M477" s="2">
        <v>1.58</v>
      </c>
      <c r="N477" t="s">
        <v>98</v>
      </c>
      <c r="O477">
        <v>22</v>
      </c>
      <c r="P477" t="s">
        <v>322</v>
      </c>
    </row>
    <row r="478" spans="1:16">
      <c r="A478" s="1">
        <v>45959</v>
      </c>
      <c r="B478">
        <v>4</v>
      </c>
      <c r="C478" t="s">
        <v>99</v>
      </c>
      <c r="D478">
        <v>4</v>
      </c>
      <c r="E478" s="2">
        <v>7</v>
      </c>
      <c r="F478" s="2">
        <v>280.60000000000002</v>
      </c>
      <c r="G478" s="2">
        <v>-270.94</v>
      </c>
      <c r="H478" s="2">
        <v>-170.29</v>
      </c>
      <c r="I478" s="2">
        <v>180.24</v>
      </c>
      <c r="J478" s="2">
        <v>2.54</v>
      </c>
      <c r="K478" s="2">
        <v>-0.67</v>
      </c>
      <c r="L478" s="2">
        <v>2.62</v>
      </c>
      <c r="M478" s="2">
        <v>1.67</v>
      </c>
      <c r="N478" t="s">
        <v>98</v>
      </c>
      <c r="O478">
        <v>22</v>
      </c>
      <c r="P478" t="s">
        <v>322</v>
      </c>
    </row>
    <row r="479" spans="1:16">
      <c r="A479" s="1">
        <v>45959</v>
      </c>
      <c r="B479">
        <v>4</v>
      </c>
      <c r="C479" t="s">
        <v>99</v>
      </c>
      <c r="D479">
        <v>4</v>
      </c>
      <c r="E479" s="2">
        <v>7.5</v>
      </c>
      <c r="F479" s="2">
        <v>303.35000000000002</v>
      </c>
      <c r="G479" s="2">
        <v>-288.76</v>
      </c>
      <c r="H479" s="2">
        <v>-167.41</v>
      </c>
      <c r="I479" s="2">
        <v>185.99</v>
      </c>
      <c r="J479" s="2">
        <v>2.57</v>
      </c>
      <c r="K479" s="2">
        <v>-0.37</v>
      </c>
      <c r="L479" s="2">
        <v>2.59</v>
      </c>
      <c r="M479" s="2">
        <v>1.59</v>
      </c>
      <c r="N479" t="s">
        <v>98</v>
      </c>
      <c r="O479">
        <v>22</v>
      </c>
      <c r="P479" t="s">
        <v>322</v>
      </c>
    </row>
    <row r="480" spans="1:16">
      <c r="A480" s="1">
        <v>45959</v>
      </c>
      <c r="B480">
        <v>4</v>
      </c>
      <c r="C480" t="s">
        <v>99</v>
      </c>
      <c r="D480">
        <v>4</v>
      </c>
      <c r="E480" s="2">
        <v>8</v>
      </c>
      <c r="F480" s="2">
        <v>268.99</v>
      </c>
      <c r="G480" s="2">
        <v>-266.24</v>
      </c>
      <c r="H480" s="2">
        <v>-71.900000000000006</v>
      </c>
      <c r="I480" s="2">
        <v>96.21</v>
      </c>
      <c r="J480" s="2">
        <v>2.68</v>
      </c>
      <c r="K480" s="2">
        <v>-0.69</v>
      </c>
      <c r="L480" s="2">
        <v>2.76</v>
      </c>
      <c r="M480" s="2">
        <v>1.81</v>
      </c>
      <c r="N480" t="s">
        <v>98</v>
      </c>
      <c r="O480">
        <v>22</v>
      </c>
      <c r="P480" t="s">
        <v>322</v>
      </c>
    </row>
    <row r="481" spans="1:16">
      <c r="A481" s="1">
        <v>45959</v>
      </c>
      <c r="B481">
        <v>4</v>
      </c>
      <c r="C481" t="s">
        <v>99</v>
      </c>
      <c r="D481">
        <v>4</v>
      </c>
      <c r="E481" s="2">
        <v>8.5</v>
      </c>
      <c r="F481" s="2">
        <v>333.21</v>
      </c>
      <c r="G481" s="2">
        <v>-322.27999999999997</v>
      </c>
      <c r="H481" s="2">
        <v>-7.94</v>
      </c>
      <c r="I481" s="2">
        <v>20.13</v>
      </c>
      <c r="J481" s="2">
        <v>2.75</v>
      </c>
      <c r="K481" s="2">
        <v>-1.01</v>
      </c>
      <c r="L481" s="2">
        <v>2.93</v>
      </c>
      <c r="M481" s="2">
        <v>2.02</v>
      </c>
      <c r="N481" t="s">
        <v>98</v>
      </c>
      <c r="O481">
        <v>22</v>
      </c>
      <c r="P481" t="s">
        <v>322</v>
      </c>
    </row>
    <row r="482" spans="1:16">
      <c r="A482" s="1">
        <v>45959</v>
      </c>
      <c r="B482">
        <v>4</v>
      </c>
      <c r="C482" t="s">
        <v>99</v>
      </c>
      <c r="D482">
        <v>4</v>
      </c>
      <c r="E482" s="2">
        <v>9</v>
      </c>
      <c r="F482" s="2">
        <v>317.38</v>
      </c>
      <c r="G482" s="2">
        <v>-307.63</v>
      </c>
      <c r="H482" s="2">
        <v>51.55</v>
      </c>
      <c r="I482" s="2">
        <v>-29.91</v>
      </c>
      <c r="J482" s="2">
        <v>2.67</v>
      </c>
      <c r="K482" s="2">
        <v>-1.24</v>
      </c>
      <c r="L482" s="2">
        <v>2.95</v>
      </c>
      <c r="M482" s="2">
        <v>2.16</v>
      </c>
      <c r="N482" t="s">
        <v>98</v>
      </c>
      <c r="O482">
        <v>22</v>
      </c>
      <c r="P482" t="s">
        <v>322</v>
      </c>
    </row>
    <row r="483" spans="1:16">
      <c r="A483" s="1">
        <v>45959</v>
      </c>
      <c r="B483">
        <v>4</v>
      </c>
      <c r="C483" t="s">
        <v>99</v>
      </c>
      <c r="D483">
        <v>4</v>
      </c>
      <c r="E483" s="2">
        <v>9.5</v>
      </c>
      <c r="F483" s="2">
        <v>204.21</v>
      </c>
      <c r="G483" s="2">
        <v>-198.99</v>
      </c>
      <c r="H483" s="2">
        <v>109.46</v>
      </c>
      <c r="I483" s="2">
        <v>-86.18</v>
      </c>
      <c r="J483" s="2">
        <v>2.7</v>
      </c>
      <c r="K483" s="2">
        <v>-1.62</v>
      </c>
      <c r="L483" s="2">
        <v>3.15</v>
      </c>
      <c r="M483" s="2">
        <v>2.4300000000000002</v>
      </c>
      <c r="N483" t="s">
        <v>98</v>
      </c>
      <c r="O483">
        <v>22</v>
      </c>
      <c r="P483" t="s">
        <v>322</v>
      </c>
    </row>
    <row r="484" spans="1:16">
      <c r="A484" s="1">
        <v>45959</v>
      </c>
      <c r="B484">
        <v>4</v>
      </c>
      <c r="C484" t="s">
        <v>99</v>
      </c>
      <c r="D484">
        <v>4</v>
      </c>
      <c r="E484" s="2">
        <v>10</v>
      </c>
      <c r="F484" s="2">
        <v>60.07</v>
      </c>
      <c r="G484" s="2">
        <v>-43.13</v>
      </c>
      <c r="H484" s="2">
        <v>157.31</v>
      </c>
      <c r="I484" s="2">
        <v>-149.62</v>
      </c>
      <c r="J484" s="2">
        <v>2.81</v>
      </c>
      <c r="K484" s="2">
        <v>-2.12</v>
      </c>
      <c r="L484" s="2">
        <v>3.52</v>
      </c>
      <c r="M484" s="2">
        <v>2.77</v>
      </c>
      <c r="N484" t="s">
        <v>98</v>
      </c>
      <c r="O484">
        <v>22</v>
      </c>
      <c r="P484" t="s">
        <v>323</v>
      </c>
    </row>
    <row r="485" spans="1:16">
      <c r="A485" s="1">
        <v>45959</v>
      </c>
      <c r="B485">
        <v>4</v>
      </c>
      <c r="C485" t="s">
        <v>99</v>
      </c>
      <c r="D485">
        <v>4</v>
      </c>
      <c r="E485" s="2">
        <v>10.5</v>
      </c>
      <c r="F485" s="2">
        <v>77.55</v>
      </c>
      <c r="G485" s="2">
        <v>-70.180000000000007</v>
      </c>
      <c r="H485" s="2">
        <v>78.569999999999993</v>
      </c>
      <c r="I485" s="2">
        <v>-76.89</v>
      </c>
      <c r="J485" s="2">
        <v>2.74</v>
      </c>
      <c r="K485" s="2">
        <v>-2.17</v>
      </c>
      <c r="L485" s="2">
        <v>3.5</v>
      </c>
      <c r="M485" s="2">
        <v>2.75</v>
      </c>
      <c r="N485" t="s">
        <v>98</v>
      </c>
      <c r="O485">
        <v>22</v>
      </c>
      <c r="P485" t="s">
        <v>323</v>
      </c>
    </row>
    <row r="486" spans="1:16">
      <c r="A486" s="1">
        <v>45959</v>
      </c>
      <c r="B486">
        <v>4</v>
      </c>
      <c r="C486" t="s">
        <v>99</v>
      </c>
      <c r="D486">
        <v>4</v>
      </c>
      <c r="E486" s="2">
        <v>11</v>
      </c>
      <c r="F486" s="2">
        <v>6.96</v>
      </c>
      <c r="G486" s="2">
        <v>3.19</v>
      </c>
      <c r="H486" s="2">
        <v>44.62</v>
      </c>
      <c r="I486" s="2">
        <v>-37.25</v>
      </c>
      <c r="J486" s="2">
        <v>2.68</v>
      </c>
      <c r="K486" s="2">
        <v>-2.19</v>
      </c>
      <c r="L486" s="2">
        <v>3.46</v>
      </c>
      <c r="M486" s="2">
        <v>2.69</v>
      </c>
      <c r="N486" t="s">
        <v>98</v>
      </c>
      <c r="O486">
        <v>22</v>
      </c>
      <c r="P486" t="s">
        <v>322</v>
      </c>
    </row>
    <row r="487" spans="1:16">
      <c r="A487" s="1">
        <v>45959</v>
      </c>
      <c r="B487">
        <v>4</v>
      </c>
      <c r="C487" t="s">
        <v>99</v>
      </c>
      <c r="D487">
        <v>4</v>
      </c>
      <c r="E487" s="2">
        <v>11.5</v>
      </c>
      <c r="F487" s="2">
        <v>-71.08</v>
      </c>
      <c r="G487" s="2">
        <v>76.739999999999995</v>
      </c>
      <c r="H487" s="2">
        <v>27.78</v>
      </c>
      <c r="I487" s="2">
        <v>-9.11</v>
      </c>
      <c r="J487" s="2">
        <v>2.52</v>
      </c>
      <c r="K487" s="2">
        <v>-2.16</v>
      </c>
      <c r="L487" s="2">
        <v>3.32</v>
      </c>
      <c r="M487" s="2">
        <v>2.5</v>
      </c>
      <c r="N487" t="s">
        <v>98</v>
      </c>
      <c r="O487">
        <v>22</v>
      </c>
      <c r="P487" t="s">
        <v>322</v>
      </c>
    </row>
    <row r="488" spans="1:16">
      <c r="A488" s="1">
        <v>45959</v>
      </c>
      <c r="B488">
        <v>4</v>
      </c>
      <c r="C488" t="s">
        <v>99</v>
      </c>
      <c r="D488">
        <v>4</v>
      </c>
      <c r="E488" s="2">
        <v>12</v>
      </c>
      <c r="F488" s="2">
        <v>-84.99</v>
      </c>
      <c r="G488" s="2">
        <v>98.28</v>
      </c>
      <c r="H488" s="2">
        <v>20.05</v>
      </c>
      <c r="I488" s="2">
        <v>-5.69</v>
      </c>
      <c r="J488" s="2">
        <v>2.2400000000000002</v>
      </c>
      <c r="K488" s="2">
        <v>-1.85</v>
      </c>
      <c r="L488" s="2">
        <v>2.91</v>
      </c>
      <c r="M488" s="2">
        <v>2.12</v>
      </c>
      <c r="N488" t="s">
        <v>98</v>
      </c>
      <c r="O488">
        <v>22</v>
      </c>
      <c r="P488" t="s">
        <v>322</v>
      </c>
    </row>
    <row r="489" spans="1:16">
      <c r="A489" s="1">
        <v>45959</v>
      </c>
      <c r="B489">
        <v>4</v>
      </c>
      <c r="C489" t="s">
        <v>99</v>
      </c>
      <c r="D489">
        <v>4</v>
      </c>
      <c r="E489" s="2">
        <v>12.5</v>
      </c>
      <c r="F489" s="2">
        <v>-42.97</v>
      </c>
      <c r="G489" s="2">
        <v>52.89</v>
      </c>
      <c r="H489" s="2">
        <v>33.619999999999997</v>
      </c>
      <c r="I489" s="2">
        <v>-17.45</v>
      </c>
      <c r="J489" s="2">
        <v>1.92</v>
      </c>
      <c r="K489" s="2">
        <v>-1.92</v>
      </c>
      <c r="L489" s="2">
        <v>2.72</v>
      </c>
      <c r="M489" s="2">
        <v>1.97</v>
      </c>
      <c r="N489" t="s">
        <v>98</v>
      </c>
      <c r="O489">
        <v>22</v>
      </c>
      <c r="P489" t="s">
        <v>322</v>
      </c>
    </row>
    <row r="490" spans="1:16">
      <c r="A490" s="1">
        <v>45959</v>
      </c>
      <c r="B490">
        <v>4</v>
      </c>
      <c r="C490" t="s">
        <v>99</v>
      </c>
      <c r="D490">
        <v>4</v>
      </c>
      <c r="E490" s="2">
        <v>13</v>
      </c>
      <c r="F490" s="2">
        <v>-96.69</v>
      </c>
      <c r="G490" s="2">
        <v>106.02</v>
      </c>
      <c r="H490" s="2">
        <v>-26.66</v>
      </c>
      <c r="I490" s="2">
        <v>37.770000000000003</v>
      </c>
      <c r="J490" s="2">
        <v>1.76</v>
      </c>
      <c r="K490" s="2">
        <v>-1.63</v>
      </c>
      <c r="L490" s="2">
        <v>2.4</v>
      </c>
      <c r="M490" s="2">
        <v>1.66</v>
      </c>
      <c r="N490" t="s">
        <v>98</v>
      </c>
      <c r="O490">
        <v>22</v>
      </c>
      <c r="P490" t="s">
        <v>322</v>
      </c>
    </row>
    <row r="491" spans="1:16">
      <c r="A491" s="1">
        <v>45959</v>
      </c>
      <c r="B491">
        <v>4</v>
      </c>
      <c r="C491" t="s">
        <v>99</v>
      </c>
      <c r="D491">
        <v>4</v>
      </c>
      <c r="E491" s="2">
        <v>13.5</v>
      </c>
      <c r="F491" s="2">
        <v>-262.36</v>
      </c>
      <c r="G491" s="2">
        <v>274.33999999999997</v>
      </c>
      <c r="H491" s="2">
        <v>-161.94999999999999</v>
      </c>
      <c r="I491" s="2">
        <v>179.13</v>
      </c>
      <c r="J491" s="2">
        <v>1.72</v>
      </c>
      <c r="K491" s="2">
        <v>-1.48</v>
      </c>
      <c r="L491" s="2">
        <v>2.2599999999999998</v>
      </c>
      <c r="M491" s="2">
        <v>1.52</v>
      </c>
      <c r="N491" t="s">
        <v>98</v>
      </c>
      <c r="O491">
        <v>22</v>
      </c>
      <c r="P491" t="s">
        <v>322</v>
      </c>
    </row>
    <row r="492" spans="1:16">
      <c r="A492" s="1">
        <v>45959</v>
      </c>
      <c r="B492">
        <v>4</v>
      </c>
      <c r="C492" t="s">
        <v>99</v>
      </c>
      <c r="D492">
        <v>4</v>
      </c>
      <c r="E492" s="2">
        <v>14</v>
      </c>
      <c r="F492" s="2">
        <v>-294.48</v>
      </c>
      <c r="G492" s="2">
        <v>303.66000000000003</v>
      </c>
      <c r="H492" s="2">
        <v>-300.87</v>
      </c>
      <c r="I492" s="2">
        <v>300.32</v>
      </c>
      <c r="J492" s="2">
        <v>1.7</v>
      </c>
      <c r="K492" s="2">
        <v>-1.24</v>
      </c>
      <c r="L492" s="2">
        <v>2.1</v>
      </c>
      <c r="M492" s="2">
        <v>1.35</v>
      </c>
      <c r="N492" t="s">
        <v>98</v>
      </c>
      <c r="O492">
        <v>22</v>
      </c>
      <c r="P492" t="s">
        <v>322</v>
      </c>
    </row>
    <row r="493" spans="1:16">
      <c r="A493" s="1">
        <v>45959</v>
      </c>
      <c r="B493">
        <v>4</v>
      </c>
      <c r="C493" t="s">
        <v>99</v>
      </c>
      <c r="D493">
        <v>4</v>
      </c>
      <c r="E493" s="2">
        <v>14.5</v>
      </c>
      <c r="F493" s="2">
        <v>-262.41000000000003</v>
      </c>
      <c r="G493" s="2">
        <v>272.08</v>
      </c>
      <c r="H493" s="2">
        <v>-254.51</v>
      </c>
      <c r="I493" s="2">
        <v>259.02</v>
      </c>
      <c r="J493" s="2">
        <v>1.67</v>
      </c>
      <c r="K493" s="2">
        <v>-1.1599999999999999</v>
      </c>
      <c r="L493" s="2">
        <v>2.0299999999999998</v>
      </c>
      <c r="M493" s="2">
        <v>1.3</v>
      </c>
      <c r="N493" t="s">
        <v>98</v>
      </c>
      <c r="O493">
        <v>22</v>
      </c>
      <c r="P493" t="s">
        <v>322</v>
      </c>
    </row>
    <row r="494" spans="1:16">
      <c r="A494" s="1">
        <v>45959</v>
      </c>
      <c r="B494">
        <v>4</v>
      </c>
      <c r="C494" t="s">
        <v>99</v>
      </c>
      <c r="D494">
        <v>4</v>
      </c>
      <c r="E494" s="2">
        <v>15</v>
      </c>
      <c r="F494" s="2">
        <v>-225.63</v>
      </c>
      <c r="G494" s="2">
        <v>237.44</v>
      </c>
      <c r="H494" s="2">
        <v>-195.84</v>
      </c>
      <c r="I494" s="2">
        <v>194.13</v>
      </c>
      <c r="J494" s="2">
        <v>1.56</v>
      </c>
      <c r="K494" s="2">
        <v>-1.1399999999999999</v>
      </c>
      <c r="L494" s="2">
        <v>1.93</v>
      </c>
      <c r="M494" s="2">
        <v>1.24</v>
      </c>
      <c r="N494" t="s">
        <v>98</v>
      </c>
      <c r="O494">
        <v>22</v>
      </c>
      <c r="P494" t="s">
        <v>322</v>
      </c>
    </row>
    <row r="495" spans="1:16">
      <c r="A495" s="1">
        <v>45959</v>
      </c>
      <c r="B495">
        <v>4</v>
      </c>
      <c r="C495" t="s">
        <v>99</v>
      </c>
      <c r="D495">
        <v>4</v>
      </c>
      <c r="E495" s="2">
        <v>15.5</v>
      </c>
      <c r="F495" s="2">
        <v>-160.72999999999999</v>
      </c>
      <c r="G495" s="2">
        <v>166.45</v>
      </c>
      <c r="H495" s="2">
        <v>-191.95</v>
      </c>
      <c r="I495" s="2">
        <v>180.48</v>
      </c>
      <c r="J495" s="2">
        <v>1.45</v>
      </c>
      <c r="K495" s="2">
        <v>-0.97</v>
      </c>
      <c r="L495" s="2">
        <v>1.75</v>
      </c>
      <c r="M495" s="2">
        <v>1.0900000000000001</v>
      </c>
      <c r="N495" t="s">
        <v>98</v>
      </c>
      <c r="O495">
        <v>22</v>
      </c>
      <c r="P495" t="s">
        <v>322</v>
      </c>
    </row>
    <row r="496" spans="1:16">
      <c r="A496" s="1">
        <v>45959</v>
      </c>
      <c r="B496">
        <v>4</v>
      </c>
      <c r="C496" t="s">
        <v>99</v>
      </c>
      <c r="D496">
        <v>4</v>
      </c>
      <c r="E496" s="2">
        <v>16</v>
      </c>
      <c r="F496" s="2">
        <v>-74.87</v>
      </c>
      <c r="G496" s="2">
        <v>83.32</v>
      </c>
      <c r="H496" s="2">
        <v>-158.44</v>
      </c>
      <c r="I496" s="2">
        <v>181.23</v>
      </c>
      <c r="J496" s="2">
        <v>1.39</v>
      </c>
      <c r="K496" s="2">
        <v>-0.93</v>
      </c>
      <c r="L496" s="2">
        <v>1.67</v>
      </c>
      <c r="M496" s="2">
        <v>1.02</v>
      </c>
      <c r="N496" t="s">
        <v>98</v>
      </c>
      <c r="O496">
        <v>22</v>
      </c>
      <c r="P496" t="s">
        <v>322</v>
      </c>
    </row>
    <row r="497" spans="1:16">
      <c r="A497" s="1">
        <v>45959</v>
      </c>
      <c r="B497">
        <v>4</v>
      </c>
      <c r="C497" t="s">
        <v>99</v>
      </c>
      <c r="D497">
        <v>4</v>
      </c>
      <c r="E497" s="2">
        <v>16.5</v>
      </c>
      <c r="F497" s="2">
        <v>109.43</v>
      </c>
      <c r="G497" s="2">
        <v>-98.49</v>
      </c>
      <c r="H497" s="2">
        <v>-106.87</v>
      </c>
      <c r="I497" s="2">
        <v>143.72</v>
      </c>
      <c r="J497" s="2">
        <v>1.3</v>
      </c>
      <c r="K497" s="2">
        <v>-0.89</v>
      </c>
      <c r="L497" s="2">
        <v>1.57</v>
      </c>
      <c r="M497" s="2">
        <v>0.96</v>
      </c>
      <c r="N497" t="s">
        <v>98</v>
      </c>
      <c r="O497">
        <v>22</v>
      </c>
      <c r="P497" t="s">
        <v>322</v>
      </c>
    </row>
    <row r="498" spans="1:16">
      <c r="A498" s="1">
        <v>45959</v>
      </c>
      <c r="B498">
        <v>4</v>
      </c>
      <c r="C498" t="s">
        <v>99</v>
      </c>
      <c r="D498">
        <v>4</v>
      </c>
      <c r="E498" s="2">
        <v>17</v>
      </c>
      <c r="F498" s="2">
        <v>270.47000000000003</v>
      </c>
      <c r="G498" s="2">
        <v>-261.5</v>
      </c>
      <c r="H498" s="2">
        <v>-58.69</v>
      </c>
      <c r="I498" s="2">
        <v>57.34</v>
      </c>
      <c r="J498" s="2">
        <v>1.18</v>
      </c>
      <c r="K498" s="2">
        <v>-1.27</v>
      </c>
      <c r="L498" s="2">
        <v>1.73</v>
      </c>
      <c r="M498" s="2">
        <v>1.1200000000000001</v>
      </c>
      <c r="N498" t="s">
        <v>98</v>
      </c>
      <c r="O498">
        <v>22</v>
      </c>
      <c r="P498" t="s">
        <v>322</v>
      </c>
    </row>
    <row r="499" spans="1:16">
      <c r="A499" s="1">
        <v>45959</v>
      </c>
      <c r="B499">
        <v>4</v>
      </c>
      <c r="C499" t="s">
        <v>99</v>
      </c>
      <c r="D499">
        <v>4</v>
      </c>
      <c r="E499" s="2">
        <v>17.5</v>
      </c>
      <c r="F499" s="2">
        <v>323.31</v>
      </c>
      <c r="G499" s="2">
        <v>-317.18</v>
      </c>
      <c r="H499" s="2">
        <v>-60.93</v>
      </c>
      <c r="I499" s="2">
        <v>63.2</v>
      </c>
      <c r="J499" s="2">
        <v>1.08</v>
      </c>
      <c r="K499" s="2">
        <v>-1.02</v>
      </c>
      <c r="L499" s="2">
        <v>1.49</v>
      </c>
      <c r="M499" s="2">
        <v>0.93</v>
      </c>
      <c r="N499" t="s">
        <v>98</v>
      </c>
      <c r="O499">
        <v>22</v>
      </c>
      <c r="P499" t="s">
        <v>322</v>
      </c>
    </row>
    <row r="500" spans="1:16">
      <c r="A500" s="1">
        <v>45959</v>
      </c>
      <c r="B500">
        <v>4</v>
      </c>
      <c r="C500" t="s">
        <v>99</v>
      </c>
      <c r="D500">
        <v>4</v>
      </c>
      <c r="E500" s="2">
        <v>18</v>
      </c>
      <c r="F500" s="2">
        <v>393</v>
      </c>
      <c r="G500" s="2">
        <v>-383.64</v>
      </c>
      <c r="H500" s="2">
        <v>-106.22</v>
      </c>
      <c r="I500" s="2">
        <v>103.23</v>
      </c>
      <c r="J500" s="2">
        <v>1.01</v>
      </c>
      <c r="K500" s="2">
        <v>-0.73</v>
      </c>
      <c r="L500" s="2">
        <v>1.25</v>
      </c>
      <c r="M500" s="2">
        <v>0.69</v>
      </c>
      <c r="N500" t="s">
        <v>98</v>
      </c>
      <c r="O500">
        <v>22</v>
      </c>
      <c r="P500" t="s">
        <v>322</v>
      </c>
    </row>
    <row r="501" spans="1:16">
      <c r="A501" s="1">
        <v>45959</v>
      </c>
      <c r="B501">
        <v>4</v>
      </c>
      <c r="C501" t="s">
        <v>99</v>
      </c>
      <c r="D501">
        <v>4</v>
      </c>
      <c r="E501" s="2">
        <v>18.5</v>
      </c>
      <c r="F501" s="2">
        <v>438.71</v>
      </c>
      <c r="G501" s="2">
        <v>-430.73</v>
      </c>
      <c r="H501" s="2">
        <v>-119.27</v>
      </c>
      <c r="I501" s="2">
        <v>119.58</v>
      </c>
      <c r="J501" s="2">
        <v>0.94</v>
      </c>
      <c r="K501" s="2">
        <v>-0.77</v>
      </c>
      <c r="L501" s="2">
        <v>1.21</v>
      </c>
      <c r="M501" s="2">
        <v>0.68</v>
      </c>
      <c r="N501" t="s">
        <v>98</v>
      </c>
      <c r="O501">
        <v>22</v>
      </c>
      <c r="P501" t="s">
        <v>322</v>
      </c>
    </row>
    <row r="502" spans="1:16">
      <c r="A502" s="1">
        <v>45959</v>
      </c>
      <c r="B502">
        <v>4</v>
      </c>
      <c r="C502" t="s">
        <v>99</v>
      </c>
      <c r="D502">
        <v>4</v>
      </c>
      <c r="E502" s="2">
        <v>19</v>
      </c>
      <c r="F502" s="2">
        <v>446.09</v>
      </c>
      <c r="G502" s="2">
        <v>-438.99</v>
      </c>
      <c r="H502" s="2">
        <v>-113.73</v>
      </c>
      <c r="I502" s="2">
        <v>113.47</v>
      </c>
      <c r="J502" s="2">
        <v>0.92</v>
      </c>
      <c r="K502" s="2">
        <v>-0.84</v>
      </c>
      <c r="L502" s="2">
        <v>1.25</v>
      </c>
      <c r="M502" s="2">
        <v>0.73</v>
      </c>
      <c r="N502" t="s">
        <v>98</v>
      </c>
      <c r="O502">
        <v>22</v>
      </c>
      <c r="P502" t="s">
        <v>322</v>
      </c>
    </row>
    <row r="503" spans="1:16">
      <c r="A503" s="1">
        <v>45959</v>
      </c>
      <c r="B503">
        <v>4</v>
      </c>
      <c r="C503" t="s">
        <v>99</v>
      </c>
      <c r="D503">
        <v>4</v>
      </c>
      <c r="E503" s="2">
        <v>19.5</v>
      </c>
      <c r="F503" s="2">
        <v>329.71</v>
      </c>
      <c r="G503" s="2">
        <v>-320.88</v>
      </c>
      <c r="H503" s="2">
        <v>-43.61</v>
      </c>
      <c r="I503" s="2">
        <v>54.18</v>
      </c>
      <c r="J503" s="2">
        <v>0.85</v>
      </c>
      <c r="K503" s="2">
        <v>-0.7</v>
      </c>
      <c r="L503" s="2">
        <v>1.1000000000000001</v>
      </c>
      <c r="M503" s="2">
        <v>0.59</v>
      </c>
      <c r="N503" t="s">
        <v>98</v>
      </c>
      <c r="O503">
        <v>22</v>
      </c>
      <c r="P503" t="s">
        <v>322</v>
      </c>
    </row>
    <row r="504" spans="1:16">
      <c r="A504" s="1">
        <v>45959</v>
      </c>
      <c r="B504">
        <v>4</v>
      </c>
      <c r="C504" t="s">
        <v>99</v>
      </c>
      <c r="D504">
        <v>4</v>
      </c>
      <c r="E504" s="2">
        <v>20</v>
      </c>
      <c r="F504" s="2">
        <v>193.04</v>
      </c>
      <c r="G504" s="2">
        <v>-183.53</v>
      </c>
      <c r="H504" s="2">
        <v>-1.19</v>
      </c>
      <c r="I504" s="2">
        <v>13.57</v>
      </c>
      <c r="J504" s="2">
        <v>0.83</v>
      </c>
      <c r="K504" s="2">
        <v>-0.69</v>
      </c>
      <c r="L504" s="2">
        <v>1.07</v>
      </c>
      <c r="M504" s="2">
        <v>0.54</v>
      </c>
      <c r="N504" t="s">
        <v>98</v>
      </c>
      <c r="O504">
        <v>22</v>
      </c>
      <c r="P504" t="s">
        <v>322</v>
      </c>
    </row>
    <row r="505" spans="1:16">
      <c r="A505" s="1">
        <v>45959</v>
      </c>
      <c r="B505">
        <v>4</v>
      </c>
      <c r="C505" t="s">
        <v>99</v>
      </c>
      <c r="D505">
        <v>4</v>
      </c>
      <c r="E505" s="2">
        <v>20.5</v>
      </c>
      <c r="F505" s="2">
        <v>158.25</v>
      </c>
      <c r="G505" s="2">
        <v>-150.31</v>
      </c>
      <c r="H505" s="2">
        <v>-5.38</v>
      </c>
      <c r="I505" s="2">
        <v>22.97</v>
      </c>
      <c r="J505" s="2">
        <v>0.71</v>
      </c>
      <c r="K505" s="2">
        <v>-0.56000000000000005</v>
      </c>
      <c r="L505" s="2">
        <v>0.9</v>
      </c>
      <c r="M505" s="2">
        <v>0.38</v>
      </c>
      <c r="N505" t="s">
        <v>98</v>
      </c>
      <c r="O505">
        <v>22</v>
      </c>
      <c r="P505" t="s">
        <v>322</v>
      </c>
    </row>
    <row r="506" spans="1:16">
      <c r="A506" s="1">
        <v>45959</v>
      </c>
      <c r="B506">
        <v>4</v>
      </c>
      <c r="C506" t="s">
        <v>99</v>
      </c>
      <c r="D506">
        <v>4</v>
      </c>
      <c r="E506" s="2">
        <v>21</v>
      </c>
      <c r="F506" s="2">
        <v>118.64</v>
      </c>
      <c r="G506" s="2">
        <v>-108.42</v>
      </c>
      <c r="H506" s="2">
        <v>-3.43</v>
      </c>
      <c r="I506" s="2">
        <v>18.809999999999999</v>
      </c>
      <c r="J506" s="2">
        <v>0.66</v>
      </c>
      <c r="K506" s="2">
        <v>-0.52</v>
      </c>
      <c r="L506" s="2">
        <v>0.84</v>
      </c>
      <c r="M506" s="2">
        <v>0.32</v>
      </c>
      <c r="N506" t="s">
        <v>98</v>
      </c>
      <c r="O506">
        <v>22</v>
      </c>
      <c r="P506" t="s">
        <v>322</v>
      </c>
    </row>
    <row r="507" spans="1:16">
      <c r="A507" s="1">
        <v>45959</v>
      </c>
      <c r="B507">
        <v>4</v>
      </c>
      <c r="C507" t="s">
        <v>99</v>
      </c>
      <c r="D507">
        <v>4</v>
      </c>
      <c r="E507" s="2">
        <v>21.5</v>
      </c>
      <c r="F507" s="2">
        <v>-10.36</v>
      </c>
      <c r="G507" s="2">
        <v>21.77</v>
      </c>
      <c r="H507" s="2">
        <v>-16.239999999999998</v>
      </c>
      <c r="I507" s="2">
        <v>19.41</v>
      </c>
      <c r="J507" s="2">
        <v>0.5</v>
      </c>
      <c r="K507" s="2">
        <v>-0.59</v>
      </c>
      <c r="L507" s="2">
        <v>0.78</v>
      </c>
      <c r="M507" s="2">
        <v>0.48</v>
      </c>
      <c r="N507" t="s">
        <v>98</v>
      </c>
      <c r="O507">
        <v>22</v>
      </c>
      <c r="P507" t="s">
        <v>322</v>
      </c>
    </row>
    <row r="508" spans="1:16">
      <c r="A508" s="1">
        <v>45959</v>
      </c>
      <c r="B508">
        <v>4</v>
      </c>
      <c r="C508" t="s">
        <v>99</v>
      </c>
      <c r="D508">
        <v>4</v>
      </c>
      <c r="E508" s="2">
        <v>22</v>
      </c>
      <c r="F508" s="2">
        <v>-56.85</v>
      </c>
      <c r="G508" s="2">
        <v>65.3</v>
      </c>
      <c r="H508" s="2">
        <v>-8.99</v>
      </c>
      <c r="I508" s="2">
        <v>24.31</v>
      </c>
      <c r="J508" s="2">
        <v>0.48</v>
      </c>
      <c r="K508" s="2">
        <v>-0.33</v>
      </c>
      <c r="L508" s="2">
        <v>0.57999999999999996</v>
      </c>
      <c r="M508" s="2">
        <v>0.24</v>
      </c>
      <c r="N508" t="s">
        <v>98</v>
      </c>
      <c r="O508">
        <v>22</v>
      </c>
      <c r="P508" t="s">
        <v>322</v>
      </c>
    </row>
    <row r="509" spans="1:16">
      <c r="A509" s="1">
        <v>45959</v>
      </c>
      <c r="B509">
        <v>4</v>
      </c>
      <c r="C509" t="s">
        <v>99</v>
      </c>
      <c r="D509">
        <v>4</v>
      </c>
      <c r="E509" s="2">
        <v>22.5</v>
      </c>
      <c r="F509" s="2">
        <v>-43.77</v>
      </c>
      <c r="G509" s="2">
        <v>54.21</v>
      </c>
      <c r="H509" s="2">
        <v>-105.4</v>
      </c>
      <c r="I509" s="2">
        <v>122.95</v>
      </c>
      <c r="J509" s="2">
        <v>0.45</v>
      </c>
      <c r="K509" s="2">
        <v>-0.27</v>
      </c>
      <c r="L509" s="2">
        <v>0.53</v>
      </c>
      <c r="M509" s="2">
        <v>0.21</v>
      </c>
      <c r="N509" t="s">
        <v>98</v>
      </c>
      <c r="O509">
        <v>22</v>
      </c>
      <c r="P509" t="s">
        <v>322</v>
      </c>
    </row>
    <row r="510" spans="1:16">
      <c r="A510" s="1">
        <v>45959</v>
      </c>
      <c r="B510">
        <v>4</v>
      </c>
      <c r="C510" t="s">
        <v>99</v>
      </c>
      <c r="D510">
        <v>4</v>
      </c>
      <c r="E510" s="2">
        <v>23</v>
      </c>
      <c r="F510" s="2">
        <v>-57.59</v>
      </c>
      <c r="G510" s="2">
        <v>63.33</v>
      </c>
      <c r="H510" s="2">
        <v>-165.54</v>
      </c>
      <c r="I510" s="2">
        <v>163.63</v>
      </c>
      <c r="J510" s="2">
        <v>0.42</v>
      </c>
      <c r="K510" s="2">
        <v>-7.0000000000000007E-2</v>
      </c>
      <c r="L510" s="2">
        <v>0.43</v>
      </c>
      <c r="M510" s="2">
        <v>0.13</v>
      </c>
      <c r="N510" t="s">
        <v>98</v>
      </c>
      <c r="O510">
        <v>22</v>
      </c>
      <c r="P510" t="s">
        <v>322</v>
      </c>
    </row>
    <row r="511" spans="1:16">
      <c r="A511" s="1">
        <v>45959</v>
      </c>
      <c r="B511">
        <v>4</v>
      </c>
      <c r="C511" t="s">
        <v>99</v>
      </c>
      <c r="D511">
        <v>4</v>
      </c>
      <c r="E511" s="2">
        <v>23.5</v>
      </c>
      <c r="F511" s="2">
        <v>-122.15</v>
      </c>
      <c r="G511" s="2">
        <v>135.06</v>
      </c>
      <c r="H511" s="2">
        <v>-208.59</v>
      </c>
      <c r="I511" s="2">
        <v>212.32</v>
      </c>
      <c r="J511" s="2">
        <v>0.37</v>
      </c>
      <c r="K511" s="2">
        <v>-7.0000000000000007E-2</v>
      </c>
      <c r="L511" s="2">
        <v>0.38</v>
      </c>
      <c r="M511" s="2">
        <v>0.12</v>
      </c>
      <c r="N511" t="s">
        <v>98</v>
      </c>
      <c r="O511">
        <v>22</v>
      </c>
      <c r="P511" t="s">
        <v>322</v>
      </c>
    </row>
    <row r="512" spans="1:16">
      <c r="A512" s="1">
        <v>45959</v>
      </c>
      <c r="B512">
        <v>4</v>
      </c>
      <c r="C512" t="s">
        <v>99</v>
      </c>
      <c r="D512">
        <v>4</v>
      </c>
      <c r="E512" s="2">
        <v>24</v>
      </c>
      <c r="F512" s="2">
        <v>-156.24</v>
      </c>
      <c r="G512" s="2">
        <v>164.95</v>
      </c>
      <c r="H512" s="2">
        <v>-267.32</v>
      </c>
      <c r="I512" s="2">
        <v>259.29000000000002</v>
      </c>
      <c r="J512" s="2">
        <v>0.36</v>
      </c>
      <c r="K512" s="2">
        <v>-0.24</v>
      </c>
      <c r="L512" s="2">
        <v>0.44</v>
      </c>
      <c r="M512" s="2">
        <v>0.21</v>
      </c>
      <c r="N512" t="s">
        <v>98</v>
      </c>
      <c r="O512">
        <v>22</v>
      </c>
      <c r="P512" t="s">
        <v>322</v>
      </c>
    </row>
    <row r="513" spans="1:16">
      <c r="A513" s="1">
        <v>45959</v>
      </c>
      <c r="B513">
        <v>4</v>
      </c>
      <c r="C513" t="s">
        <v>99</v>
      </c>
      <c r="D513">
        <v>4</v>
      </c>
      <c r="E513" s="2">
        <v>24.5</v>
      </c>
      <c r="F513" s="2">
        <v>-52.38</v>
      </c>
      <c r="G513" s="2">
        <v>58.12</v>
      </c>
      <c r="H513" s="2">
        <v>-245.22</v>
      </c>
      <c r="I513" s="2">
        <v>240.71</v>
      </c>
      <c r="J513" s="2">
        <v>0.34</v>
      </c>
      <c r="K513" s="2">
        <v>-0.34</v>
      </c>
      <c r="L513" s="2">
        <v>0.48</v>
      </c>
      <c r="M513" s="2">
        <v>0.27</v>
      </c>
      <c r="N513" t="s">
        <v>98</v>
      </c>
      <c r="O513">
        <v>22</v>
      </c>
      <c r="P513" t="s">
        <v>322</v>
      </c>
    </row>
    <row r="514" spans="1:16">
      <c r="A514" s="1">
        <v>45959</v>
      </c>
      <c r="B514">
        <v>4</v>
      </c>
      <c r="C514" t="s">
        <v>99</v>
      </c>
      <c r="D514">
        <v>4</v>
      </c>
      <c r="E514" s="2">
        <v>25</v>
      </c>
      <c r="F514" s="2">
        <v>43.86</v>
      </c>
      <c r="G514" s="2">
        <v>-34.909999999999997</v>
      </c>
      <c r="H514" s="2">
        <v>-225.28</v>
      </c>
      <c r="I514" s="2">
        <v>222.26</v>
      </c>
      <c r="J514" s="2">
        <v>0.26</v>
      </c>
      <c r="K514" s="2">
        <v>-0.38</v>
      </c>
      <c r="L514" s="2">
        <v>0.46</v>
      </c>
      <c r="M514" s="2">
        <v>0.3</v>
      </c>
      <c r="N514" t="s">
        <v>98</v>
      </c>
      <c r="O514">
        <v>22</v>
      </c>
      <c r="P514" t="s">
        <v>322</v>
      </c>
    </row>
    <row r="515" spans="1:16">
      <c r="A515" s="1">
        <v>45959</v>
      </c>
      <c r="B515">
        <v>4</v>
      </c>
      <c r="C515" t="s">
        <v>99</v>
      </c>
      <c r="D515">
        <v>4</v>
      </c>
      <c r="E515" s="2">
        <v>25.5</v>
      </c>
      <c r="F515" s="2">
        <v>101.24</v>
      </c>
      <c r="G515" s="2">
        <v>-93.54</v>
      </c>
      <c r="H515" s="2">
        <v>-197.08</v>
      </c>
      <c r="I515" s="2">
        <v>199.13</v>
      </c>
      <c r="J515" s="2">
        <v>0.19</v>
      </c>
      <c r="K515" s="2">
        <v>-0.16</v>
      </c>
      <c r="L515" s="2">
        <v>0.24</v>
      </c>
      <c r="M515" s="2">
        <v>0.15</v>
      </c>
      <c r="N515" t="s">
        <v>98</v>
      </c>
      <c r="O515">
        <v>22</v>
      </c>
      <c r="P515" t="s">
        <v>322</v>
      </c>
    </row>
    <row r="516" spans="1:16">
      <c r="A516" s="1">
        <v>45959</v>
      </c>
      <c r="B516">
        <v>4</v>
      </c>
      <c r="C516" t="s">
        <v>99</v>
      </c>
      <c r="D516">
        <v>4</v>
      </c>
      <c r="E516" s="2">
        <v>26</v>
      </c>
      <c r="F516" s="2">
        <v>147.11000000000001</v>
      </c>
      <c r="G516" s="2">
        <v>-136.66</v>
      </c>
      <c r="H516" s="2">
        <v>-227.28</v>
      </c>
      <c r="I516" s="2">
        <v>251.84</v>
      </c>
      <c r="J516" s="2">
        <v>0.15</v>
      </c>
      <c r="K516" s="2">
        <v>0.08</v>
      </c>
      <c r="L516" s="2">
        <v>0.17</v>
      </c>
      <c r="M516" s="2">
        <v>-0.03</v>
      </c>
      <c r="N516" t="s">
        <v>98</v>
      </c>
      <c r="O516">
        <v>22</v>
      </c>
      <c r="P516" t="s">
        <v>322</v>
      </c>
    </row>
    <row r="517" spans="1:16">
      <c r="A517" s="1">
        <v>45959</v>
      </c>
      <c r="B517">
        <v>4</v>
      </c>
      <c r="C517" t="s">
        <v>99</v>
      </c>
      <c r="D517">
        <v>4</v>
      </c>
      <c r="E517" s="2">
        <v>26.5</v>
      </c>
      <c r="F517" s="2">
        <v>151.59</v>
      </c>
      <c r="G517" s="2">
        <v>-141.94</v>
      </c>
      <c r="H517" s="2">
        <v>-245.1</v>
      </c>
      <c r="I517" s="2">
        <v>283.72000000000003</v>
      </c>
      <c r="J517" s="2">
        <v>0.1</v>
      </c>
      <c r="K517" s="2">
        <v>0.21</v>
      </c>
      <c r="L517" s="2">
        <v>0.23</v>
      </c>
      <c r="M517" s="2">
        <v>0.12</v>
      </c>
      <c r="N517" t="s">
        <v>98</v>
      </c>
      <c r="O517">
        <v>22</v>
      </c>
      <c r="P517" t="s">
        <v>322</v>
      </c>
    </row>
    <row r="518" spans="1:16">
      <c r="A518" s="1">
        <v>45959</v>
      </c>
      <c r="B518">
        <v>4</v>
      </c>
      <c r="C518" t="s">
        <v>100</v>
      </c>
      <c r="D518">
        <v>3</v>
      </c>
      <c r="E518" s="2">
        <v>0.5</v>
      </c>
      <c r="F518" s="2">
        <v>410.35</v>
      </c>
      <c r="G518" s="2">
        <v>-402.45</v>
      </c>
      <c r="H518" s="2">
        <v>485.87</v>
      </c>
      <c r="I518" s="2">
        <v>-464.9</v>
      </c>
      <c r="J518" s="2">
        <v>0.03</v>
      </c>
      <c r="K518" s="2">
        <v>-2.8</v>
      </c>
      <c r="L518" s="2">
        <v>2.8</v>
      </c>
      <c r="M518" s="2">
        <v>2.54</v>
      </c>
      <c r="N518" t="s">
        <v>98</v>
      </c>
      <c r="O518">
        <v>30</v>
      </c>
      <c r="P518" t="s">
        <v>322</v>
      </c>
    </row>
    <row r="519" spans="1:16">
      <c r="A519" s="1">
        <v>45959</v>
      </c>
      <c r="B519">
        <v>4</v>
      </c>
      <c r="C519" t="s">
        <v>100</v>
      </c>
      <c r="D519">
        <v>3</v>
      </c>
      <c r="E519" s="2">
        <v>1</v>
      </c>
      <c r="F519" s="2">
        <v>409.69</v>
      </c>
      <c r="G519" s="2">
        <v>-397.61</v>
      </c>
      <c r="H519" s="2">
        <v>480.02</v>
      </c>
      <c r="I519" s="2">
        <v>-474.48</v>
      </c>
      <c r="J519" s="2">
        <v>0.11</v>
      </c>
      <c r="K519" s="2">
        <v>-3.05</v>
      </c>
      <c r="L519" s="2">
        <v>3.05</v>
      </c>
      <c r="M519" s="2">
        <v>3</v>
      </c>
      <c r="N519" t="s">
        <v>98</v>
      </c>
      <c r="O519">
        <v>30</v>
      </c>
      <c r="P519" t="s">
        <v>322</v>
      </c>
    </row>
    <row r="520" spans="1:16">
      <c r="A520" s="1">
        <v>45959</v>
      </c>
      <c r="B520">
        <v>4</v>
      </c>
      <c r="C520" t="s">
        <v>100</v>
      </c>
      <c r="D520">
        <v>3</v>
      </c>
      <c r="E520" s="2">
        <v>1.5</v>
      </c>
      <c r="F520" s="2">
        <v>441.32</v>
      </c>
      <c r="G520" s="2">
        <v>-432.81</v>
      </c>
      <c r="H520" s="2">
        <v>423.37</v>
      </c>
      <c r="I520" s="2">
        <v>-401.5</v>
      </c>
      <c r="J520" s="2">
        <v>0.13</v>
      </c>
      <c r="K520" s="2">
        <v>-3.24</v>
      </c>
      <c r="L520" s="2">
        <v>3.25</v>
      </c>
      <c r="M520" s="2">
        <v>3.06</v>
      </c>
      <c r="N520" t="s">
        <v>98</v>
      </c>
      <c r="O520">
        <v>30</v>
      </c>
      <c r="P520" t="s">
        <v>322</v>
      </c>
    </row>
    <row r="521" spans="1:16">
      <c r="A521" s="1">
        <v>45959</v>
      </c>
      <c r="B521">
        <v>4</v>
      </c>
      <c r="C521" t="s">
        <v>100</v>
      </c>
      <c r="D521">
        <v>3</v>
      </c>
      <c r="E521" s="2">
        <v>2</v>
      </c>
      <c r="F521" s="2">
        <v>498.72</v>
      </c>
      <c r="G521" s="2">
        <v>-492.37</v>
      </c>
      <c r="H521" s="2">
        <v>248.19</v>
      </c>
      <c r="I521" s="2">
        <v>-234.83</v>
      </c>
      <c r="J521" s="2">
        <v>0.17</v>
      </c>
      <c r="K521" s="2">
        <v>-3.18</v>
      </c>
      <c r="L521" s="2">
        <v>3.19</v>
      </c>
      <c r="M521" s="2">
        <v>2.92</v>
      </c>
      <c r="N521" t="s">
        <v>98</v>
      </c>
      <c r="O521">
        <v>30</v>
      </c>
      <c r="P521" t="s">
        <v>322</v>
      </c>
    </row>
    <row r="522" spans="1:16">
      <c r="A522" s="1">
        <v>45959</v>
      </c>
      <c r="B522">
        <v>4</v>
      </c>
      <c r="C522" t="s">
        <v>100</v>
      </c>
      <c r="D522">
        <v>3</v>
      </c>
      <c r="E522" s="2">
        <v>2.5</v>
      </c>
      <c r="F522" s="2">
        <v>452.45</v>
      </c>
      <c r="G522" s="2">
        <v>-445.18</v>
      </c>
      <c r="H522" s="2">
        <v>128.1</v>
      </c>
      <c r="I522" s="2">
        <v>-120.82</v>
      </c>
      <c r="J522" s="2">
        <v>0.25</v>
      </c>
      <c r="K522" s="2">
        <v>-3.14</v>
      </c>
      <c r="L522" s="2">
        <v>3.15</v>
      </c>
      <c r="M522" s="2">
        <v>2.93</v>
      </c>
      <c r="N522" t="s">
        <v>98</v>
      </c>
      <c r="O522">
        <v>30</v>
      </c>
      <c r="P522" t="s">
        <v>322</v>
      </c>
    </row>
    <row r="523" spans="1:16">
      <c r="A523" s="1">
        <v>45959</v>
      </c>
      <c r="B523">
        <v>4</v>
      </c>
      <c r="C523" t="s">
        <v>100</v>
      </c>
      <c r="D523">
        <v>3</v>
      </c>
      <c r="E523" s="2">
        <v>3</v>
      </c>
      <c r="F523" s="2">
        <v>400.96</v>
      </c>
      <c r="G523" s="2">
        <v>-392.25</v>
      </c>
      <c r="H523" s="2">
        <v>1.58</v>
      </c>
      <c r="I523" s="2">
        <v>4.3499999999999996</v>
      </c>
      <c r="J523" s="2">
        <v>0.32</v>
      </c>
      <c r="K523" s="2">
        <v>-3.16</v>
      </c>
      <c r="L523" s="2">
        <v>3.18</v>
      </c>
      <c r="M523" s="2">
        <v>3.06</v>
      </c>
      <c r="N523" t="s">
        <v>98</v>
      </c>
      <c r="O523">
        <v>30</v>
      </c>
      <c r="P523" t="s">
        <v>322</v>
      </c>
    </row>
    <row r="524" spans="1:16">
      <c r="A524" s="1">
        <v>45959</v>
      </c>
      <c r="B524">
        <v>4</v>
      </c>
      <c r="C524" t="s">
        <v>100</v>
      </c>
      <c r="D524">
        <v>3</v>
      </c>
      <c r="E524" s="2">
        <v>3.5</v>
      </c>
      <c r="F524" s="2">
        <v>359.13</v>
      </c>
      <c r="G524" s="2">
        <v>-352.1</v>
      </c>
      <c r="H524" s="2">
        <v>-88.97</v>
      </c>
      <c r="I524" s="2">
        <v>96.23</v>
      </c>
      <c r="J524" s="2">
        <v>0.4</v>
      </c>
      <c r="K524" s="2">
        <v>-3.07</v>
      </c>
      <c r="L524" s="2">
        <v>3.1</v>
      </c>
      <c r="M524" s="2">
        <v>2.91</v>
      </c>
      <c r="N524" t="s">
        <v>98</v>
      </c>
      <c r="O524">
        <v>30</v>
      </c>
      <c r="P524" t="s">
        <v>322</v>
      </c>
    </row>
    <row r="525" spans="1:16">
      <c r="A525" s="1">
        <v>45959</v>
      </c>
      <c r="B525">
        <v>4</v>
      </c>
      <c r="C525" t="s">
        <v>100</v>
      </c>
      <c r="D525">
        <v>3</v>
      </c>
      <c r="E525" s="2">
        <v>4</v>
      </c>
      <c r="F525" s="2">
        <v>348</v>
      </c>
      <c r="G525" s="2">
        <v>-340.73</v>
      </c>
      <c r="H525" s="2">
        <v>-104.49</v>
      </c>
      <c r="I525" s="2">
        <v>120.45</v>
      </c>
      <c r="J525" s="2">
        <v>0.45</v>
      </c>
      <c r="K525" s="2">
        <v>-3</v>
      </c>
      <c r="L525" s="2">
        <v>3.03</v>
      </c>
      <c r="M525" s="2">
        <v>3</v>
      </c>
      <c r="N525" t="s">
        <v>98</v>
      </c>
      <c r="O525">
        <v>30</v>
      </c>
      <c r="P525" t="s">
        <v>322</v>
      </c>
    </row>
    <row r="526" spans="1:16">
      <c r="A526" s="1">
        <v>45959</v>
      </c>
      <c r="B526">
        <v>4</v>
      </c>
      <c r="C526" t="s">
        <v>100</v>
      </c>
      <c r="D526">
        <v>3</v>
      </c>
      <c r="E526" s="2">
        <v>4.5</v>
      </c>
      <c r="F526" s="2">
        <v>351.5</v>
      </c>
      <c r="G526" s="2">
        <v>-341.23</v>
      </c>
      <c r="H526" s="2">
        <v>-106.84</v>
      </c>
      <c r="I526" s="2">
        <v>116.2</v>
      </c>
      <c r="J526" s="2">
        <v>0.52</v>
      </c>
      <c r="K526" s="2">
        <v>-2.98</v>
      </c>
      <c r="L526" s="2">
        <v>3.03</v>
      </c>
      <c r="M526" s="2">
        <v>2.95</v>
      </c>
      <c r="N526" t="s">
        <v>98</v>
      </c>
      <c r="O526">
        <v>30</v>
      </c>
      <c r="P526" t="s">
        <v>322</v>
      </c>
    </row>
    <row r="527" spans="1:16">
      <c r="A527" s="1">
        <v>45959</v>
      </c>
      <c r="B527">
        <v>4</v>
      </c>
      <c r="C527" t="s">
        <v>100</v>
      </c>
      <c r="D527">
        <v>3</v>
      </c>
      <c r="E527" s="2">
        <v>5</v>
      </c>
      <c r="F527" s="2">
        <v>288.31</v>
      </c>
      <c r="G527" s="2">
        <v>-280.82</v>
      </c>
      <c r="H527" s="2">
        <v>-70.12</v>
      </c>
      <c r="I527" s="2">
        <v>68.19</v>
      </c>
      <c r="J527" s="2">
        <v>0.56999999999999995</v>
      </c>
      <c r="K527" s="2">
        <v>-2.97</v>
      </c>
      <c r="L527" s="2">
        <v>3.03</v>
      </c>
      <c r="M527" s="2">
        <v>2.92</v>
      </c>
      <c r="N527" t="s">
        <v>98</v>
      </c>
      <c r="O527">
        <v>30</v>
      </c>
      <c r="P527" t="s">
        <v>322</v>
      </c>
    </row>
    <row r="528" spans="1:16">
      <c r="A528" s="1">
        <v>45959</v>
      </c>
      <c r="B528">
        <v>4</v>
      </c>
      <c r="C528" t="s">
        <v>100</v>
      </c>
      <c r="D528">
        <v>3</v>
      </c>
      <c r="E528" s="2">
        <v>5.5</v>
      </c>
      <c r="F528" s="2">
        <v>205.77</v>
      </c>
      <c r="G528" s="2">
        <v>-196.35</v>
      </c>
      <c r="H528" s="2">
        <v>-19.07</v>
      </c>
      <c r="I528" s="2">
        <v>16.14</v>
      </c>
      <c r="J528" s="2">
        <v>0.63</v>
      </c>
      <c r="K528" s="2">
        <v>-2.95</v>
      </c>
      <c r="L528" s="2">
        <v>3.01</v>
      </c>
      <c r="M528" s="2">
        <v>2.85</v>
      </c>
      <c r="N528" t="s">
        <v>98</v>
      </c>
      <c r="O528">
        <v>30</v>
      </c>
      <c r="P528" t="s">
        <v>322</v>
      </c>
    </row>
    <row r="529" spans="1:16">
      <c r="A529" s="1">
        <v>45959</v>
      </c>
      <c r="B529">
        <v>4</v>
      </c>
      <c r="C529" t="s">
        <v>100</v>
      </c>
      <c r="D529">
        <v>3</v>
      </c>
      <c r="E529" s="2">
        <v>6</v>
      </c>
      <c r="F529" s="2">
        <v>170.93</v>
      </c>
      <c r="G529" s="2">
        <v>-162.82</v>
      </c>
      <c r="H529" s="2">
        <v>19.829999999999998</v>
      </c>
      <c r="I529" s="2">
        <v>-19.34</v>
      </c>
      <c r="J529" s="2">
        <v>0.68</v>
      </c>
      <c r="K529" s="2">
        <v>-2.74</v>
      </c>
      <c r="L529" s="2">
        <v>2.83</v>
      </c>
      <c r="M529" s="2">
        <v>2.65</v>
      </c>
      <c r="N529" t="s">
        <v>98</v>
      </c>
      <c r="O529">
        <v>30</v>
      </c>
      <c r="P529" t="s">
        <v>322</v>
      </c>
    </row>
    <row r="530" spans="1:16">
      <c r="A530" s="1">
        <v>45959</v>
      </c>
      <c r="B530">
        <v>4</v>
      </c>
      <c r="C530" t="s">
        <v>100</v>
      </c>
      <c r="D530">
        <v>3</v>
      </c>
      <c r="E530" s="2">
        <v>6.5</v>
      </c>
      <c r="F530" s="2">
        <v>174.17</v>
      </c>
      <c r="G530" s="2">
        <v>-165.66</v>
      </c>
      <c r="H530" s="2">
        <v>76.150000000000006</v>
      </c>
      <c r="I530" s="2">
        <v>-67.98</v>
      </c>
      <c r="J530" s="2">
        <v>0.73</v>
      </c>
      <c r="K530" s="2">
        <v>-2.83</v>
      </c>
      <c r="L530" s="2">
        <v>2.92</v>
      </c>
      <c r="M530" s="2">
        <v>2.69</v>
      </c>
      <c r="N530" t="s">
        <v>98</v>
      </c>
      <c r="O530">
        <v>30</v>
      </c>
      <c r="P530" t="s">
        <v>322</v>
      </c>
    </row>
    <row r="531" spans="1:16">
      <c r="A531" s="1">
        <v>45959</v>
      </c>
      <c r="B531">
        <v>4</v>
      </c>
      <c r="C531" t="s">
        <v>100</v>
      </c>
      <c r="D531">
        <v>3</v>
      </c>
      <c r="E531" s="2">
        <v>7</v>
      </c>
      <c r="F531" s="2">
        <v>136.76</v>
      </c>
      <c r="G531" s="2">
        <v>-128.93</v>
      </c>
      <c r="H531" s="2">
        <v>135.91999999999999</v>
      </c>
      <c r="I531" s="2">
        <v>-131.12</v>
      </c>
      <c r="J531" s="2">
        <v>0.76</v>
      </c>
      <c r="K531" s="2">
        <v>-2.83</v>
      </c>
      <c r="L531" s="2">
        <v>2.93</v>
      </c>
      <c r="M531" s="2">
        <v>2.7</v>
      </c>
      <c r="N531" t="s">
        <v>98</v>
      </c>
      <c r="O531">
        <v>30</v>
      </c>
      <c r="P531" t="s">
        <v>322</v>
      </c>
    </row>
    <row r="532" spans="1:16">
      <c r="A532" s="1">
        <v>45959</v>
      </c>
      <c r="B532">
        <v>4</v>
      </c>
      <c r="C532" t="s">
        <v>100</v>
      </c>
      <c r="D532">
        <v>3</v>
      </c>
      <c r="E532" s="2">
        <v>7.5</v>
      </c>
      <c r="F532" s="2">
        <v>95.52</v>
      </c>
      <c r="G532" s="2">
        <v>-88.64</v>
      </c>
      <c r="H532" s="2">
        <v>208.71</v>
      </c>
      <c r="I532" s="2">
        <v>-199.8</v>
      </c>
      <c r="J532" s="2">
        <v>0.8</v>
      </c>
      <c r="K532" s="2">
        <v>-2.86</v>
      </c>
      <c r="L532" s="2">
        <v>2.97</v>
      </c>
      <c r="M532" s="2">
        <v>2.66</v>
      </c>
      <c r="N532" t="s">
        <v>98</v>
      </c>
      <c r="O532">
        <v>30</v>
      </c>
      <c r="P532" t="s">
        <v>322</v>
      </c>
    </row>
    <row r="533" spans="1:16">
      <c r="A533" s="1">
        <v>45959</v>
      </c>
      <c r="B533">
        <v>4</v>
      </c>
      <c r="C533" t="s">
        <v>100</v>
      </c>
      <c r="D533">
        <v>3</v>
      </c>
      <c r="E533" s="2">
        <v>8</v>
      </c>
      <c r="F533" s="2">
        <v>96.35</v>
      </c>
      <c r="G533" s="2">
        <v>-91.44</v>
      </c>
      <c r="H533" s="2">
        <v>236.62</v>
      </c>
      <c r="I533" s="2">
        <v>-239.3</v>
      </c>
      <c r="J533" s="2">
        <v>0.83</v>
      </c>
      <c r="K533" s="2">
        <v>-2.77</v>
      </c>
      <c r="L533" s="2">
        <v>2.89</v>
      </c>
      <c r="M533" s="2">
        <v>2.5099999999999998</v>
      </c>
      <c r="N533" t="s">
        <v>98</v>
      </c>
      <c r="O533">
        <v>30</v>
      </c>
      <c r="P533" t="s">
        <v>322</v>
      </c>
    </row>
    <row r="534" spans="1:16">
      <c r="A534" s="1">
        <v>45959</v>
      </c>
      <c r="B534">
        <v>4</v>
      </c>
      <c r="C534" t="s">
        <v>100</v>
      </c>
      <c r="D534">
        <v>3</v>
      </c>
      <c r="E534" s="2">
        <v>8.5</v>
      </c>
      <c r="F534" s="2">
        <v>126.92</v>
      </c>
      <c r="G534" s="2">
        <v>-120.42</v>
      </c>
      <c r="H534" s="2">
        <v>327.82</v>
      </c>
      <c r="I534" s="2">
        <v>-320.67</v>
      </c>
      <c r="J534" s="2">
        <v>0.83</v>
      </c>
      <c r="K534" s="2">
        <v>-2.81</v>
      </c>
      <c r="L534" s="2">
        <v>2.93</v>
      </c>
      <c r="M534" s="2">
        <v>2.23</v>
      </c>
      <c r="N534" t="s">
        <v>98</v>
      </c>
      <c r="O534">
        <v>30</v>
      </c>
      <c r="P534" t="s">
        <v>322</v>
      </c>
    </row>
    <row r="535" spans="1:16">
      <c r="A535" s="1">
        <v>45959</v>
      </c>
      <c r="B535">
        <v>4</v>
      </c>
      <c r="C535" t="s">
        <v>100</v>
      </c>
      <c r="D535">
        <v>3</v>
      </c>
      <c r="E535" s="2">
        <v>9</v>
      </c>
      <c r="F535" s="2">
        <v>178.92</v>
      </c>
      <c r="G535" s="2">
        <v>-169.42</v>
      </c>
      <c r="H535" s="2">
        <v>373.48</v>
      </c>
      <c r="I535" s="2">
        <v>-364.78</v>
      </c>
      <c r="J535" s="2">
        <v>0.82</v>
      </c>
      <c r="K535" s="2">
        <v>-2.52</v>
      </c>
      <c r="L535" s="2">
        <v>2.65</v>
      </c>
      <c r="M535" s="2">
        <v>1.8</v>
      </c>
      <c r="N535" t="s">
        <v>98</v>
      </c>
      <c r="O535">
        <v>30</v>
      </c>
      <c r="P535" t="s">
        <v>322</v>
      </c>
    </row>
    <row r="536" spans="1:16">
      <c r="A536" s="1">
        <v>45959</v>
      </c>
      <c r="B536">
        <v>4</v>
      </c>
      <c r="C536" t="s">
        <v>100</v>
      </c>
      <c r="D536">
        <v>3</v>
      </c>
      <c r="E536" s="2">
        <v>9.5</v>
      </c>
      <c r="F536" s="2">
        <v>160.44</v>
      </c>
      <c r="G536" s="2">
        <v>-158.88999999999999</v>
      </c>
      <c r="H536" s="2">
        <v>428.97</v>
      </c>
      <c r="I536" s="2">
        <v>-418.68</v>
      </c>
      <c r="J536" s="2">
        <v>0.81</v>
      </c>
      <c r="K536" s="2">
        <v>-2.39</v>
      </c>
      <c r="L536" s="2">
        <v>2.5299999999999998</v>
      </c>
      <c r="M536" s="2">
        <v>1.63</v>
      </c>
      <c r="N536" t="s">
        <v>98</v>
      </c>
      <c r="O536">
        <v>30</v>
      </c>
      <c r="P536" t="s">
        <v>322</v>
      </c>
    </row>
    <row r="537" spans="1:16">
      <c r="A537" s="1">
        <v>45959</v>
      </c>
      <c r="B537">
        <v>4</v>
      </c>
      <c r="C537" t="s">
        <v>100</v>
      </c>
      <c r="D537">
        <v>3</v>
      </c>
      <c r="E537" s="2">
        <v>10</v>
      </c>
      <c r="F537" s="2">
        <v>143.51</v>
      </c>
      <c r="G537" s="2">
        <v>-138.91</v>
      </c>
      <c r="H537" s="2">
        <v>447.32</v>
      </c>
      <c r="I537" s="2">
        <v>-433.92</v>
      </c>
      <c r="J537" s="2">
        <v>0.75</v>
      </c>
      <c r="K537" s="2">
        <v>-2.17</v>
      </c>
      <c r="L537" s="2">
        <v>2.2999999999999998</v>
      </c>
      <c r="M537" s="2">
        <v>1.43</v>
      </c>
      <c r="N537" t="s">
        <v>98</v>
      </c>
      <c r="O537">
        <v>30</v>
      </c>
      <c r="P537" t="s">
        <v>322</v>
      </c>
    </row>
    <row r="538" spans="1:16">
      <c r="A538" s="1">
        <v>45959</v>
      </c>
      <c r="B538">
        <v>4</v>
      </c>
      <c r="C538" t="s">
        <v>100</v>
      </c>
      <c r="D538">
        <v>3</v>
      </c>
      <c r="E538" s="2">
        <v>10.5</v>
      </c>
      <c r="F538" s="2">
        <v>327.39999999999998</v>
      </c>
      <c r="G538" s="2">
        <v>-321.11</v>
      </c>
      <c r="H538" s="2">
        <v>462.59</v>
      </c>
      <c r="I538" s="2">
        <v>-452.77</v>
      </c>
      <c r="J538" s="2">
        <v>0.73</v>
      </c>
      <c r="K538" s="2">
        <v>-2.2000000000000002</v>
      </c>
      <c r="L538" s="2">
        <v>2.3199999999999998</v>
      </c>
      <c r="M538" s="2">
        <v>1.45</v>
      </c>
      <c r="N538" t="s">
        <v>98</v>
      </c>
      <c r="O538">
        <v>30</v>
      </c>
      <c r="P538" t="s">
        <v>322</v>
      </c>
    </row>
    <row r="539" spans="1:16">
      <c r="A539" s="1">
        <v>45959</v>
      </c>
      <c r="B539">
        <v>4</v>
      </c>
      <c r="C539" t="s">
        <v>100</v>
      </c>
      <c r="D539">
        <v>3</v>
      </c>
      <c r="E539" s="2">
        <v>11</v>
      </c>
      <c r="F539" s="2">
        <v>344.81</v>
      </c>
      <c r="G539" s="2">
        <v>-337.32</v>
      </c>
      <c r="H539" s="2">
        <v>443.46</v>
      </c>
      <c r="I539" s="2">
        <v>-450.84</v>
      </c>
      <c r="J539" s="2">
        <v>0.68</v>
      </c>
      <c r="K539" s="2">
        <v>-2.2799999999999998</v>
      </c>
      <c r="L539" s="2">
        <v>2.38</v>
      </c>
      <c r="M539" s="2">
        <v>1.04</v>
      </c>
      <c r="N539" t="s">
        <v>98</v>
      </c>
      <c r="O539">
        <v>30</v>
      </c>
      <c r="P539" t="s">
        <v>322</v>
      </c>
    </row>
    <row r="540" spans="1:16">
      <c r="A540" s="1">
        <v>45959</v>
      </c>
      <c r="B540">
        <v>4</v>
      </c>
      <c r="C540" t="s">
        <v>100</v>
      </c>
      <c r="D540">
        <v>3</v>
      </c>
      <c r="E540" s="2">
        <v>11.5</v>
      </c>
      <c r="F540" s="2">
        <v>319</v>
      </c>
      <c r="G540" s="2">
        <v>-306.77999999999997</v>
      </c>
      <c r="H540" s="2">
        <v>364.25</v>
      </c>
      <c r="I540" s="2">
        <v>-367.45</v>
      </c>
      <c r="J540" s="2">
        <v>0.66</v>
      </c>
      <c r="K540" s="2">
        <v>-2.42</v>
      </c>
      <c r="L540" s="2">
        <v>2.5099999999999998</v>
      </c>
      <c r="M540" s="2">
        <v>1.23</v>
      </c>
      <c r="N540" t="s">
        <v>98</v>
      </c>
      <c r="O540">
        <v>30</v>
      </c>
      <c r="P540" t="s">
        <v>322</v>
      </c>
    </row>
    <row r="541" spans="1:16">
      <c r="A541" s="1">
        <v>45959</v>
      </c>
      <c r="B541">
        <v>4</v>
      </c>
      <c r="C541" t="s">
        <v>100</v>
      </c>
      <c r="D541">
        <v>3</v>
      </c>
      <c r="E541" s="2">
        <v>12</v>
      </c>
      <c r="F541" s="2">
        <v>294.47000000000003</v>
      </c>
      <c r="G541" s="2">
        <v>-286.87</v>
      </c>
      <c r="H541" s="2">
        <v>293.17</v>
      </c>
      <c r="I541" s="2">
        <v>-270.45</v>
      </c>
      <c r="J541" s="2">
        <v>0.63</v>
      </c>
      <c r="K541" s="2">
        <v>-2.48</v>
      </c>
      <c r="L541" s="2">
        <v>2.56</v>
      </c>
      <c r="M541" s="2">
        <v>1.33</v>
      </c>
      <c r="N541" t="s">
        <v>98</v>
      </c>
      <c r="O541">
        <v>30</v>
      </c>
      <c r="P541" t="s">
        <v>322</v>
      </c>
    </row>
    <row r="542" spans="1:16">
      <c r="A542" s="1">
        <v>45959</v>
      </c>
      <c r="B542">
        <v>4</v>
      </c>
      <c r="C542" t="s">
        <v>100</v>
      </c>
      <c r="D542">
        <v>3</v>
      </c>
      <c r="E542" s="2">
        <v>12.5</v>
      </c>
      <c r="F542" s="2">
        <v>249.06</v>
      </c>
      <c r="G542" s="2">
        <v>-242.63</v>
      </c>
      <c r="H542" s="2">
        <v>200.6</v>
      </c>
      <c r="I542" s="2">
        <v>-178.8</v>
      </c>
      <c r="J542" s="2">
        <v>0.61</v>
      </c>
      <c r="K542" s="2">
        <v>-2.52</v>
      </c>
      <c r="L542" s="2">
        <v>2.59</v>
      </c>
      <c r="M542" s="2">
        <v>0.97</v>
      </c>
      <c r="N542" t="s">
        <v>98</v>
      </c>
      <c r="O542">
        <v>30</v>
      </c>
      <c r="P542" t="s">
        <v>322</v>
      </c>
    </row>
    <row r="543" spans="1:16">
      <c r="A543" s="1">
        <v>45959</v>
      </c>
      <c r="B543">
        <v>4</v>
      </c>
      <c r="C543" t="s">
        <v>100</v>
      </c>
      <c r="D543">
        <v>3</v>
      </c>
      <c r="E543" s="2">
        <v>13</v>
      </c>
      <c r="F543" s="2">
        <v>219</v>
      </c>
      <c r="G543" s="2">
        <v>-211.05</v>
      </c>
      <c r="H543" s="2">
        <v>138.88999999999999</v>
      </c>
      <c r="I543" s="2">
        <v>-119.58</v>
      </c>
      <c r="J543" s="2">
        <v>0.62</v>
      </c>
      <c r="K543" s="2">
        <v>-2.5499999999999998</v>
      </c>
      <c r="L543" s="2">
        <v>2.63</v>
      </c>
      <c r="M543" s="2">
        <v>0.92</v>
      </c>
      <c r="N543" t="s">
        <v>98</v>
      </c>
      <c r="O543">
        <v>30</v>
      </c>
      <c r="P543" t="s">
        <v>322</v>
      </c>
    </row>
    <row r="544" spans="1:16">
      <c r="A544" s="1">
        <v>45959</v>
      </c>
      <c r="B544">
        <v>4</v>
      </c>
      <c r="C544" t="s">
        <v>100</v>
      </c>
      <c r="D544">
        <v>3</v>
      </c>
      <c r="E544" s="2">
        <v>13.5</v>
      </c>
      <c r="F544" s="2">
        <v>190.7</v>
      </c>
      <c r="G544" s="2">
        <v>-184.46</v>
      </c>
      <c r="H544" s="2">
        <v>146.85</v>
      </c>
      <c r="I544" s="2">
        <v>-145.28</v>
      </c>
      <c r="J544" s="2">
        <v>0.57999999999999996</v>
      </c>
      <c r="K544" s="2">
        <v>-2.4900000000000002</v>
      </c>
      <c r="L544" s="2">
        <v>2.56</v>
      </c>
      <c r="M544" s="2">
        <v>0.85</v>
      </c>
      <c r="N544" t="s">
        <v>98</v>
      </c>
      <c r="O544">
        <v>30</v>
      </c>
      <c r="P544" t="s">
        <v>322</v>
      </c>
    </row>
    <row r="545" spans="1:16">
      <c r="A545" s="1">
        <v>45959</v>
      </c>
      <c r="B545">
        <v>4</v>
      </c>
      <c r="C545" t="s">
        <v>100</v>
      </c>
      <c r="D545">
        <v>3</v>
      </c>
      <c r="E545" s="2">
        <v>14</v>
      </c>
      <c r="F545" s="2">
        <v>148.79</v>
      </c>
      <c r="G545" s="2">
        <v>-142.78</v>
      </c>
      <c r="H545" s="2">
        <v>168.12</v>
      </c>
      <c r="I545" s="2">
        <v>-164.88</v>
      </c>
      <c r="J545" s="2">
        <v>0.53</v>
      </c>
      <c r="K545" s="2">
        <v>-2.04</v>
      </c>
      <c r="L545" s="2">
        <v>2.11</v>
      </c>
      <c r="M545" s="2">
        <v>0.84</v>
      </c>
      <c r="N545" t="s">
        <v>98</v>
      </c>
      <c r="O545">
        <v>30</v>
      </c>
      <c r="P545" t="s">
        <v>322</v>
      </c>
    </row>
    <row r="546" spans="1:16">
      <c r="A546" s="1">
        <v>45959</v>
      </c>
      <c r="B546">
        <v>4</v>
      </c>
      <c r="C546" t="s">
        <v>100</v>
      </c>
      <c r="D546">
        <v>3</v>
      </c>
      <c r="E546" s="2">
        <v>14.5</v>
      </c>
      <c r="F546" s="2">
        <v>143.44</v>
      </c>
      <c r="G546" s="2">
        <v>-134.99</v>
      </c>
      <c r="H546" s="2">
        <v>187.25</v>
      </c>
      <c r="I546" s="2">
        <v>-182.17</v>
      </c>
      <c r="J546" s="2">
        <v>0.57999999999999996</v>
      </c>
      <c r="K546" s="2">
        <v>-2.3199999999999998</v>
      </c>
      <c r="L546" s="2">
        <v>2.39</v>
      </c>
      <c r="M546" s="2">
        <v>0.74</v>
      </c>
      <c r="N546" t="s">
        <v>98</v>
      </c>
      <c r="O546">
        <v>30</v>
      </c>
      <c r="P546" t="s">
        <v>322</v>
      </c>
    </row>
    <row r="547" spans="1:16">
      <c r="A547" s="1">
        <v>45959</v>
      </c>
      <c r="B547">
        <v>4</v>
      </c>
      <c r="C547" t="s">
        <v>100</v>
      </c>
      <c r="D547">
        <v>3</v>
      </c>
      <c r="E547" s="2">
        <v>15</v>
      </c>
      <c r="F547" s="2">
        <v>148.15</v>
      </c>
      <c r="G547" s="2">
        <v>-140.12</v>
      </c>
      <c r="H547" s="2">
        <v>261.68</v>
      </c>
      <c r="I547" s="2">
        <v>-252.44</v>
      </c>
      <c r="J547" s="2">
        <v>0.54</v>
      </c>
      <c r="K547" s="2">
        <v>-2.4300000000000002</v>
      </c>
      <c r="L547" s="2">
        <v>2.4900000000000002</v>
      </c>
      <c r="M547" s="2">
        <v>0.72</v>
      </c>
      <c r="N547" t="s">
        <v>98</v>
      </c>
      <c r="O547">
        <v>30</v>
      </c>
      <c r="P547" t="s">
        <v>322</v>
      </c>
    </row>
    <row r="548" spans="1:16">
      <c r="A548" s="1">
        <v>45959</v>
      </c>
      <c r="B548">
        <v>4</v>
      </c>
      <c r="C548" t="s">
        <v>100</v>
      </c>
      <c r="D548">
        <v>3</v>
      </c>
      <c r="E548" s="2">
        <v>15.5</v>
      </c>
      <c r="F548" s="2">
        <v>61.11</v>
      </c>
      <c r="G548" s="2">
        <v>-56.71</v>
      </c>
      <c r="H548" s="2">
        <v>358.1</v>
      </c>
      <c r="I548" s="2">
        <v>-338.13</v>
      </c>
      <c r="J548" s="2">
        <v>0.52</v>
      </c>
      <c r="K548" s="2">
        <v>-2.52</v>
      </c>
      <c r="L548" s="2">
        <v>2.57</v>
      </c>
      <c r="M548" s="2">
        <v>0.4</v>
      </c>
      <c r="N548" t="s">
        <v>98</v>
      </c>
      <c r="O548">
        <v>30</v>
      </c>
      <c r="P548" t="s">
        <v>322</v>
      </c>
    </row>
    <row r="549" spans="1:16">
      <c r="A549" s="1">
        <v>45959</v>
      </c>
      <c r="B549">
        <v>4</v>
      </c>
      <c r="C549" t="s">
        <v>100</v>
      </c>
      <c r="D549">
        <v>3</v>
      </c>
      <c r="E549" s="2">
        <v>16</v>
      </c>
      <c r="F549" s="2">
        <v>199.31</v>
      </c>
      <c r="G549" s="2">
        <v>-183.05</v>
      </c>
      <c r="H549" s="2">
        <v>192.26</v>
      </c>
      <c r="I549" s="2">
        <v>-177.39</v>
      </c>
      <c r="J549" s="2">
        <v>0.51</v>
      </c>
      <c r="K549" s="2">
        <v>-2.36</v>
      </c>
      <c r="L549" s="2">
        <v>2.41</v>
      </c>
      <c r="M549" s="2">
        <v>0.16</v>
      </c>
      <c r="N549" t="s">
        <v>98</v>
      </c>
      <c r="O549">
        <v>30</v>
      </c>
      <c r="P549" t="s">
        <v>322</v>
      </c>
    </row>
    <row r="550" spans="1:16">
      <c r="A550" s="1">
        <v>45959</v>
      </c>
      <c r="B550">
        <v>4</v>
      </c>
      <c r="C550" t="s">
        <v>100</v>
      </c>
      <c r="D550">
        <v>3</v>
      </c>
      <c r="E550" s="2">
        <v>16.5</v>
      </c>
      <c r="F550" s="2">
        <v>322.62</v>
      </c>
      <c r="G550" s="2">
        <v>-318.23</v>
      </c>
      <c r="H550" s="2">
        <v>198.57</v>
      </c>
      <c r="I550" s="2">
        <v>-205.36</v>
      </c>
      <c r="J550" s="2">
        <v>0.46</v>
      </c>
      <c r="K550" s="2">
        <v>-2.5099999999999998</v>
      </c>
      <c r="L550" s="2">
        <v>2.5499999999999998</v>
      </c>
      <c r="M550" s="2">
        <v>0.67</v>
      </c>
      <c r="N550" t="s">
        <v>98</v>
      </c>
      <c r="O550">
        <v>30</v>
      </c>
      <c r="P550" t="s">
        <v>322</v>
      </c>
    </row>
    <row r="551" spans="1:16">
      <c r="A551" s="1">
        <v>45959</v>
      </c>
      <c r="B551">
        <v>4</v>
      </c>
      <c r="C551" t="s">
        <v>100</v>
      </c>
      <c r="D551">
        <v>3</v>
      </c>
      <c r="E551" s="2">
        <v>17</v>
      </c>
      <c r="F551" s="2">
        <v>386.09</v>
      </c>
      <c r="G551" s="2">
        <v>-375.09</v>
      </c>
      <c r="H551" s="2">
        <v>251.59</v>
      </c>
      <c r="I551" s="2">
        <v>-245.96</v>
      </c>
      <c r="J551" s="2">
        <v>0.43</v>
      </c>
      <c r="K551" s="2">
        <v>-2.2599999999999998</v>
      </c>
      <c r="L551" s="2">
        <v>2.2999999999999998</v>
      </c>
      <c r="M551" s="2">
        <v>0.48</v>
      </c>
      <c r="N551" t="s">
        <v>98</v>
      </c>
      <c r="O551">
        <v>30</v>
      </c>
      <c r="P551" t="s">
        <v>322</v>
      </c>
    </row>
    <row r="552" spans="1:16">
      <c r="A552" s="1">
        <v>45959</v>
      </c>
      <c r="B552">
        <v>4</v>
      </c>
      <c r="C552" t="s">
        <v>100</v>
      </c>
      <c r="D552">
        <v>3</v>
      </c>
      <c r="E552" s="2">
        <v>17.5</v>
      </c>
      <c r="F552" s="2">
        <v>382.15</v>
      </c>
      <c r="G552" s="2">
        <v>-374.52</v>
      </c>
      <c r="H552" s="2">
        <v>167.28</v>
      </c>
      <c r="I552" s="2">
        <v>-154.36000000000001</v>
      </c>
      <c r="J552" s="2">
        <v>0.41</v>
      </c>
      <c r="K552" s="2">
        <v>-1.98</v>
      </c>
      <c r="L552" s="2">
        <v>2.02</v>
      </c>
      <c r="M552" s="2">
        <v>0.41</v>
      </c>
      <c r="N552" t="s">
        <v>98</v>
      </c>
      <c r="O552">
        <v>30</v>
      </c>
      <c r="P552" t="s">
        <v>322</v>
      </c>
    </row>
    <row r="553" spans="1:16">
      <c r="A553" s="1">
        <v>45959</v>
      </c>
      <c r="B553">
        <v>4</v>
      </c>
      <c r="C553" t="s">
        <v>100</v>
      </c>
      <c r="D553">
        <v>3</v>
      </c>
      <c r="E553" s="2">
        <v>18</v>
      </c>
      <c r="F553" s="2">
        <v>349.6</v>
      </c>
      <c r="G553" s="2">
        <v>-341.06</v>
      </c>
      <c r="H553" s="2">
        <v>102.56</v>
      </c>
      <c r="I553" s="2">
        <v>-98.12</v>
      </c>
      <c r="J553" s="2">
        <v>0.41</v>
      </c>
      <c r="K553" s="2">
        <v>-1.6</v>
      </c>
      <c r="L553" s="2">
        <v>1.65</v>
      </c>
      <c r="M553" s="2">
        <v>0.34</v>
      </c>
      <c r="N553" t="s">
        <v>98</v>
      </c>
      <c r="O553">
        <v>30</v>
      </c>
      <c r="P553" t="s">
        <v>322</v>
      </c>
    </row>
    <row r="554" spans="1:16">
      <c r="A554" s="1">
        <v>45959</v>
      </c>
      <c r="B554">
        <v>4</v>
      </c>
      <c r="C554" t="s">
        <v>100</v>
      </c>
      <c r="D554">
        <v>3</v>
      </c>
      <c r="E554" s="2">
        <v>18.5</v>
      </c>
      <c r="F554" s="2">
        <v>319.76</v>
      </c>
      <c r="G554" s="2">
        <v>-313.20999999999998</v>
      </c>
      <c r="H554" s="2">
        <v>71.680000000000007</v>
      </c>
      <c r="I554" s="2">
        <v>-67.900000000000006</v>
      </c>
      <c r="J554" s="2">
        <v>0.41</v>
      </c>
      <c r="K554" s="2">
        <v>-1.48</v>
      </c>
      <c r="L554" s="2">
        <v>1.54</v>
      </c>
      <c r="M554" s="2">
        <v>0.35</v>
      </c>
      <c r="N554" t="s">
        <v>98</v>
      </c>
      <c r="O554">
        <v>30</v>
      </c>
      <c r="P554" t="s">
        <v>322</v>
      </c>
    </row>
    <row r="555" spans="1:16">
      <c r="A555" s="1">
        <v>45959</v>
      </c>
      <c r="B555">
        <v>4</v>
      </c>
      <c r="C555" t="s">
        <v>100</v>
      </c>
      <c r="D555">
        <v>3</v>
      </c>
      <c r="E555" s="2">
        <v>19</v>
      </c>
      <c r="F555" s="2">
        <v>304.52999999999997</v>
      </c>
      <c r="G555" s="2">
        <v>-299.93</v>
      </c>
      <c r="H555" s="2">
        <v>54.81</v>
      </c>
      <c r="I555" s="2">
        <v>-55.62</v>
      </c>
      <c r="J555" s="2">
        <v>0.35</v>
      </c>
      <c r="K555" s="2">
        <v>-1.4</v>
      </c>
      <c r="L555" s="2">
        <v>1.45</v>
      </c>
      <c r="M555" s="2">
        <v>0.16</v>
      </c>
      <c r="N555" t="s">
        <v>98</v>
      </c>
      <c r="O555">
        <v>30</v>
      </c>
      <c r="P555" t="s">
        <v>322</v>
      </c>
    </row>
    <row r="556" spans="1:16">
      <c r="A556" s="1">
        <v>45959</v>
      </c>
      <c r="B556">
        <v>4</v>
      </c>
      <c r="C556" t="s">
        <v>100</v>
      </c>
      <c r="D556">
        <v>3</v>
      </c>
      <c r="E556" s="2">
        <v>19.5</v>
      </c>
      <c r="F556" s="2">
        <v>213.69</v>
      </c>
      <c r="G556" s="2">
        <v>-208.76</v>
      </c>
      <c r="H556" s="2">
        <v>92.72</v>
      </c>
      <c r="I556" s="2">
        <v>-99.47</v>
      </c>
      <c r="J556" s="2">
        <v>0.32</v>
      </c>
      <c r="K556" s="2">
        <v>-1.38</v>
      </c>
      <c r="L556" s="2">
        <v>1.42</v>
      </c>
      <c r="M556" s="2">
        <v>0.16</v>
      </c>
      <c r="N556" t="s">
        <v>98</v>
      </c>
      <c r="O556">
        <v>30</v>
      </c>
      <c r="P556" t="s">
        <v>322</v>
      </c>
    </row>
    <row r="557" spans="1:16">
      <c r="A557" s="1">
        <v>45959</v>
      </c>
      <c r="B557">
        <v>4</v>
      </c>
      <c r="C557" t="s">
        <v>100</v>
      </c>
      <c r="D557">
        <v>3</v>
      </c>
      <c r="E557" s="2">
        <v>20</v>
      </c>
      <c r="F557" s="2">
        <v>145.26</v>
      </c>
      <c r="G557" s="2">
        <v>-138.43</v>
      </c>
      <c r="H557" s="2">
        <v>155.06</v>
      </c>
      <c r="I557" s="2">
        <v>-151.36000000000001</v>
      </c>
      <c r="J557" s="2">
        <v>0.27</v>
      </c>
      <c r="K557" s="2">
        <v>-1.02</v>
      </c>
      <c r="L557" s="2">
        <v>1.06</v>
      </c>
      <c r="M557" s="2">
        <v>0</v>
      </c>
      <c r="N557" t="s">
        <v>98</v>
      </c>
      <c r="O557">
        <v>30</v>
      </c>
      <c r="P557" t="s">
        <v>322</v>
      </c>
    </row>
    <row r="558" spans="1:16">
      <c r="A558" s="1">
        <v>45959</v>
      </c>
      <c r="B558">
        <v>4</v>
      </c>
      <c r="C558" t="s">
        <v>100</v>
      </c>
      <c r="D558">
        <v>3</v>
      </c>
      <c r="E558" s="2">
        <v>20.5</v>
      </c>
      <c r="F558" s="2">
        <v>153</v>
      </c>
      <c r="G558" s="2">
        <v>-149.13999999999999</v>
      </c>
      <c r="H558" s="2">
        <v>161.94999999999999</v>
      </c>
      <c r="I558" s="2">
        <v>-162.1</v>
      </c>
      <c r="J558" s="2">
        <v>0.24</v>
      </c>
      <c r="K558" s="2">
        <v>-0.63</v>
      </c>
      <c r="L558" s="2">
        <v>0.67</v>
      </c>
      <c r="M558" s="2">
        <v>-0.27</v>
      </c>
      <c r="N558" t="s">
        <v>98</v>
      </c>
      <c r="O558">
        <v>30</v>
      </c>
      <c r="P558" t="s">
        <v>322</v>
      </c>
    </row>
    <row r="559" spans="1:16">
      <c r="A559" s="1">
        <v>45959</v>
      </c>
      <c r="B559">
        <v>4</v>
      </c>
      <c r="C559" t="s">
        <v>100</v>
      </c>
      <c r="D559">
        <v>3</v>
      </c>
      <c r="E559" s="2">
        <v>21</v>
      </c>
      <c r="F559" s="2">
        <v>161.54</v>
      </c>
      <c r="G559" s="2">
        <v>-155.68</v>
      </c>
      <c r="H559" s="2">
        <v>180.02</v>
      </c>
      <c r="I559" s="2">
        <v>-175.87</v>
      </c>
      <c r="J559" s="2">
        <v>0.19</v>
      </c>
      <c r="K559" s="2">
        <v>-0.13</v>
      </c>
      <c r="L559" s="2">
        <v>0.23</v>
      </c>
      <c r="M559" s="2">
        <v>-0.25</v>
      </c>
      <c r="N559" t="s">
        <v>98</v>
      </c>
      <c r="O559">
        <v>30</v>
      </c>
      <c r="P559" t="s">
        <v>322</v>
      </c>
    </row>
    <row r="560" spans="1:16">
      <c r="A560" s="1">
        <v>45959</v>
      </c>
      <c r="B560">
        <v>4</v>
      </c>
      <c r="C560" t="s">
        <v>100</v>
      </c>
      <c r="D560">
        <v>3</v>
      </c>
      <c r="E560" s="2">
        <v>21.5</v>
      </c>
      <c r="F560" s="2">
        <v>178.35</v>
      </c>
      <c r="G560" s="2">
        <v>-173.54</v>
      </c>
      <c r="H560" s="2">
        <v>182.27</v>
      </c>
      <c r="I560" s="2">
        <v>-168.87</v>
      </c>
      <c r="J560" s="2">
        <v>0.09</v>
      </c>
      <c r="K560" s="2">
        <v>0.24</v>
      </c>
      <c r="L560" s="2">
        <v>0.25</v>
      </c>
      <c r="M560" s="2">
        <v>-0.01</v>
      </c>
      <c r="N560" t="s">
        <v>98</v>
      </c>
      <c r="O560">
        <v>30</v>
      </c>
      <c r="P560" t="s">
        <v>322</v>
      </c>
    </row>
    <row r="561" spans="1:16">
      <c r="A561" s="1">
        <v>45959</v>
      </c>
      <c r="B561">
        <v>4</v>
      </c>
      <c r="C561" t="s">
        <v>100</v>
      </c>
      <c r="D561">
        <v>3</v>
      </c>
      <c r="E561" s="2">
        <v>22</v>
      </c>
      <c r="F561" s="2">
        <v>190.67</v>
      </c>
      <c r="G561" s="2">
        <v>-184.41</v>
      </c>
      <c r="H561" s="2">
        <v>189.3</v>
      </c>
      <c r="I561" s="2">
        <v>-157.63</v>
      </c>
      <c r="J561" s="2">
        <v>0.01</v>
      </c>
      <c r="K561" s="2">
        <v>0.43</v>
      </c>
      <c r="L561" s="2">
        <v>0.43</v>
      </c>
      <c r="M561" s="2">
        <v>0.41</v>
      </c>
      <c r="N561" t="s">
        <v>98</v>
      </c>
      <c r="O561">
        <v>30</v>
      </c>
      <c r="P561" t="s">
        <v>322</v>
      </c>
    </row>
    <row r="562" spans="1:16">
      <c r="A562" s="1">
        <v>45964</v>
      </c>
      <c r="B562">
        <v>5</v>
      </c>
      <c r="C562" t="s">
        <v>94</v>
      </c>
      <c r="D562">
        <v>5</v>
      </c>
      <c r="E562" s="2">
        <v>0.5</v>
      </c>
      <c r="F562" s="2">
        <v>-380.72</v>
      </c>
      <c r="G562" s="2">
        <v>379.97</v>
      </c>
      <c r="H562" s="2">
        <v>-812.1</v>
      </c>
      <c r="I562" s="2">
        <v>831.68</v>
      </c>
      <c r="J562" s="2">
        <v>1.62</v>
      </c>
      <c r="K562" s="2">
        <v>1.1399999999999999</v>
      </c>
      <c r="L562" s="2">
        <v>1.98</v>
      </c>
      <c r="M562" s="2">
        <v>0.69</v>
      </c>
      <c r="N562" t="s">
        <v>98</v>
      </c>
      <c r="O562">
        <v>14</v>
      </c>
      <c r="P562" t="s">
        <v>322</v>
      </c>
    </row>
    <row r="563" spans="1:16">
      <c r="A563" s="1">
        <v>45964</v>
      </c>
      <c r="B563">
        <v>5</v>
      </c>
      <c r="C563" t="s">
        <v>94</v>
      </c>
      <c r="D563">
        <v>5</v>
      </c>
      <c r="E563" s="2">
        <v>1</v>
      </c>
      <c r="F563" s="2">
        <v>-380.72</v>
      </c>
      <c r="G563" s="2">
        <v>380.42</v>
      </c>
      <c r="H563" s="2">
        <v>-812.18</v>
      </c>
      <c r="I563" s="2">
        <v>831.7</v>
      </c>
      <c r="J563" s="2">
        <v>2.19</v>
      </c>
      <c r="K563" s="2">
        <v>2.61</v>
      </c>
      <c r="L563" s="2">
        <v>3.41</v>
      </c>
      <c r="M563" s="2">
        <v>1.27</v>
      </c>
      <c r="N563" t="s">
        <v>98</v>
      </c>
      <c r="O563">
        <v>14</v>
      </c>
      <c r="P563" t="s">
        <v>322</v>
      </c>
    </row>
    <row r="564" spans="1:16">
      <c r="A564" s="1">
        <v>45964</v>
      </c>
      <c r="B564">
        <v>5</v>
      </c>
      <c r="C564" t="s">
        <v>94</v>
      </c>
      <c r="D564">
        <v>5</v>
      </c>
      <c r="E564" s="2">
        <v>1.5</v>
      </c>
      <c r="F564" s="2">
        <v>-5.3</v>
      </c>
      <c r="G564" s="2">
        <v>18.22</v>
      </c>
      <c r="H564" s="2">
        <v>-277.31</v>
      </c>
      <c r="I564" s="2">
        <v>288.69</v>
      </c>
      <c r="J564" s="2">
        <v>2.82</v>
      </c>
      <c r="K564" s="2">
        <v>3.67</v>
      </c>
      <c r="L564" s="2">
        <v>4.63</v>
      </c>
      <c r="M564" s="2">
        <v>1.79</v>
      </c>
      <c r="N564" t="s">
        <v>98</v>
      </c>
      <c r="O564">
        <v>14</v>
      </c>
      <c r="P564" t="s">
        <v>322</v>
      </c>
    </row>
    <row r="565" spans="1:16">
      <c r="A565" s="1">
        <v>45964</v>
      </c>
      <c r="B565">
        <v>5</v>
      </c>
      <c r="C565" t="s">
        <v>94</v>
      </c>
      <c r="D565">
        <v>5</v>
      </c>
      <c r="E565" s="2">
        <v>2</v>
      </c>
      <c r="F565" s="2">
        <v>11.15</v>
      </c>
      <c r="G565" s="2">
        <v>-2.0099999999999998</v>
      </c>
      <c r="H565" s="2">
        <v>-232.57</v>
      </c>
      <c r="I565" s="2">
        <v>239.58</v>
      </c>
      <c r="J565" s="2">
        <v>2.7</v>
      </c>
      <c r="K565" s="2">
        <v>3.57</v>
      </c>
      <c r="L565" s="2">
        <v>4.47</v>
      </c>
      <c r="M565" s="2">
        <v>1.72</v>
      </c>
      <c r="N565" t="s">
        <v>98</v>
      </c>
      <c r="O565">
        <v>14</v>
      </c>
      <c r="P565" t="s">
        <v>322</v>
      </c>
    </row>
    <row r="566" spans="1:16">
      <c r="A566" s="1">
        <v>45964</v>
      </c>
      <c r="B566">
        <v>5</v>
      </c>
      <c r="C566" t="s">
        <v>94</v>
      </c>
      <c r="D566">
        <v>5</v>
      </c>
      <c r="E566" s="2">
        <v>2.5</v>
      </c>
      <c r="F566" s="2">
        <v>30.17</v>
      </c>
      <c r="G566" s="2">
        <v>-21.88</v>
      </c>
      <c r="H566" s="2">
        <v>-212.25</v>
      </c>
      <c r="I566" s="2">
        <v>220.16</v>
      </c>
      <c r="J566" s="2">
        <v>3.13</v>
      </c>
      <c r="K566" s="2">
        <v>3.63</v>
      </c>
      <c r="L566" s="2">
        <v>4.79</v>
      </c>
      <c r="M566" s="2">
        <v>1.67</v>
      </c>
      <c r="N566" t="s">
        <v>98</v>
      </c>
      <c r="O566">
        <v>14</v>
      </c>
      <c r="P566" t="s">
        <v>322</v>
      </c>
    </row>
    <row r="567" spans="1:16">
      <c r="A567" s="1">
        <v>45964</v>
      </c>
      <c r="B567">
        <v>5</v>
      </c>
      <c r="C567" t="s">
        <v>94</v>
      </c>
      <c r="D567">
        <v>5</v>
      </c>
      <c r="E567" s="2">
        <v>3</v>
      </c>
      <c r="F567" s="2">
        <v>11.6</v>
      </c>
      <c r="G567" s="2">
        <v>-0.78</v>
      </c>
      <c r="H567" s="2">
        <v>-158.35</v>
      </c>
      <c r="I567" s="2">
        <v>162.37</v>
      </c>
      <c r="J567" s="2">
        <v>3.33</v>
      </c>
      <c r="K567" s="2">
        <v>3.49</v>
      </c>
      <c r="L567" s="2">
        <v>4.82</v>
      </c>
      <c r="M567" s="2">
        <v>1.68</v>
      </c>
      <c r="N567" t="s">
        <v>98</v>
      </c>
      <c r="O567">
        <v>14</v>
      </c>
      <c r="P567" t="s">
        <v>322</v>
      </c>
    </row>
    <row r="568" spans="1:16">
      <c r="A568" s="1">
        <v>45964</v>
      </c>
      <c r="B568">
        <v>5</v>
      </c>
      <c r="C568" t="s">
        <v>94</v>
      </c>
      <c r="D568">
        <v>5</v>
      </c>
      <c r="E568" s="2">
        <v>3.5</v>
      </c>
      <c r="F568" s="2">
        <v>-7.5</v>
      </c>
      <c r="G568" s="2">
        <v>16.63</v>
      </c>
      <c r="H568" s="2">
        <v>-101.56</v>
      </c>
      <c r="I568" s="2">
        <v>98.52</v>
      </c>
      <c r="J568" s="2">
        <v>3.41</v>
      </c>
      <c r="K568" s="2">
        <v>3.37</v>
      </c>
      <c r="L568" s="2">
        <v>4.8</v>
      </c>
      <c r="M568" s="2">
        <v>1.73</v>
      </c>
      <c r="N568" t="s">
        <v>98</v>
      </c>
      <c r="O568">
        <v>14</v>
      </c>
      <c r="P568" t="s">
        <v>322</v>
      </c>
    </row>
    <row r="569" spans="1:16">
      <c r="A569" s="1">
        <v>45964</v>
      </c>
      <c r="B569">
        <v>5</v>
      </c>
      <c r="C569" t="s">
        <v>94</v>
      </c>
      <c r="D569">
        <v>5</v>
      </c>
      <c r="E569" s="2">
        <v>4</v>
      </c>
      <c r="F569" s="2">
        <v>61.73</v>
      </c>
      <c r="G569" s="2">
        <v>-52.75</v>
      </c>
      <c r="H569" s="2">
        <v>-88.28</v>
      </c>
      <c r="I569" s="2">
        <v>78.33</v>
      </c>
      <c r="J569" s="2">
        <v>3.45</v>
      </c>
      <c r="K569" s="2">
        <v>3.49</v>
      </c>
      <c r="L569" s="2">
        <v>4.91</v>
      </c>
      <c r="M569" s="2">
        <v>1.81</v>
      </c>
      <c r="N569" t="s">
        <v>98</v>
      </c>
      <c r="O569">
        <v>14</v>
      </c>
      <c r="P569" t="s">
        <v>322</v>
      </c>
    </row>
    <row r="570" spans="1:16">
      <c r="A570" s="1">
        <v>45964</v>
      </c>
      <c r="B570">
        <v>5</v>
      </c>
      <c r="C570" t="s">
        <v>94</v>
      </c>
      <c r="D570">
        <v>5</v>
      </c>
      <c r="E570" s="2">
        <v>4.5</v>
      </c>
      <c r="F570" s="2">
        <v>58.83</v>
      </c>
      <c r="G570" s="2">
        <v>-49.3</v>
      </c>
      <c r="H570" s="2">
        <v>-43.58</v>
      </c>
      <c r="I570" s="2">
        <v>39.590000000000003</v>
      </c>
      <c r="J570" s="2">
        <v>3.5</v>
      </c>
      <c r="K570" s="2">
        <v>3.16</v>
      </c>
      <c r="L570" s="2">
        <v>4.72</v>
      </c>
      <c r="M570" s="2">
        <v>1.69</v>
      </c>
      <c r="N570" t="s">
        <v>98</v>
      </c>
      <c r="O570">
        <v>14</v>
      </c>
      <c r="P570" t="s">
        <v>322</v>
      </c>
    </row>
    <row r="571" spans="1:16">
      <c r="A571" s="1">
        <v>45964</v>
      </c>
      <c r="B571">
        <v>5</v>
      </c>
      <c r="C571" t="s">
        <v>94</v>
      </c>
      <c r="D571">
        <v>5</v>
      </c>
      <c r="E571" s="2">
        <v>5</v>
      </c>
      <c r="F571" s="2">
        <v>2.3199999999999998</v>
      </c>
      <c r="G571" s="2">
        <v>7.53</v>
      </c>
      <c r="H571" s="2">
        <v>18.100000000000001</v>
      </c>
      <c r="I571" s="2">
        <v>-19.100000000000001</v>
      </c>
      <c r="J571" s="2">
        <v>3.72</v>
      </c>
      <c r="K571" s="2">
        <v>2.94</v>
      </c>
      <c r="L571" s="2">
        <v>4.75</v>
      </c>
      <c r="M571" s="2">
        <v>1.6</v>
      </c>
      <c r="N571" t="s">
        <v>98</v>
      </c>
      <c r="O571">
        <v>14</v>
      </c>
      <c r="P571" t="s">
        <v>322</v>
      </c>
    </row>
    <row r="572" spans="1:16">
      <c r="A572" s="1">
        <v>45964</v>
      </c>
      <c r="B572">
        <v>5</v>
      </c>
      <c r="C572" t="s">
        <v>94</v>
      </c>
      <c r="D572">
        <v>5</v>
      </c>
      <c r="E572" s="2">
        <v>5.5</v>
      </c>
      <c r="F572" s="2">
        <v>2.33</v>
      </c>
      <c r="G572" s="2">
        <v>6.9</v>
      </c>
      <c r="H572" s="2">
        <v>12.86</v>
      </c>
      <c r="I572" s="2">
        <v>-14.78</v>
      </c>
      <c r="J572" s="2">
        <v>3.79</v>
      </c>
      <c r="K572" s="2">
        <v>2.99</v>
      </c>
      <c r="L572" s="2">
        <v>4.83</v>
      </c>
      <c r="M572" s="2">
        <v>1.59</v>
      </c>
      <c r="N572" t="s">
        <v>98</v>
      </c>
      <c r="O572">
        <v>14</v>
      </c>
      <c r="P572" t="s">
        <v>322</v>
      </c>
    </row>
    <row r="573" spans="1:16">
      <c r="A573" s="1">
        <v>45964</v>
      </c>
      <c r="B573">
        <v>5</v>
      </c>
      <c r="C573" t="s">
        <v>94</v>
      </c>
      <c r="D573">
        <v>5</v>
      </c>
      <c r="E573" s="2">
        <v>6</v>
      </c>
      <c r="F573" s="2">
        <v>15.87</v>
      </c>
      <c r="G573" s="2">
        <v>-8.35</v>
      </c>
      <c r="H573" s="2">
        <v>-40.25</v>
      </c>
      <c r="I573" s="2">
        <v>45.85</v>
      </c>
      <c r="J573" s="2">
        <v>3.89</v>
      </c>
      <c r="K573" s="2">
        <v>3.1</v>
      </c>
      <c r="L573" s="2">
        <v>4.9800000000000004</v>
      </c>
      <c r="M573" s="2">
        <v>1.61</v>
      </c>
      <c r="N573" t="s">
        <v>98</v>
      </c>
      <c r="O573">
        <v>14</v>
      </c>
      <c r="P573" t="s">
        <v>322</v>
      </c>
    </row>
    <row r="574" spans="1:16">
      <c r="A574" s="1">
        <v>45964</v>
      </c>
      <c r="B574">
        <v>5</v>
      </c>
      <c r="C574" t="s">
        <v>94</v>
      </c>
      <c r="D574">
        <v>5</v>
      </c>
      <c r="E574" s="2">
        <v>6.5</v>
      </c>
      <c r="F574" s="2">
        <v>22.96</v>
      </c>
      <c r="G574" s="2">
        <v>-13.38</v>
      </c>
      <c r="H574" s="2">
        <v>-75.209999999999994</v>
      </c>
      <c r="I574" s="2">
        <v>67.56</v>
      </c>
      <c r="J574" s="2">
        <v>3.93</v>
      </c>
      <c r="K574" s="2">
        <v>2.98</v>
      </c>
      <c r="L574" s="2">
        <v>4.93</v>
      </c>
      <c r="M574" s="2">
        <v>1.43</v>
      </c>
      <c r="N574" t="s">
        <v>98</v>
      </c>
      <c r="O574">
        <v>14</v>
      </c>
      <c r="P574" t="s">
        <v>322</v>
      </c>
    </row>
    <row r="575" spans="1:16">
      <c r="A575" s="1">
        <v>45964</v>
      </c>
      <c r="B575">
        <v>5</v>
      </c>
      <c r="C575" t="s">
        <v>94</v>
      </c>
      <c r="D575">
        <v>5</v>
      </c>
      <c r="E575" s="2">
        <v>7</v>
      </c>
      <c r="F575" s="2">
        <v>99.95</v>
      </c>
      <c r="G575" s="2">
        <v>-94.04</v>
      </c>
      <c r="H575" s="2">
        <v>-58.12</v>
      </c>
      <c r="I575" s="2">
        <v>53.39</v>
      </c>
      <c r="J575" s="2">
        <v>3.64</v>
      </c>
      <c r="K575" s="2">
        <v>2.73</v>
      </c>
      <c r="L575" s="2">
        <v>4.55</v>
      </c>
      <c r="M575" s="2">
        <v>1.4</v>
      </c>
      <c r="N575" t="s">
        <v>98</v>
      </c>
      <c r="O575">
        <v>14</v>
      </c>
      <c r="P575" t="s">
        <v>322</v>
      </c>
    </row>
    <row r="576" spans="1:16">
      <c r="A576" s="1">
        <v>45964</v>
      </c>
      <c r="B576">
        <v>5</v>
      </c>
      <c r="C576" t="s">
        <v>94</v>
      </c>
      <c r="D576">
        <v>5</v>
      </c>
      <c r="E576" s="2">
        <v>7.5</v>
      </c>
      <c r="F576" s="2">
        <v>60.13</v>
      </c>
      <c r="G576" s="2">
        <v>-54.77</v>
      </c>
      <c r="H576" s="2">
        <v>-53.38</v>
      </c>
      <c r="I576" s="2">
        <v>48.76</v>
      </c>
      <c r="J576" s="2">
        <v>3.53</v>
      </c>
      <c r="K576" s="2">
        <v>2.63</v>
      </c>
      <c r="L576" s="2">
        <v>4.4000000000000004</v>
      </c>
      <c r="M576" s="2">
        <v>1.36</v>
      </c>
      <c r="N576" t="s">
        <v>98</v>
      </c>
      <c r="O576">
        <v>14</v>
      </c>
      <c r="P576" t="s">
        <v>322</v>
      </c>
    </row>
    <row r="577" spans="1:16">
      <c r="A577" s="1">
        <v>45964</v>
      </c>
      <c r="B577">
        <v>5</v>
      </c>
      <c r="C577" t="s">
        <v>94</v>
      </c>
      <c r="D577">
        <v>5</v>
      </c>
      <c r="E577" s="2">
        <v>8</v>
      </c>
      <c r="F577" s="2">
        <v>39.07</v>
      </c>
      <c r="G577" s="2">
        <v>-30.24</v>
      </c>
      <c r="H577" s="2">
        <v>-40.75</v>
      </c>
      <c r="I577" s="2">
        <v>41.05</v>
      </c>
      <c r="J577" s="2">
        <v>3.29</v>
      </c>
      <c r="K577" s="2">
        <v>2.5299999999999998</v>
      </c>
      <c r="L577" s="2">
        <v>4.1500000000000004</v>
      </c>
      <c r="M577" s="2">
        <v>1.35</v>
      </c>
      <c r="N577" t="s">
        <v>98</v>
      </c>
      <c r="O577">
        <v>14</v>
      </c>
      <c r="P577" t="s">
        <v>322</v>
      </c>
    </row>
    <row r="578" spans="1:16">
      <c r="A578" s="1">
        <v>45964</v>
      </c>
      <c r="B578">
        <v>5</v>
      </c>
      <c r="C578" t="s">
        <v>94</v>
      </c>
      <c r="D578">
        <v>5</v>
      </c>
      <c r="E578" s="2">
        <v>8.5</v>
      </c>
      <c r="F578" s="2">
        <v>1.76</v>
      </c>
      <c r="G578" s="2">
        <v>5.04</v>
      </c>
      <c r="H578" s="2">
        <v>-17.38</v>
      </c>
      <c r="I578" s="2">
        <v>13.37</v>
      </c>
      <c r="J578" s="2">
        <v>3.09</v>
      </c>
      <c r="K578" s="2">
        <v>2.36</v>
      </c>
      <c r="L578" s="2">
        <v>3.89</v>
      </c>
      <c r="M578" s="2">
        <v>1.31</v>
      </c>
      <c r="N578" t="s">
        <v>98</v>
      </c>
      <c r="O578">
        <v>14</v>
      </c>
      <c r="P578" t="s">
        <v>322</v>
      </c>
    </row>
    <row r="579" spans="1:16">
      <c r="A579" s="1">
        <v>45964</v>
      </c>
      <c r="B579">
        <v>5</v>
      </c>
      <c r="C579" t="s">
        <v>94</v>
      </c>
      <c r="D579">
        <v>5</v>
      </c>
      <c r="E579" s="2">
        <v>9</v>
      </c>
      <c r="F579" s="2">
        <v>-43.55</v>
      </c>
      <c r="G579" s="2">
        <v>51.46</v>
      </c>
      <c r="H579" s="2">
        <v>2.2000000000000002</v>
      </c>
      <c r="I579" s="2">
        <v>-3.13</v>
      </c>
      <c r="J579" s="2">
        <v>2.95</v>
      </c>
      <c r="K579" s="2">
        <v>2.2599999999999998</v>
      </c>
      <c r="L579" s="2">
        <v>3.72</v>
      </c>
      <c r="M579" s="2">
        <v>1.25</v>
      </c>
      <c r="N579" t="s">
        <v>98</v>
      </c>
      <c r="O579">
        <v>14</v>
      </c>
      <c r="P579" t="s">
        <v>322</v>
      </c>
    </row>
    <row r="580" spans="1:16">
      <c r="A580" s="1">
        <v>45964</v>
      </c>
      <c r="B580">
        <v>5</v>
      </c>
      <c r="C580" t="s">
        <v>94</v>
      </c>
      <c r="D580">
        <v>5</v>
      </c>
      <c r="E580" s="2">
        <v>9.5</v>
      </c>
      <c r="F580" s="2">
        <v>-111</v>
      </c>
      <c r="G580" s="2">
        <v>115.23</v>
      </c>
      <c r="H580" s="2">
        <v>18.2</v>
      </c>
      <c r="I580" s="2">
        <v>-22.36</v>
      </c>
      <c r="J580" s="2">
        <v>2.85</v>
      </c>
      <c r="K580" s="2">
        <v>2.1800000000000002</v>
      </c>
      <c r="L580" s="2">
        <v>3.59</v>
      </c>
      <c r="M580" s="2">
        <v>1.2</v>
      </c>
      <c r="N580" t="s">
        <v>98</v>
      </c>
      <c r="O580">
        <v>14</v>
      </c>
      <c r="P580" t="s">
        <v>322</v>
      </c>
    </row>
    <row r="581" spans="1:16">
      <c r="A581" s="1">
        <v>45964</v>
      </c>
      <c r="B581">
        <v>5</v>
      </c>
      <c r="C581" t="s">
        <v>94</v>
      </c>
      <c r="D581">
        <v>5</v>
      </c>
      <c r="E581" s="2">
        <v>10</v>
      </c>
      <c r="F581" s="2">
        <v>-201.2</v>
      </c>
      <c r="G581" s="2">
        <v>210.53</v>
      </c>
      <c r="H581" s="2">
        <v>-54.54</v>
      </c>
      <c r="I581" s="2">
        <v>52.96</v>
      </c>
      <c r="J581" s="2">
        <v>2.67</v>
      </c>
      <c r="K581" s="2">
        <v>2.12</v>
      </c>
      <c r="L581" s="2">
        <v>3.41</v>
      </c>
      <c r="M581" s="2">
        <v>1.17</v>
      </c>
      <c r="N581" t="s">
        <v>98</v>
      </c>
      <c r="O581">
        <v>14</v>
      </c>
      <c r="P581" t="s">
        <v>322</v>
      </c>
    </row>
    <row r="582" spans="1:16">
      <c r="A582" s="1">
        <v>45964</v>
      </c>
      <c r="B582">
        <v>5</v>
      </c>
      <c r="C582" t="s">
        <v>94</v>
      </c>
      <c r="D582">
        <v>5</v>
      </c>
      <c r="E582" s="2">
        <v>10.5</v>
      </c>
      <c r="F582" s="2">
        <v>-194.79</v>
      </c>
      <c r="G582" s="2">
        <v>202.25</v>
      </c>
      <c r="H582" s="2">
        <v>-38.89</v>
      </c>
      <c r="I582" s="2">
        <v>36.89</v>
      </c>
      <c r="J582" s="2">
        <v>2.42</v>
      </c>
      <c r="K582" s="2">
        <v>1.93</v>
      </c>
      <c r="L582" s="2">
        <v>3.1</v>
      </c>
      <c r="M582" s="2">
        <v>1.17</v>
      </c>
      <c r="N582" t="s">
        <v>98</v>
      </c>
      <c r="O582">
        <v>14</v>
      </c>
      <c r="P582" t="s">
        <v>322</v>
      </c>
    </row>
    <row r="583" spans="1:16">
      <c r="A583" s="1">
        <v>45964</v>
      </c>
      <c r="B583">
        <v>5</v>
      </c>
      <c r="C583" t="s">
        <v>94</v>
      </c>
      <c r="D583">
        <v>5</v>
      </c>
      <c r="E583" s="2">
        <v>11</v>
      </c>
      <c r="F583" s="2">
        <v>-172.13</v>
      </c>
      <c r="G583" s="2">
        <v>174.31</v>
      </c>
      <c r="H583" s="2">
        <v>9.3699999999999992</v>
      </c>
      <c r="I583" s="2">
        <v>-11.78</v>
      </c>
      <c r="J583" s="2">
        <v>2.31</v>
      </c>
      <c r="K583" s="2">
        <v>1.97</v>
      </c>
      <c r="L583" s="2">
        <v>3.03</v>
      </c>
      <c r="M583" s="2">
        <v>1.2</v>
      </c>
      <c r="N583" t="s">
        <v>98</v>
      </c>
      <c r="O583">
        <v>14</v>
      </c>
      <c r="P583" t="s">
        <v>322</v>
      </c>
    </row>
    <row r="584" spans="1:16">
      <c r="A584" s="1">
        <v>45964</v>
      </c>
      <c r="B584">
        <v>5</v>
      </c>
      <c r="C584" t="s">
        <v>94</v>
      </c>
      <c r="D584">
        <v>5</v>
      </c>
      <c r="E584" s="2">
        <v>11.5</v>
      </c>
      <c r="F584" s="2">
        <v>-78.819999999999993</v>
      </c>
      <c r="G584" s="2">
        <v>82.7</v>
      </c>
      <c r="H584" s="2">
        <v>-4.79</v>
      </c>
      <c r="I584" s="2">
        <v>-17.23</v>
      </c>
      <c r="J584" s="2">
        <v>2.21</v>
      </c>
      <c r="K584" s="2">
        <v>2.11</v>
      </c>
      <c r="L584" s="2">
        <v>3.06</v>
      </c>
      <c r="M584" s="2">
        <v>1.25</v>
      </c>
      <c r="N584" t="s">
        <v>98</v>
      </c>
      <c r="O584">
        <v>14</v>
      </c>
      <c r="P584" t="s">
        <v>322</v>
      </c>
    </row>
    <row r="585" spans="1:16">
      <c r="A585" s="1">
        <v>45964</v>
      </c>
      <c r="B585">
        <v>5</v>
      </c>
      <c r="C585" t="s">
        <v>94</v>
      </c>
      <c r="D585">
        <v>5</v>
      </c>
      <c r="E585" s="2">
        <v>12</v>
      </c>
      <c r="F585" s="2">
        <v>-145.22999999999999</v>
      </c>
      <c r="G585" s="2">
        <v>155.72</v>
      </c>
      <c r="H585" s="2">
        <v>-12.3</v>
      </c>
      <c r="I585" s="2">
        <v>11.39</v>
      </c>
      <c r="J585" s="2">
        <v>2.1</v>
      </c>
      <c r="K585" s="2">
        <v>1.99</v>
      </c>
      <c r="L585" s="2">
        <v>2.89</v>
      </c>
      <c r="M585" s="2">
        <v>1</v>
      </c>
      <c r="N585" t="s">
        <v>98</v>
      </c>
      <c r="O585">
        <v>14</v>
      </c>
      <c r="P585" t="s">
        <v>322</v>
      </c>
    </row>
    <row r="586" spans="1:16">
      <c r="A586" s="1">
        <v>45964</v>
      </c>
      <c r="B586">
        <v>5</v>
      </c>
      <c r="C586" t="s">
        <v>94</v>
      </c>
      <c r="D586">
        <v>5</v>
      </c>
      <c r="E586" s="2">
        <v>12.5</v>
      </c>
      <c r="F586" s="2">
        <v>-134.80000000000001</v>
      </c>
      <c r="G586" s="2">
        <v>138.68</v>
      </c>
      <c r="H586" s="2">
        <v>51.71</v>
      </c>
      <c r="I586" s="2">
        <v>-47.03</v>
      </c>
      <c r="J586" s="2">
        <v>2.06</v>
      </c>
      <c r="K586" s="2">
        <v>1.91</v>
      </c>
      <c r="L586" s="2">
        <v>2.8</v>
      </c>
      <c r="M586" s="2">
        <v>0.98</v>
      </c>
      <c r="N586" t="s">
        <v>98</v>
      </c>
      <c r="O586">
        <v>14</v>
      </c>
      <c r="P586" t="s">
        <v>322</v>
      </c>
    </row>
    <row r="587" spans="1:16">
      <c r="A587" s="1">
        <v>45964</v>
      </c>
      <c r="B587">
        <v>5</v>
      </c>
      <c r="C587" t="s">
        <v>94</v>
      </c>
      <c r="D587">
        <v>5</v>
      </c>
      <c r="E587" s="2">
        <v>13</v>
      </c>
      <c r="F587" s="2">
        <v>-63.17</v>
      </c>
      <c r="G587" s="2">
        <v>70.55</v>
      </c>
      <c r="H587" s="2">
        <v>47.44</v>
      </c>
      <c r="I587" s="2">
        <v>-40.880000000000003</v>
      </c>
      <c r="J587" s="2">
        <v>2</v>
      </c>
      <c r="K587" s="2">
        <v>1.91</v>
      </c>
      <c r="L587" s="2">
        <v>2.76</v>
      </c>
      <c r="M587" s="2">
        <v>1.02</v>
      </c>
      <c r="N587" t="s">
        <v>98</v>
      </c>
      <c r="O587">
        <v>14</v>
      </c>
      <c r="P587" t="s">
        <v>322</v>
      </c>
    </row>
    <row r="588" spans="1:16">
      <c r="A588" s="1">
        <v>45964</v>
      </c>
      <c r="B588">
        <v>5</v>
      </c>
      <c r="C588" t="s">
        <v>94</v>
      </c>
      <c r="D588">
        <v>5</v>
      </c>
      <c r="E588" s="2">
        <v>13.5</v>
      </c>
      <c r="F588" s="2">
        <v>-51.61</v>
      </c>
      <c r="G588" s="2">
        <v>58.33</v>
      </c>
      <c r="H588" s="2">
        <v>61.14</v>
      </c>
      <c r="I588" s="2">
        <v>-60.75</v>
      </c>
      <c r="J588" s="2">
        <v>1.79</v>
      </c>
      <c r="K588" s="2">
        <v>1.9</v>
      </c>
      <c r="L588" s="2">
        <v>2.61</v>
      </c>
      <c r="M588" s="2">
        <v>1.07</v>
      </c>
      <c r="N588" t="s">
        <v>98</v>
      </c>
      <c r="O588">
        <v>14</v>
      </c>
      <c r="P588" t="s">
        <v>322</v>
      </c>
    </row>
    <row r="589" spans="1:16">
      <c r="A589" s="1">
        <v>45964</v>
      </c>
      <c r="B589">
        <v>5</v>
      </c>
      <c r="C589" t="s">
        <v>94</v>
      </c>
      <c r="D589">
        <v>5</v>
      </c>
      <c r="E589" s="2">
        <v>14</v>
      </c>
      <c r="F589" s="2">
        <v>-51.67</v>
      </c>
      <c r="G589" s="2">
        <v>56.23</v>
      </c>
      <c r="H589" s="2">
        <v>81.69</v>
      </c>
      <c r="I589" s="2">
        <v>-62.92</v>
      </c>
      <c r="J589" s="2">
        <v>1.45</v>
      </c>
      <c r="K589" s="2">
        <v>1.88</v>
      </c>
      <c r="L589" s="2">
        <v>2.37</v>
      </c>
      <c r="M589" s="2">
        <v>1.1399999999999999</v>
      </c>
      <c r="N589" t="s">
        <v>98</v>
      </c>
      <c r="O589">
        <v>14</v>
      </c>
      <c r="P589" t="s">
        <v>322</v>
      </c>
    </row>
    <row r="590" spans="1:16">
      <c r="A590" s="1">
        <v>45964</v>
      </c>
      <c r="B590">
        <v>5</v>
      </c>
      <c r="C590" t="s">
        <v>94</v>
      </c>
      <c r="D590">
        <v>5</v>
      </c>
      <c r="E590" s="2">
        <v>14.5</v>
      </c>
      <c r="F590" s="2">
        <v>-42</v>
      </c>
      <c r="G590" s="2">
        <v>47.24</v>
      </c>
      <c r="H590" s="2">
        <v>105.78</v>
      </c>
      <c r="I590" s="2">
        <v>-94.46</v>
      </c>
      <c r="J590" s="2">
        <v>1.08</v>
      </c>
      <c r="K590" s="2">
        <v>1.53</v>
      </c>
      <c r="L590" s="2">
        <v>1.87</v>
      </c>
      <c r="M590" s="2">
        <v>1</v>
      </c>
      <c r="N590" t="s">
        <v>98</v>
      </c>
      <c r="O590">
        <v>14</v>
      </c>
      <c r="P590" t="s">
        <v>322</v>
      </c>
    </row>
    <row r="591" spans="1:16">
      <c r="A591" s="1">
        <v>45964</v>
      </c>
      <c r="B591">
        <v>5</v>
      </c>
      <c r="C591" t="s">
        <v>94</v>
      </c>
      <c r="D591">
        <v>5</v>
      </c>
      <c r="E591" s="2">
        <v>15</v>
      </c>
      <c r="F591" s="2">
        <v>-9.7200000000000006</v>
      </c>
      <c r="G591" s="2">
        <v>16.38</v>
      </c>
      <c r="H591" s="2">
        <v>118.48</v>
      </c>
      <c r="I591" s="2">
        <v>-109.22</v>
      </c>
      <c r="J591" s="2">
        <v>0.75</v>
      </c>
      <c r="K591" s="2">
        <v>1.37</v>
      </c>
      <c r="L591" s="2">
        <v>1.56</v>
      </c>
      <c r="M591" s="2">
        <v>1</v>
      </c>
      <c r="N591" t="s">
        <v>98</v>
      </c>
      <c r="O591">
        <v>14</v>
      </c>
      <c r="P591" t="s">
        <v>322</v>
      </c>
    </row>
    <row r="592" spans="1:16">
      <c r="A592" s="1">
        <v>45964</v>
      </c>
      <c r="B592">
        <v>5</v>
      </c>
      <c r="C592" t="s">
        <v>94</v>
      </c>
      <c r="D592">
        <v>5</v>
      </c>
      <c r="E592" s="2">
        <v>15.5</v>
      </c>
      <c r="F592" s="2">
        <v>-35.36</v>
      </c>
      <c r="G592" s="2">
        <v>36.15</v>
      </c>
      <c r="H592" s="2">
        <v>112.92</v>
      </c>
      <c r="I592" s="2">
        <v>-105.81</v>
      </c>
      <c r="J592" s="2">
        <v>0.53</v>
      </c>
      <c r="K592" s="2">
        <v>1.2</v>
      </c>
      <c r="L592" s="2">
        <v>1.31</v>
      </c>
      <c r="M592" s="2">
        <v>0.98</v>
      </c>
      <c r="N592" t="s">
        <v>98</v>
      </c>
      <c r="O592">
        <v>14</v>
      </c>
      <c r="P592" t="s">
        <v>322</v>
      </c>
    </row>
    <row r="593" spans="1:16">
      <c r="A593" s="1">
        <v>45964</v>
      </c>
      <c r="B593">
        <v>5</v>
      </c>
      <c r="C593" t="s">
        <v>94</v>
      </c>
      <c r="D593">
        <v>5</v>
      </c>
      <c r="E593" s="2">
        <v>16</v>
      </c>
      <c r="F593" s="2">
        <v>-16.13</v>
      </c>
      <c r="G593" s="2">
        <v>21.35</v>
      </c>
      <c r="H593" s="2">
        <v>-34.1</v>
      </c>
      <c r="I593" s="2">
        <v>32.520000000000003</v>
      </c>
      <c r="J593" s="2">
        <v>-0.05</v>
      </c>
      <c r="K593" s="2">
        <v>0.53</v>
      </c>
      <c r="L593" s="2">
        <v>0.53</v>
      </c>
      <c r="M593" s="2">
        <v>0.2</v>
      </c>
      <c r="N593" t="s">
        <v>98</v>
      </c>
      <c r="O593">
        <v>14</v>
      </c>
      <c r="P593" t="s">
        <v>322</v>
      </c>
    </row>
    <row r="594" spans="1:16">
      <c r="A594" s="1">
        <v>45964</v>
      </c>
      <c r="B594">
        <v>5</v>
      </c>
      <c r="C594" t="s">
        <v>94</v>
      </c>
      <c r="D594">
        <v>5</v>
      </c>
      <c r="E594" s="2">
        <v>16.5</v>
      </c>
      <c r="F594" s="2">
        <v>4.22</v>
      </c>
      <c r="G594" s="2">
        <v>1.1200000000000001</v>
      </c>
      <c r="H594" s="2">
        <v>-13.07</v>
      </c>
      <c r="I594" s="2">
        <v>18.149999999999999</v>
      </c>
      <c r="J594" s="2">
        <v>-0.04</v>
      </c>
      <c r="K594" s="2">
        <v>0.5</v>
      </c>
      <c r="L594" s="2">
        <v>0.5</v>
      </c>
      <c r="M594" s="2">
        <v>0.2</v>
      </c>
      <c r="N594" t="s">
        <v>98</v>
      </c>
      <c r="O594">
        <v>14</v>
      </c>
      <c r="P594" t="s">
        <v>322</v>
      </c>
    </row>
    <row r="595" spans="1:16">
      <c r="A595" s="1">
        <v>45964</v>
      </c>
      <c r="B595">
        <v>5</v>
      </c>
      <c r="C595" t="s">
        <v>94</v>
      </c>
      <c r="D595">
        <v>5</v>
      </c>
      <c r="E595" s="2">
        <v>17</v>
      </c>
      <c r="F595" s="2">
        <v>15.96</v>
      </c>
      <c r="G595" s="2">
        <v>-11.39</v>
      </c>
      <c r="H595" s="2">
        <v>7.4</v>
      </c>
      <c r="I595" s="2">
        <v>-0.3</v>
      </c>
      <c r="J595" s="2">
        <v>-0.04</v>
      </c>
      <c r="K595" s="2">
        <v>0.52</v>
      </c>
      <c r="L595" s="2">
        <v>0.52</v>
      </c>
      <c r="M595" s="2">
        <v>0.25</v>
      </c>
      <c r="N595" t="s">
        <v>98</v>
      </c>
      <c r="O595">
        <v>14</v>
      </c>
      <c r="P595" t="s">
        <v>322</v>
      </c>
    </row>
    <row r="596" spans="1:16">
      <c r="A596" s="1">
        <v>45964</v>
      </c>
      <c r="B596">
        <v>5</v>
      </c>
      <c r="C596" t="s">
        <v>94</v>
      </c>
      <c r="D596">
        <v>5</v>
      </c>
      <c r="E596" s="2">
        <v>17.5</v>
      </c>
      <c r="F596" s="2">
        <v>-12.28</v>
      </c>
      <c r="G596" s="2">
        <v>16.899999999999999</v>
      </c>
      <c r="H596" s="2">
        <v>38.770000000000003</v>
      </c>
      <c r="I596" s="2">
        <v>-32.5</v>
      </c>
      <c r="J596" s="2">
        <v>-0.08</v>
      </c>
      <c r="K596" s="2">
        <v>0.69</v>
      </c>
      <c r="L596" s="2">
        <v>0.7</v>
      </c>
      <c r="M596" s="2">
        <v>0.35</v>
      </c>
      <c r="N596" t="s">
        <v>98</v>
      </c>
      <c r="O596">
        <v>14</v>
      </c>
      <c r="P596" t="s">
        <v>322</v>
      </c>
    </row>
    <row r="597" spans="1:16">
      <c r="A597" s="1">
        <v>45964</v>
      </c>
      <c r="B597">
        <v>5</v>
      </c>
      <c r="C597" t="s">
        <v>94</v>
      </c>
      <c r="D597">
        <v>5</v>
      </c>
      <c r="E597" s="2">
        <v>18</v>
      </c>
      <c r="F597" s="2">
        <v>-31.85</v>
      </c>
      <c r="G597" s="2">
        <v>36.31</v>
      </c>
      <c r="H597" s="2">
        <v>53.38</v>
      </c>
      <c r="I597" s="2">
        <v>-46.4</v>
      </c>
      <c r="J597" s="2">
        <v>-0.09</v>
      </c>
      <c r="K597" s="2">
        <v>0.77</v>
      </c>
      <c r="L597" s="2">
        <v>0.78</v>
      </c>
      <c r="M597" s="2">
        <v>0.44</v>
      </c>
      <c r="N597" t="s">
        <v>98</v>
      </c>
      <c r="O597">
        <v>14</v>
      </c>
      <c r="P597" t="s">
        <v>322</v>
      </c>
    </row>
    <row r="598" spans="1:16">
      <c r="A598" s="1">
        <v>45964</v>
      </c>
      <c r="B598">
        <v>5</v>
      </c>
      <c r="C598" t="s">
        <v>94</v>
      </c>
      <c r="D598">
        <v>5</v>
      </c>
      <c r="E598" s="2">
        <v>18.5</v>
      </c>
      <c r="F598" s="2">
        <v>-34.869999999999997</v>
      </c>
      <c r="G598" s="2">
        <v>47.26</v>
      </c>
      <c r="H598" s="2">
        <v>73.45</v>
      </c>
      <c r="I598" s="2">
        <v>-53.48</v>
      </c>
      <c r="J598" s="2">
        <v>-0.12</v>
      </c>
      <c r="K598" s="2">
        <v>0.89</v>
      </c>
      <c r="L598" s="2">
        <v>0.9</v>
      </c>
      <c r="M598" s="2">
        <v>0.48</v>
      </c>
      <c r="N598" t="s">
        <v>98</v>
      </c>
      <c r="O598">
        <v>14</v>
      </c>
      <c r="P598" t="s">
        <v>322</v>
      </c>
    </row>
    <row r="599" spans="1:16">
      <c r="A599" s="1">
        <v>45964</v>
      </c>
      <c r="B599">
        <v>5</v>
      </c>
      <c r="C599" t="s">
        <v>94</v>
      </c>
      <c r="D599">
        <v>5</v>
      </c>
      <c r="E599" s="2">
        <v>19</v>
      </c>
      <c r="F599" s="2">
        <v>-139.55000000000001</v>
      </c>
      <c r="G599" s="2">
        <v>137.26</v>
      </c>
      <c r="H599" s="2">
        <v>-34.08</v>
      </c>
      <c r="I599" s="2">
        <v>49.23</v>
      </c>
      <c r="J599" s="2">
        <v>-0.13</v>
      </c>
      <c r="K599" s="2">
        <v>0.85</v>
      </c>
      <c r="L599" s="2">
        <v>0.86</v>
      </c>
      <c r="M599" s="2">
        <v>0.5</v>
      </c>
      <c r="N599" t="s">
        <v>98</v>
      </c>
      <c r="O599">
        <v>14</v>
      </c>
      <c r="P599" t="s">
        <v>322</v>
      </c>
    </row>
    <row r="600" spans="1:16">
      <c r="A600" s="1">
        <v>45964</v>
      </c>
      <c r="B600">
        <v>5</v>
      </c>
      <c r="C600" t="s">
        <v>94</v>
      </c>
      <c r="D600">
        <v>5</v>
      </c>
      <c r="E600" s="2">
        <v>19.5</v>
      </c>
      <c r="F600" s="2">
        <v>-133.19999999999999</v>
      </c>
      <c r="G600" s="2">
        <v>137.22999999999999</v>
      </c>
      <c r="H600" s="2">
        <v>-51.2</v>
      </c>
      <c r="I600" s="2">
        <v>43.29</v>
      </c>
      <c r="J600" s="2">
        <v>-0.19</v>
      </c>
      <c r="K600" s="2">
        <v>0.76</v>
      </c>
      <c r="L600" s="2">
        <v>0.78</v>
      </c>
      <c r="M600" s="2">
        <v>0.42</v>
      </c>
      <c r="N600" t="s">
        <v>98</v>
      </c>
      <c r="O600">
        <v>14</v>
      </c>
      <c r="P600" t="s">
        <v>322</v>
      </c>
    </row>
    <row r="601" spans="1:16">
      <c r="A601" s="1">
        <v>45964</v>
      </c>
      <c r="B601">
        <v>5</v>
      </c>
      <c r="C601" t="s">
        <v>94</v>
      </c>
      <c r="D601">
        <v>5</v>
      </c>
      <c r="E601" s="2">
        <v>20</v>
      </c>
      <c r="F601" s="2">
        <v>-143.24</v>
      </c>
      <c r="G601" s="2">
        <v>146.4</v>
      </c>
      <c r="H601" s="2">
        <v>-45.12</v>
      </c>
      <c r="I601" s="2">
        <v>37.68</v>
      </c>
      <c r="J601" s="2">
        <v>-0.24</v>
      </c>
      <c r="K601" s="2">
        <v>0.51</v>
      </c>
      <c r="L601" s="2">
        <v>0.56000000000000005</v>
      </c>
      <c r="M601" s="2">
        <v>0.08</v>
      </c>
      <c r="N601" t="s">
        <v>98</v>
      </c>
      <c r="O601">
        <v>14</v>
      </c>
      <c r="P601" t="s">
        <v>322</v>
      </c>
    </row>
    <row r="602" spans="1:16">
      <c r="A602" s="1">
        <v>45964</v>
      </c>
      <c r="B602">
        <v>5</v>
      </c>
      <c r="C602" t="s">
        <v>94</v>
      </c>
      <c r="D602">
        <v>5</v>
      </c>
      <c r="E602" s="2">
        <v>20.5</v>
      </c>
      <c r="F602" s="2">
        <v>-167.92</v>
      </c>
      <c r="G602" s="2">
        <v>172.17</v>
      </c>
      <c r="H602" s="2">
        <v>-31.59</v>
      </c>
      <c r="I602" s="2">
        <v>17.84</v>
      </c>
      <c r="J602" s="2">
        <v>-0.27</v>
      </c>
      <c r="K602" s="2">
        <v>0.41</v>
      </c>
      <c r="L602" s="2">
        <v>0.49</v>
      </c>
      <c r="M602" s="2">
        <v>0.05</v>
      </c>
      <c r="N602" t="s">
        <v>98</v>
      </c>
      <c r="O602">
        <v>14</v>
      </c>
      <c r="P602" t="s">
        <v>322</v>
      </c>
    </row>
    <row r="603" spans="1:16">
      <c r="A603" s="1">
        <v>45964</v>
      </c>
      <c r="B603">
        <v>5</v>
      </c>
      <c r="C603" t="s">
        <v>94</v>
      </c>
      <c r="D603">
        <v>5</v>
      </c>
      <c r="E603" s="2">
        <v>21</v>
      </c>
      <c r="F603" s="2">
        <v>-156.22</v>
      </c>
      <c r="G603" s="2">
        <v>158.15</v>
      </c>
      <c r="H603" s="2">
        <v>-17.940000000000001</v>
      </c>
      <c r="I603" s="2">
        <v>6.94</v>
      </c>
      <c r="J603" s="2">
        <v>-0.28999999999999998</v>
      </c>
      <c r="K603" s="2">
        <v>0.28999999999999998</v>
      </c>
      <c r="L603" s="2">
        <v>0.41</v>
      </c>
      <c r="M603" s="2">
        <v>-0.04</v>
      </c>
      <c r="N603" t="s">
        <v>98</v>
      </c>
      <c r="O603">
        <v>14</v>
      </c>
      <c r="P603" t="s">
        <v>322</v>
      </c>
    </row>
    <row r="604" spans="1:16">
      <c r="A604" s="1">
        <v>45964</v>
      </c>
      <c r="B604">
        <v>5</v>
      </c>
      <c r="C604" t="s">
        <v>94</v>
      </c>
      <c r="D604">
        <v>5</v>
      </c>
      <c r="E604" s="2">
        <v>21.5</v>
      </c>
      <c r="F604" s="2">
        <v>-76.099999999999994</v>
      </c>
      <c r="G604" s="2">
        <v>83.39</v>
      </c>
      <c r="H604" s="2">
        <v>-15.13</v>
      </c>
      <c r="I604" s="2">
        <v>29.9</v>
      </c>
      <c r="J604" s="2">
        <v>-0.3</v>
      </c>
      <c r="K604" s="2">
        <v>0.44</v>
      </c>
      <c r="L604" s="2">
        <v>0.53</v>
      </c>
      <c r="M604" s="2">
        <v>-0.13</v>
      </c>
      <c r="N604" t="s">
        <v>98</v>
      </c>
      <c r="O604">
        <v>14</v>
      </c>
      <c r="P604" t="s">
        <v>322</v>
      </c>
    </row>
    <row r="605" spans="1:16">
      <c r="A605" s="1">
        <v>45964</v>
      </c>
      <c r="B605">
        <v>5</v>
      </c>
      <c r="C605" t="s">
        <v>94</v>
      </c>
      <c r="D605">
        <v>5</v>
      </c>
      <c r="E605" s="2">
        <v>22</v>
      </c>
      <c r="F605" s="2">
        <v>5.76</v>
      </c>
      <c r="G605" s="2">
        <v>-4.7699999999999996</v>
      </c>
      <c r="H605" s="2">
        <v>-102.57</v>
      </c>
      <c r="I605" s="2">
        <v>96.04</v>
      </c>
      <c r="J605" s="2">
        <v>-0.34</v>
      </c>
      <c r="K605" s="2">
        <v>0.49</v>
      </c>
      <c r="L605" s="2">
        <v>0.6</v>
      </c>
      <c r="M605" s="2">
        <v>-0.16</v>
      </c>
      <c r="N605" t="s">
        <v>98</v>
      </c>
      <c r="O605">
        <v>14</v>
      </c>
      <c r="P605" t="s">
        <v>322</v>
      </c>
    </row>
    <row r="606" spans="1:16">
      <c r="A606" s="1">
        <v>45964</v>
      </c>
      <c r="B606">
        <v>5</v>
      </c>
      <c r="C606" t="s">
        <v>94</v>
      </c>
      <c r="D606">
        <v>5</v>
      </c>
      <c r="E606" s="2">
        <v>22.5</v>
      </c>
      <c r="F606" s="2">
        <v>-25.32</v>
      </c>
      <c r="G606" s="2">
        <v>28.81</v>
      </c>
      <c r="H606" s="2">
        <v>-51.43</v>
      </c>
      <c r="I606" s="2">
        <v>37.69</v>
      </c>
      <c r="J606" s="2">
        <v>-0.39</v>
      </c>
      <c r="K606" s="2">
        <v>0.56000000000000005</v>
      </c>
      <c r="L606" s="2">
        <v>0.68</v>
      </c>
      <c r="M606" s="2">
        <v>-7.0000000000000007E-2</v>
      </c>
      <c r="N606" t="s">
        <v>98</v>
      </c>
      <c r="O606">
        <v>14</v>
      </c>
      <c r="P606" t="s">
        <v>322</v>
      </c>
    </row>
    <row r="607" spans="1:16">
      <c r="A607" s="1">
        <v>45964</v>
      </c>
      <c r="B607">
        <v>5</v>
      </c>
      <c r="C607" t="s">
        <v>94</v>
      </c>
      <c r="D607">
        <v>5</v>
      </c>
      <c r="E607" s="2">
        <v>23</v>
      </c>
      <c r="F607" s="2">
        <v>-45.95</v>
      </c>
      <c r="G607" s="2">
        <v>49.19</v>
      </c>
      <c r="H607" s="2">
        <v>-7.85</v>
      </c>
      <c r="I607" s="2">
        <v>6.1</v>
      </c>
      <c r="J607" s="2">
        <v>-0.44</v>
      </c>
      <c r="K607" s="2">
        <v>0.44</v>
      </c>
      <c r="L607" s="2">
        <v>0.62</v>
      </c>
      <c r="M607" s="2">
        <v>-0.06</v>
      </c>
      <c r="N607" t="s">
        <v>98</v>
      </c>
      <c r="O607">
        <v>14</v>
      </c>
      <c r="P607" t="s">
        <v>322</v>
      </c>
    </row>
    <row r="608" spans="1:16">
      <c r="A608" s="1">
        <v>45964</v>
      </c>
      <c r="B608">
        <v>5</v>
      </c>
      <c r="C608" t="s">
        <v>94</v>
      </c>
      <c r="D608">
        <v>5</v>
      </c>
      <c r="E608" s="2">
        <v>23.5</v>
      </c>
      <c r="F608" s="2">
        <v>-64.2</v>
      </c>
      <c r="G608" s="2">
        <v>69.239999999999995</v>
      </c>
      <c r="H608" s="2">
        <v>17.61</v>
      </c>
      <c r="I608" s="2">
        <v>-18.87</v>
      </c>
      <c r="J608" s="2">
        <v>-0.42</v>
      </c>
      <c r="K608" s="2">
        <v>0.26</v>
      </c>
      <c r="L608" s="2">
        <v>0.5</v>
      </c>
      <c r="M608" s="2">
        <v>-0.12</v>
      </c>
      <c r="N608" t="s">
        <v>98</v>
      </c>
      <c r="O608">
        <v>14</v>
      </c>
      <c r="P608" t="s">
        <v>322</v>
      </c>
    </row>
    <row r="609" spans="1:16">
      <c r="A609" s="1">
        <v>45964</v>
      </c>
      <c r="B609">
        <v>5</v>
      </c>
      <c r="C609" t="s">
        <v>94</v>
      </c>
      <c r="D609">
        <v>5</v>
      </c>
      <c r="E609" s="2">
        <v>24</v>
      </c>
      <c r="F609" s="2">
        <v>-88.39</v>
      </c>
      <c r="G609" s="2">
        <v>94.21</v>
      </c>
      <c r="H609" s="2">
        <v>14.17</v>
      </c>
      <c r="I609" s="2">
        <v>-13.46</v>
      </c>
      <c r="J609" s="2">
        <v>-0.39</v>
      </c>
      <c r="K609" s="2">
        <v>0.18</v>
      </c>
      <c r="L609" s="2">
        <v>0.43</v>
      </c>
      <c r="M609" s="2">
        <v>-0.15</v>
      </c>
      <c r="N609" t="s">
        <v>98</v>
      </c>
      <c r="O609">
        <v>14</v>
      </c>
      <c r="P609" t="s">
        <v>322</v>
      </c>
    </row>
    <row r="610" spans="1:16">
      <c r="A610" s="1">
        <v>45964</v>
      </c>
      <c r="B610">
        <v>5</v>
      </c>
      <c r="C610" t="s">
        <v>94</v>
      </c>
      <c r="D610">
        <v>5</v>
      </c>
      <c r="E610" s="2">
        <v>24.5</v>
      </c>
      <c r="F610" s="2">
        <v>-120.06</v>
      </c>
      <c r="G610" s="2">
        <v>88.2</v>
      </c>
      <c r="H610" s="2">
        <v>27.54</v>
      </c>
      <c r="I610" s="2">
        <v>-5.32</v>
      </c>
      <c r="J610" s="2">
        <v>-0.4</v>
      </c>
      <c r="K610" s="2">
        <v>-0.05</v>
      </c>
      <c r="L610" s="2">
        <v>0.41</v>
      </c>
      <c r="M610" s="2">
        <v>-0.17</v>
      </c>
      <c r="N610" t="s">
        <v>98</v>
      </c>
      <c r="O610">
        <v>14</v>
      </c>
      <c r="P610" t="s">
        <v>322</v>
      </c>
    </row>
    <row r="611" spans="1:16">
      <c r="A611" s="1">
        <v>45964</v>
      </c>
      <c r="B611">
        <v>5</v>
      </c>
      <c r="C611" t="s">
        <v>94</v>
      </c>
      <c r="D611">
        <v>5</v>
      </c>
      <c r="E611" s="2">
        <v>25</v>
      </c>
      <c r="F611" s="2">
        <v>-105.6</v>
      </c>
      <c r="G611" s="2">
        <v>145.38</v>
      </c>
      <c r="H611" s="2">
        <v>-26.76</v>
      </c>
      <c r="I611" s="2">
        <v>50.53</v>
      </c>
      <c r="J611" s="2">
        <v>0</v>
      </c>
      <c r="K611" s="2">
        <v>7.0000000000000007E-2</v>
      </c>
      <c r="L611" s="2">
        <v>7.0000000000000007E-2</v>
      </c>
      <c r="M611" s="2">
        <v>-0.57999999999999996</v>
      </c>
      <c r="N611" t="s">
        <v>98</v>
      </c>
      <c r="O611">
        <v>14</v>
      </c>
      <c r="P611" t="s">
        <v>322</v>
      </c>
    </row>
    <row r="612" spans="1:16">
      <c r="A612" s="1">
        <v>45964</v>
      </c>
      <c r="B612">
        <v>5</v>
      </c>
      <c r="C612" t="s">
        <v>94</v>
      </c>
      <c r="D612">
        <v>5</v>
      </c>
      <c r="E612" s="2">
        <v>25.5</v>
      </c>
      <c r="F612" s="2">
        <v>-95.05</v>
      </c>
      <c r="G612" s="2">
        <v>100.04</v>
      </c>
      <c r="H612" s="2">
        <v>-41</v>
      </c>
      <c r="I612" s="2">
        <v>39.229999999999997</v>
      </c>
      <c r="J612" s="2">
        <v>-0.37</v>
      </c>
      <c r="K612" s="2">
        <v>0.04</v>
      </c>
      <c r="L612" s="2">
        <v>0.37</v>
      </c>
      <c r="M612" s="2">
        <v>-0.23</v>
      </c>
      <c r="N612" t="s">
        <v>98</v>
      </c>
      <c r="O612">
        <v>14</v>
      </c>
      <c r="P612" t="s">
        <v>322</v>
      </c>
    </row>
    <row r="613" spans="1:16">
      <c r="A613" s="1">
        <v>45964</v>
      </c>
      <c r="B613">
        <v>5</v>
      </c>
      <c r="C613" t="s">
        <v>94</v>
      </c>
      <c r="D613">
        <v>5</v>
      </c>
      <c r="E613" s="2">
        <v>26</v>
      </c>
      <c r="F613" s="2">
        <v>-61.49</v>
      </c>
      <c r="G613" s="2">
        <v>67.709999999999994</v>
      </c>
      <c r="H613" s="2">
        <v>-27.56</v>
      </c>
      <c r="I613" s="2">
        <v>25.96</v>
      </c>
      <c r="J613" s="2">
        <v>-0.46</v>
      </c>
      <c r="K613" s="2">
        <v>-0.09</v>
      </c>
      <c r="L613" s="2">
        <v>0.47</v>
      </c>
      <c r="M613" s="2">
        <v>-0.01</v>
      </c>
      <c r="N613" t="s">
        <v>98</v>
      </c>
      <c r="O613">
        <v>14</v>
      </c>
      <c r="P613" t="s">
        <v>322</v>
      </c>
    </row>
    <row r="614" spans="1:16">
      <c r="A614" s="1">
        <v>45964</v>
      </c>
      <c r="B614">
        <v>5</v>
      </c>
      <c r="C614" t="s">
        <v>94</v>
      </c>
      <c r="D614">
        <v>5</v>
      </c>
      <c r="E614" s="2">
        <v>26.5</v>
      </c>
      <c r="F614" s="2">
        <v>-21.32</v>
      </c>
      <c r="G614" s="2">
        <v>26.83</v>
      </c>
      <c r="H614" s="2">
        <v>7.06</v>
      </c>
      <c r="I614" s="2">
        <v>-18.32</v>
      </c>
      <c r="J614" s="2">
        <v>-0.53</v>
      </c>
      <c r="K614" s="2">
        <v>-7.0000000000000007E-2</v>
      </c>
      <c r="L614" s="2">
        <v>0.53</v>
      </c>
      <c r="M614" s="2">
        <v>-0.01</v>
      </c>
      <c r="N614" t="s">
        <v>98</v>
      </c>
      <c r="O614">
        <v>14</v>
      </c>
      <c r="P614" t="s">
        <v>322</v>
      </c>
    </row>
    <row r="615" spans="1:16">
      <c r="A615" s="1">
        <v>45964</v>
      </c>
      <c r="B615">
        <v>5</v>
      </c>
      <c r="C615" t="s">
        <v>94</v>
      </c>
      <c r="D615">
        <v>5</v>
      </c>
      <c r="E615" s="2">
        <v>27</v>
      </c>
      <c r="F615" s="2">
        <v>33.04</v>
      </c>
      <c r="G615" s="2">
        <v>-25.98</v>
      </c>
      <c r="H615" s="2">
        <v>56.12</v>
      </c>
      <c r="I615" s="2">
        <v>-59.6</v>
      </c>
      <c r="J615" s="2">
        <v>-0.34</v>
      </c>
      <c r="K615" s="2">
        <v>0</v>
      </c>
      <c r="L615" s="2">
        <v>0.34</v>
      </c>
      <c r="M615" s="2">
        <v>-0.03</v>
      </c>
      <c r="N615" t="s">
        <v>98</v>
      </c>
      <c r="O615">
        <v>14</v>
      </c>
      <c r="P615" t="s">
        <v>322</v>
      </c>
    </row>
    <row r="616" spans="1:16">
      <c r="A616" s="1">
        <v>45964</v>
      </c>
      <c r="B616">
        <v>5</v>
      </c>
      <c r="C616" t="s">
        <v>99</v>
      </c>
      <c r="D616">
        <v>5</v>
      </c>
      <c r="E616" s="2">
        <v>0.5</v>
      </c>
      <c r="F616" s="2">
        <v>-398.05</v>
      </c>
      <c r="G616" s="2">
        <v>398.58</v>
      </c>
      <c r="H616" s="2">
        <v>-132.72999999999999</v>
      </c>
      <c r="I616" s="2">
        <v>133.54</v>
      </c>
      <c r="J616" s="2">
        <v>0.77</v>
      </c>
      <c r="K616" s="2">
        <v>-6.27</v>
      </c>
      <c r="L616" s="2">
        <v>6.32</v>
      </c>
      <c r="M616" s="2">
        <v>2.69</v>
      </c>
      <c r="N616" t="s">
        <v>98</v>
      </c>
      <c r="O616">
        <v>24</v>
      </c>
      <c r="P616" t="s">
        <v>322</v>
      </c>
    </row>
    <row r="617" spans="1:16">
      <c r="A617" s="1">
        <v>45964</v>
      </c>
      <c r="B617">
        <v>5</v>
      </c>
      <c r="C617" t="s">
        <v>99</v>
      </c>
      <c r="D617">
        <v>5</v>
      </c>
      <c r="E617" s="2">
        <v>1</v>
      </c>
      <c r="F617" s="2">
        <v>-393.69</v>
      </c>
      <c r="G617" s="2">
        <v>401.86</v>
      </c>
      <c r="H617" s="2">
        <v>-130.28</v>
      </c>
      <c r="I617" s="2">
        <v>134</v>
      </c>
      <c r="J617" s="2">
        <v>1.23</v>
      </c>
      <c r="K617" s="2">
        <v>-5.26</v>
      </c>
      <c r="L617" s="2">
        <v>5.41</v>
      </c>
      <c r="M617" s="2">
        <v>2.83</v>
      </c>
      <c r="N617" t="s">
        <v>98</v>
      </c>
      <c r="O617">
        <v>24</v>
      </c>
      <c r="P617" t="s">
        <v>322</v>
      </c>
    </row>
    <row r="618" spans="1:16">
      <c r="A618" s="1">
        <v>45964</v>
      </c>
      <c r="B618">
        <v>5</v>
      </c>
      <c r="C618" t="s">
        <v>99</v>
      </c>
      <c r="D618">
        <v>5</v>
      </c>
      <c r="E618" s="2">
        <v>1.5</v>
      </c>
      <c r="F618" s="2">
        <v>-374.43</v>
      </c>
      <c r="G618" s="2">
        <v>381.66</v>
      </c>
      <c r="H618" s="2">
        <v>-139.59</v>
      </c>
      <c r="I618" s="2">
        <v>144.49</v>
      </c>
      <c r="J618" s="2">
        <v>1.78</v>
      </c>
      <c r="K618" s="2">
        <v>-4.26</v>
      </c>
      <c r="L618" s="2">
        <v>4.6100000000000003</v>
      </c>
      <c r="M618" s="2">
        <v>2.69</v>
      </c>
      <c r="N618" t="s">
        <v>98</v>
      </c>
      <c r="O618">
        <v>24</v>
      </c>
      <c r="P618" t="s">
        <v>322</v>
      </c>
    </row>
    <row r="619" spans="1:16">
      <c r="A619" s="1">
        <v>45964</v>
      </c>
      <c r="B619">
        <v>5</v>
      </c>
      <c r="C619" t="s">
        <v>99</v>
      </c>
      <c r="D619">
        <v>5</v>
      </c>
      <c r="E619" s="2">
        <v>2</v>
      </c>
      <c r="F619" s="2">
        <v>-332.09</v>
      </c>
      <c r="G619" s="2">
        <v>342.63</v>
      </c>
      <c r="H619" s="2">
        <v>-210.69</v>
      </c>
      <c r="I619" s="2">
        <v>204.73</v>
      </c>
      <c r="J619" s="2">
        <v>1.92</v>
      </c>
      <c r="K619" s="2">
        <v>-3.81</v>
      </c>
      <c r="L619" s="2">
        <v>4.2699999999999996</v>
      </c>
      <c r="M619" s="2">
        <v>2.48</v>
      </c>
      <c r="N619" t="s">
        <v>98</v>
      </c>
      <c r="O619">
        <v>24</v>
      </c>
      <c r="P619" t="s">
        <v>322</v>
      </c>
    </row>
    <row r="620" spans="1:16">
      <c r="A620" s="1">
        <v>45964</v>
      </c>
      <c r="B620">
        <v>5</v>
      </c>
      <c r="C620" t="s">
        <v>99</v>
      </c>
      <c r="D620">
        <v>5</v>
      </c>
      <c r="E620" s="2">
        <v>2.5</v>
      </c>
      <c r="F620" s="2">
        <v>-304.93</v>
      </c>
      <c r="G620" s="2">
        <v>314.17</v>
      </c>
      <c r="H620" s="2">
        <v>-188.77</v>
      </c>
      <c r="I620" s="2">
        <v>194.19</v>
      </c>
      <c r="J620" s="2">
        <v>1.96</v>
      </c>
      <c r="K620" s="2">
        <v>-3.67</v>
      </c>
      <c r="L620" s="2">
        <v>4.16</v>
      </c>
      <c r="M620" s="2">
        <v>2.35</v>
      </c>
      <c r="N620" t="s">
        <v>98</v>
      </c>
      <c r="O620">
        <v>24</v>
      </c>
      <c r="P620" t="s">
        <v>322</v>
      </c>
    </row>
    <row r="621" spans="1:16">
      <c r="A621" s="1">
        <v>45964</v>
      </c>
      <c r="B621">
        <v>5</v>
      </c>
      <c r="C621" t="s">
        <v>99</v>
      </c>
      <c r="D621">
        <v>5</v>
      </c>
      <c r="E621" s="2">
        <v>3</v>
      </c>
      <c r="F621" s="2">
        <v>-267.47000000000003</v>
      </c>
      <c r="G621" s="2">
        <v>276.56</v>
      </c>
      <c r="H621" s="2">
        <v>-133.81</v>
      </c>
      <c r="I621" s="2">
        <v>131.47</v>
      </c>
      <c r="J621" s="2">
        <v>2</v>
      </c>
      <c r="K621" s="2">
        <v>-3.71</v>
      </c>
      <c r="L621" s="2">
        <v>4.21</v>
      </c>
      <c r="M621" s="2">
        <v>2.35</v>
      </c>
      <c r="N621" t="s">
        <v>98</v>
      </c>
      <c r="O621">
        <v>24</v>
      </c>
      <c r="P621" t="s">
        <v>322</v>
      </c>
    </row>
    <row r="622" spans="1:16">
      <c r="A622" s="1">
        <v>45964</v>
      </c>
      <c r="B622">
        <v>5</v>
      </c>
      <c r="C622" t="s">
        <v>99</v>
      </c>
      <c r="D622">
        <v>5</v>
      </c>
      <c r="E622" s="2">
        <v>3.5</v>
      </c>
      <c r="F622" s="2">
        <v>-206.27</v>
      </c>
      <c r="G622" s="2">
        <v>214.98</v>
      </c>
      <c r="H622" s="2">
        <v>-79.98</v>
      </c>
      <c r="I622" s="2">
        <v>70.319999999999993</v>
      </c>
      <c r="J622" s="2">
        <v>2.0699999999999998</v>
      </c>
      <c r="K622" s="2">
        <v>-3.58</v>
      </c>
      <c r="L622" s="2">
        <v>4.13</v>
      </c>
      <c r="M622" s="2">
        <v>2.17</v>
      </c>
      <c r="N622" t="s">
        <v>98</v>
      </c>
      <c r="O622">
        <v>24</v>
      </c>
      <c r="P622" t="s">
        <v>322</v>
      </c>
    </row>
    <row r="623" spans="1:16">
      <c r="A623" s="1">
        <v>45964</v>
      </c>
      <c r="B623">
        <v>5</v>
      </c>
      <c r="C623" t="s">
        <v>99</v>
      </c>
      <c r="D623">
        <v>5</v>
      </c>
      <c r="E623" s="2">
        <v>4</v>
      </c>
      <c r="F623" s="2">
        <v>-149.88</v>
      </c>
      <c r="G623" s="2">
        <v>160.24</v>
      </c>
      <c r="H623" s="2">
        <v>-69.8</v>
      </c>
      <c r="I623" s="2">
        <v>59.92</v>
      </c>
      <c r="J623" s="2">
        <v>2.1800000000000002</v>
      </c>
      <c r="K623" s="2">
        <v>-3.29</v>
      </c>
      <c r="L623" s="2">
        <v>3.95</v>
      </c>
      <c r="M623" s="2">
        <v>1.97</v>
      </c>
      <c r="N623" t="s">
        <v>98</v>
      </c>
      <c r="O623">
        <v>24</v>
      </c>
      <c r="P623" t="s">
        <v>322</v>
      </c>
    </row>
    <row r="624" spans="1:16">
      <c r="A624" s="1">
        <v>45964</v>
      </c>
      <c r="B624">
        <v>5</v>
      </c>
      <c r="C624" t="s">
        <v>99</v>
      </c>
      <c r="D624">
        <v>5</v>
      </c>
      <c r="E624" s="2">
        <v>4.5</v>
      </c>
      <c r="F624" s="2">
        <v>-102.02</v>
      </c>
      <c r="G624" s="2">
        <v>109.67</v>
      </c>
      <c r="H624" s="2">
        <v>-115.5</v>
      </c>
      <c r="I624" s="2">
        <v>115.19</v>
      </c>
      <c r="J624" s="2">
        <v>2.2999999999999998</v>
      </c>
      <c r="K624" s="2">
        <v>-3.24</v>
      </c>
      <c r="L624" s="2">
        <v>3.97</v>
      </c>
      <c r="M624" s="2">
        <v>1.89</v>
      </c>
      <c r="N624" t="s">
        <v>98</v>
      </c>
      <c r="O624">
        <v>24</v>
      </c>
      <c r="P624" t="s">
        <v>322</v>
      </c>
    </row>
    <row r="625" spans="1:16">
      <c r="A625" s="1">
        <v>45964</v>
      </c>
      <c r="B625">
        <v>5</v>
      </c>
      <c r="C625" t="s">
        <v>99</v>
      </c>
      <c r="D625">
        <v>5</v>
      </c>
      <c r="E625" s="2">
        <v>5</v>
      </c>
      <c r="F625" s="2">
        <v>-27.89</v>
      </c>
      <c r="G625" s="2">
        <v>35.770000000000003</v>
      </c>
      <c r="H625" s="2">
        <v>-146.62</v>
      </c>
      <c r="I625" s="2">
        <v>146.08000000000001</v>
      </c>
      <c r="J625" s="2">
        <v>2.4</v>
      </c>
      <c r="K625" s="2">
        <v>-3.2</v>
      </c>
      <c r="L625" s="2">
        <v>4</v>
      </c>
      <c r="M625" s="2">
        <v>1.82</v>
      </c>
      <c r="N625" t="s">
        <v>98</v>
      </c>
      <c r="O625">
        <v>24</v>
      </c>
      <c r="P625" t="s">
        <v>322</v>
      </c>
    </row>
    <row r="626" spans="1:16">
      <c r="A626" s="1">
        <v>45964</v>
      </c>
      <c r="B626">
        <v>5</v>
      </c>
      <c r="C626" t="s">
        <v>99</v>
      </c>
      <c r="D626">
        <v>5</v>
      </c>
      <c r="E626" s="2">
        <v>5.5</v>
      </c>
      <c r="F626" s="2">
        <v>38.19</v>
      </c>
      <c r="G626" s="2">
        <v>-28.4</v>
      </c>
      <c r="H626" s="2">
        <v>-157.13999999999999</v>
      </c>
      <c r="I626" s="2">
        <v>144.16999999999999</v>
      </c>
      <c r="J626" s="2">
        <v>2.58</v>
      </c>
      <c r="K626" s="2">
        <v>-3.06</v>
      </c>
      <c r="L626" s="2">
        <v>4</v>
      </c>
      <c r="M626" s="2">
        <v>1.67</v>
      </c>
      <c r="N626" t="s">
        <v>98</v>
      </c>
      <c r="O626">
        <v>24</v>
      </c>
      <c r="P626" t="s">
        <v>322</v>
      </c>
    </row>
    <row r="627" spans="1:16">
      <c r="A627" s="1">
        <v>45964</v>
      </c>
      <c r="B627">
        <v>5</v>
      </c>
      <c r="C627" t="s">
        <v>99</v>
      </c>
      <c r="D627">
        <v>5</v>
      </c>
      <c r="E627" s="2">
        <v>6</v>
      </c>
      <c r="F627" s="2">
        <v>72.540000000000006</v>
      </c>
      <c r="G627" s="2">
        <v>-64.19</v>
      </c>
      <c r="H627" s="2">
        <v>-189.39</v>
      </c>
      <c r="I627" s="2">
        <v>178.13</v>
      </c>
      <c r="J627" s="2">
        <v>2.73</v>
      </c>
      <c r="K627" s="2">
        <v>-3.13</v>
      </c>
      <c r="L627" s="2">
        <v>4.16</v>
      </c>
      <c r="M627" s="2">
        <v>1.65</v>
      </c>
      <c r="N627" t="s">
        <v>98</v>
      </c>
      <c r="O627">
        <v>24</v>
      </c>
      <c r="P627" t="s">
        <v>322</v>
      </c>
    </row>
    <row r="628" spans="1:16">
      <c r="A628" s="1">
        <v>45964</v>
      </c>
      <c r="B628">
        <v>5</v>
      </c>
      <c r="C628" t="s">
        <v>99</v>
      </c>
      <c r="D628">
        <v>5</v>
      </c>
      <c r="E628" s="2">
        <v>6.5</v>
      </c>
      <c r="F628" s="2">
        <v>175.58</v>
      </c>
      <c r="G628" s="2">
        <v>-166.36</v>
      </c>
      <c r="H628" s="2">
        <v>-181.8</v>
      </c>
      <c r="I628" s="2">
        <v>171.47</v>
      </c>
      <c r="J628" s="2">
        <v>2.79</v>
      </c>
      <c r="K628" s="2">
        <v>-3.04</v>
      </c>
      <c r="L628" s="2">
        <v>4.13</v>
      </c>
      <c r="M628" s="2">
        <v>1.55</v>
      </c>
      <c r="N628" t="s">
        <v>98</v>
      </c>
      <c r="O628">
        <v>24</v>
      </c>
      <c r="P628" t="s">
        <v>322</v>
      </c>
    </row>
    <row r="629" spans="1:16">
      <c r="A629" s="1">
        <v>45964</v>
      </c>
      <c r="B629">
        <v>5</v>
      </c>
      <c r="C629" t="s">
        <v>99</v>
      </c>
      <c r="D629">
        <v>5</v>
      </c>
      <c r="E629" s="2">
        <v>7</v>
      </c>
      <c r="F629" s="2">
        <v>279.35000000000002</v>
      </c>
      <c r="G629" s="2">
        <v>-271.73</v>
      </c>
      <c r="H629" s="2">
        <v>-182.71</v>
      </c>
      <c r="I629" s="2">
        <v>172.32</v>
      </c>
      <c r="J629" s="2">
        <v>2.85</v>
      </c>
      <c r="K629" s="2">
        <v>-2.89</v>
      </c>
      <c r="L629" s="2">
        <v>4.0599999999999996</v>
      </c>
      <c r="M629" s="2">
        <v>1.44</v>
      </c>
      <c r="N629" t="s">
        <v>98</v>
      </c>
      <c r="O629">
        <v>24</v>
      </c>
      <c r="P629" t="s">
        <v>322</v>
      </c>
    </row>
    <row r="630" spans="1:16">
      <c r="A630" s="1">
        <v>45964</v>
      </c>
      <c r="B630">
        <v>5</v>
      </c>
      <c r="C630" t="s">
        <v>99</v>
      </c>
      <c r="D630">
        <v>5</v>
      </c>
      <c r="E630" s="2">
        <v>7.5</v>
      </c>
      <c r="F630" s="2">
        <v>303.85000000000002</v>
      </c>
      <c r="G630" s="2">
        <v>-287.70999999999998</v>
      </c>
      <c r="H630" s="2">
        <v>-165.7</v>
      </c>
      <c r="I630" s="2">
        <v>162.06</v>
      </c>
      <c r="J630" s="2">
        <v>2.88</v>
      </c>
      <c r="K630" s="2">
        <v>-2.65</v>
      </c>
      <c r="L630" s="2">
        <v>3.91</v>
      </c>
      <c r="M630" s="2">
        <v>1.32</v>
      </c>
      <c r="N630" t="s">
        <v>98</v>
      </c>
      <c r="O630">
        <v>24</v>
      </c>
      <c r="P630" t="s">
        <v>322</v>
      </c>
    </row>
    <row r="631" spans="1:16">
      <c r="A631" s="1">
        <v>45964</v>
      </c>
      <c r="B631">
        <v>5</v>
      </c>
      <c r="C631" t="s">
        <v>99</v>
      </c>
      <c r="D631">
        <v>5</v>
      </c>
      <c r="E631" s="2">
        <v>8</v>
      </c>
      <c r="F631" s="2">
        <v>268.5</v>
      </c>
      <c r="G631" s="2">
        <v>-265.06</v>
      </c>
      <c r="H631" s="2">
        <v>-72.63</v>
      </c>
      <c r="I631" s="2">
        <v>77.25</v>
      </c>
      <c r="J631" s="2">
        <v>2.98</v>
      </c>
      <c r="K631" s="2">
        <v>-2.64</v>
      </c>
      <c r="L631" s="2">
        <v>3.98</v>
      </c>
      <c r="M631" s="2">
        <v>1.22</v>
      </c>
      <c r="N631" t="s">
        <v>98</v>
      </c>
      <c r="O631">
        <v>24</v>
      </c>
      <c r="P631" t="s">
        <v>322</v>
      </c>
    </row>
    <row r="632" spans="1:16">
      <c r="A632" s="1">
        <v>45964</v>
      </c>
      <c r="B632">
        <v>5</v>
      </c>
      <c r="C632" t="s">
        <v>99</v>
      </c>
      <c r="D632">
        <v>5</v>
      </c>
      <c r="E632" s="2">
        <v>8.5</v>
      </c>
      <c r="F632" s="2">
        <v>333.96</v>
      </c>
      <c r="G632" s="2">
        <v>-321.98</v>
      </c>
      <c r="H632" s="2">
        <v>-13.6</v>
      </c>
      <c r="I632" s="2">
        <v>16.309999999999999</v>
      </c>
      <c r="J632" s="2">
        <v>3.03</v>
      </c>
      <c r="K632" s="2">
        <v>-2.74</v>
      </c>
      <c r="L632" s="2">
        <v>4.08</v>
      </c>
      <c r="M632" s="2">
        <v>1.1599999999999999</v>
      </c>
      <c r="N632" t="s">
        <v>98</v>
      </c>
      <c r="O632">
        <v>24</v>
      </c>
      <c r="P632" t="s">
        <v>322</v>
      </c>
    </row>
    <row r="633" spans="1:16">
      <c r="A633" s="1">
        <v>45964</v>
      </c>
      <c r="B633">
        <v>5</v>
      </c>
      <c r="C633" t="s">
        <v>99</v>
      </c>
      <c r="D633">
        <v>5</v>
      </c>
      <c r="E633" s="2">
        <v>9</v>
      </c>
      <c r="F633" s="2">
        <v>317.42</v>
      </c>
      <c r="G633" s="2">
        <v>-308.79000000000002</v>
      </c>
      <c r="H633" s="2">
        <v>46.44</v>
      </c>
      <c r="I633" s="2">
        <v>-42.92</v>
      </c>
      <c r="J633" s="2">
        <v>2.96</v>
      </c>
      <c r="K633" s="2">
        <v>-2.99</v>
      </c>
      <c r="L633" s="2">
        <v>4.21</v>
      </c>
      <c r="M633" s="2">
        <v>1.26</v>
      </c>
      <c r="N633" t="s">
        <v>98</v>
      </c>
      <c r="O633">
        <v>24</v>
      </c>
      <c r="P633" t="s">
        <v>322</v>
      </c>
    </row>
    <row r="634" spans="1:16">
      <c r="A634" s="1">
        <v>45964</v>
      </c>
      <c r="B634">
        <v>5</v>
      </c>
      <c r="C634" t="s">
        <v>99</v>
      </c>
      <c r="D634">
        <v>5</v>
      </c>
      <c r="E634" s="2">
        <v>9.5</v>
      </c>
      <c r="F634" s="2">
        <v>204.32</v>
      </c>
      <c r="G634" s="2">
        <v>-197.45</v>
      </c>
      <c r="H634" s="2">
        <v>108.86</v>
      </c>
      <c r="I634" s="2">
        <v>-116.66</v>
      </c>
      <c r="J634" s="2">
        <v>3</v>
      </c>
      <c r="K634" s="2">
        <v>-3.27</v>
      </c>
      <c r="L634" s="2">
        <v>4.4400000000000004</v>
      </c>
      <c r="M634" s="2">
        <v>1.29</v>
      </c>
      <c r="N634" t="s">
        <v>98</v>
      </c>
      <c r="O634">
        <v>24</v>
      </c>
      <c r="P634" t="s">
        <v>322</v>
      </c>
    </row>
    <row r="635" spans="1:16">
      <c r="A635" s="1">
        <v>45964</v>
      </c>
      <c r="B635">
        <v>5</v>
      </c>
      <c r="C635" t="s">
        <v>99</v>
      </c>
      <c r="D635">
        <v>5</v>
      </c>
      <c r="E635" s="2">
        <v>10</v>
      </c>
      <c r="F635" s="2">
        <v>60.88</v>
      </c>
      <c r="G635" s="2">
        <v>-43.7</v>
      </c>
      <c r="H635" s="2">
        <v>151.59</v>
      </c>
      <c r="I635" s="2">
        <v>-150.25</v>
      </c>
      <c r="J635" s="2">
        <v>3.1</v>
      </c>
      <c r="K635" s="2">
        <v>-3.4</v>
      </c>
      <c r="L635" s="2">
        <v>4.5999999999999996</v>
      </c>
      <c r="M635" s="2">
        <v>1.08</v>
      </c>
      <c r="N635" t="s">
        <v>98</v>
      </c>
      <c r="O635">
        <v>24</v>
      </c>
      <c r="P635" t="s">
        <v>322</v>
      </c>
    </row>
    <row r="636" spans="1:16">
      <c r="A636" s="1">
        <v>45964</v>
      </c>
      <c r="B636">
        <v>5</v>
      </c>
      <c r="C636" t="s">
        <v>99</v>
      </c>
      <c r="D636">
        <v>5</v>
      </c>
      <c r="E636" s="2">
        <v>10.5</v>
      </c>
      <c r="F636" s="2">
        <v>77.790000000000006</v>
      </c>
      <c r="G636" s="2">
        <v>-70.88</v>
      </c>
      <c r="H636" s="2">
        <v>78.040000000000006</v>
      </c>
      <c r="I636" s="2">
        <v>-79.3</v>
      </c>
      <c r="J636" s="2">
        <v>3.05</v>
      </c>
      <c r="K636" s="2">
        <v>-3.52</v>
      </c>
      <c r="L636" s="2">
        <v>4.6500000000000004</v>
      </c>
      <c r="M636" s="2">
        <v>1.1499999999999999</v>
      </c>
      <c r="N636" t="s">
        <v>98</v>
      </c>
      <c r="O636">
        <v>24</v>
      </c>
      <c r="P636" t="s">
        <v>322</v>
      </c>
    </row>
    <row r="637" spans="1:16">
      <c r="A637" s="1">
        <v>45964</v>
      </c>
      <c r="B637">
        <v>5</v>
      </c>
      <c r="C637" t="s">
        <v>99</v>
      </c>
      <c r="D637">
        <v>5</v>
      </c>
      <c r="E637" s="2">
        <v>11</v>
      </c>
      <c r="F637" s="2">
        <v>6.47</v>
      </c>
      <c r="G637" s="2">
        <v>2.7</v>
      </c>
      <c r="H637" s="2">
        <v>33.43</v>
      </c>
      <c r="I637" s="2">
        <v>-47.03</v>
      </c>
      <c r="J637" s="2">
        <v>3</v>
      </c>
      <c r="K637" s="2">
        <v>-3.51</v>
      </c>
      <c r="L637" s="2">
        <v>4.62</v>
      </c>
      <c r="M637" s="2">
        <v>1.1499999999999999</v>
      </c>
      <c r="N637" t="s">
        <v>98</v>
      </c>
      <c r="O637">
        <v>24</v>
      </c>
      <c r="P637" t="s">
        <v>322</v>
      </c>
    </row>
    <row r="638" spans="1:16">
      <c r="A638" s="1">
        <v>45964</v>
      </c>
      <c r="B638">
        <v>5</v>
      </c>
      <c r="C638" t="s">
        <v>99</v>
      </c>
      <c r="D638">
        <v>5</v>
      </c>
      <c r="E638" s="2">
        <v>11.5</v>
      </c>
      <c r="F638" s="2">
        <v>-72.099999999999994</v>
      </c>
      <c r="G638" s="2">
        <v>75.349999999999994</v>
      </c>
      <c r="H638" s="2">
        <v>11.41</v>
      </c>
      <c r="I638" s="2">
        <v>-18.670000000000002</v>
      </c>
      <c r="J638" s="2">
        <v>2.83</v>
      </c>
      <c r="K638" s="2">
        <v>-3.5</v>
      </c>
      <c r="L638" s="2">
        <v>4.5</v>
      </c>
      <c r="M638" s="2">
        <v>1.18</v>
      </c>
      <c r="N638" t="s">
        <v>98</v>
      </c>
      <c r="O638">
        <v>24</v>
      </c>
      <c r="P638" t="s">
        <v>322</v>
      </c>
    </row>
    <row r="639" spans="1:16">
      <c r="A639" s="1">
        <v>45964</v>
      </c>
      <c r="B639">
        <v>5</v>
      </c>
      <c r="C639" t="s">
        <v>99</v>
      </c>
      <c r="D639">
        <v>5</v>
      </c>
      <c r="E639" s="2">
        <v>12</v>
      </c>
      <c r="F639" s="2">
        <v>-85.1</v>
      </c>
      <c r="G639" s="2">
        <v>97.41</v>
      </c>
      <c r="H639" s="2">
        <v>19.78</v>
      </c>
      <c r="I639" s="2">
        <v>-28.11</v>
      </c>
      <c r="J639" s="2">
        <v>2.56</v>
      </c>
      <c r="K639" s="2">
        <v>-3.27</v>
      </c>
      <c r="L639" s="2">
        <v>4.1500000000000004</v>
      </c>
      <c r="M639" s="2">
        <v>1.25</v>
      </c>
      <c r="N639" t="s">
        <v>98</v>
      </c>
      <c r="O639">
        <v>24</v>
      </c>
      <c r="P639" t="s">
        <v>322</v>
      </c>
    </row>
    <row r="640" spans="1:16">
      <c r="A640" s="1">
        <v>45964</v>
      </c>
      <c r="B640">
        <v>5</v>
      </c>
      <c r="C640" t="s">
        <v>99</v>
      </c>
      <c r="D640">
        <v>5</v>
      </c>
      <c r="E640" s="2">
        <v>12.5</v>
      </c>
      <c r="F640" s="2">
        <v>-44.09</v>
      </c>
      <c r="G640" s="2">
        <v>52.97</v>
      </c>
      <c r="H640" s="2">
        <v>9.07</v>
      </c>
      <c r="I640" s="2">
        <v>-21.46</v>
      </c>
      <c r="J640" s="2">
        <v>2.25</v>
      </c>
      <c r="K640" s="2">
        <v>-3.07</v>
      </c>
      <c r="L640" s="2">
        <v>3.81</v>
      </c>
      <c r="M640" s="2">
        <v>1.0900000000000001</v>
      </c>
      <c r="N640" t="s">
        <v>98</v>
      </c>
      <c r="O640">
        <v>24</v>
      </c>
      <c r="P640" t="s">
        <v>322</v>
      </c>
    </row>
    <row r="641" spans="1:16">
      <c r="A641" s="1">
        <v>45964</v>
      </c>
      <c r="B641">
        <v>5</v>
      </c>
      <c r="C641" t="s">
        <v>99</v>
      </c>
      <c r="D641">
        <v>5</v>
      </c>
      <c r="E641" s="2">
        <v>13</v>
      </c>
      <c r="F641" s="2">
        <v>-98.24</v>
      </c>
      <c r="G641" s="2">
        <v>105.04</v>
      </c>
      <c r="H641" s="2">
        <v>-41.66</v>
      </c>
      <c r="I641" s="2">
        <v>37.11</v>
      </c>
      <c r="J641" s="2">
        <v>2.08</v>
      </c>
      <c r="K641" s="2">
        <v>-3.03</v>
      </c>
      <c r="L641" s="2">
        <v>3.67</v>
      </c>
      <c r="M641" s="2">
        <v>1.27</v>
      </c>
      <c r="N641" t="s">
        <v>98</v>
      </c>
      <c r="O641">
        <v>24</v>
      </c>
      <c r="P641" t="s">
        <v>322</v>
      </c>
    </row>
    <row r="642" spans="1:16">
      <c r="A642" s="1">
        <v>45964</v>
      </c>
      <c r="B642">
        <v>5</v>
      </c>
      <c r="C642" t="s">
        <v>99</v>
      </c>
      <c r="D642">
        <v>5</v>
      </c>
      <c r="E642" s="2">
        <v>13.5</v>
      </c>
      <c r="F642" s="2">
        <v>-262.81</v>
      </c>
      <c r="G642" s="2">
        <v>273.39999999999998</v>
      </c>
      <c r="H642" s="2">
        <v>-169.74</v>
      </c>
      <c r="I642" s="2">
        <v>178.57</v>
      </c>
      <c r="J642" s="2">
        <v>2.02</v>
      </c>
      <c r="K642" s="2">
        <v>-3.06</v>
      </c>
      <c r="L642" s="2">
        <v>3.67</v>
      </c>
      <c r="M642" s="2">
        <v>1.4</v>
      </c>
      <c r="N642" t="s">
        <v>98</v>
      </c>
      <c r="O642">
        <v>24</v>
      </c>
      <c r="P642" t="s">
        <v>322</v>
      </c>
    </row>
    <row r="643" spans="1:16">
      <c r="A643" s="1">
        <v>45964</v>
      </c>
      <c r="B643">
        <v>5</v>
      </c>
      <c r="C643" t="s">
        <v>99</v>
      </c>
      <c r="D643">
        <v>5</v>
      </c>
      <c r="E643" s="2">
        <v>14</v>
      </c>
      <c r="F643" s="2">
        <v>-294.77</v>
      </c>
      <c r="G643" s="2">
        <v>304.45999999999998</v>
      </c>
      <c r="H643" s="2">
        <v>-296.10000000000002</v>
      </c>
      <c r="I643" s="2">
        <v>297.45</v>
      </c>
      <c r="J643" s="2">
        <v>2.0099999999999998</v>
      </c>
      <c r="K643" s="2">
        <v>-2.92</v>
      </c>
      <c r="L643" s="2">
        <v>3.54</v>
      </c>
      <c r="M643" s="2">
        <v>1.44</v>
      </c>
      <c r="N643" t="s">
        <v>98</v>
      </c>
      <c r="O643">
        <v>24</v>
      </c>
      <c r="P643" t="s">
        <v>322</v>
      </c>
    </row>
    <row r="644" spans="1:16">
      <c r="A644" s="1">
        <v>45964</v>
      </c>
      <c r="B644">
        <v>5</v>
      </c>
      <c r="C644" t="s">
        <v>99</v>
      </c>
      <c r="D644">
        <v>5</v>
      </c>
      <c r="E644" s="2">
        <v>14.5</v>
      </c>
      <c r="F644" s="2">
        <v>-263.5</v>
      </c>
      <c r="G644" s="2">
        <v>272.87</v>
      </c>
      <c r="H644" s="2">
        <v>-247.95</v>
      </c>
      <c r="I644" s="2">
        <v>257.45999999999998</v>
      </c>
      <c r="J644" s="2">
        <v>1.97</v>
      </c>
      <c r="K644" s="2">
        <v>-2.74</v>
      </c>
      <c r="L644" s="2">
        <v>3.37</v>
      </c>
      <c r="M644" s="2">
        <v>1.34</v>
      </c>
      <c r="N644" t="s">
        <v>98</v>
      </c>
      <c r="O644">
        <v>24</v>
      </c>
      <c r="P644" t="s">
        <v>322</v>
      </c>
    </row>
    <row r="645" spans="1:16">
      <c r="A645" s="1">
        <v>45964</v>
      </c>
      <c r="B645">
        <v>5</v>
      </c>
      <c r="C645" t="s">
        <v>99</v>
      </c>
      <c r="D645">
        <v>5</v>
      </c>
      <c r="E645" s="2">
        <v>15</v>
      </c>
      <c r="F645" s="2">
        <v>-226.58</v>
      </c>
      <c r="G645" s="2">
        <v>237.88</v>
      </c>
      <c r="H645" s="2">
        <v>-203.37</v>
      </c>
      <c r="I645" s="2">
        <v>194.31</v>
      </c>
      <c r="J645" s="2">
        <v>1.83</v>
      </c>
      <c r="K645" s="2">
        <v>-2.62</v>
      </c>
      <c r="L645" s="2">
        <v>3.19</v>
      </c>
      <c r="M645" s="2">
        <v>1.26</v>
      </c>
      <c r="N645" t="s">
        <v>98</v>
      </c>
      <c r="O645">
        <v>24</v>
      </c>
      <c r="P645" t="s">
        <v>322</v>
      </c>
    </row>
    <row r="646" spans="1:16">
      <c r="A646" s="1">
        <v>45964</v>
      </c>
      <c r="B646">
        <v>5</v>
      </c>
      <c r="C646" t="s">
        <v>99</v>
      </c>
      <c r="D646">
        <v>5</v>
      </c>
      <c r="E646" s="2">
        <v>15.5</v>
      </c>
      <c r="F646" s="2">
        <v>-160.78</v>
      </c>
      <c r="G646" s="2">
        <v>166.68</v>
      </c>
      <c r="H646" s="2">
        <v>-188.52</v>
      </c>
      <c r="I646" s="2">
        <v>178.34</v>
      </c>
      <c r="J646" s="2">
        <v>1.71</v>
      </c>
      <c r="K646" s="2">
        <v>-2.54</v>
      </c>
      <c r="L646" s="2">
        <v>3.07</v>
      </c>
      <c r="M646" s="2">
        <v>1.32</v>
      </c>
      <c r="N646" t="s">
        <v>98</v>
      </c>
      <c r="O646">
        <v>24</v>
      </c>
      <c r="P646" t="s">
        <v>322</v>
      </c>
    </row>
    <row r="647" spans="1:16">
      <c r="A647" s="1">
        <v>45964</v>
      </c>
      <c r="B647">
        <v>5</v>
      </c>
      <c r="C647" t="s">
        <v>99</v>
      </c>
      <c r="D647">
        <v>5</v>
      </c>
      <c r="E647" s="2">
        <v>16</v>
      </c>
      <c r="F647" s="2">
        <v>-74.78</v>
      </c>
      <c r="G647" s="2">
        <v>82.47</v>
      </c>
      <c r="H647" s="2">
        <v>-165.71</v>
      </c>
      <c r="I647" s="2">
        <v>167.05</v>
      </c>
      <c r="J647" s="2">
        <v>1.64</v>
      </c>
      <c r="K647" s="2">
        <v>-2.4300000000000002</v>
      </c>
      <c r="L647" s="2">
        <v>2.93</v>
      </c>
      <c r="M647" s="2">
        <v>1.26</v>
      </c>
      <c r="N647" t="s">
        <v>98</v>
      </c>
      <c r="O647">
        <v>24</v>
      </c>
      <c r="P647" t="s">
        <v>322</v>
      </c>
    </row>
    <row r="648" spans="1:16">
      <c r="A648" s="1">
        <v>45964</v>
      </c>
      <c r="B648">
        <v>5</v>
      </c>
      <c r="C648" t="s">
        <v>99</v>
      </c>
      <c r="D648">
        <v>5</v>
      </c>
      <c r="E648" s="2">
        <v>16.5</v>
      </c>
      <c r="F648" s="2">
        <v>108.33</v>
      </c>
      <c r="G648" s="2">
        <v>-101.16</v>
      </c>
      <c r="H648" s="2">
        <v>-108.89</v>
      </c>
      <c r="I648" s="2">
        <v>118.04</v>
      </c>
      <c r="J648" s="2">
        <v>1.56</v>
      </c>
      <c r="K648" s="2">
        <v>-2.31</v>
      </c>
      <c r="L648" s="2">
        <v>2.79</v>
      </c>
      <c r="M648" s="2">
        <v>1.21</v>
      </c>
      <c r="N648" t="s">
        <v>98</v>
      </c>
      <c r="O648">
        <v>24</v>
      </c>
      <c r="P648" t="s">
        <v>322</v>
      </c>
    </row>
    <row r="649" spans="1:16">
      <c r="A649" s="1">
        <v>45964</v>
      </c>
      <c r="B649">
        <v>5</v>
      </c>
      <c r="C649" t="s">
        <v>99</v>
      </c>
      <c r="D649">
        <v>5</v>
      </c>
      <c r="E649" s="2">
        <v>17</v>
      </c>
      <c r="F649" s="2">
        <v>269.12</v>
      </c>
      <c r="G649" s="2">
        <v>-260.82</v>
      </c>
      <c r="H649" s="2">
        <v>-65.94</v>
      </c>
      <c r="I649" s="2">
        <v>56.17</v>
      </c>
      <c r="J649" s="2">
        <v>1.47</v>
      </c>
      <c r="K649" s="2">
        <v>-2.39</v>
      </c>
      <c r="L649" s="2">
        <v>2.8</v>
      </c>
      <c r="M649" s="2">
        <v>1.07</v>
      </c>
      <c r="N649" t="s">
        <v>98</v>
      </c>
      <c r="O649">
        <v>24</v>
      </c>
      <c r="P649" t="s">
        <v>322</v>
      </c>
    </row>
    <row r="650" spans="1:16">
      <c r="A650" s="1">
        <v>45964</v>
      </c>
      <c r="B650">
        <v>5</v>
      </c>
      <c r="C650" t="s">
        <v>99</v>
      </c>
      <c r="D650">
        <v>5</v>
      </c>
      <c r="E650" s="2">
        <v>17.5</v>
      </c>
      <c r="F650" s="2">
        <v>321.67</v>
      </c>
      <c r="G650" s="2">
        <v>-316.8</v>
      </c>
      <c r="H650" s="2">
        <v>-75.760000000000005</v>
      </c>
      <c r="I650" s="2">
        <v>60.38</v>
      </c>
      <c r="J650" s="2">
        <v>1.35</v>
      </c>
      <c r="K650" s="2">
        <v>-2.2200000000000002</v>
      </c>
      <c r="L650" s="2">
        <v>2.59</v>
      </c>
      <c r="M650" s="2">
        <v>1.1000000000000001</v>
      </c>
      <c r="N650" t="s">
        <v>98</v>
      </c>
      <c r="O650">
        <v>24</v>
      </c>
      <c r="P650" t="s">
        <v>322</v>
      </c>
    </row>
    <row r="651" spans="1:16">
      <c r="A651" s="1">
        <v>45964</v>
      </c>
      <c r="B651">
        <v>5</v>
      </c>
      <c r="C651" t="s">
        <v>99</v>
      </c>
      <c r="D651">
        <v>5</v>
      </c>
      <c r="E651" s="2">
        <v>18</v>
      </c>
      <c r="F651" s="2">
        <v>391.76</v>
      </c>
      <c r="G651" s="2">
        <v>-382.79</v>
      </c>
      <c r="H651" s="2">
        <v>-102.28</v>
      </c>
      <c r="I651" s="2">
        <v>95.98</v>
      </c>
      <c r="J651" s="2">
        <v>1.25</v>
      </c>
      <c r="K651" s="2">
        <v>-2.0699999999999998</v>
      </c>
      <c r="L651" s="2">
        <v>2.42</v>
      </c>
      <c r="M651" s="2">
        <v>1.17</v>
      </c>
      <c r="N651" t="s">
        <v>98</v>
      </c>
      <c r="O651">
        <v>24</v>
      </c>
      <c r="P651" t="s">
        <v>322</v>
      </c>
    </row>
    <row r="652" spans="1:16">
      <c r="A652" s="1">
        <v>45964</v>
      </c>
      <c r="B652">
        <v>5</v>
      </c>
      <c r="C652" t="s">
        <v>99</v>
      </c>
      <c r="D652">
        <v>5</v>
      </c>
      <c r="E652" s="2">
        <v>18.5</v>
      </c>
      <c r="F652" s="2">
        <v>438.39</v>
      </c>
      <c r="G652" s="2">
        <v>-430.68</v>
      </c>
      <c r="H652" s="2">
        <v>-101.02</v>
      </c>
      <c r="I652" s="2">
        <v>112.98</v>
      </c>
      <c r="J652" s="2">
        <v>1.1499999999999999</v>
      </c>
      <c r="K652" s="2">
        <v>-1.97</v>
      </c>
      <c r="L652" s="2">
        <v>2.2799999999999998</v>
      </c>
      <c r="M652" s="2">
        <v>1.07</v>
      </c>
      <c r="N652" t="s">
        <v>98</v>
      </c>
      <c r="O652">
        <v>24</v>
      </c>
      <c r="P652" t="s">
        <v>322</v>
      </c>
    </row>
    <row r="653" spans="1:16">
      <c r="A653" s="1">
        <v>45964</v>
      </c>
      <c r="B653">
        <v>5</v>
      </c>
      <c r="C653" t="s">
        <v>99</v>
      </c>
      <c r="D653">
        <v>5</v>
      </c>
      <c r="E653" s="2">
        <v>19</v>
      </c>
      <c r="F653" s="2">
        <v>444.7</v>
      </c>
      <c r="G653" s="2">
        <v>-438.65</v>
      </c>
      <c r="H653" s="2">
        <v>-118.37</v>
      </c>
      <c r="I653" s="2">
        <v>114.04</v>
      </c>
      <c r="J653" s="2">
        <v>1.1299999999999999</v>
      </c>
      <c r="K653" s="2">
        <v>-1.74</v>
      </c>
      <c r="L653" s="2">
        <v>2.0699999999999998</v>
      </c>
      <c r="M653" s="2">
        <v>0.82</v>
      </c>
      <c r="N653" t="s">
        <v>98</v>
      </c>
      <c r="O653">
        <v>24</v>
      </c>
      <c r="P653" t="s">
        <v>322</v>
      </c>
    </row>
    <row r="654" spans="1:16">
      <c r="A654" s="1">
        <v>45964</v>
      </c>
      <c r="B654">
        <v>5</v>
      </c>
      <c r="C654" t="s">
        <v>99</v>
      </c>
      <c r="D654">
        <v>5</v>
      </c>
      <c r="E654" s="2">
        <v>19.5</v>
      </c>
      <c r="F654" s="2">
        <v>328.02</v>
      </c>
      <c r="G654" s="2">
        <v>-321.57</v>
      </c>
      <c r="H654" s="2">
        <v>-42.67</v>
      </c>
      <c r="I654" s="2">
        <v>46.99</v>
      </c>
      <c r="J654" s="2">
        <v>1.04</v>
      </c>
      <c r="K654" s="2">
        <v>-1.66</v>
      </c>
      <c r="L654" s="2">
        <v>1.96</v>
      </c>
      <c r="M654" s="2">
        <v>0.85</v>
      </c>
      <c r="N654" t="s">
        <v>98</v>
      </c>
      <c r="O654">
        <v>24</v>
      </c>
      <c r="P654" t="s">
        <v>322</v>
      </c>
    </row>
    <row r="655" spans="1:16">
      <c r="A655" s="1">
        <v>45964</v>
      </c>
      <c r="B655">
        <v>5</v>
      </c>
      <c r="C655" t="s">
        <v>99</v>
      </c>
      <c r="D655">
        <v>5</v>
      </c>
      <c r="E655" s="2">
        <v>20</v>
      </c>
      <c r="F655" s="2">
        <v>191.87</v>
      </c>
      <c r="G655" s="2">
        <v>-184.01</v>
      </c>
      <c r="H655" s="2">
        <v>0.67</v>
      </c>
      <c r="I655" s="2">
        <v>4.2300000000000004</v>
      </c>
      <c r="J655" s="2">
        <v>1</v>
      </c>
      <c r="K655" s="2">
        <v>-1.54</v>
      </c>
      <c r="L655" s="2">
        <v>1.84</v>
      </c>
      <c r="M655" s="2">
        <v>0.76</v>
      </c>
      <c r="N655" t="s">
        <v>98</v>
      </c>
      <c r="O655">
        <v>24</v>
      </c>
      <c r="P655" t="s">
        <v>322</v>
      </c>
    </row>
    <row r="656" spans="1:16">
      <c r="A656" s="1">
        <v>45964</v>
      </c>
      <c r="B656">
        <v>5</v>
      </c>
      <c r="C656" t="s">
        <v>99</v>
      </c>
      <c r="D656">
        <v>5</v>
      </c>
      <c r="E656" s="2">
        <v>20.5</v>
      </c>
      <c r="F656" s="2">
        <v>158.06</v>
      </c>
      <c r="G656" s="2">
        <v>-150.66</v>
      </c>
      <c r="H656" s="2">
        <v>-6.55</v>
      </c>
      <c r="I656" s="2">
        <v>13.06</v>
      </c>
      <c r="J656" s="2">
        <v>0.87</v>
      </c>
      <c r="K656" s="2">
        <v>-1.28</v>
      </c>
      <c r="L656" s="2">
        <v>1.54</v>
      </c>
      <c r="M656" s="2">
        <v>0.64</v>
      </c>
      <c r="N656" t="s">
        <v>98</v>
      </c>
      <c r="O656">
        <v>24</v>
      </c>
      <c r="P656" t="s">
        <v>322</v>
      </c>
    </row>
    <row r="657" spans="1:16">
      <c r="A657" s="1">
        <v>45964</v>
      </c>
      <c r="B657">
        <v>5</v>
      </c>
      <c r="C657" t="s">
        <v>99</v>
      </c>
      <c r="D657">
        <v>5</v>
      </c>
      <c r="E657" s="2">
        <v>21</v>
      </c>
      <c r="F657" s="2">
        <v>116.97</v>
      </c>
      <c r="G657" s="2">
        <v>-108.91</v>
      </c>
      <c r="H657" s="2">
        <v>-7.44</v>
      </c>
      <c r="I657" s="2">
        <v>15.34</v>
      </c>
      <c r="J657" s="2">
        <v>0.82</v>
      </c>
      <c r="K657" s="2">
        <v>-1.1299999999999999</v>
      </c>
      <c r="L657" s="2">
        <v>1.4</v>
      </c>
      <c r="M657" s="2">
        <v>0.56000000000000005</v>
      </c>
      <c r="N657" t="s">
        <v>98</v>
      </c>
      <c r="O657">
        <v>24</v>
      </c>
      <c r="P657" t="s">
        <v>322</v>
      </c>
    </row>
    <row r="658" spans="1:16">
      <c r="A658" s="1">
        <v>45964</v>
      </c>
      <c r="B658">
        <v>5</v>
      </c>
      <c r="C658" t="s">
        <v>99</v>
      </c>
      <c r="D658">
        <v>5</v>
      </c>
      <c r="E658" s="2">
        <v>21.5</v>
      </c>
      <c r="F658" s="2">
        <v>-12.38</v>
      </c>
      <c r="G658" s="2">
        <v>21.31</v>
      </c>
      <c r="H658" s="2">
        <v>-22.08</v>
      </c>
      <c r="I658" s="2">
        <v>20.87</v>
      </c>
      <c r="J658" s="2">
        <v>0.65</v>
      </c>
      <c r="K658" s="2">
        <v>-1.21</v>
      </c>
      <c r="L658" s="2">
        <v>1.37</v>
      </c>
      <c r="M658" s="2">
        <v>0.6</v>
      </c>
      <c r="N658" t="s">
        <v>98</v>
      </c>
      <c r="O658">
        <v>24</v>
      </c>
      <c r="P658" t="s">
        <v>322</v>
      </c>
    </row>
    <row r="659" spans="1:16">
      <c r="A659" s="1">
        <v>45964</v>
      </c>
      <c r="B659">
        <v>5</v>
      </c>
      <c r="C659" t="s">
        <v>99</v>
      </c>
      <c r="D659">
        <v>5</v>
      </c>
      <c r="E659" s="2">
        <v>22</v>
      </c>
      <c r="F659" s="2">
        <v>-57.96</v>
      </c>
      <c r="G659" s="2">
        <v>64.78</v>
      </c>
      <c r="H659" s="2">
        <v>-16.43</v>
      </c>
      <c r="I659" s="2">
        <v>26.26</v>
      </c>
      <c r="J659" s="2">
        <v>0.61</v>
      </c>
      <c r="K659" s="2">
        <v>-1.03</v>
      </c>
      <c r="L659" s="2">
        <v>1.2</v>
      </c>
      <c r="M659" s="2">
        <v>0.62</v>
      </c>
      <c r="N659" t="s">
        <v>98</v>
      </c>
      <c r="O659">
        <v>24</v>
      </c>
      <c r="P659" t="s">
        <v>322</v>
      </c>
    </row>
    <row r="660" spans="1:16">
      <c r="A660" s="1">
        <v>45964</v>
      </c>
      <c r="B660">
        <v>5</v>
      </c>
      <c r="C660" t="s">
        <v>99</v>
      </c>
      <c r="D660">
        <v>5</v>
      </c>
      <c r="E660" s="2">
        <v>22.5</v>
      </c>
      <c r="F660" s="2">
        <v>-44.95</v>
      </c>
      <c r="G660" s="2">
        <v>54.2</v>
      </c>
      <c r="H660" s="2">
        <v>-113.73</v>
      </c>
      <c r="I660" s="2">
        <v>123.15</v>
      </c>
      <c r="J660" s="2">
        <v>0.57999999999999996</v>
      </c>
      <c r="K660" s="2">
        <v>-1.0900000000000001</v>
      </c>
      <c r="L660" s="2">
        <v>1.23</v>
      </c>
      <c r="M660" s="2">
        <v>0.71</v>
      </c>
      <c r="N660" t="s">
        <v>98</v>
      </c>
      <c r="O660">
        <v>24</v>
      </c>
      <c r="P660" t="s">
        <v>322</v>
      </c>
    </row>
    <row r="661" spans="1:16">
      <c r="A661" s="1">
        <v>45964</v>
      </c>
      <c r="B661">
        <v>5</v>
      </c>
      <c r="C661" t="s">
        <v>99</v>
      </c>
      <c r="D661">
        <v>5</v>
      </c>
      <c r="E661" s="2">
        <v>23</v>
      </c>
      <c r="F661" s="2">
        <v>-57.6</v>
      </c>
      <c r="G661" s="2">
        <v>63.11</v>
      </c>
      <c r="H661" s="2">
        <v>-143.77000000000001</v>
      </c>
      <c r="I661" s="2">
        <v>158.78</v>
      </c>
      <c r="J661" s="2">
        <v>0.53</v>
      </c>
      <c r="K661" s="2">
        <v>-1</v>
      </c>
      <c r="L661" s="2">
        <v>1.1299999999999999</v>
      </c>
      <c r="M661" s="2">
        <v>0.7</v>
      </c>
      <c r="N661" t="s">
        <v>98</v>
      </c>
      <c r="O661">
        <v>24</v>
      </c>
      <c r="P661" t="s">
        <v>322</v>
      </c>
    </row>
    <row r="662" spans="1:16">
      <c r="A662" s="1">
        <v>45964</v>
      </c>
      <c r="B662">
        <v>5</v>
      </c>
      <c r="C662" t="s">
        <v>99</v>
      </c>
      <c r="D662">
        <v>5</v>
      </c>
      <c r="E662" s="2">
        <v>23.5</v>
      </c>
      <c r="F662" s="2">
        <v>-123.36</v>
      </c>
      <c r="G662" s="2">
        <v>134.88999999999999</v>
      </c>
      <c r="H662" s="2">
        <v>-198.24</v>
      </c>
      <c r="I662" s="2">
        <v>210.32</v>
      </c>
      <c r="J662" s="2">
        <v>0.48</v>
      </c>
      <c r="K662" s="2">
        <v>-0.67</v>
      </c>
      <c r="L662" s="2">
        <v>0.82</v>
      </c>
      <c r="M662" s="2">
        <v>0.44</v>
      </c>
      <c r="N662" t="s">
        <v>98</v>
      </c>
      <c r="O662">
        <v>24</v>
      </c>
      <c r="P662" t="s">
        <v>322</v>
      </c>
    </row>
    <row r="663" spans="1:16">
      <c r="A663" s="1">
        <v>45964</v>
      </c>
      <c r="B663">
        <v>5</v>
      </c>
      <c r="C663" t="s">
        <v>99</v>
      </c>
      <c r="D663">
        <v>5</v>
      </c>
      <c r="E663" s="2">
        <v>24</v>
      </c>
      <c r="F663" s="2">
        <v>-156.85</v>
      </c>
      <c r="G663" s="2">
        <v>165.22</v>
      </c>
      <c r="H663" s="2">
        <v>-258.89</v>
      </c>
      <c r="I663" s="2">
        <v>256.86</v>
      </c>
      <c r="J663" s="2">
        <v>0.46</v>
      </c>
      <c r="K663" s="2">
        <v>-0.69</v>
      </c>
      <c r="L663" s="2">
        <v>0.83</v>
      </c>
      <c r="M663" s="2">
        <v>0.39</v>
      </c>
      <c r="N663" t="s">
        <v>98</v>
      </c>
      <c r="O663">
        <v>24</v>
      </c>
      <c r="P663" t="s">
        <v>322</v>
      </c>
    </row>
    <row r="664" spans="1:16">
      <c r="A664" s="1">
        <v>45964</v>
      </c>
      <c r="B664">
        <v>5</v>
      </c>
      <c r="C664" t="s">
        <v>99</v>
      </c>
      <c r="D664">
        <v>5</v>
      </c>
      <c r="E664" s="2">
        <v>24.5</v>
      </c>
      <c r="F664" s="2">
        <v>-53.91</v>
      </c>
      <c r="G664" s="2">
        <v>57.37</v>
      </c>
      <c r="H664" s="2">
        <v>-247.5</v>
      </c>
      <c r="I664" s="2">
        <v>237.12</v>
      </c>
      <c r="J664" s="2">
        <v>0.42</v>
      </c>
      <c r="K664" s="2">
        <v>-0.64</v>
      </c>
      <c r="L664" s="2">
        <v>0.77</v>
      </c>
      <c r="M664" s="2">
        <v>0.3</v>
      </c>
      <c r="N664" t="s">
        <v>98</v>
      </c>
      <c r="O664">
        <v>24</v>
      </c>
      <c r="P664" t="s">
        <v>322</v>
      </c>
    </row>
    <row r="665" spans="1:16">
      <c r="A665" s="1">
        <v>45964</v>
      </c>
      <c r="B665">
        <v>5</v>
      </c>
      <c r="C665" t="s">
        <v>99</v>
      </c>
      <c r="D665">
        <v>5</v>
      </c>
      <c r="E665" s="2">
        <v>25</v>
      </c>
      <c r="F665" s="2">
        <v>43.15</v>
      </c>
      <c r="G665" s="2">
        <v>-34.659999999999997</v>
      </c>
      <c r="H665" s="2">
        <v>-227.99</v>
      </c>
      <c r="I665" s="2">
        <v>222.34</v>
      </c>
      <c r="J665" s="2">
        <v>0.33</v>
      </c>
      <c r="K665" s="2">
        <v>-0.67</v>
      </c>
      <c r="L665" s="2">
        <v>0.75</v>
      </c>
      <c r="M665" s="2">
        <v>0.28999999999999998</v>
      </c>
      <c r="N665" t="s">
        <v>98</v>
      </c>
      <c r="O665">
        <v>24</v>
      </c>
      <c r="P665" t="s">
        <v>322</v>
      </c>
    </row>
    <row r="666" spans="1:16">
      <c r="A666" s="1">
        <v>45964</v>
      </c>
      <c r="B666">
        <v>5</v>
      </c>
      <c r="C666" t="s">
        <v>99</v>
      </c>
      <c r="D666">
        <v>5</v>
      </c>
      <c r="E666" s="2">
        <v>25.5</v>
      </c>
      <c r="F666" s="2">
        <v>98.32</v>
      </c>
      <c r="G666" s="2">
        <v>-93.41</v>
      </c>
      <c r="H666" s="2">
        <v>-197.41</v>
      </c>
      <c r="I666" s="2">
        <v>191.63</v>
      </c>
      <c r="J666" s="2">
        <v>0.25</v>
      </c>
      <c r="K666" s="2">
        <v>-0.49</v>
      </c>
      <c r="L666" s="2">
        <v>0.55000000000000004</v>
      </c>
      <c r="M666" s="2">
        <v>0.3</v>
      </c>
      <c r="N666" t="s">
        <v>98</v>
      </c>
      <c r="O666">
        <v>24</v>
      </c>
      <c r="P666" t="s">
        <v>322</v>
      </c>
    </row>
    <row r="667" spans="1:16">
      <c r="A667" s="1">
        <v>45964</v>
      </c>
      <c r="B667">
        <v>5</v>
      </c>
      <c r="C667" t="s">
        <v>99</v>
      </c>
      <c r="D667">
        <v>5</v>
      </c>
      <c r="E667" s="2">
        <v>26</v>
      </c>
      <c r="F667" s="2">
        <v>145.63</v>
      </c>
      <c r="G667" s="2">
        <v>-136.57</v>
      </c>
      <c r="H667" s="2">
        <v>-245.88</v>
      </c>
      <c r="I667" s="2">
        <v>238.5</v>
      </c>
      <c r="J667" s="2">
        <v>0.18</v>
      </c>
      <c r="K667" s="2">
        <v>-0.16</v>
      </c>
      <c r="L667" s="2">
        <v>0.24</v>
      </c>
      <c r="M667" s="2">
        <v>7.0000000000000007E-2</v>
      </c>
      <c r="N667" t="s">
        <v>98</v>
      </c>
      <c r="O667">
        <v>24</v>
      </c>
      <c r="P667" t="s">
        <v>322</v>
      </c>
    </row>
    <row r="668" spans="1:16">
      <c r="A668" s="1">
        <v>45964</v>
      </c>
      <c r="B668">
        <v>5</v>
      </c>
      <c r="C668" t="s">
        <v>99</v>
      </c>
      <c r="D668">
        <v>5</v>
      </c>
      <c r="E668" s="2">
        <v>26.5</v>
      </c>
      <c r="F668" s="2">
        <v>149.77000000000001</v>
      </c>
      <c r="G668" s="2">
        <v>-143.16999999999999</v>
      </c>
      <c r="H668" s="2">
        <v>-248.81</v>
      </c>
      <c r="I668" s="2">
        <v>255.75</v>
      </c>
      <c r="J668" s="2">
        <v>0.1</v>
      </c>
      <c r="K668" s="2">
        <v>-0.09</v>
      </c>
      <c r="L668" s="2">
        <v>0.14000000000000001</v>
      </c>
      <c r="M668" s="2">
        <v>-0.1</v>
      </c>
      <c r="N668" t="s">
        <v>98</v>
      </c>
      <c r="O668">
        <v>24</v>
      </c>
      <c r="P668" t="s">
        <v>322</v>
      </c>
    </row>
    <row r="669" spans="1:16">
      <c r="A669" s="1">
        <v>45964</v>
      </c>
      <c r="B669">
        <v>5</v>
      </c>
      <c r="C669" t="s">
        <v>100</v>
      </c>
      <c r="D669">
        <v>4</v>
      </c>
      <c r="E669" s="2">
        <v>0.5</v>
      </c>
      <c r="F669" s="2">
        <v>410.07</v>
      </c>
      <c r="G669" s="2">
        <v>-396.77</v>
      </c>
      <c r="H669" s="2">
        <v>485.83</v>
      </c>
      <c r="I669" s="2">
        <v>-480.63</v>
      </c>
      <c r="J669" s="2">
        <v>-7.0000000000000007E-2</v>
      </c>
      <c r="K669" s="2">
        <v>-1.37</v>
      </c>
      <c r="L669" s="2">
        <v>1.38</v>
      </c>
      <c r="M669" s="2">
        <v>-1.43</v>
      </c>
      <c r="N669" t="s">
        <v>98</v>
      </c>
      <c r="O669">
        <v>32</v>
      </c>
      <c r="P669" t="s">
        <v>322</v>
      </c>
    </row>
    <row r="670" spans="1:16">
      <c r="A670" s="1">
        <v>45964</v>
      </c>
      <c r="B670">
        <v>5</v>
      </c>
      <c r="C670" t="s">
        <v>100</v>
      </c>
      <c r="D670">
        <v>4</v>
      </c>
      <c r="E670" s="2">
        <v>1</v>
      </c>
      <c r="F670" s="2">
        <v>410.26</v>
      </c>
      <c r="G670" s="2">
        <v>-396.79</v>
      </c>
      <c r="H670" s="2">
        <v>486.15</v>
      </c>
      <c r="I670" s="2">
        <v>-480.67</v>
      </c>
      <c r="J670" s="2">
        <v>-7.0000000000000007E-2</v>
      </c>
      <c r="K670" s="2">
        <v>-1.42</v>
      </c>
      <c r="L670" s="2">
        <v>1.42</v>
      </c>
      <c r="M670" s="2">
        <v>-1.62</v>
      </c>
      <c r="N670" t="s">
        <v>98</v>
      </c>
      <c r="O670">
        <v>32</v>
      </c>
      <c r="P670" t="s">
        <v>322</v>
      </c>
    </row>
    <row r="671" spans="1:16">
      <c r="A671" s="1">
        <v>45964</v>
      </c>
      <c r="B671">
        <v>5</v>
      </c>
      <c r="C671" t="s">
        <v>100</v>
      </c>
      <c r="D671">
        <v>4</v>
      </c>
      <c r="E671" s="2">
        <v>1.5</v>
      </c>
      <c r="F671" s="2">
        <v>440.95</v>
      </c>
      <c r="G671" s="2">
        <v>-432.88</v>
      </c>
      <c r="H671" s="2">
        <v>419.97</v>
      </c>
      <c r="I671" s="2">
        <v>-402.48</v>
      </c>
      <c r="J671" s="2">
        <v>-0.06</v>
      </c>
      <c r="K671" s="2">
        <v>-1.47</v>
      </c>
      <c r="L671" s="2">
        <v>1.47</v>
      </c>
      <c r="M671" s="2">
        <v>-1.78</v>
      </c>
      <c r="N671" t="s">
        <v>98</v>
      </c>
      <c r="O671">
        <v>32</v>
      </c>
      <c r="P671" t="s">
        <v>322</v>
      </c>
    </row>
    <row r="672" spans="1:16">
      <c r="A672" s="1">
        <v>45964</v>
      </c>
      <c r="B672">
        <v>5</v>
      </c>
      <c r="C672" t="s">
        <v>100</v>
      </c>
      <c r="D672">
        <v>4</v>
      </c>
      <c r="E672" s="2">
        <v>2</v>
      </c>
      <c r="F672" s="2">
        <v>499.82</v>
      </c>
      <c r="G672" s="2">
        <v>-492.55</v>
      </c>
      <c r="H672" s="2">
        <v>234.87</v>
      </c>
      <c r="I672" s="2">
        <v>-228.49</v>
      </c>
      <c r="J672" s="2">
        <v>-0.02</v>
      </c>
      <c r="K672" s="2">
        <v>-1.44</v>
      </c>
      <c r="L672" s="2">
        <v>1.44</v>
      </c>
      <c r="M672" s="2">
        <v>-1.75</v>
      </c>
      <c r="N672" t="s">
        <v>98</v>
      </c>
      <c r="O672">
        <v>32</v>
      </c>
      <c r="P672" t="s">
        <v>322</v>
      </c>
    </row>
    <row r="673" spans="1:16">
      <c r="A673" s="1">
        <v>45964</v>
      </c>
      <c r="B673">
        <v>5</v>
      </c>
      <c r="C673" t="s">
        <v>100</v>
      </c>
      <c r="D673">
        <v>4</v>
      </c>
      <c r="E673" s="2">
        <v>2.5</v>
      </c>
      <c r="F673" s="2">
        <v>452.67</v>
      </c>
      <c r="G673" s="2">
        <v>-445.9</v>
      </c>
      <c r="H673" s="2">
        <v>128.66999999999999</v>
      </c>
      <c r="I673" s="2">
        <v>-113.05</v>
      </c>
      <c r="J673" s="2">
        <v>0.08</v>
      </c>
      <c r="K673" s="2">
        <v>-1.64</v>
      </c>
      <c r="L673" s="2">
        <v>1.64</v>
      </c>
      <c r="M673" s="2">
        <v>-1.51</v>
      </c>
      <c r="N673" t="s">
        <v>98</v>
      </c>
      <c r="O673">
        <v>32</v>
      </c>
      <c r="P673" t="s">
        <v>322</v>
      </c>
    </row>
    <row r="674" spans="1:16">
      <c r="A674" s="1">
        <v>45964</v>
      </c>
      <c r="B674">
        <v>5</v>
      </c>
      <c r="C674" t="s">
        <v>100</v>
      </c>
      <c r="D674">
        <v>4</v>
      </c>
      <c r="E674" s="2">
        <v>3</v>
      </c>
      <c r="F674" s="2">
        <v>400.73</v>
      </c>
      <c r="G674" s="2">
        <v>-391.92</v>
      </c>
      <c r="H674" s="2">
        <v>3.23</v>
      </c>
      <c r="I674" s="2">
        <v>15.26</v>
      </c>
      <c r="J674" s="2">
        <v>0.16</v>
      </c>
      <c r="K674" s="2">
        <v>-1.75</v>
      </c>
      <c r="L674" s="2">
        <v>1.76</v>
      </c>
      <c r="M674" s="2">
        <v>-1.42</v>
      </c>
      <c r="N674" t="s">
        <v>98</v>
      </c>
      <c r="O674">
        <v>32</v>
      </c>
      <c r="P674" t="s">
        <v>322</v>
      </c>
    </row>
    <row r="675" spans="1:16">
      <c r="A675" s="1">
        <v>45964</v>
      </c>
      <c r="B675">
        <v>5</v>
      </c>
      <c r="C675" t="s">
        <v>100</v>
      </c>
      <c r="D675">
        <v>4</v>
      </c>
      <c r="E675" s="2">
        <v>3.5</v>
      </c>
      <c r="F675" s="2">
        <v>359.25</v>
      </c>
      <c r="G675" s="2">
        <v>-351.87</v>
      </c>
      <c r="H675" s="2">
        <v>-89.22</v>
      </c>
      <c r="I675" s="2">
        <v>96.37</v>
      </c>
      <c r="J675" s="2">
        <v>0.23</v>
      </c>
      <c r="K675" s="2">
        <v>-1.78</v>
      </c>
      <c r="L675" s="2">
        <v>1.79</v>
      </c>
      <c r="M675" s="2">
        <v>-1.31</v>
      </c>
      <c r="N675" t="s">
        <v>98</v>
      </c>
      <c r="O675">
        <v>32</v>
      </c>
      <c r="P675" t="s">
        <v>322</v>
      </c>
    </row>
    <row r="676" spans="1:16">
      <c r="A676" s="1">
        <v>45964</v>
      </c>
      <c r="B676">
        <v>5</v>
      </c>
      <c r="C676" t="s">
        <v>100</v>
      </c>
      <c r="D676">
        <v>4</v>
      </c>
      <c r="E676" s="2">
        <v>4</v>
      </c>
      <c r="F676" s="2">
        <v>348.64</v>
      </c>
      <c r="G676" s="2">
        <v>-340.6</v>
      </c>
      <c r="H676" s="2">
        <v>-104.51</v>
      </c>
      <c r="I676" s="2">
        <v>118.33</v>
      </c>
      <c r="J676" s="2">
        <v>0.28000000000000003</v>
      </c>
      <c r="K676" s="2">
        <v>-1.71</v>
      </c>
      <c r="L676" s="2">
        <v>1.73</v>
      </c>
      <c r="M676" s="2">
        <v>-1.3</v>
      </c>
      <c r="N676" t="s">
        <v>98</v>
      </c>
      <c r="O676">
        <v>32</v>
      </c>
      <c r="P676" t="s">
        <v>322</v>
      </c>
    </row>
    <row r="677" spans="1:16">
      <c r="A677" s="1">
        <v>45964</v>
      </c>
      <c r="B677">
        <v>5</v>
      </c>
      <c r="C677" t="s">
        <v>100</v>
      </c>
      <c r="D677">
        <v>4</v>
      </c>
      <c r="E677" s="2">
        <v>4.5</v>
      </c>
      <c r="F677" s="2">
        <v>351.52</v>
      </c>
      <c r="G677" s="2">
        <v>-342.64</v>
      </c>
      <c r="H677" s="2">
        <v>-104.55</v>
      </c>
      <c r="I677" s="2">
        <v>122.66</v>
      </c>
      <c r="J677" s="2">
        <v>0.36</v>
      </c>
      <c r="K677" s="2">
        <v>-1.67</v>
      </c>
      <c r="L677" s="2">
        <v>1.71</v>
      </c>
      <c r="M677" s="2">
        <v>-1.32</v>
      </c>
      <c r="N677" t="s">
        <v>98</v>
      </c>
      <c r="O677">
        <v>32</v>
      </c>
      <c r="P677" t="s">
        <v>322</v>
      </c>
    </row>
    <row r="678" spans="1:16">
      <c r="A678" s="1">
        <v>45964</v>
      </c>
      <c r="B678">
        <v>5</v>
      </c>
      <c r="C678" t="s">
        <v>100</v>
      </c>
      <c r="D678">
        <v>4</v>
      </c>
      <c r="E678" s="2">
        <v>5</v>
      </c>
      <c r="F678" s="2">
        <v>288.81</v>
      </c>
      <c r="G678" s="2">
        <v>-280.92</v>
      </c>
      <c r="H678" s="2">
        <v>-71.239999999999995</v>
      </c>
      <c r="I678" s="2">
        <v>75.510000000000005</v>
      </c>
      <c r="J678" s="2">
        <v>0.43</v>
      </c>
      <c r="K678" s="2">
        <v>-1.71</v>
      </c>
      <c r="L678" s="2">
        <v>1.76</v>
      </c>
      <c r="M678" s="2">
        <v>-1.27</v>
      </c>
      <c r="N678" t="s">
        <v>98</v>
      </c>
      <c r="O678">
        <v>32</v>
      </c>
      <c r="P678" t="s">
        <v>322</v>
      </c>
    </row>
    <row r="679" spans="1:16">
      <c r="A679" s="1">
        <v>45964</v>
      </c>
      <c r="B679">
        <v>5</v>
      </c>
      <c r="C679" t="s">
        <v>100</v>
      </c>
      <c r="D679">
        <v>4</v>
      </c>
      <c r="E679" s="2">
        <v>5.5</v>
      </c>
      <c r="F679" s="2">
        <v>206.27</v>
      </c>
      <c r="G679" s="2">
        <v>-196.74</v>
      </c>
      <c r="H679" s="2">
        <v>-20.88</v>
      </c>
      <c r="I679" s="2">
        <v>25.61</v>
      </c>
      <c r="J679" s="2">
        <v>0.49</v>
      </c>
      <c r="K679" s="2">
        <v>-1.79</v>
      </c>
      <c r="L679" s="2">
        <v>1.85</v>
      </c>
      <c r="M679" s="2">
        <v>-1.1599999999999999</v>
      </c>
      <c r="N679" t="s">
        <v>98</v>
      </c>
      <c r="O679">
        <v>32</v>
      </c>
      <c r="P679" t="s">
        <v>322</v>
      </c>
    </row>
    <row r="680" spans="1:16">
      <c r="A680" s="1">
        <v>45964</v>
      </c>
      <c r="B680">
        <v>5</v>
      </c>
      <c r="C680" t="s">
        <v>100</v>
      </c>
      <c r="D680">
        <v>4</v>
      </c>
      <c r="E680" s="2">
        <v>6</v>
      </c>
      <c r="F680" s="2">
        <v>171.23</v>
      </c>
      <c r="G680" s="2">
        <v>-162.84</v>
      </c>
      <c r="H680" s="2">
        <v>19.72</v>
      </c>
      <c r="I680" s="2">
        <v>-21.74</v>
      </c>
      <c r="J680" s="2">
        <v>0.55000000000000004</v>
      </c>
      <c r="K680" s="2">
        <v>-1.73</v>
      </c>
      <c r="L680" s="2">
        <v>1.81</v>
      </c>
      <c r="M680" s="2">
        <v>-1.01</v>
      </c>
      <c r="N680" t="s">
        <v>98</v>
      </c>
      <c r="O680">
        <v>32</v>
      </c>
      <c r="P680" t="s">
        <v>322</v>
      </c>
    </row>
    <row r="681" spans="1:16">
      <c r="A681" s="1">
        <v>45964</v>
      </c>
      <c r="B681">
        <v>5</v>
      </c>
      <c r="C681" t="s">
        <v>100</v>
      </c>
      <c r="D681">
        <v>4</v>
      </c>
      <c r="E681" s="2">
        <v>6.5</v>
      </c>
      <c r="F681" s="2">
        <v>174.22</v>
      </c>
      <c r="G681" s="2">
        <v>-166.14</v>
      </c>
      <c r="H681" s="2">
        <v>73.45</v>
      </c>
      <c r="I681" s="2">
        <v>-70.84</v>
      </c>
      <c r="J681" s="2">
        <v>0.61</v>
      </c>
      <c r="K681" s="2">
        <v>-1.78</v>
      </c>
      <c r="L681" s="2">
        <v>1.88</v>
      </c>
      <c r="M681" s="2">
        <v>-1.04</v>
      </c>
      <c r="N681" t="s">
        <v>98</v>
      </c>
      <c r="O681">
        <v>32</v>
      </c>
      <c r="P681" t="s">
        <v>322</v>
      </c>
    </row>
    <row r="682" spans="1:16">
      <c r="A682" s="1">
        <v>45964</v>
      </c>
      <c r="B682">
        <v>5</v>
      </c>
      <c r="C682" t="s">
        <v>100</v>
      </c>
      <c r="D682">
        <v>4</v>
      </c>
      <c r="E682" s="2">
        <v>7</v>
      </c>
      <c r="F682" s="2">
        <v>137.37</v>
      </c>
      <c r="G682" s="2">
        <v>-129.22999999999999</v>
      </c>
      <c r="H682" s="2">
        <v>132.54</v>
      </c>
      <c r="I682" s="2">
        <v>-137.32</v>
      </c>
      <c r="J682" s="2">
        <v>0.65</v>
      </c>
      <c r="K682" s="2">
        <v>-1.78</v>
      </c>
      <c r="L682" s="2">
        <v>1.89</v>
      </c>
      <c r="M682" s="2">
        <v>-1.04</v>
      </c>
      <c r="N682" t="s">
        <v>98</v>
      </c>
      <c r="O682">
        <v>32</v>
      </c>
      <c r="P682" t="s">
        <v>322</v>
      </c>
    </row>
    <row r="683" spans="1:16">
      <c r="A683" s="1">
        <v>45964</v>
      </c>
      <c r="B683">
        <v>5</v>
      </c>
      <c r="C683" t="s">
        <v>100</v>
      </c>
      <c r="D683">
        <v>4</v>
      </c>
      <c r="E683" s="2">
        <v>7.5</v>
      </c>
      <c r="F683" s="2">
        <v>95.55</v>
      </c>
      <c r="G683" s="2">
        <v>-87.62</v>
      </c>
      <c r="H683" s="2">
        <v>208.18</v>
      </c>
      <c r="I683" s="2">
        <v>-204.31</v>
      </c>
      <c r="J683" s="2">
        <v>0.7</v>
      </c>
      <c r="K683" s="2">
        <v>-1.77</v>
      </c>
      <c r="L683" s="2">
        <v>1.91</v>
      </c>
      <c r="M683" s="2">
        <v>-1.06</v>
      </c>
      <c r="N683" t="s">
        <v>98</v>
      </c>
      <c r="O683">
        <v>32</v>
      </c>
      <c r="P683" t="s">
        <v>322</v>
      </c>
    </row>
    <row r="684" spans="1:16">
      <c r="A684" s="1">
        <v>45964</v>
      </c>
      <c r="B684">
        <v>5</v>
      </c>
      <c r="C684" t="s">
        <v>100</v>
      </c>
      <c r="D684">
        <v>4</v>
      </c>
      <c r="E684" s="2">
        <v>8</v>
      </c>
      <c r="F684" s="2">
        <v>96.17</v>
      </c>
      <c r="G684" s="2">
        <v>-91.3</v>
      </c>
      <c r="H684" s="2">
        <v>230.06</v>
      </c>
      <c r="I684" s="2">
        <v>-237.8</v>
      </c>
      <c r="J684" s="2">
        <v>0.71</v>
      </c>
      <c r="K684" s="2">
        <v>-1.64</v>
      </c>
      <c r="L684" s="2">
        <v>1.79</v>
      </c>
      <c r="M684" s="2">
        <v>-1.1100000000000001</v>
      </c>
      <c r="N684" t="s">
        <v>98</v>
      </c>
      <c r="O684">
        <v>32</v>
      </c>
      <c r="P684" t="s">
        <v>322</v>
      </c>
    </row>
    <row r="685" spans="1:16">
      <c r="A685" s="1">
        <v>45964</v>
      </c>
      <c r="B685">
        <v>5</v>
      </c>
      <c r="C685" t="s">
        <v>100</v>
      </c>
      <c r="D685">
        <v>4</v>
      </c>
      <c r="E685" s="2">
        <v>8.5</v>
      </c>
      <c r="F685" s="2">
        <v>126.95</v>
      </c>
      <c r="G685" s="2">
        <v>-121.12</v>
      </c>
      <c r="H685" s="2">
        <v>321.27999999999997</v>
      </c>
      <c r="I685" s="2">
        <v>-314.36</v>
      </c>
      <c r="J685" s="2">
        <v>0.71</v>
      </c>
      <c r="K685" s="2">
        <v>-1.78</v>
      </c>
      <c r="L685" s="2">
        <v>1.91</v>
      </c>
      <c r="M685" s="2">
        <v>-1.02</v>
      </c>
      <c r="N685" t="s">
        <v>98</v>
      </c>
      <c r="O685">
        <v>32</v>
      </c>
      <c r="P685" t="s">
        <v>322</v>
      </c>
    </row>
    <row r="686" spans="1:16">
      <c r="A686" s="1">
        <v>45964</v>
      </c>
      <c r="B686">
        <v>5</v>
      </c>
      <c r="C686" t="s">
        <v>100</v>
      </c>
      <c r="D686">
        <v>4</v>
      </c>
      <c r="E686" s="2">
        <v>9</v>
      </c>
      <c r="F686" s="2">
        <v>178.9</v>
      </c>
      <c r="G686" s="2">
        <v>-169.03</v>
      </c>
      <c r="H686" s="2">
        <v>371.23</v>
      </c>
      <c r="I686" s="2">
        <v>-368.57</v>
      </c>
      <c r="J686" s="2">
        <v>0.71</v>
      </c>
      <c r="K686" s="2">
        <v>-1.65</v>
      </c>
      <c r="L686" s="2">
        <v>1.79</v>
      </c>
      <c r="M686" s="2">
        <v>-0.86</v>
      </c>
      <c r="N686" t="s">
        <v>98</v>
      </c>
      <c r="O686">
        <v>32</v>
      </c>
      <c r="P686" t="s">
        <v>322</v>
      </c>
    </row>
    <row r="687" spans="1:16">
      <c r="A687" s="1">
        <v>45964</v>
      </c>
      <c r="B687">
        <v>5</v>
      </c>
      <c r="C687" t="s">
        <v>100</v>
      </c>
      <c r="D687">
        <v>4</v>
      </c>
      <c r="E687" s="2">
        <v>9.5</v>
      </c>
      <c r="F687" s="2">
        <v>161.41999999999999</v>
      </c>
      <c r="G687" s="2">
        <v>-158.87</v>
      </c>
      <c r="H687" s="2">
        <v>428.22</v>
      </c>
      <c r="I687" s="2">
        <v>-421.97</v>
      </c>
      <c r="J687" s="2">
        <v>0.69</v>
      </c>
      <c r="K687" s="2">
        <v>-1.5</v>
      </c>
      <c r="L687" s="2">
        <v>1.65</v>
      </c>
      <c r="M687" s="2">
        <v>-0.87</v>
      </c>
      <c r="N687" t="s">
        <v>98</v>
      </c>
      <c r="O687">
        <v>32</v>
      </c>
      <c r="P687" t="s">
        <v>322</v>
      </c>
    </row>
    <row r="688" spans="1:16">
      <c r="A688" s="1">
        <v>45964</v>
      </c>
      <c r="B688">
        <v>5</v>
      </c>
      <c r="C688" t="s">
        <v>100</v>
      </c>
      <c r="D688">
        <v>4</v>
      </c>
      <c r="E688" s="2">
        <v>10</v>
      </c>
      <c r="F688" s="2">
        <v>144.93</v>
      </c>
      <c r="G688" s="2">
        <v>-139.15</v>
      </c>
      <c r="H688" s="2">
        <v>446.96</v>
      </c>
      <c r="I688" s="2">
        <v>-435.07</v>
      </c>
      <c r="J688" s="2">
        <v>0.65</v>
      </c>
      <c r="K688" s="2">
        <v>-1.25</v>
      </c>
      <c r="L688" s="2">
        <v>1.41</v>
      </c>
      <c r="M688" s="2">
        <v>-0.89</v>
      </c>
      <c r="N688" t="s">
        <v>98</v>
      </c>
      <c r="O688">
        <v>32</v>
      </c>
      <c r="P688" t="s">
        <v>322</v>
      </c>
    </row>
    <row r="689" spans="1:16">
      <c r="A689" s="1">
        <v>45964</v>
      </c>
      <c r="B689">
        <v>5</v>
      </c>
      <c r="C689" t="s">
        <v>100</v>
      </c>
      <c r="D689">
        <v>4</v>
      </c>
      <c r="E689" s="2">
        <v>10.5</v>
      </c>
      <c r="F689" s="2">
        <v>327.52999999999997</v>
      </c>
      <c r="G689" s="2">
        <v>-322.35000000000002</v>
      </c>
      <c r="H689" s="2">
        <v>459.86</v>
      </c>
      <c r="I689" s="2">
        <v>-454.78</v>
      </c>
      <c r="J689" s="2">
        <v>0.65</v>
      </c>
      <c r="K689" s="2">
        <v>-1.27</v>
      </c>
      <c r="L689" s="2">
        <v>1.43</v>
      </c>
      <c r="M689" s="2">
        <v>-0.9</v>
      </c>
      <c r="N689" t="s">
        <v>98</v>
      </c>
      <c r="O689">
        <v>32</v>
      </c>
      <c r="P689" t="s">
        <v>322</v>
      </c>
    </row>
    <row r="690" spans="1:16">
      <c r="A690" s="1">
        <v>45964</v>
      </c>
      <c r="B690">
        <v>5</v>
      </c>
      <c r="C690" t="s">
        <v>100</v>
      </c>
      <c r="D690">
        <v>4</v>
      </c>
      <c r="E690" s="2">
        <v>11</v>
      </c>
      <c r="F690" s="2">
        <v>344.79</v>
      </c>
      <c r="G690" s="2">
        <v>-337.27</v>
      </c>
      <c r="H690" s="2">
        <v>447.92</v>
      </c>
      <c r="I690" s="2">
        <v>-448.49</v>
      </c>
      <c r="J690" s="2">
        <v>0.61</v>
      </c>
      <c r="K690" s="2">
        <v>-1.36</v>
      </c>
      <c r="L690" s="2">
        <v>1.49</v>
      </c>
      <c r="M690" s="2">
        <v>-0.89</v>
      </c>
      <c r="N690" t="s">
        <v>98</v>
      </c>
      <c r="O690">
        <v>32</v>
      </c>
      <c r="P690" t="s">
        <v>322</v>
      </c>
    </row>
    <row r="691" spans="1:16">
      <c r="A691" s="1">
        <v>45964</v>
      </c>
      <c r="B691">
        <v>5</v>
      </c>
      <c r="C691" t="s">
        <v>100</v>
      </c>
      <c r="D691">
        <v>4</v>
      </c>
      <c r="E691" s="2">
        <v>11.5</v>
      </c>
      <c r="F691" s="2">
        <v>318</v>
      </c>
      <c r="G691" s="2">
        <v>-306.68</v>
      </c>
      <c r="H691" s="2">
        <v>370.98</v>
      </c>
      <c r="I691" s="2">
        <v>-365.44</v>
      </c>
      <c r="J691" s="2">
        <v>0.59</v>
      </c>
      <c r="K691" s="2">
        <v>-1.47</v>
      </c>
      <c r="L691" s="2">
        <v>1.58</v>
      </c>
      <c r="M691" s="2">
        <v>-0.92</v>
      </c>
      <c r="N691" t="s">
        <v>98</v>
      </c>
      <c r="O691">
        <v>32</v>
      </c>
      <c r="P691" t="s">
        <v>322</v>
      </c>
    </row>
    <row r="692" spans="1:16">
      <c r="A692" s="1">
        <v>45964</v>
      </c>
      <c r="B692">
        <v>5</v>
      </c>
      <c r="C692" t="s">
        <v>100</v>
      </c>
      <c r="D692">
        <v>4</v>
      </c>
      <c r="E692" s="2">
        <v>12</v>
      </c>
      <c r="F692" s="2">
        <v>296.83</v>
      </c>
      <c r="G692" s="2">
        <v>-286.48</v>
      </c>
      <c r="H692" s="2">
        <v>280.60000000000002</v>
      </c>
      <c r="I692" s="2">
        <v>-269.16000000000003</v>
      </c>
      <c r="J692" s="2">
        <v>0.55000000000000004</v>
      </c>
      <c r="K692" s="2">
        <v>-1.47</v>
      </c>
      <c r="L692" s="2">
        <v>1.57</v>
      </c>
      <c r="M692" s="2">
        <v>-0.99</v>
      </c>
      <c r="N692" t="s">
        <v>98</v>
      </c>
      <c r="O692">
        <v>32</v>
      </c>
      <c r="P692" t="s">
        <v>322</v>
      </c>
    </row>
    <row r="693" spans="1:16">
      <c r="A693" s="1">
        <v>45964</v>
      </c>
      <c r="B693">
        <v>5</v>
      </c>
      <c r="C693" t="s">
        <v>100</v>
      </c>
      <c r="D693">
        <v>4</v>
      </c>
      <c r="E693" s="2">
        <v>12.5</v>
      </c>
      <c r="F693" s="2">
        <v>250.64</v>
      </c>
      <c r="G693" s="2">
        <v>-242.37</v>
      </c>
      <c r="H693" s="2">
        <v>180.5</v>
      </c>
      <c r="I693" s="2">
        <v>-183.99</v>
      </c>
      <c r="J693" s="2">
        <v>0.56000000000000005</v>
      </c>
      <c r="K693" s="2">
        <v>-1.68</v>
      </c>
      <c r="L693" s="2">
        <v>1.77</v>
      </c>
      <c r="M693" s="2">
        <v>-0.82</v>
      </c>
      <c r="N693" t="s">
        <v>98</v>
      </c>
      <c r="O693">
        <v>32</v>
      </c>
      <c r="P693" t="s">
        <v>322</v>
      </c>
    </row>
    <row r="694" spans="1:16">
      <c r="A694" s="1">
        <v>45964</v>
      </c>
      <c r="B694">
        <v>5</v>
      </c>
      <c r="C694" t="s">
        <v>100</v>
      </c>
      <c r="D694">
        <v>4</v>
      </c>
      <c r="E694" s="2">
        <v>13</v>
      </c>
      <c r="F694" s="2">
        <v>219.32</v>
      </c>
      <c r="G694" s="2">
        <v>-210.6</v>
      </c>
      <c r="H694" s="2">
        <v>133.61000000000001</v>
      </c>
      <c r="I694" s="2">
        <v>-126.22</v>
      </c>
      <c r="J694" s="2">
        <v>0.57999999999999996</v>
      </c>
      <c r="K694" s="2">
        <v>-1.9</v>
      </c>
      <c r="L694" s="2">
        <v>1.99</v>
      </c>
      <c r="M694" s="2">
        <v>-0.64</v>
      </c>
      <c r="N694" t="s">
        <v>98</v>
      </c>
      <c r="O694">
        <v>32</v>
      </c>
      <c r="P694" t="s">
        <v>322</v>
      </c>
    </row>
    <row r="695" spans="1:16">
      <c r="A695" s="1">
        <v>45964</v>
      </c>
      <c r="B695">
        <v>5</v>
      </c>
      <c r="C695" t="s">
        <v>100</v>
      </c>
      <c r="D695">
        <v>4</v>
      </c>
      <c r="E695" s="2">
        <v>13.5</v>
      </c>
      <c r="F695" s="2">
        <v>190.54</v>
      </c>
      <c r="G695" s="2">
        <v>-184.05</v>
      </c>
      <c r="H695" s="2">
        <v>143.1</v>
      </c>
      <c r="I695" s="2">
        <v>-157.74</v>
      </c>
      <c r="J695" s="2">
        <v>0.54</v>
      </c>
      <c r="K695" s="2">
        <v>-1.82</v>
      </c>
      <c r="L695" s="2">
        <v>1.9</v>
      </c>
      <c r="M695" s="2">
        <v>-0.66</v>
      </c>
      <c r="N695" t="s">
        <v>98</v>
      </c>
      <c r="O695">
        <v>32</v>
      </c>
      <c r="P695" t="s">
        <v>322</v>
      </c>
    </row>
    <row r="696" spans="1:16">
      <c r="A696" s="1">
        <v>45964</v>
      </c>
      <c r="B696">
        <v>5</v>
      </c>
      <c r="C696" t="s">
        <v>100</v>
      </c>
      <c r="D696">
        <v>4</v>
      </c>
      <c r="E696" s="2">
        <v>14</v>
      </c>
      <c r="F696" s="2">
        <v>148.69</v>
      </c>
      <c r="G696" s="2">
        <v>-141.97999999999999</v>
      </c>
      <c r="H696" s="2">
        <v>158.13999999999999</v>
      </c>
      <c r="I696" s="2">
        <v>-167.9</v>
      </c>
      <c r="J696" s="2">
        <v>0.48</v>
      </c>
      <c r="K696" s="2">
        <v>-1.27</v>
      </c>
      <c r="L696" s="2">
        <v>1.35</v>
      </c>
      <c r="M696" s="2">
        <v>-0.76</v>
      </c>
      <c r="N696" t="s">
        <v>98</v>
      </c>
      <c r="O696">
        <v>32</v>
      </c>
      <c r="P696" t="s">
        <v>322</v>
      </c>
    </row>
    <row r="697" spans="1:16">
      <c r="A697" s="1">
        <v>45964</v>
      </c>
      <c r="B697">
        <v>5</v>
      </c>
      <c r="C697" t="s">
        <v>100</v>
      </c>
      <c r="D697">
        <v>4</v>
      </c>
      <c r="E697" s="2">
        <v>14.5</v>
      </c>
      <c r="F697" s="2">
        <v>143.13999999999999</v>
      </c>
      <c r="G697" s="2">
        <v>-135.30000000000001</v>
      </c>
      <c r="H697" s="2">
        <v>187.71</v>
      </c>
      <c r="I697" s="2">
        <v>-184.47</v>
      </c>
      <c r="J697" s="2">
        <v>0.52</v>
      </c>
      <c r="K697" s="2">
        <v>-1.63</v>
      </c>
      <c r="L697" s="2">
        <v>1.71</v>
      </c>
      <c r="M697" s="2">
        <v>-0.68</v>
      </c>
      <c r="N697" t="s">
        <v>98</v>
      </c>
      <c r="O697">
        <v>32</v>
      </c>
      <c r="P697" t="s">
        <v>322</v>
      </c>
    </row>
    <row r="698" spans="1:16">
      <c r="A698" s="1">
        <v>45964</v>
      </c>
      <c r="B698">
        <v>5</v>
      </c>
      <c r="C698" t="s">
        <v>100</v>
      </c>
      <c r="D698">
        <v>4</v>
      </c>
      <c r="E698" s="2">
        <v>15</v>
      </c>
      <c r="F698" s="2">
        <v>147.38999999999999</v>
      </c>
      <c r="G698" s="2">
        <v>-139.66999999999999</v>
      </c>
      <c r="H698" s="2">
        <v>270.26</v>
      </c>
      <c r="I698" s="2">
        <v>-263.60000000000002</v>
      </c>
      <c r="J698" s="2">
        <v>0.48</v>
      </c>
      <c r="K698" s="2">
        <v>-1.71</v>
      </c>
      <c r="L698" s="2">
        <v>1.77</v>
      </c>
      <c r="M698" s="2">
        <v>-0.72</v>
      </c>
      <c r="N698" t="s">
        <v>98</v>
      </c>
      <c r="O698">
        <v>32</v>
      </c>
      <c r="P698" t="s">
        <v>322</v>
      </c>
    </row>
    <row r="699" spans="1:16">
      <c r="A699" s="1">
        <v>45964</v>
      </c>
      <c r="B699">
        <v>5</v>
      </c>
      <c r="C699" t="s">
        <v>100</v>
      </c>
      <c r="D699">
        <v>4</v>
      </c>
      <c r="E699" s="2">
        <v>15.5</v>
      </c>
      <c r="F699" s="2">
        <v>59.12</v>
      </c>
      <c r="G699" s="2">
        <v>-57.36</v>
      </c>
      <c r="H699" s="2">
        <v>338.49</v>
      </c>
      <c r="I699" s="2">
        <v>-340.28</v>
      </c>
      <c r="J699" s="2">
        <v>0.44</v>
      </c>
      <c r="K699" s="2">
        <v>-1.55</v>
      </c>
      <c r="L699" s="2">
        <v>1.61</v>
      </c>
      <c r="M699" s="2">
        <v>-0.96</v>
      </c>
      <c r="N699" t="s">
        <v>98</v>
      </c>
      <c r="O699">
        <v>32</v>
      </c>
      <c r="P699" t="s">
        <v>322</v>
      </c>
    </row>
    <row r="700" spans="1:16">
      <c r="A700" s="1">
        <v>45964</v>
      </c>
      <c r="B700">
        <v>5</v>
      </c>
      <c r="C700" t="s">
        <v>100</v>
      </c>
      <c r="D700">
        <v>4</v>
      </c>
      <c r="E700" s="2">
        <v>16</v>
      </c>
      <c r="F700" s="2">
        <v>200</v>
      </c>
      <c r="G700" s="2">
        <v>-184.36</v>
      </c>
      <c r="H700" s="2">
        <v>194.93</v>
      </c>
      <c r="I700" s="2">
        <v>-168.27</v>
      </c>
      <c r="J700" s="2">
        <v>0.42</v>
      </c>
      <c r="K700" s="2">
        <v>-1.6</v>
      </c>
      <c r="L700" s="2">
        <v>1.66</v>
      </c>
      <c r="M700" s="2">
        <v>-0.75</v>
      </c>
      <c r="N700" t="s">
        <v>98</v>
      </c>
      <c r="O700">
        <v>32</v>
      </c>
      <c r="P700" t="s">
        <v>322</v>
      </c>
    </row>
    <row r="701" spans="1:16">
      <c r="A701" s="1">
        <v>45964</v>
      </c>
      <c r="B701">
        <v>5</v>
      </c>
      <c r="C701" t="s">
        <v>100</v>
      </c>
      <c r="D701">
        <v>4</v>
      </c>
      <c r="E701" s="2">
        <v>16.5</v>
      </c>
      <c r="F701" s="2">
        <v>322.10000000000002</v>
      </c>
      <c r="G701" s="2">
        <v>-318.47000000000003</v>
      </c>
      <c r="H701" s="2">
        <v>205.26</v>
      </c>
      <c r="I701" s="2">
        <v>-204.33</v>
      </c>
      <c r="J701" s="2">
        <v>0.39</v>
      </c>
      <c r="K701" s="2">
        <v>-1.84</v>
      </c>
      <c r="L701" s="2">
        <v>1.88</v>
      </c>
      <c r="M701" s="2">
        <v>-0.67</v>
      </c>
      <c r="N701" t="s">
        <v>98</v>
      </c>
      <c r="O701">
        <v>32</v>
      </c>
      <c r="P701" t="s">
        <v>322</v>
      </c>
    </row>
    <row r="702" spans="1:16">
      <c r="A702" s="1">
        <v>45964</v>
      </c>
      <c r="B702">
        <v>5</v>
      </c>
      <c r="C702" t="s">
        <v>100</v>
      </c>
      <c r="D702">
        <v>4</v>
      </c>
      <c r="E702" s="2">
        <v>17</v>
      </c>
      <c r="F702" s="2">
        <v>385.42</v>
      </c>
      <c r="G702" s="2">
        <v>-375.69</v>
      </c>
      <c r="H702" s="2">
        <v>246.3</v>
      </c>
      <c r="I702" s="2">
        <v>-243.44</v>
      </c>
      <c r="J702" s="2">
        <v>0.36</v>
      </c>
      <c r="K702" s="2">
        <v>-1.52</v>
      </c>
      <c r="L702" s="2">
        <v>1.56</v>
      </c>
      <c r="M702" s="2">
        <v>-0.74</v>
      </c>
      <c r="N702" t="s">
        <v>98</v>
      </c>
      <c r="O702">
        <v>32</v>
      </c>
      <c r="P702" t="s">
        <v>322</v>
      </c>
    </row>
    <row r="703" spans="1:16">
      <c r="A703" s="1">
        <v>45964</v>
      </c>
      <c r="B703">
        <v>5</v>
      </c>
      <c r="C703" t="s">
        <v>100</v>
      </c>
      <c r="D703">
        <v>4</v>
      </c>
      <c r="E703" s="2">
        <v>17.5</v>
      </c>
      <c r="F703" s="2">
        <v>380.57</v>
      </c>
      <c r="G703" s="2">
        <v>-376.14</v>
      </c>
      <c r="H703" s="2">
        <v>154.72</v>
      </c>
      <c r="I703" s="2">
        <v>-166.98</v>
      </c>
      <c r="J703" s="2">
        <v>0.34</v>
      </c>
      <c r="K703" s="2">
        <v>-1.34</v>
      </c>
      <c r="L703" s="2">
        <v>1.38</v>
      </c>
      <c r="M703" s="2">
        <v>-0.64</v>
      </c>
      <c r="N703" t="s">
        <v>98</v>
      </c>
      <c r="O703">
        <v>32</v>
      </c>
      <c r="P703" t="s">
        <v>322</v>
      </c>
    </row>
    <row r="704" spans="1:16">
      <c r="A704" s="1">
        <v>45964</v>
      </c>
      <c r="B704">
        <v>5</v>
      </c>
      <c r="C704" t="s">
        <v>100</v>
      </c>
      <c r="D704">
        <v>4</v>
      </c>
      <c r="E704" s="2">
        <v>18</v>
      </c>
      <c r="F704" s="2">
        <v>349.55</v>
      </c>
      <c r="G704" s="2">
        <v>-341.15</v>
      </c>
      <c r="H704" s="2">
        <v>104.05</v>
      </c>
      <c r="I704" s="2">
        <v>-99.71</v>
      </c>
      <c r="J704" s="2">
        <v>0.34</v>
      </c>
      <c r="K704" s="2">
        <v>-0.96</v>
      </c>
      <c r="L704" s="2">
        <v>1.02</v>
      </c>
      <c r="M704" s="2">
        <v>-0.64</v>
      </c>
      <c r="N704" t="s">
        <v>98</v>
      </c>
      <c r="O704">
        <v>32</v>
      </c>
      <c r="P704" t="s">
        <v>322</v>
      </c>
    </row>
    <row r="705" spans="1:16">
      <c r="A705" s="1">
        <v>45964</v>
      </c>
      <c r="B705">
        <v>5</v>
      </c>
      <c r="C705" t="s">
        <v>100</v>
      </c>
      <c r="D705">
        <v>4</v>
      </c>
      <c r="E705" s="2">
        <v>18.5</v>
      </c>
      <c r="F705" s="2">
        <v>319.11</v>
      </c>
      <c r="G705" s="2">
        <v>-312.72000000000003</v>
      </c>
      <c r="H705" s="2">
        <v>57.71</v>
      </c>
      <c r="I705" s="2">
        <v>-62.53</v>
      </c>
      <c r="J705" s="2">
        <v>0.34</v>
      </c>
      <c r="K705" s="2">
        <v>-0.8</v>
      </c>
      <c r="L705" s="2">
        <v>0.87</v>
      </c>
      <c r="M705" s="2">
        <v>-0.67</v>
      </c>
      <c r="N705" t="s">
        <v>98</v>
      </c>
      <c r="O705">
        <v>32</v>
      </c>
      <c r="P705" t="s">
        <v>322</v>
      </c>
    </row>
    <row r="706" spans="1:16">
      <c r="A706" s="1">
        <v>45964</v>
      </c>
      <c r="B706">
        <v>5</v>
      </c>
      <c r="C706" t="s">
        <v>100</v>
      </c>
      <c r="D706">
        <v>4</v>
      </c>
      <c r="E706" s="2">
        <v>19</v>
      </c>
      <c r="F706" s="2">
        <v>303.91000000000003</v>
      </c>
      <c r="G706" s="2">
        <v>-299.3</v>
      </c>
      <c r="H706" s="2">
        <v>53.78</v>
      </c>
      <c r="I706" s="2">
        <v>-52.61</v>
      </c>
      <c r="J706" s="2">
        <v>0.27</v>
      </c>
      <c r="K706" s="2">
        <v>-0.96</v>
      </c>
      <c r="L706" s="2">
        <v>1</v>
      </c>
      <c r="M706" s="2">
        <v>-0.45</v>
      </c>
      <c r="N706" t="s">
        <v>98</v>
      </c>
      <c r="O706">
        <v>32</v>
      </c>
      <c r="P706" t="s">
        <v>322</v>
      </c>
    </row>
    <row r="707" spans="1:16">
      <c r="A707" s="1">
        <v>45964</v>
      </c>
      <c r="B707">
        <v>5</v>
      </c>
      <c r="C707" t="s">
        <v>100</v>
      </c>
      <c r="D707">
        <v>4</v>
      </c>
      <c r="E707" s="2">
        <v>19.5</v>
      </c>
      <c r="F707" s="2">
        <v>214.77</v>
      </c>
      <c r="G707" s="2">
        <v>-207.44</v>
      </c>
      <c r="H707" s="2">
        <v>100.91</v>
      </c>
      <c r="I707" s="2">
        <v>-89.35</v>
      </c>
      <c r="J707" s="2">
        <v>0.22</v>
      </c>
      <c r="K707" s="2">
        <v>-0.99</v>
      </c>
      <c r="L707" s="2">
        <v>1.02</v>
      </c>
      <c r="M707" s="2">
        <v>-0.4</v>
      </c>
      <c r="N707" t="s">
        <v>98</v>
      </c>
      <c r="O707">
        <v>32</v>
      </c>
      <c r="P707" t="s">
        <v>322</v>
      </c>
    </row>
    <row r="708" spans="1:16">
      <c r="A708" s="1">
        <v>45964</v>
      </c>
      <c r="B708">
        <v>5</v>
      </c>
      <c r="C708" t="s">
        <v>100</v>
      </c>
      <c r="D708">
        <v>4</v>
      </c>
      <c r="E708" s="2">
        <v>20</v>
      </c>
      <c r="F708" s="2">
        <v>146.06</v>
      </c>
      <c r="G708" s="2">
        <v>-138.79</v>
      </c>
      <c r="H708" s="2">
        <v>135.46</v>
      </c>
      <c r="I708" s="2">
        <v>-145.36000000000001</v>
      </c>
      <c r="J708" s="2">
        <v>0.17</v>
      </c>
      <c r="K708" s="2">
        <v>-0.66</v>
      </c>
      <c r="L708" s="2">
        <v>0.68</v>
      </c>
      <c r="M708" s="2">
        <v>-0.38</v>
      </c>
      <c r="N708" t="s">
        <v>98</v>
      </c>
      <c r="O708">
        <v>32</v>
      </c>
      <c r="P708" t="s">
        <v>322</v>
      </c>
    </row>
    <row r="709" spans="1:16">
      <c r="A709" s="1">
        <v>45964</v>
      </c>
      <c r="B709">
        <v>5</v>
      </c>
      <c r="C709" t="s">
        <v>100</v>
      </c>
      <c r="D709">
        <v>4</v>
      </c>
      <c r="E709" s="2">
        <v>20.5</v>
      </c>
      <c r="F709" s="2">
        <v>154.51</v>
      </c>
      <c r="G709" s="2">
        <v>-150.01</v>
      </c>
      <c r="H709" s="2">
        <v>153.27000000000001</v>
      </c>
      <c r="I709" s="2">
        <v>-160.9</v>
      </c>
      <c r="J709" s="2">
        <v>0.15</v>
      </c>
      <c r="K709" s="2">
        <v>-0.57999999999999996</v>
      </c>
      <c r="L709" s="2">
        <v>0.6</v>
      </c>
      <c r="M709" s="2">
        <v>-7.0000000000000007E-2</v>
      </c>
      <c r="N709" t="s">
        <v>98</v>
      </c>
      <c r="O709">
        <v>32</v>
      </c>
      <c r="P709" t="s">
        <v>322</v>
      </c>
    </row>
    <row r="710" spans="1:16">
      <c r="A710" s="1">
        <v>45964</v>
      </c>
      <c r="B710">
        <v>5</v>
      </c>
      <c r="C710" t="s">
        <v>100</v>
      </c>
      <c r="D710">
        <v>4</v>
      </c>
      <c r="E710" s="2">
        <v>21</v>
      </c>
      <c r="F710" s="2">
        <v>162.34</v>
      </c>
      <c r="G710" s="2">
        <v>-157.56</v>
      </c>
      <c r="H710" s="2">
        <v>157.03</v>
      </c>
      <c r="I710" s="2">
        <v>-181.53</v>
      </c>
      <c r="J710" s="2">
        <v>0.13</v>
      </c>
      <c r="K710" s="2">
        <v>-0.21</v>
      </c>
      <c r="L710" s="2">
        <v>0.24</v>
      </c>
      <c r="M710" s="2">
        <v>0.01</v>
      </c>
      <c r="N710" t="s">
        <v>98</v>
      </c>
      <c r="O710">
        <v>32</v>
      </c>
      <c r="P710" t="s">
        <v>322</v>
      </c>
    </row>
    <row r="711" spans="1:16">
      <c r="A711" s="1">
        <v>45964</v>
      </c>
      <c r="B711">
        <v>5</v>
      </c>
      <c r="C711" t="s">
        <v>100</v>
      </c>
      <c r="D711">
        <v>4</v>
      </c>
      <c r="E711" s="2">
        <v>21.5</v>
      </c>
      <c r="F711" s="2">
        <v>180.37</v>
      </c>
      <c r="G711" s="2">
        <v>-174.95</v>
      </c>
      <c r="H711" s="2">
        <v>171.88</v>
      </c>
      <c r="I711" s="2">
        <v>-183.49</v>
      </c>
      <c r="J711" s="2">
        <v>0.06</v>
      </c>
      <c r="K711" s="2">
        <v>-0.06</v>
      </c>
      <c r="L711" s="2">
        <v>0.08</v>
      </c>
      <c r="M711" s="2">
        <v>-0.17</v>
      </c>
      <c r="N711" t="s">
        <v>98</v>
      </c>
      <c r="O711">
        <v>32</v>
      </c>
      <c r="P711" t="s">
        <v>322</v>
      </c>
    </row>
    <row r="712" spans="1:16">
      <c r="A712" s="1">
        <v>45964</v>
      </c>
      <c r="B712">
        <v>5</v>
      </c>
      <c r="C712" t="s">
        <v>100</v>
      </c>
      <c r="D712">
        <v>4</v>
      </c>
      <c r="E712" s="2">
        <v>22</v>
      </c>
      <c r="F712" s="2">
        <v>189.75</v>
      </c>
      <c r="G712" s="2">
        <v>-183.97</v>
      </c>
      <c r="H712" s="2">
        <v>185.02</v>
      </c>
      <c r="I712" s="2">
        <v>-181.1</v>
      </c>
      <c r="J712" s="2">
        <v>0.03</v>
      </c>
      <c r="K712" s="2">
        <v>0.19</v>
      </c>
      <c r="L712" s="2">
        <v>0.19</v>
      </c>
      <c r="M712" s="2">
        <v>-0.24</v>
      </c>
      <c r="N712" t="s">
        <v>98</v>
      </c>
      <c r="O712">
        <v>32</v>
      </c>
      <c r="P712" t="s">
        <v>322</v>
      </c>
    </row>
    <row r="713" spans="1:16">
      <c r="A713" s="1">
        <v>45971</v>
      </c>
      <c r="B713">
        <v>6</v>
      </c>
      <c r="C713" t="s">
        <v>94</v>
      </c>
      <c r="D713">
        <v>6</v>
      </c>
      <c r="E713" s="2">
        <v>0.5</v>
      </c>
      <c r="F713" s="2">
        <v>-379.4</v>
      </c>
      <c r="G713" s="2">
        <v>377.69</v>
      </c>
      <c r="H713" s="2">
        <v>-826.24</v>
      </c>
      <c r="I713" s="2">
        <v>863.4</v>
      </c>
      <c r="J713" s="2">
        <v>0.89</v>
      </c>
      <c r="K713" s="2">
        <v>1.56</v>
      </c>
      <c r="L713" s="2">
        <v>1.8</v>
      </c>
      <c r="M713" s="2">
        <v>-0.18</v>
      </c>
      <c r="N713" t="s">
        <v>230</v>
      </c>
      <c r="O713">
        <v>16</v>
      </c>
    </row>
    <row r="714" spans="1:16">
      <c r="A714" s="1">
        <v>45971</v>
      </c>
      <c r="B714">
        <v>6</v>
      </c>
      <c r="C714" t="s">
        <v>94</v>
      </c>
      <c r="D714">
        <v>6</v>
      </c>
      <c r="E714" s="2">
        <v>1</v>
      </c>
      <c r="F714" s="2">
        <v>-379.15</v>
      </c>
      <c r="G714" s="2">
        <v>377.39</v>
      </c>
      <c r="H714" s="2">
        <v>-825.89</v>
      </c>
      <c r="I714" s="2">
        <v>863.51</v>
      </c>
      <c r="J714" s="2">
        <v>1.52</v>
      </c>
      <c r="K714" s="2">
        <v>2.4500000000000002</v>
      </c>
      <c r="L714" s="2">
        <v>2.88</v>
      </c>
      <c r="M714" s="2">
        <v>-0.53</v>
      </c>
      <c r="N714" t="s">
        <v>230</v>
      </c>
      <c r="O714">
        <v>16</v>
      </c>
    </row>
    <row r="715" spans="1:16">
      <c r="A715" s="1">
        <v>45971</v>
      </c>
      <c r="B715">
        <v>6</v>
      </c>
      <c r="C715" t="s">
        <v>94</v>
      </c>
      <c r="D715">
        <v>6</v>
      </c>
      <c r="E715" s="2">
        <v>1.5</v>
      </c>
      <c r="F715" s="2">
        <v>-5.99</v>
      </c>
      <c r="G715" s="2">
        <v>19.55</v>
      </c>
      <c r="H715" s="2">
        <v>-268.27999999999997</v>
      </c>
      <c r="I715" s="2">
        <v>281.86</v>
      </c>
      <c r="J715" s="2">
        <v>2.2000000000000002</v>
      </c>
      <c r="K715" s="2">
        <v>2.94</v>
      </c>
      <c r="L715" s="2">
        <v>3.67</v>
      </c>
      <c r="M715" s="2">
        <v>-0.95</v>
      </c>
      <c r="N715" t="s">
        <v>230</v>
      </c>
      <c r="O715">
        <v>16</v>
      </c>
    </row>
    <row r="716" spans="1:16">
      <c r="A716" s="1">
        <v>45971</v>
      </c>
      <c r="B716">
        <v>6</v>
      </c>
      <c r="C716" t="s">
        <v>94</v>
      </c>
      <c r="D716">
        <v>6</v>
      </c>
      <c r="E716" s="2">
        <v>2</v>
      </c>
      <c r="F716" s="2">
        <v>12.3</v>
      </c>
      <c r="G716" s="2">
        <v>-3.46</v>
      </c>
      <c r="H716" s="2">
        <v>-228.79</v>
      </c>
      <c r="I716" s="2">
        <v>235.24</v>
      </c>
      <c r="J716" s="2">
        <v>2.0499999999999998</v>
      </c>
      <c r="K716" s="2">
        <v>3.04</v>
      </c>
      <c r="L716" s="2">
        <v>3.67</v>
      </c>
      <c r="M716" s="2">
        <v>-0.81</v>
      </c>
      <c r="N716" t="s">
        <v>230</v>
      </c>
      <c r="O716">
        <v>16</v>
      </c>
    </row>
    <row r="717" spans="1:16">
      <c r="A717" s="1">
        <v>45971</v>
      </c>
      <c r="B717">
        <v>6</v>
      </c>
      <c r="C717" t="s">
        <v>94</v>
      </c>
      <c r="D717">
        <v>6</v>
      </c>
      <c r="E717" s="2">
        <v>2.5</v>
      </c>
      <c r="F717" s="2">
        <v>31.56</v>
      </c>
      <c r="G717" s="2">
        <v>-22.49</v>
      </c>
      <c r="H717" s="2">
        <v>-206.13</v>
      </c>
      <c r="I717" s="2">
        <v>221.16</v>
      </c>
      <c r="J717" s="2">
        <v>2.52</v>
      </c>
      <c r="K717" s="2">
        <v>3.2</v>
      </c>
      <c r="L717" s="2">
        <v>4.07</v>
      </c>
      <c r="M717" s="2">
        <v>-0.72</v>
      </c>
      <c r="N717" t="s">
        <v>230</v>
      </c>
      <c r="O717">
        <v>16</v>
      </c>
    </row>
    <row r="718" spans="1:16">
      <c r="A718" s="1">
        <v>45971</v>
      </c>
      <c r="B718">
        <v>6</v>
      </c>
      <c r="C718" t="s">
        <v>94</v>
      </c>
      <c r="D718">
        <v>6</v>
      </c>
      <c r="E718" s="2">
        <v>3</v>
      </c>
      <c r="F718" s="2">
        <v>11.71</v>
      </c>
      <c r="G718" s="2">
        <v>-0.56000000000000005</v>
      </c>
      <c r="H718" s="2">
        <v>-155.55000000000001</v>
      </c>
      <c r="I718" s="2">
        <v>164.62</v>
      </c>
      <c r="J718" s="2">
        <v>2.74</v>
      </c>
      <c r="K718" s="2">
        <v>3.13</v>
      </c>
      <c r="L718" s="2">
        <v>4.16</v>
      </c>
      <c r="M718" s="2">
        <v>-0.67</v>
      </c>
      <c r="N718" t="s">
        <v>230</v>
      </c>
      <c r="O718">
        <v>16</v>
      </c>
    </row>
    <row r="719" spans="1:16">
      <c r="A719" s="1">
        <v>45971</v>
      </c>
      <c r="B719">
        <v>6</v>
      </c>
      <c r="C719" t="s">
        <v>94</v>
      </c>
      <c r="D719">
        <v>6</v>
      </c>
      <c r="E719" s="2">
        <v>3.5</v>
      </c>
      <c r="F719" s="2">
        <v>-6.84</v>
      </c>
      <c r="G719" s="2">
        <v>15.91</v>
      </c>
      <c r="H719" s="2">
        <v>-97.41</v>
      </c>
      <c r="I719" s="2">
        <v>111.15</v>
      </c>
      <c r="J719" s="2">
        <v>2.82</v>
      </c>
      <c r="K719" s="2">
        <v>3.01</v>
      </c>
      <c r="L719" s="2">
        <v>4.13</v>
      </c>
      <c r="M719" s="2">
        <v>-0.67</v>
      </c>
      <c r="N719" t="s">
        <v>230</v>
      </c>
      <c r="O719">
        <v>16</v>
      </c>
    </row>
    <row r="720" spans="1:16">
      <c r="A720" s="1">
        <v>45971</v>
      </c>
      <c r="B720">
        <v>6</v>
      </c>
      <c r="C720" t="s">
        <v>94</v>
      </c>
      <c r="D720">
        <v>6</v>
      </c>
      <c r="E720" s="2">
        <v>4</v>
      </c>
      <c r="F720" s="2">
        <v>62.44</v>
      </c>
      <c r="G720" s="2">
        <v>-52.6</v>
      </c>
      <c r="H720" s="2">
        <v>-83.95</v>
      </c>
      <c r="I720" s="2">
        <v>77.739999999999995</v>
      </c>
      <c r="J720" s="2">
        <v>2.87</v>
      </c>
      <c r="K720" s="2">
        <v>3.03</v>
      </c>
      <c r="L720" s="2">
        <v>4.18</v>
      </c>
      <c r="M720" s="2">
        <v>-0.73</v>
      </c>
      <c r="N720" t="s">
        <v>230</v>
      </c>
      <c r="O720">
        <v>16</v>
      </c>
    </row>
    <row r="721" spans="1:15">
      <c r="A721" s="1">
        <v>45971</v>
      </c>
      <c r="B721">
        <v>6</v>
      </c>
      <c r="C721" t="s">
        <v>94</v>
      </c>
      <c r="D721">
        <v>6</v>
      </c>
      <c r="E721" s="2">
        <v>4.5</v>
      </c>
      <c r="F721" s="2">
        <v>59.15</v>
      </c>
      <c r="G721" s="2">
        <v>-49.25</v>
      </c>
      <c r="H721" s="2">
        <v>-46.03</v>
      </c>
      <c r="I721" s="2">
        <v>48.82</v>
      </c>
      <c r="J721" s="2">
        <v>2.94</v>
      </c>
      <c r="K721" s="2">
        <v>2.75</v>
      </c>
      <c r="L721" s="2">
        <v>4.03</v>
      </c>
      <c r="M721" s="2">
        <v>-0.69</v>
      </c>
      <c r="N721" t="s">
        <v>230</v>
      </c>
      <c r="O721">
        <v>16</v>
      </c>
    </row>
    <row r="722" spans="1:15">
      <c r="A722" s="1">
        <v>45971</v>
      </c>
      <c r="B722">
        <v>6</v>
      </c>
      <c r="C722" t="s">
        <v>94</v>
      </c>
      <c r="D722">
        <v>6</v>
      </c>
      <c r="E722" s="2">
        <v>5</v>
      </c>
      <c r="F722" s="2">
        <v>3.4</v>
      </c>
      <c r="G722" s="2">
        <v>6.95</v>
      </c>
      <c r="H722" s="2">
        <v>21.39</v>
      </c>
      <c r="I722" s="2">
        <v>-22.21</v>
      </c>
      <c r="J722" s="2">
        <v>3.16</v>
      </c>
      <c r="K722" s="2">
        <v>2.4</v>
      </c>
      <c r="L722" s="2">
        <v>3.97</v>
      </c>
      <c r="M722" s="2">
        <v>-0.78</v>
      </c>
      <c r="N722" t="s">
        <v>230</v>
      </c>
      <c r="O722">
        <v>16</v>
      </c>
    </row>
    <row r="723" spans="1:15">
      <c r="A723" s="1">
        <v>45971</v>
      </c>
      <c r="B723">
        <v>6</v>
      </c>
      <c r="C723" t="s">
        <v>94</v>
      </c>
      <c r="D723">
        <v>6</v>
      </c>
      <c r="E723" s="2">
        <v>5.5</v>
      </c>
      <c r="F723" s="2">
        <v>2.5099999999999998</v>
      </c>
      <c r="G723" s="2">
        <v>7.01</v>
      </c>
      <c r="H723" s="2">
        <v>10.17</v>
      </c>
      <c r="I723" s="2">
        <v>-13.29</v>
      </c>
      <c r="J723" s="2">
        <v>3.25</v>
      </c>
      <c r="K723" s="2">
        <v>2.52</v>
      </c>
      <c r="L723" s="2">
        <v>4.1100000000000003</v>
      </c>
      <c r="M723" s="2">
        <v>-0.71</v>
      </c>
      <c r="N723" t="s">
        <v>230</v>
      </c>
      <c r="O723">
        <v>16</v>
      </c>
    </row>
    <row r="724" spans="1:15">
      <c r="A724" s="1">
        <v>45971</v>
      </c>
      <c r="B724">
        <v>6</v>
      </c>
      <c r="C724" t="s">
        <v>94</v>
      </c>
      <c r="D724">
        <v>6</v>
      </c>
      <c r="E724" s="2">
        <v>6</v>
      </c>
      <c r="F724" s="2">
        <v>17.16</v>
      </c>
      <c r="G724" s="2">
        <v>-8.74</v>
      </c>
      <c r="H724" s="2">
        <v>-45.6</v>
      </c>
      <c r="I724" s="2">
        <v>36.31</v>
      </c>
      <c r="J724" s="2">
        <v>3.35</v>
      </c>
      <c r="K724" s="2">
        <v>2.58</v>
      </c>
      <c r="L724" s="2">
        <v>4.2300000000000004</v>
      </c>
      <c r="M724" s="2">
        <v>-0.75</v>
      </c>
      <c r="N724" t="s">
        <v>230</v>
      </c>
      <c r="O724">
        <v>16</v>
      </c>
    </row>
    <row r="725" spans="1:15">
      <c r="A725" s="1">
        <v>45971</v>
      </c>
      <c r="B725">
        <v>6</v>
      </c>
      <c r="C725" t="s">
        <v>94</v>
      </c>
      <c r="D725">
        <v>6</v>
      </c>
      <c r="E725" s="2">
        <v>6.5</v>
      </c>
      <c r="F725" s="2">
        <v>24.03</v>
      </c>
      <c r="G725" s="2">
        <v>-13.04</v>
      </c>
      <c r="H725" s="2">
        <v>-68.88</v>
      </c>
      <c r="I725" s="2">
        <v>61.06</v>
      </c>
      <c r="J725" s="2">
        <v>3.42</v>
      </c>
      <c r="K725" s="2">
        <v>2.5099999999999998</v>
      </c>
      <c r="L725" s="2">
        <v>4.24</v>
      </c>
      <c r="M725" s="2">
        <v>-0.7</v>
      </c>
      <c r="N725" t="s">
        <v>230</v>
      </c>
      <c r="O725">
        <v>16</v>
      </c>
    </row>
    <row r="726" spans="1:15">
      <c r="A726" s="1">
        <v>45971</v>
      </c>
      <c r="B726">
        <v>6</v>
      </c>
      <c r="C726" t="s">
        <v>94</v>
      </c>
      <c r="D726">
        <v>6</v>
      </c>
      <c r="E726" s="2">
        <v>7</v>
      </c>
      <c r="F726" s="2">
        <v>100.3</v>
      </c>
      <c r="G726" s="2">
        <v>-94.31</v>
      </c>
      <c r="H726" s="2">
        <v>-58.33</v>
      </c>
      <c r="I726" s="2">
        <v>44.36</v>
      </c>
      <c r="J726" s="2">
        <v>3.13</v>
      </c>
      <c r="K726" s="2">
        <v>2.42</v>
      </c>
      <c r="L726" s="2">
        <v>3.96</v>
      </c>
      <c r="M726" s="2">
        <v>-0.59</v>
      </c>
      <c r="N726" t="s">
        <v>230</v>
      </c>
      <c r="O726">
        <v>16</v>
      </c>
    </row>
    <row r="727" spans="1:15">
      <c r="A727" s="1">
        <v>45971</v>
      </c>
      <c r="B727">
        <v>6</v>
      </c>
      <c r="C727" t="s">
        <v>94</v>
      </c>
      <c r="D727">
        <v>6</v>
      </c>
      <c r="E727" s="2">
        <v>7.5</v>
      </c>
      <c r="F727" s="2">
        <v>60.77</v>
      </c>
      <c r="G727" s="2">
        <v>-54.94</v>
      </c>
      <c r="H727" s="2">
        <v>-52.35</v>
      </c>
      <c r="I727" s="2">
        <v>42.73</v>
      </c>
      <c r="J727" s="2">
        <v>3.03</v>
      </c>
      <c r="K727" s="2">
        <v>2.44</v>
      </c>
      <c r="L727" s="2">
        <v>3.88</v>
      </c>
      <c r="M727" s="2">
        <v>-0.52</v>
      </c>
      <c r="N727" t="s">
        <v>230</v>
      </c>
      <c r="O727">
        <v>16</v>
      </c>
    </row>
    <row r="728" spans="1:15">
      <c r="A728" s="1">
        <v>45971</v>
      </c>
      <c r="B728">
        <v>6</v>
      </c>
      <c r="C728" t="s">
        <v>94</v>
      </c>
      <c r="D728">
        <v>6</v>
      </c>
      <c r="E728" s="2">
        <v>8</v>
      </c>
      <c r="F728" s="2">
        <v>39.36</v>
      </c>
      <c r="G728" s="2">
        <v>-30.82</v>
      </c>
      <c r="H728" s="2">
        <v>-42.33</v>
      </c>
      <c r="I728" s="2">
        <v>37.57</v>
      </c>
      <c r="J728" s="2">
        <v>2.8</v>
      </c>
      <c r="K728" s="2">
        <v>2.42</v>
      </c>
      <c r="L728" s="2">
        <v>3.7</v>
      </c>
      <c r="M728" s="2">
        <v>-0.45</v>
      </c>
      <c r="N728" t="s">
        <v>230</v>
      </c>
      <c r="O728">
        <v>16</v>
      </c>
    </row>
    <row r="729" spans="1:15">
      <c r="A729" s="1">
        <v>45971</v>
      </c>
      <c r="B729">
        <v>6</v>
      </c>
      <c r="C729" t="s">
        <v>94</v>
      </c>
      <c r="D729">
        <v>6</v>
      </c>
      <c r="E729" s="2">
        <v>8.5</v>
      </c>
      <c r="F729" s="2">
        <v>1.92</v>
      </c>
      <c r="G729" s="2">
        <v>4.9800000000000004</v>
      </c>
      <c r="H729" s="2">
        <v>-14.95</v>
      </c>
      <c r="I729" s="2">
        <v>15.57</v>
      </c>
      <c r="J729" s="2">
        <v>2.61</v>
      </c>
      <c r="K729" s="2">
        <v>2.27</v>
      </c>
      <c r="L729" s="2">
        <v>3.46</v>
      </c>
      <c r="M729" s="2">
        <v>-0.43</v>
      </c>
      <c r="N729" t="s">
        <v>230</v>
      </c>
      <c r="O729">
        <v>16</v>
      </c>
    </row>
    <row r="730" spans="1:15">
      <c r="A730" s="1">
        <v>45971</v>
      </c>
      <c r="B730">
        <v>6</v>
      </c>
      <c r="C730" t="s">
        <v>94</v>
      </c>
      <c r="D730">
        <v>6</v>
      </c>
      <c r="E730" s="2">
        <v>9</v>
      </c>
      <c r="F730" s="2">
        <v>-43.09</v>
      </c>
      <c r="G730" s="2">
        <v>50.84</v>
      </c>
      <c r="H730" s="2">
        <v>5.68</v>
      </c>
      <c r="I730" s="2">
        <v>-3.45</v>
      </c>
      <c r="J730" s="2">
        <v>2.4700000000000002</v>
      </c>
      <c r="K730" s="2">
        <v>2.1800000000000002</v>
      </c>
      <c r="L730" s="2">
        <v>3.3</v>
      </c>
      <c r="M730" s="2">
        <v>-0.42</v>
      </c>
      <c r="N730" t="s">
        <v>230</v>
      </c>
      <c r="O730">
        <v>16</v>
      </c>
    </row>
    <row r="731" spans="1:15">
      <c r="A731" s="1">
        <v>45971</v>
      </c>
      <c r="B731">
        <v>6</v>
      </c>
      <c r="C731" t="s">
        <v>94</v>
      </c>
      <c r="D731">
        <v>6</v>
      </c>
      <c r="E731" s="2">
        <v>9.5</v>
      </c>
      <c r="F731" s="2">
        <v>-110.98</v>
      </c>
      <c r="G731" s="2">
        <v>114.87</v>
      </c>
      <c r="H731" s="2">
        <v>23.13</v>
      </c>
      <c r="I731" s="2">
        <v>-21.44</v>
      </c>
      <c r="J731" s="2">
        <v>2.39</v>
      </c>
      <c r="K731" s="2">
        <v>2.15</v>
      </c>
      <c r="L731" s="2">
        <v>3.21</v>
      </c>
      <c r="M731" s="2">
        <v>-0.38</v>
      </c>
      <c r="N731" t="s">
        <v>230</v>
      </c>
      <c r="O731">
        <v>16</v>
      </c>
    </row>
    <row r="732" spans="1:15">
      <c r="A732" s="1">
        <v>45971</v>
      </c>
      <c r="B732">
        <v>6</v>
      </c>
      <c r="C732" t="s">
        <v>94</v>
      </c>
      <c r="D732">
        <v>6</v>
      </c>
      <c r="E732" s="2">
        <v>10</v>
      </c>
      <c r="F732" s="2">
        <v>-201.72</v>
      </c>
      <c r="G732" s="2">
        <v>209.95</v>
      </c>
      <c r="H732" s="2">
        <v>-56.7</v>
      </c>
      <c r="I732" s="2">
        <v>52.82</v>
      </c>
      <c r="J732" s="2">
        <v>2.21</v>
      </c>
      <c r="K732" s="2">
        <v>2.14</v>
      </c>
      <c r="L732" s="2">
        <v>3.07</v>
      </c>
      <c r="M732" s="2">
        <v>-0.34</v>
      </c>
      <c r="N732" t="s">
        <v>230</v>
      </c>
      <c r="O732">
        <v>16</v>
      </c>
    </row>
    <row r="733" spans="1:15">
      <c r="A733" s="1">
        <v>45971</v>
      </c>
      <c r="B733">
        <v>6</v>
      </c>
      <c r="C733" t="s">
        <v>94</v>
      </c>
      <c r="D733">
        <v>6</v>
      </c>
      <c r="E733" s="2">
        <v>10.5</v>
      </c>
      <c r="F733" s="2">
        <v>-193.81</v>
      </c>
      <c r="G733" s="2">
        <v>202.19</v>
      </c>
      <c r="H733" s="2">
        <v>-33.04</v>
      </c>
      <c r="I733" s="2">
        <v>33.869999999999997</v>
      </c>
      <c r="J733" s="2">
        <v>1.96</v>
      </c>
      <c r="K733" s="2">
        <v>1.92</v>
      </c>
      <c r="L733" s="2">
        <v>2.75</v>
      </c>
      <c r="M733" s="2">
        <v>-0.35</v>
      </c>
      <c r="N733" t="s">
        <v>230</v>
      </c>
      <c r="O733">
        <v>16</v>
      </c>
    </row>
    <row r="734" spans="1:15">
      <c r="A734" s="1">
        <v>45971</v>
      </c>
      <c r="B734">
        <v>6</v>
      </c>
      <c r="C734" t="s">
        <v>94</v>
      </c>
      <c r="D734">
        <v>6</v>
      </c>
      <c r="E734" s="2">
        <v>11</v>
      </c>
      <c r="F734" s="2">
        <v>-171.98</v>
      </c>
      <c r="G734" s="2">
        <v>173.55</v>
      </c>
      <c r="H734" s="2">
        <v>9.32</v>
      </c>
      <c r="I734" s="2">
        <v>-8.6999999999999993</v>
      </c>
      <c r="J734" s="2">
        <v>1.86</v>
      </c>
      <c r="K734" s="2">
        <v>2.0699999999999998</v>
      </c>
      <c r="L734" s="2">
        <v>2.78</v>
      </c>
      <c r="M734" s="2">
        <v>-0.25</v>
      </c>
      <c r="N734" t="s">
        <v>230</v>
      </c>
      <c r="O734">
        <v>16</v>
      </c>
    </row>
    <row r="735" spans="1:15">
      <c r="A735" s="1">
        <v>45971</v>
      </c>
      <c r="B735">
        <v>6</v>
      </c>
      <c r="C735" t="s">
        <v>94</v>
      </c>
      <c r="D735">
        <v>6</v>
      </c>
      <c r="E735" s="2">
        <v>11.5</v>
      </c>
      <c r="F735" s="2">
        <v>-77.19</v>
      </c>
      <c r="G735" s="2">
        <v>82.2</v>
      </c>
      <c r="H735" s="2">
        <v>12.85</v>
      </c>
      <c r="I735" s="2">
        <v>-17.170000000000002</v>
      </c>
      <c r="J735" s="2">
        <v>1.78</v>
      </c>
      <c r="K735" s="2">
        <v>2.17</v>
      </c>
      <c r="L735" s="2">
        <v>2.81</v>
      </c>
      <c r="M735" s="2">
        <v>-0.25</v>
      </c>
      <c r="N735" t="s">
        <v>230</v>
      </c>
      <c r="O735">
        <v>16</v>
      </c>
    </row>
    <row r="736" spans="1:15">
      <c r="A736" s="1">
        <v>45971</v>
      </c>
      <c r="B736">
        <v>6</v>
      </c>
      <c r="C736" t="s">
        <v>94</v>
      </c>
      <c r="D736">
        <v>6</v>
      </c>
      <c r="E736" s="2">
        <v>12</v>
      </c>
      <c r="F736" s="2">
        <v>-145.56</v>
      </c>
      <c r="G736" s="2">
        <v>155.06</v>
      </c>
      <c r="H736" s="2">
        <v>-11.95</v>
      </c>
      <c r="I736" s="2">
        <v>15.37</v>
      </c>
      <c r="J736" s="2">
        <v>1.69</v>
      </c>
      <c r="K736" s="2">
        <v>2.27</v>
      </c>
      <c r="L736" s="2">
        <v>2.83</v>
      </c>
      <c r="M736" s="2">
        <v>-0.06</v>
      </c>
      <c r="N736" t="s">
        <v>230</v>
      </c>
      <c r="O736">
        <v>16</v>
      </c>
    </row>
    <row r="737" spans="1:15">
      <c r="A737" s="1">
        <v>45971</v>
      </c>
      <c r="B737">
        <v>6</v>
      </c>
      <c r="C737" t="s">
        <v>94</v>
      </c>
      <c r="D737">
        <v>6</v>
      </c>
      <c r="E737" s="2">
        <v>12.5</v>
      </c>
      <c r="F737" s="2">
        <v>-134.47999999999999</v>
      </c>
      <c r="G737" s="2">
        <v>138.34</v>
      </c>
      <c r="H737" s="2">
        <v>52.3</v>
      </c>
      <c r="I737" s="2">
        <v>-44.14</v>
      </c>
      <c r="J737" s="2">
        <v>1.65</v>
      </c>
      <c r="K737" s="2">
        <v>2.14</v>
      </c>
      <c r="L737" s="2">
        <v>2.7</v>
      </c>
      <c r="M737" s="2">
        <v>-0.1</v>
      </c>
      <c r="N737" t="s">
        <v>230</v>
      </c>
      <c r="O737">
        <v>16</v>
      </c>
    </row>
    <row r="738" spans="1:15">
      <c r="A738" s="1">
        <v>45971</v>
      </c>
      <c r="B738">
        <v>6</v>
      </c>
      <c r="C738" t="s">
        <v>94</v>
      </c>
      <c r="D738">
        <v>6</v>
      </c>
      <c r="E738" s="2">
        <v>13</v>
      </c>
      <c r="F738" s="2">
        <v>-63.34</v>
      </c>
      <c r="G738" s="2">
        <v>70.37</v>
      </c>
      <c r="H738" s="2">
        <v>49.49</v>
      </c>
      <c r="I738" s="2">
        <v>-36</v>
      </c>
      <c r="J738" s="2">
        <v>1.6</v>
      </c>
      <c r="K738" s="2">
        <v>2.12</v>
      </c>
      <c r="L738" s="2">
        <v>2.66</v>
      </c>
      <c r="M738" s="2">
        <v>-0.11</v>
      </c>
      <c r="N738" t="s">
        <v>230</v>
      </c>
      <c r="O738">
        <v>16</v>
      </c>
    </row>
    <row r="739" spans="1:15">
      <c r="A739" s="1">
        <v>45971</v>
      </c>
      <c r="B739">
        <v>6</v>
      </c>
      <c r="C739" t="s">
        <v>94</v>
      </c>
      <c r="D739">
        <v>6</v>
      </c>
      <c r="E739" s="2">
        <v>13.5</v>
      </c>
      <c r="F739" s="2">
        <v>-51.29</v>
      </c>
      <c r="G739" s="2">
        <v>58.18</v>
      </c>
      <c r="H739" s="2">
        <v>62.68</v>
      </c>
      <c r="I739" s="2">
        <v>-56.58</v>
      </c>
      <c r="J739" s="2">
        <v>1.39</v>
      </c>
      <c r="K739" s="2">
        <v>2.0699999999999998</v>
      </c>
      <c r="L739" s="2">
        <v>2.5</v>
      </c>
      <c r="M739" s="2">
        <v>-0.11</v>
      </c>
      <c r="N739" t="s">
        <v>230</v>
      </c>
      <c r="O739">
        <v>16</v>
      </c>
    </row>
    <row r="740" spans="1:15">
      <c r="A740" s="1">
        <v>45971</v>
      </c>
      <c r="B740">
        <v>6</v>
      </c>
      <c r="C740" t="s">
        <v>94</v>
      </c>
      <c r="D740">
        <v>6</v>
      </c>
      <c r="E740" s="2">
        <v>14</v>
      </c>
      <c r="F740" s="2">
        <v>-51.14</v>
      </c>
      <c r="G740" s="2">
        <v>56.13</v>
      </c>
      <c r="H740" s="2">
        <v>82</v>
      </c>
      <c r="I740" s="2">
        <v>-65.22</v>
      </c>
      <c r="J740" s="2">
        <v>1.06</v>
      </c>
      <c r="K740" s="2">
        <v>2.02</v>
      </c>
      <c r="L740" s="2">
        <v>2.2799999999999998</v>
      </c>
      <c r="M740" s="2">
        <v>-0.09</v>
      </c>
      <c r="N740" t="s">
        <v>230</v>
      </c>
      <c r="O740">
        <v>16</v>
      </c>
    </row>
    <row r="741" spans="1:15">
      <c r="A741" s="1">
        <v>45971</v>
      </c>
      <c r="B741">
        <v>6</v>
      </c>
      <c r="C741" t="s">
        <v>94</v>
      </c>
      <c r="D741">
        <v>6</v>
      </c>
      <c r="E741" s="2">
        <v>14.5</v>
      </c>
      <c r="F741" s="2">
        <v>-42.01</v>
      </c>
      <c r="G741" s="2">
        <v>46.86</v>
      </c>
      <c r="H741" s="2">
        <v>108.05</v>
      </c>
      <c r="I741" s="2">
        <v>-94.59</v>
      </c>
      <c r="J741" s="2">
        <v>0.7</v>
      </c>
      <c r="K741" s="2">
        <v>1.7</v>
      </c>
      <c r="L741" s="2">
        <v>1.84</v>
      </c>
      <c r="M741" s="2">
        <v>-0.03</v>
      </c>
      <c r="N741" t="s">
        <v>230</v>
      </c>
      <c r="O741">
        <v>16</v>
      </c>
    </row>
    <row r="742" spans="1:15">
      <c r="A742" s="1">
        <v>45971</v>
      </c>
      <c r="B742">
        <v>6</v>
      </c>
      <c r="C742" t="s">
        <v>94</v>
      </c>
      <c r="D742">
        <v>6</v>
      </c>
      <c r="E742" s="2">
        <v>15</v>
      </c>
      <c r="F742" s="2">
        <v>-8.9700000000000006</v>
      </c>
      <c r="G742" s="2">
        <v>16.239999999999998</v>
      </c>
      <c r="H742" s="2">
        <v>117.85</v>
      </c>
      <c r="I742" s="2">
        <v>-105.67</v>
      </c>
      <c r="J742" s="2">
        <v>0.37</v>
      </c>
      <c r="K742" s="2">
        <v>1.57</v>
      </c>
      <c r="L742" s="2">
        <v>1.61</v>
      </c>
      <c r="M742" s="2">
        <v>0.05</v>
      </c>
      <c r="N742" t="s">
        <v>230</v>
      </c>
      <c r="O742">
        <v>16</v>
      </c>
    </row>
    <row r="743" spans="1:15">
      <c r="A743" s="1">
        <v>45971</v>
      </c>
      <c r="B743">
        <v>6</v>
      </c>
      <c r="C743" t="s">
        <v>94</v>
      </c>
      <c r="D743">
        <v>6</v>
      </c>
      <c r="E743" s="2">
        <v>15.5</v>
      </c>
      <c r="F743" s="2">
        <v>-34.229999999999997</v>
      </c>
      <c r="G743" s="2">
        <v>37.35</v>
      </c>
      <c r="H743" s="2">
        <v>126.53</v>
      </c>
      <c r="I743" s="2">
        <v>-105.18</v>
      </c>
      <c r="J743" s="2">
        <v>0.16</v>
      </c>
      <c r="K743" s="2">
        <v>1.35</v>
      </c>
      <c r="L743" s="2">
        <v>1.36</v>
      </c>
      <c r="M743" s="2">
        <v>0.05</v>
      </c>
      <c r="N743" t="s">
        <v>230</v>
      </c>
      <c r="O743">
        <v>16</v>
      </c>
    </row>
    <row r="744" spans="1:15">
      <c r="A744" s="1">
        <v>45971</v>
      </c>
      <c r="B744">
        <v>6</v>
      </c>
      <c r="C744" t="s">
        <v>94</v>
      </c>
      <c r="D744">
        <v>6</v>
      </c>
      <c r="E744" s="2">
        <v>16</v>
      </c>
      <c r="F744" s="2">
        <v>-16.13</v>
      </c>
      <c r="G744" s="2">
        <v>21.68</v>
      </c>
      <c r="H744" s="2">
        <v>-32.92</v>
      </c>
      <c r="I744" s="2">
        <v>31.12</v>
      </c>
      <c r="J744" s="2">
        <v>-0.41</v>
      </c>
      <c r="K744" s="2">
        <v>0.84</v>
      </c>
      <c r="L744" s="2">
        <v>0.94</v>
      </c>
      <c r="M744" s="2">
        <v>0.41</v>
      </c>
      <c r="N744" t="s">
        <v>230</v>
      </c>
      <c r="O744">
        <v>16</v>
      </c>
    </row>
    <row r="745" spans="1:15">
      <c r="A745" s="1">
        <v>45971</v>
      </c>
      <c r="B745">
        <v>6</v>
      </c>
      <c r="C745" t="s">
        <v>94</v>
      </c>
      <c r="D745">
        <v>6</v>
      </c>
      <c r="E745" s="2">
        <v>16.5</v>
      </c>
      <c r="F745" s="2">
        <v>4.74</v>
      </c>
      <c r="G745" s="2">
        <v>0.44</v>
      </c>
      <c r="H745" s="2">
        <v>-11.03</v>
      </c>
      <c r="I745" s="2">
        <v>16.96</v>
      </c>
      <c r="J745" s="2">
        <v>-0.41</v>
      </c>
      <c r="K745" s="2">
        <v>0.84</v>
      </c>
      <c r="L745" s="2">
        <v>0.94</v>
      </c>
      <c r="M745" s="2">
        <v>0.44</v>
      </c>
      <c r="N745" t="s">
        <v>230</v>
      </c>
      <c r="O745">
        <v>16</v>
      </c>
    </row>
    <row r="746" spans="1:15">
      <c r="A746" s="1">
        <v>45971</v>
      </c>
      <c r="B746">
        <v>6</v>
      </c>
      <c r="C746" t="s">
        <v>94</v>
      </c>
      <c r="D746">
        <v>6</v>
      </c>
      <c r="E746" s="2">
        <v>17</v>
      </c>
      <c r="F746" s="2">
        <v>15.63</v>
      </c>
      <c r="G746" s="2">
        <v>-11.86</v>
      </c>
      <c r="H746" s="2">
        <v>3.55</v>
      </c>
      <c r="I746" s="2">
        <v>0.51</v>
      </c>
      <c r="J746" s="2">
        <v>-0.39</v>
      </c>
      <c r="K746" s="2">
        <v>0.9</v>
      </c>
      <c r="L746" s="2">
        <v>0.98</v>
      </c>
      <c r="M746" s="2">
        <v>0.46</v>
      </c>
      <c r="N746" t="s">
        <v>230</v>
      </c>
      <c r="O746">
        <v>16</v>
      </c>
    </row>
    <row r="747" spans="1:15">
      <c r="A747" s="1">
        <v>45971</v>
      </c>
      <c r="B747">
        <v>6</v>
      </c>
      <c r="C747" t="s">
        <v>94</v>
      </c>
      <c r="D747">
        <v>6</v>
      </c>
      <c r="E747" s="2">
        <v>17.5</v>
      </c>
      <c r="F747" s="2">
        <v>-12.14</v>
      </c>
      <c r="G747" s="2">
        <v>16.420000000000002</v>
      </c>
      <c r="H747" s="2">
        <v>37.93</v>
      </c>
      <c r="I747" s="2">
        <v>-28.78</v>
      </c>
      <c r="J747" s="2">
        <v>-0.44</v>
      </c>
      <c r="K747" s="2">
        <v>1.02</v>
      </c>
      <c r="L747" s="2">
        <v>1.1100000000000001</v>
      </c>
      <c r="M747" s="2">
        <v>0.41</v>
      </c>
      <c r="N747" t="s">
        <v>230</v>
      </c>
      <c r="O747">
        <v>16</v>
      </c>
    </row>
    <row r="748" spans="1:15">
      <c r="A748" s="1">
        <v>45971</v>
      </c>
      <c r="B748">
        <v>6</v>
      </c>
      <c r="C748" t="s">
        <v>94</v>
      </c>
      <c r="D748">
        <v>6</v>
      </c>
      <c r="E748" s="2">
        <v>18</v>
      </c>
      <c r="F748" s="2">
        <v>-32.049999999999997</v>
      </c>
      <c r="G748" s="2">
        <v>35.700000000000003</v>
      </c>
      <c r="H748" s="2">
        <v>51.41</v>
      </c>
      <c r="I748" s="2">
        <v>-40.82</v>
      </c>
      <c r="J748" s="2">
        <v>-0.44</v>
      </c>
      <c r="K748" s="2">
        <v>1.04</v>
      </c>
      <c r="L748" s="2">
        <v>1.1299999999999999</v>
      </c>
      <c r="M748" s="2">
        <v>0.35</v>
      </c>
      <c r="N748" t="s">
        <v>230</v>
      </c>
      <c r="O748">
        <v>16</v>
      </c>
    </row>
    <row r="749" spans="1:15">
      <c r="A749" s="1">
        <v>45971</v>
      </c>
      <c r="B749">
        <v>6</v>
      </c>
      <c r="C749" t="s">
        <v>94</v>
      </c>
      <c r="D749">
        <v>6</v>
      </c>
      <c r="E749" s="2">
        <v>18.5</v>
      </c>
      <c r="F749" s="2">
        <v>-35.61</v>
      </c>
      <c r="G749" s="2">
        <v>46.52</v>
      </c>
      <c r="H749" s="2">
        <v>62.14</v>
      </c>
      <c r="I749" s="2">
        <v>-52.31</v>
      </c>
      <c r="J749" s="2">
        <v>-0.46</v>
      </c>
      <c r="K749" s="2">
        <v>1.07</v>
      </c>
      <c r="L749" s="2">
        <v>1.1599999999999999</v>
      </c>
      <c r="M749" s="2">
        <v>0.26</v>
      </c>
      <c r="N749" t="s">
        <v>230</v>
      </c>
      <c r="O749">
        <v>16</v>
      </c>
    </row>
    <row r="750" spans="1:15">
      <c r="A750" s="1">
        <v>45971</v>
      </c>
      <c r="B750">
        <v>6</v>
      </c>
      <c r="C750" t="s">
        <v>94</v>
      </c>
      <c r="D750">
        <v>6</v>
      </c>
      <c r="E750" s="2">
        <v>19</v>
      </c>
      <c r="F750" s="2">
        <v>-138.91</v>
      </c>
      <c r="G750" s="2">
        <v>135.88999999999999</v>
      </c>
      <c r="H750" s="2">
        <v>-34.47</v>
      </c>
      <c r="I750" s="2">
        <v>39.25</v>
      </c>
      <c r="J750" s="2">
        <v>-0.47</v>
      </c>
      <c r="K750" s="2">
        <v>0.87</v>
      </c>
      <c r="L750" s="2">
        <v>0.99</v>
      </c>
      <c r="M750" s="2">
        <v>0.13</v>
      </c>
      <c r="N750" t="s">
        <v>230</v>
      </c>
      <c r="O750">
        <v>16</v>
      </c>
    </row>
    <row r="751" spans="1:15">
      <c r="A751" s="1">
        <v>45971</v>
      </c>
      <c r="B751">
        <v>6</v>
      </c>
      <c r="C751" t="s">
        <v>94</v>
      </c>
      <c r="D751">
        <v>6</v>
      </c>
      <c r="E751" s="2">
        <v>19.5</v>
      </c>
      <c r="F751" s="2">
        <v>-132.31</v>
      </c>
      <c r="G751" s="2">
        <v>137.31</v>
      </c>
      <c r="H751" s="2">
        <v>-45.24</v>
      </c>
      <c r="I751" s="2">
        <v>40.76</v>
      </c>
      <c r="J751" s="2">
        <v>-0.51</v>
      </c>
      <c r="K751" s="2">
        <v>0.9</v>
      </c>
      <c r="L751" s="2">
        <v>1.03</v>
      </c>
      <c r="M751" s="2">
        <v>0.25</v>
      </c>
      <c r="N751" t="s">
        <v>230</v>
      </c>
      <c r="O751">
        <v>16</v>
      </c>
    </row>
    <row r="752" spans="1:15">
      <c r="A752" s="1">
        <v>45971</v>
      </c>
      <c r="B752">
        <v>6</v>
      </c>
      <c r="C752" t="s">
        <v>94</v>
      </c>
      <c r="D752">
        <v>6</v>
      </c>
      <c r="E752" s="2">
        <v>20</v>
      </c>
      <c r="F752" s="2">
        <v>-142.63</v>
      </c>
      <c r="G752" s="2">
        <v>146.16</v>
      </c>
      <c r="H752" s="2">
        <v>-43.28</v>
      </c>
      <c r="I752" s="2">
        <v>37.68</v>
      </c>
      <c r="J752" s="2">
        <v>-0.55000000000000004</v>
      </c>
      <c r="K752" s="2">
        <v>0.75</v>
      </c>
      <c r="L752" s="2">
        <v>0.93</v>
      </c>
      <c r="M752" s="2">
        <v>0.37</v>
      </c>
      <c r="N752" t="s">
        <v>230</v>
      </c>
      <c r="O752">
        <v>16</v>
      </c>
    </row>
    <row r="753" spans="1:15">
      <c r="A753" s="1">
        <v>45971</v>
      </c>
      <c r="B753">
        <v>6</v>
      </c>
      <c r="C753" t="s">
        <v>94</v>
      </c>
      <c r="D753">
        <v>6</v>
      </c>
      <c r="E753" s="2">
        <v>20.5</v>
      </c>
      <c r="F753" s="2">
        <v>-167.41</v>
      </c>
      <c r="G753" s="2">
        <v>171.01</v>
      </c>
      <c r="H753" s="2">
        <v>-29.2</v>
      </c>
      <c r="I753" s="2">
        <v>17.399999999999999</v>
      </c>
      <c r="J753" s="2">
        <v>-0.56999999999999995</v>
      </c>
      <c r="K753" s="2">
        <v>0.68</v>
      </c>
      <c r="L753" s="2">
        <v>0.88</v>
      </c>
      <c r="M753" s="2">
        <v>0.39</v>
      </c>
      <c r="N753" t="s">
        <v>230</v>
      </c>
      <c r="O753">
        <v>16</v>
      </c>
    </row>
    <row r="754" spans="1:15">
      <c r="A754" s="1">
        <v>45971</v>
      </c>
      <c r="B754">
        <v>6</v>
      </c>
      <c r="C754" t="s">
        <v>94</v>
      </c>
      <c r="D754">
        <v>6</v>
      </c>
      <c r="E754" s="2">
        <v>21</v>
      </c>
      <c r="F754" s="2">
        <v>-155.34</v>
      </c>
      <c r="G754" s="2">
        <v>158.22</v>
      </c>
      <c r="H754" s="2">
        <v>-9.02</v>
      </c>
      <c r="I754" s="2">
        <v>15.24</v>
      </c>
      <c r="J754" s="2">
        <v>-0.56999999999999995</v>
      </c>
      <c r="K754" s="2">
        <v>0.6</v>
      </c>
      <c r="L754" s="2">
        <v>0.82</v>
      </c>
      <c r="M754" s="2">
        <v>0.41</v>
      </c>
      <c r="N754" t="s">
        <v>230</v>
      </c>
      <c r="O754">
        <v>16</v>
      </c>
    </row>
    <row r="755" spans="1:15">
      <c r="A755" s="1">
        <v>45971</v>
      </c>
      <c r="B755">
        <v>6</v>
      </c>
      <c r="C755" t="s">
        <v>94</v>
      </c>
      <c r="D755">
        <v>6</v>
      </c>
      <c r="E755" s="2">
        <v>21.5</v>
      </c>
      <c r="F755" s="2">
        <v>-75.62</v>
      </c>
      <c r="G755" s="2">
        <v>82.77</v>
      </c>
      <c r="H755" s="2">
        <v>-9.83</v>
      </c>
      <c r="I755" s="2">
        <v>32.28</v>
      </c>
      <c r="J755" s="2">
        <v>-0.56000000000000005</v>
      </c>
      <c r="K755" s="2">
        <v>0.75</v>
      </c>
      <c r="L755" s="2">
        <v>0.94</v>
      </c>
      <c r="M755" s="2">
        <v>0.41</v>
      </c>
      <c r="N755" t="s">
        <v>230</v>
      </c>
      <c r="O755">
        <v>16</v>
      </c>
    </row>
    <row r="756" spans="1:15">
      <c r="A756" s="1">
        <v>45971</v>
      </c>
      <c r="B756">
        <v>6</v>
      </c>
      <c r="C756" t="s">
        <v>94</v>
      </c>
      <c r="D756">
        <v>6</v>
      </c>
      <c r="E756" s="2">
        <v>22</v>
      </c>
      <c r="F756" s="2">
        <v>6.01</v>
      </c>
      <c r="G756" s="2">
        <v>-5.54</v>
      </c>
      <c r="H756" s="2">
        <v>-99.52</v>
      </c>
      <c r="I756" s="2">
        <v>96.72</v>
      </c>
      <c r="J756" s="2">
        <v>-0.6</v>
      </c>
      <c r="K756" s="2">
        <v>0.84</v>
      </c>
      <c r="L756" s="2">
        <v>1.03</v>
      </c>
      <c r="M756" s="2">
        <v>0.43</v>
      </c>
      <c r="N756" t="s">
        <v>230</v>
      </c>
      <c r="O756">
        <v>16</v>
      </c>
    </row>
    <row r="757" spans="1:15">
      <c r="A757" s="1">
        <v>45971</v>
      </c>
      <c r="B757">
        <v>6</v>
      </c>
      <c r="C757" t="s">
        <v>94</v>
      </c>
      <c r="D757">
        <v>6</v>
      </c>
      <c r="E757" s="2">
        <v>22.5</v>
      </c>
      <c r="F757" s="2">
        <v>-24.56</v>
      </c>
      <c r="G757" s="2">
        <v>28.14</v>
      </c>
      <c r="H757" s="2">
        <v>-49.01</v>
      </c>
      <c r="I757" s="2">
        <v>42.75</v>
      </c>
      <c r="J757" s="2">
        <v>-0.63</v>
      </c>
      <c r="K757" s="2">
        <v>0.94</v>
      </c>
      <c r="L757" s="2">
        <v>1.1299999999999999</v>
      </c>
      <c r="M757" s="2">
        <v>0.45</v>
      </c>
      <c r="N757" t="s">
        <v>230</v>
      </c>
      <c r="O757">
        <v>16</v>
      </c>
    </row>
    <row r="758" spans="1:15">
      <c r="A758" s="1">
        <v>45971</v>
      </c>
      <c r="B758">
        <v>6</v>
      </c>
      <c r="C758" t="s">
        <v>94</v>
      </c>
      <c r="D758">
        <v>6</v>
      </c>
      <c r="E758" s="2">
        <v>23</v>
      </c>
      <c r="F758" s="2">
        <v>-45.5</v>
      </c>
      <c r="G758" s="2">
        <v>48.09</v>
      </c>
      <c r="H758" s="2">
        <v>-8.43</v>
      </c>
      <c r="I758" s="2">
        <v>2.8</v>
      </c>
      <c r="J758" s="2">
        <v>-0.66</v>
      </c>
      <c r="K758" s="2">
        <v>0.78</v>
      </c>
      <c r="L758" s="2">
        <v>1.02</v>
      </c>
      <c r="M758" s="2">
        <v>0.4</v>
      </c>
      <c r="N758" t="s">
        <v>230</v>
      </c>
      <c r="O758">
        <v>16</v>
      </c>
    </row>
    <row r="759" spans="1:15">
      <c r="A759" s="1">
        <v>45971</v>
      </c>
      <c r="B759">
        <v>6</v>
      </c>
      <c r="C759" t="s">
        <v>94</v>
      </c>
      <c r="D759">
        <v>6</v>
      </c>
      <c r="E759" s="2">
        <v>23.5</v>
      </c>
      <c r="F759" s="2">
        <v>-63.41</v>
      </c>
      <c r="G759" s="2">
        <v>67.81</v>
      </c>
      <c r="H759" s="2">
        <v>18.350000000000001</v>
      </c>
      <c r="I759" s="2">
        <v>-19.829999999999998</v>
      </c>
      <c r="J759" s="2">
        <v>-0.62</v>
      </c>
      <c r="K759" s="2">
        <v>0.64</v>
      </c>
      <c r="L759" s="2">
        <v>0.89</v>
      </c>
      <c r="M759" s="2">
        <v>0.4</v>
      </c>
      <c r="N759" t="s">
        <v>230</v>
      </c>
      <c r="O759">
        <v>16</v>
      </c>
    </row>
    <row r="760" spans="1:15">
      <c r="A760" s="1">
        <v>45971</v>
      </c>
      <c r="B760">
        <v>6</v>
      </c>
      <c r="C760" t="s">
        <v>94</v>
      </c>
      <c r="D760">
        <v>6</v>
      </c>
      <c r="E760" s="2">
        <v>24</v>
      </c>
      <c r="F760" s="2">
        <v>-88.28</v>
      </c>
      <c r="G760" s="2">
        <v>92.55</v>
      </c>
      <c r="H760" s="2">
        <v>13.8</v>
      </c>
      <c r="I760" s="2">
        <v>-17.899999999999999</v>
      </c>
      <c r="J760" s="2">
        <v>-0.56000000000000005</v>
      </c>
      <c r="K760" s="2">
        <v>0.57999999999999996</v>
      </c>
      <c r="L760" s="2">
        <v>0.81</v>
      </c>
      <c r="M760" s="2">
        <v>0.38</v>
      </c>
      <c r="N760" t="s">
        <v>230</v>
      </c>
      <c r="O760">
        <v>16</v>
      </c>
    </row>
    <row r="761" spans="1:15">
      <c r="A761" s="1">
        <v>45971</v>
      </c>
      <c r="B761">
        <v>6</v>
      </c>
      <c r="C761" t="s">
        <v>94</v>
      </c>
      <c r="D761">
        <v>6</v>
      </c>
      <c r="E761" s="2">
        <v>24.5</v>
      </c>
      <c r="F761" s="2">
        <v>-119.54</v>
      </c>
      <c r="G761" s="2">
        <v>117.79</v>
      </c>
      <c r="H761" s="2">
        <v>30.8</v>
      </c>
      <c r="I761" s="2">
        <v>-9.66</v>
      </c>
      <c r="J761" s="2">
        <v>-0.56000000000000005</v>
      </c>
      <c r="K761" s="2">
        <v>0.4</v>
      </c>
      <c r="L761" s="2">
        <v>0.69</v>
      </c>
      <c r="M761" s="2">
        <v>0.28000000000000003</v>
      </c>
      <c r="N761" t="s">
        <v>230</v>
      </c>
      <c r="O761">
        <v>16</v>
      </c>
    </row>
    <row r="762" spans="1:15">
      <c r="A762" s="1">
        <v>45971</v>
      </c>
      <c r="B762">
        <v>6</v>
      </c>
      <c r="C762" t="s">
        <v>94</v>
      </c>
      <c r="D762">
        <v>6</v>
      </c>
      <c r="E762" s="2">
        <v>25</v>
      </c>
      <c r="F762" s="2">
        <v>-106.38</v>
      </c>
      <c r="G762" s="2">
        <v>116.08</v>
      </c>
      <c r="H762" s="2">
        <v>-47.56</v>
      </c>
      <c r="I762" s="2">
        <v>49.21</v>
      </c>
      <c r="J762" s="2">
        <v>-0.52</v>
      </c>
      <c r="K762" s="2">
        <v>0.61</v>
      </c>
      <c r="L762" s="2">
        <v>0.8</v>
      </c>
      <c r="M762" s="2">
        <v>0.73</v>
      </c>
      <c r="N762" t="s">
        <v>230</v>
      </c>
      <c r="O762">
        <v>16</v>
      </c>
    </row>
    <row r="763" spans="1:15">
      <c r="A763" s="1">
        <v>45971</v>
      </c>
      <c r="B763">
        <v>6</v>
      </c>
      <c r="C763" t="s">
        <v>94</v>
      </c>
      <c r="D763">
        <v>6</v>
      </c>
      <c r="E763" s="2">
        <v>25.5</v>
      </c>
      <c r="F763" s="2">
        <v>-94.86</v>
      </c>
      <c r="G763" s="2">
        <v>99.84</v>
      </c>
      <c r="H763" s="2">
        <v>-44.21</v>
      </c>
      <c r="I763" s="2">
        <v>42.67</v>
      </c>
      <c r="J763" s="2">
        <v>-0.53</v>
      </c>
      <c r="K763" s="2">
        <v>0.34</v>
      </c>
      <c r="L763" s="2">
        <v>0.63</v>
      </c>
      <c r="M763" s="2">
        <v>0.26</v>
      </c>
      <c r="N763" t="s">
        <v>230</v>
      </c>
      <c r="O763">
        <v>16</v>
      </c>
    </row>
    <row r="764" spans="1:15">
      <c r="A764" s="1">
        <v>45971</v>
      </c>
      <c r="B764">
        <v>6</v>
      </c>
      <c r="C764" t="s">
        <v>94</v>
      </c>
      <c r="D764">
        <v>6</v>
      </c>
      <c r="E764" s="2">
        <v>26</v>
      </c>
      <c r="F764" s="2">
        <v>-59.43</v>
      </c>
      <c r="G764" s="2">
        <v>64.900000000000006</v>
      </c>
      <c r="H764" s="2">
        <v>-31.14</v>
      </c>
      <c r="I764" s="2">
        <v>25.1</v>
      </c>
      <c r="J764" s="2">
        <v>-0.61</v>
      </c>
      <c r="K764" s="2">
        <v>0.13</v>
      </c>
      <c r="L764" s="2">
        <v>0.63</v>
      </c>
      <c r="M764" s="2">
        <v>0.16</v>
      </c>
      <c r="N764" t="s">
        <v>230</v>
      </c>
      <c r="O764">
        <v>16</v>
      </c>
    </row>
    <row r="765" spans="1:15">
      <c r="A765" s="1">
        <v>45971</v>
      </c>
      <c r="B765">
        <v>6</v>
      </c>
      <c r="C765" t="s">
        <v>94</v>
      </c>
      <c r="D765">
        <v>6</v>
      </c>
      <c r="E765" s="2">
        <v>26.5</v>
      </c>
      <c r="F765" s="2">
        <v>-18.91</v>
      </c>
      <c r="G765" s="2">
        <v>24.23</v>
      </c>
      <c r="H765" s="2">
        <v>8.0399999999999991</v>
      </c>
      <c r="I765" s="2">
        <v>-10.36</v>
      </c>
      <c r="J765" s="2">
        <v>-0.62</v>
      </c>
      <c r="K765" s="2">
        <v>0.11</v>
      </c>
      <c r="L765" s="2">
        <v>0.63</v>
      </c>
      <c r="M765" s="2">
        <v>0.1</v>
      </c>
      <c r="N765" t="s">
        <v>230</v>
      </c>
      <c r="O765">
        <v>16</v>
      </c>
    </row>
    <row r="766" spans="1:15">
      <c r="A766" s="1">
        <v>45971</v>
      </c>
      <c r="B766">
        <v>6</v>
      </c>
      <c r="C766" t="s">
        <v>94</v>
      </c>
      <c r="D766">
        <v>6</v>
      </c>
      <c r="E766" s="2">
        <v>27</v>
      </c>
      <c r="F766" s="2">
        <v>33.770000000000003</v>
      </c>
      <c r="G766" s="2">
        <v>-27.64</v>
      </c>
      <c r="H766" s="2">
        <v>55.12</v>
      </c>
      <c r="I766" s="2">
        <v>-52.82</v>
      </c>
      <c r="J766" s="2">
        <v>-0.37</v>
      </c>
      <c r="K766" s="2">
        <v>0.1</v>
      </c>
      <c r="L766" s="2">
        <v>0.39</v>
      </c>
      <c r="M766" s="2">
        <v>0.04</v>
      </c>
      <c r="N766" t="s">
        <v>230</v>
      </c>
      <c r="O766">
        <v>16</v>
      </c>
    </row>
    <row r="767" spans="1:15">
      <c r="A767" s="1">
        <v>45971</v>
      </c>
      <c r="B767">
        <v>6</v>
      </c>
      <c r="C767" t="s">
        <v>99</v>
      </c>
      <c r="D767">
        <v>6</v>
      </c>
      <c r="E767" s="2">
        <v>0.5</v>
      </c>
      <c r="F767" s="2">
        <v>-395.97</v>
      </c>
      <c r="G767" s="2">
        <v>402.55</v>
      </c>
      <c r="H767" s="2">
        <v>-127.96</v>
      </c>
      <c r="I767" s="2">
        <v>131.37</v>
      </c>
      <c r="J767" s="2">
        <v>0.28000000000000003</v>
      </c>
      <c r="K767" s="2">
        <v>-5.83</v>
      </c>
      <c r="L767" s="2">
        <v>5.83</v>
      </c>
      <c r="M767" s="2">
        <v>-0.49</v>
      </c>
      <c r="N767" t="s">
        <v>230</v>
      </c>
      <c r="O767">
        <v>36</v>
      </c>
    </row>
    <row r="768" spans="1:15">
      <c r="A768" s="1">
        <v>45971</v>
      </c>
      <c r="B768">
        <v>6</v>
      </c>
      <c r="C768" t="s">
        <v>99</v>
      </c>
      <c r="D768">
        <v>6</v>
      </c>
      <c r="E768" s="2">
        <v>1</v>
      </c>
      <c r="F768" s="2">
        <v>-385.43</v>
      </c>
      <c r="G768" s="2">
        <v>397.86</v>
      </c>
      <c r="H768" s="2">
        <v>-129.31</v>
      </c>
      <c r="I768" s="2">
        <v>126.19</v>
      </c>
      <c r="J768" s="2">
        <v>0.72</v>
      </c>
      <c r="K768" s="2">
        <v>-4.7300000000000004</v>
      </c>
      <c r="L768" s="2">
        <v>4.78</v>
      </c>
      <c r="M768" s="2">
        <v>-0.62</v>
      </c>
      <c r="N768" t="s">
        <v>230</v>
      </c>
      <c r="O768">
        <v>36</v>
      </c>
    </row>
    <row r="769" spans="1:15">
      <c r="A769" s="1">
        <v>45971</v>
      </c>
      <c r="B769">
        <v>6</v>
      </c>
      <c r="C769" t="s">
        <v>99</v>
      </c>
      <c r="D769">
        <v>6</v>
      </c>
      <c r="E769" s="2">
        <v>1.5</v>
      </c>
      <c r="F769" s="2">
        <v>-374.85</v>
      </c>
      <c r="G769" s="2">
        <v>381.06</v>
      </c>
      <c r="H769" s="2">
        <v>-142.91</v>
      </c>
      <c r="I769" s="2">
        <v>146.07</v>
      </c>
      <c r="J769" s="2">
        <v>1.42</v>
      </c>
      <c r="K769" s="2">
        <v>-3.61</v>
      </c>
      <c r="L769" s="2">
        <v>3.88</v>
      </c>
      <c r="M769" s="2">
        <v>-0.73</v>
      </c>
      <c r="N769" t="s">
        <v>230</v>
      </c>
      <c r="O769">
        <v>36</v>
      </c>
    </row>
    <row r="770" spans="1:15">
      <c r="A770" s="1">
        <v>45971</v>
      </c>
      <c r="B770">
        <v>6</v>
      </c>
      <c r="C770" t="s">
        <v>99</v>
      </c>
      <c r="D770">
        <v>6</v>
      </c>
      <c r="E770" s="2">
        <v>2</v>
      </c>
      <c r="F770" s="2">
        <v>-332.15</v>
      </c>
      <c r="G770" s="2">
        <v>341.65</v>
      </c>
      <c r="H770" s="2">
        <v>-212.38</v>
      </c>
      <c r="I770" s="2">
        <v>211.36</v>
      </c>
      <c r="J770" s="2">
        <v>1.56</v>
      </c>
      <c r="K770" s="2">
        <v>-3.23</v>
      </c>
      <c r="L770" s="2">
        <v>3.59</v>
      </c>
      <c r="M770" s="2">
        <v>-0.68</v>
      </c>
      <c r="N770" t="s">
        <v>230</v>
      </c>
      <c r="O770">
        <v>36</v>
      </c>
    </row>
    <row r="771" spans="1:15">
      <c r="A771" s="1">
        <v>45971</v>
      </c>
      <c r="B771">
        <v>6</v>
      </c>
      <c r="C771" t="s">
        <v>99</v>
      </c>
      <c r="D771">
        <v>6</v>
      </c>
      <c r="E771" s="2">
        <v>2.5</v>
      </c>
      <c r="F771" s="2">
        <v>-305.39</v>
      </c>
      <c r="G771" s="2">
        <v>313.43</v>
      </c>
      <c r="H771" s="2">
        <v>-176.49</v>
      </c>
      <c r="I771" s="2">
        <v>194.14</v>
      </c>
      <c r="J771" s="2">
        <v>1.61</v>
      </c>
      <c r="K771" s="2">
        <v>-3.19</v>
      </c>
      <c r="L771" s="2">
        <v>3.58</v>
      </c>
      <c r="M771" s="2">
        <v>-0.59</v>
      </c>
      <c r="N771" t="s">
        <v>230</v>
      </c>
      <c r="O771">
        <v>36</v>
      </c>
    </row>
    <row r="772" spans="1:15">
      <c r="A772" s="1">
        <v>45971</v>
      </c>
      <c r="B772">
        <v>6</v>
      </c>
      <c r="C772" t="s">
        <v>99</v>
      </c>
      <c r="D772">
        <v>6</v>
      </c>
      <c r="E772" s="2">
        <v>3</v>
      </c>
      <c r="F772" s="2">
        <v>-267.29000000000002</v>
      </c>
      <c r="G772" s="2">
        <v>275.57</v>
      </c>
      <c r="H772" s="2">
        <v>-137.63999999999999</v>
      </c>
      <c r="I772" s="2">
        <v>130.78</v>
      </c>
      <c r="J772" s="2">
        <v>1.65</v>
      </c>
      <c r="K772" s="2">
        <v>-3.08</v>
      </c>
      <c r="L772" s="2">
        <v>3.49</v>
      </c>
      <c r="M772" s="2">
        <v>-0.72</v>
      </c>
      <c r="N772" t="s">
        <v>230</v>
      </c>
      <c r="O772">
        <v>36</v>
      </c>
    </row>
    <row r="773" spans="1:15">
      <c r="A773" s="1">
        <v>45971</v>
      </c>
      <c r="B773">
        <v>6</v>
      </c>
      <c r="C773" t="s">
        <v>99</v>
      </c>
      <c r="D773">
        <v>6</v>
      </c>
      <c r="E773" s="2">
        <v>3.5</v>
      </c>
      <c r="F773" s="2">
        <v>-205.49</v>
      </c>
      <c r="G773" s="2">
        <v>214.52</v>
      </c>
      <c r="H773" s="2">
        <v>-82.19</v>
      </c>
      <c r="I773" s="2">
        <v>74.23</v>
      </c>
      <c r="J773" s="2">
        <v>1.74</v>
      </c>
      <c r="K773" s="2">
        <v>-2.99</v>
      </c>
      <c r="L773" s="2">
        <v>3.45</v>
      </c>
      <c r="M773" s="2">
        <v>-0.68</v>
      </c>
      <c r="N773" t="s">
        <v>230</v>
      </c>
      <c r="O773">
        <v>36</v>
      </c>
    </row>
    <row r="774" spans="1:15">
      <c r="A774" s="1">
        <v>45971</v>
      </c>
      <c r="B774">
        <v>6</v>
      </c>
      <c r="C774" t="s">
        <v>99</v>
      </c>
      <c r="D774">
        <v>6</v>
      </c>
      <c r="E774" s="2">
        <v>4</v>
      </c>
      <c r="F774" s="2">
        <v>-148.81</v>
      </c>
      <c r="G774" s="2">
        <v>160.30000000000001</v>
      </c>
      <c r="H774" s="2">
        <v>-63.33</v>
      </c>
      <c r="I774" s="2">
        <v>61.14</v>
      </c>
      <c r="J774" s="2">
        <v>1.87</v>
      </c>
      <c r="K774" s="2">
        <v>-2.78</v>
      </c>
      <c r="L774" s="2">
        <v>3.35</v>
      </c>
      <c r="M774" s="2">
        <v>-0.61</v>
      </c>
      <c r="N774" t="s">
        <v>230</v>
      </c>
      <c r="O774">
        <v>36</v>
      </c>
    </row>
    <row r="775" spans="1:15">
      <c r="A775" s="1">
        <v>45971</v>
      </c>
      <c r="B775">
        <v>6</v>
      </c>
      <c r="C775" t="s">
        <v>99</v>
      </c>
      <c r="D775">
        <v>6</v>
      </c>
      <c r="E775" s="2">
        <v>4.5</v>
      </c>
      <c r="F775" s="2">
        <v>-101.31</v>
      </c>
      <c r="G775" s="2">
        <v>109.16</v>
      </c>
      <c r="H775" s="2">
        <v>-125.04</v>
      </c>
      <c r="I775" s="2">
        <v>117.59</v>
      </c>
      <c r="J775" s="2">
        <v>1.99</v>
      </c>
      <c r="K775" s="2">
        <v>-2.66</v>
      </c>
      <c r="L775" s="2">
        <v>3.32</v>
      </c>
      <c r="M775" s="2">
        <v>-0.65</v>
      </c>
      <c r="N775" t="s">
        <v>230</v>
      </c>
      <c r="O775">
        <v>36</v>
      </c>
    </row>
    <row r="776" spans="1:15">
      <c r="A776" s="1">
        <v>45971</v>
      </c>
      <c r="B776">
        <v>6</v>
      </c>
      <c r="C776" t="s">
        <v>99</v>
      </c>
      <c r="D776">
        <v>6</v>
      </c>
      <c r="E776" s="2">
        <v>5</v>
      </c>
      <c r="F776" s="2">
        <v>-27.67</v>
      </c>
      <c r="G776" s="2">
        <v>35.68</v>
      </c>
      <c r="H776" s="2">
        <v>-162.09</v>
      </c>
      <c r="I776" s="2">
        <v>151.4</v>
      </c>
      <c r="J776" s="2">
        <v>2.11</v>
      </c>
      <c r="K776" s="2">
        <v>-2.77</v>
      </c>
      <c r="L776" s="2">
        <v>3.48</v>
      </c>
      <c r="M776" s="2">
        <v>-0.52</v>
      </c>
      <c r="N776" t="s">
        <v>230</v>
      </c>
      <c r="O776">
        <v>36</v>
      </c>
    </row>
    <row r="777" spans="1:15">
      <c r="A777" s="1">
        <v>45971</v>
      </c>
      <c r="B777">
        <v>6</v>
      </c>
      <c r="C777" t="s">
        <v>99</v>
      </c>
      <c r="D777">
        <v>6</v>
      </c>
      <c r="E777" s="2">
        <v>5.5</v>
      </c>
      <c r="F777" s="2">
        <v>39.07</v>
      </c>
      <c r="G777" s="2">
        <v>-29.11</v>
      </c>
      <c r="H777" s="2">
        <v>-159.18</v>
      </c>
      <c r="I777" s="2">
        <v>148.83000000000001</v>
      </c>
      <c r="J777" s="2">
        <v>2.29</v>
      </c>
      <c r="K777" s="2">
        <v>-2.89</v>
      </c>
      <c r="L777" s="2">
        <v>3.69</v>
      </c>
      <c r="M777" s="2">
        <v>-0.31</v>
      </c>
      <c r="N777" t="s">
        <v>230</v>
      </c>
      <c r="O777">
        <v>36</v>
      </c>
    </row>
    <row r="778" spans="1:15">
      <c r="A778" s="1">
        <v>45971</v>
      </c>
      <c r="B778">
        <v>6</v>
      </c>
      <c r="C778" t="s">
        <v>99</v>
      </c>
      <c r="D778">
        <v>6</v>
      </c>
      <c r="E778" s="2">
        <v>6</v>
      </c>
      <c r="F778" s="2">
        <v>73.56</v>
      </c>
      <c r="G778" s="2">
        <v>-64.319999999999993</v>
      </c>
      <c r="H778" s="2">
        <v>-192.12</v>
      </c>
      <c r="I778" s="2">
        <v>181.98</v>
      </c>
      <c r="J778" s="2">
        <v>2.46</v>
      </c>
      <c r="K778" s="2">
        <v>-3.05</v>
      </c>
      <c r="L778" s="2">
        <v>3.92</v>
      </c>
      <c r="M778" s="2">
        <v>-0.24</v>
      </c>
      <c r="N778" t="s">
        <v>230</v>
      </c>
      <c r="O778">
        <v>36</v>
      </c>
    </row>
    <row r="779" spans="1:15">
      <c r="A779" s="1">
        <v>45971</v>
      </c>
      <c r="B779">
        <v>6</v>
      </c>
      <c r="C779" t="s">
        <v>99</v>
      </c>
      <c r="D779">
        <v>6</v>
      </c>
      <c r="E779" s="2">
        <v>6.5</v>
      </c>
      <c r="F779" s="2">
        <v>177.02</v>
      </c>
      <c r="G779" s="2">
        <v>-166.99</v>
      </c>
      <c r="H779" s="2">
        <v>-181.35</v>
      </c>
      <c r="I779" s="2">
        <v>172.05</v>
      </c>
      <c r="J779" s="2">
        <v>2.54</v>
      </c>
      <c r="K779" s="2">
        <v>-3.04</v>
      </c>
      <c r="L779" s="2">
        <v>3.96</v>
      </c>
      <c r="M779" s="2">
        <v>-0.17</v>
      </c>
      <c r="N779" t="s">
        <v>230</v>
      </c>
      <c r="O779">
        <v>36</v>
      </c>
    </row>
    <row r="780" spans="1:15">
      <c r="A780" s="1">
        <v>45971</v>
      </c>
      <c r="B780">
        <v>6</v>
      </c>
      <c r="C780" t="s">
        <v>99</v>
      </c>
      <c r="D780">
        <v>6</v>
      </c>
      <c r="E780" s="2">
        <v>7</v>
      </c>
      <c r="F780" s="2">
        <v>280.10000000000002</v>
      </c>
      <c r="G780" s="2">
        <v>-271.58999999999997</v>
      </c>
      <c r="H780" s="2">
        <v>-186.3</v>
      </c>
      <c r="I780" s="2">
        <v>171.99</v>
      </c>
      <c r="J780" s="2">
        <v>2.63</v>
      </c>
      <c r="K780" s="2">
        <v>-2.89</v>
      </c>
      <c r="L780" s="2">
        <v>3.9</v>
      </c>
      <c r="M780" s="2">
        <v>-0.16</v>
      </c>
      <c r="N780" t="s">
        <v>230</v>
      </c>
      <c r="O780">
        <v>36</v>
      </c>
    </row>
    <row r="781" spans="1:15">
      <c r="A781" s="1">
        <v>45971</v>
      </c>
      <c r="B781">
        <v>6</v>
      </c>
      <c r="C781" t="s">
        <v>99</v>
      </c>
      <c r="D781">
        <v>6</v>
      </c>
      <c r="E781" s="2">
        <v>7.5</v>
      </c>
      <c r="F781" s="2">
        <v>304.58</v>
      </c>
      <c r="G781" s="2">
        <v>-287.10000000000002</v>
      </c>
      <c r="H781" s="2">
        <v>-165.05</v>
      </c>
      <c r="I781" s="2">
        <v>158.02000000000001</v>
      </c>
      <c r="J781" s="2">
        <v>2.66</v>
      </c>
      <c r="K781" s="2">
        <v>-2.68</v>
      </c>
      <c r="L781" s="2">
        <v>3.78</v>
      </c>
      <c r="M781" s="2">
        <v>-0.13</v>
      </c>
      <c r="N781" t="s">
        <v>230</v>
      </c>
      <c r="O781">
        <v>36</v>
      </c>
    </row>
    <row r="782" spans="1:15">
      <c r="A782" s="1">
        <v>45971</v>
      </c>
      <c r="B782">
        <v>6</v>
      </c>
      <c r="C782" t="s">
        <v>99</v>
      </c>
      <c r="D782">
        <v>6</v>
      </c>
      <c r="E782" s="2">
        <v>8</v>
      </c>
      <c r="F782" s="2">
        <v>269.70999999999998</v>
      </c>
      <c r="G782" s="2">
        <v>-265.63</v>
      </c>
      <c r="H782" s="2">
        <v>-72.89</v>
      </c>
      <c r="I782" s="2">
        <v>70.89</v>
      </c>
      <c r="J782" s="2">
        <v>2.77</v>
      </c>
      <c r="K782" s="2">
        <v>-2.62</v>
      </c>
      <c r="L782" s="2">
        <v>3.81</v>
      </c>
      <c r="M782" s="2">
        <v>-0.18</v>
      </c>
      <c r="N782" t="s">
        <v>230</v>
      </c>
      <c r="O782">
        <v>36</v>
      </c>
    </row>
    <row r="783" spans="1:15">
      <c r="A783" s="1">
        <v>45971</v>
      </c>
      <c r="B783">
        <v>6</v>
      </c>
      <c r="C783" t="s">
        <v>99</v>
      </c>
      <c r="D783">
        <v>6</v>
      </c>
      <c r="E783" s="2">
        <v>8.5</v>
      </c>
      <c r="F783" s="2">
        <v>332.87</v>
      </c>
      <c r="G783" s="2">
        <v>-322.08999999999997</v>
      </c>
      <c r="H783" s="2">
        <v>-6.94</v>
      </c>
      <c r="I783" s="2">
        <v>23.9</v>
      </c>
      <c r="J783" s="2">
        <v>2.84</v>
      </c>
      <c r="K783" s="2">
        <v>-2.64</v>
      </c>
      <c r="L783" s="2">
        <v>3.87</v>
      </c>
      <c r="M783" s="2">
        <v>-0.21</v>
      </c>
      <c r="N783" t="s">
        <v>230</v>
      </c>
      <c r="O783">
        <v>36</v>
      </c>
    </row>
    <row r="784" spans="1:15">
      <c r="A784" s="1">
        <v>45971</v>
      </c>
      <c r="B784">
        <v>6</v>
      </c>
      <c r="C784" t="s">
        <v>99</v>
      </c>
      <c r="D784">
        <v>6</v>
      </c>
      <c r="E784" s="2">
        <v>9</v>
      </c>
      <c r="F784" s="2">
        <v>318.05</v>
      </c>
      <c r="G784" s="2">
        <v>-308.64</v>
      </c>
      <c r="H784" s="2">
        <v>56.58</v>
      </c>
      <c r="I784" s="2">
        <v>-38.869999999999997</v>
      </c>
      <c r="J784" s="2">
        <v>2.75</v>
      </c>
      <c r="K784" s="2">
        <v>-2.91</v>
      </c>
      <c r="L784" s="2">
        <v>4.01</v>
      </c>
      <c r="M784" s="2">
        <v>-0.21</v>
      </c>
      <c r="N784" t="s">
        <v>230</v>
      </c>
      <c r="O784">
        <v>36</v>
      </c>
    </row>
    <row r="785" spans="1:15">
      <c r="A785" s="1">
        <v>45971</v>
      </c>
      <c r="B785">
        <v>6</v>
      </c>
      <c r="C785" t="s">
        <v>99</v>
      </c>
      <c r="D785">
        <v>6</v>
      </c>
      <c r="E785" s="2">
        <v>9.5</v>
      </c>
      <c r="F785" s="2">
        <v>205.14</v>
      </c>
      <c r="G785" s="2">
        <v>-196.72</v>
      </c>
      <c r="H785" s="2">
        <v>108.46</v>
      </c>
      <c r="I785" s="2">
        <v>-120.28</v>
      </c>
      <c r="J785" s="2">
        <v>2.8</v>
      </c>
      <c r="K785" s="2">
        <v>-3.11</v>
      </c>
      <c r="L785" s="2">
        <v>4.1900000000000004</v>
      </c>
      <c r="M785" s="2">
        <v>-0.26</v>
      </c>
      <c r="N785" t="s">
        <v>230</v>
      </c>
      <c r="O785">
        <v>36</v>
      </c>
    </row>
    <row r="786" spans="1:15">
      <c r="A786" s="1">
        <v>45971</v>
      </c>
      <c r="B786">
        <v>6</v>
      </c>
      <c r="C786" t="s">
        <v>99</v>
      </c>
      <c r="D786">
        <v>6</v>
      </c>
      <c r="E786" s="2">
        <v>10</v>
      </c>
      <c r="F786" s="2">
        <v>61.45</v>
      </c>
      <c r="G786" s="2">
        <v>-44.49</v>
      </c>
      <c r="H786" s="2">
        <v>148.47999999999999</v>
      </c>
      <c r="I786" s="2">
        <v>-146.79</v>
      </c>
      <c r="J786" s="2">
        <v>2.9</v>
      </c>
      <c r="K786" s="2">
        <v>-3.19</v>
      </c>
      <c r="L786" s="2">
        <v>4.3099999999999996</v>
      </c>
      <c r="M786" s="2">
        <v>-0.28000000000000003</v>
      </c>
      <c r="N786" t="s">
        <v>230</v>
      </c>
      <c r="O786">
        <v>36</v>
      </c>
    </row>
    <row r="787" spans="1:15">
      <c r="A787" s="1">
        <v>45971</v>
      </c>
      <c r="B787">
        <v>6</v>
      </c>
      <c r="C787" t="s">
        <v>99</v>
      </c>
      <c r="D787">
        <v>6</v>
      </c>
      <c r="E787" s="2">
        <v>10.5</v>
      </c>
      <c r="F787" s="2">
        <v>77.73</v>
      </c>
      <c r="G787" s="2">
        <v>-70.180000000000007</v>
      </c>
      <c r="H787" s="2">
        <v>78.08</v>
      </c>
      <c r="I787" s="2">
        <v>-78.319999999999993</v>
      </c>
      <c r="J787" s="2">
        <v>2.86</v>
      </c>
      <c r="K787" s="2">
        <v>-3.4</v>
      </c>
      <c r="L787" s="2">
        <v>4.4400000000000004</v>
      </c>
      <c r="M787" s="2">
        <v>-0.21</v>
      </c>
      <c r="N787" t="s">
        <v>230</v>
      </c>
      <c r="O787">
        <v>36</v>
      </c>
    </row>
    <row r="788" spans="1:15">
      <c r="A788" s="1">
        <v>45971</v>
      </c>
      <c r="B788">
        <v>6</v>
      </c>
      <c r="C788" t="s">
        <v>99</v>
      </c>
      <c r="D788">
        <v>6</v>
      </c>
      <c r="E788" s="2">
        <v>11</v>
      </c>
      <c r="F788" s="2">
        <v>6.99</v>
      </c>
      <c r="G788" s="2">
        <v>3.29</v>
      </c>
      <c r="H788" s="2">
        <v>33.229999999999997</v>
      </c>
      <c r="I788" s="2">
        <v>-45.21</v>
      </c>
      <c r="J788" s="2">
        <v>2.8</v>
      </c>
      <c r="K788" s="2">
        <v>-3.4</v>
      </c>
      <c r="L788" s="2">
        <v>4.41</v>
      </c>
      <c r="M788" s="2">
        <v>-0.21</v>
      </c>
      <c r="N788" t="s">
        <v>230</v>
      </c>
      <c r="O788">
        <v>36</v>
      </c>
    </row>
    <row r="789" spans="1:15">
      <c r="A789" s="1">
        <v>45971</v>
      </c>
      <c r="B789">
        <v>6</v>
      </c>
      <c r="C789" t="s">
        <v>99</v>
      </c>
      <c r="D789">
        <v>6</v>
      </c>
      <c r="E789" s="2">
        <v>11.5</v>
      </c>
      <c r="F789" s="2">
        <v>-72.45</v>
      </c>
      <c r="G789" s="2">
        <v>76.540000000000006</v>
      </c>
      <c r="H789" s="2">
        <v>6.69</v>
      </c>
      <c r="I789" s="2">
        <v>-16.760000000000002</v>
      </c>
      <c r="J789" s="2">
        <v>2.64</v>
      </c>
      <c r="K789" s="2">
        <v>-3.41</v>
      </c>
      <c r="L789" s="2">
        <v>4.3099999999999996</v>
      </c>
      <c r="M789" s="2">
        <v>-0.19</v>
      </c>
      <c r="N789" t="s">
        <v>230</v>
      </c>
      <c r="O789">
        <v>36</v>
      </c>
    </row>
    <row r="790" spans="1:15">
      <c r="A790" s="1">
        <v>45971</v>
      </c>
      <c r="B790">
        <v>6</v>
      </c>
      <c r="C790" t="s">
        <v>99</v>
      </c>
      <c r="D790">
        <v>6</v>
      </c>
      <c r="E790" s="2">
        <v>12</v>
      </c>
      <c r="F790" s="2">
        <v>-84.58</v>
      </c>
      <c r="G790" s="2">
        <v>97.33</v>
      </c>
      <c r="H790" s="2">
        <v>19.54</v>
      </c>
      <c r="I790" s="2">
        <v>-27.37</v>
      </c>
      <c r="J790" s="2">
        <v>2.35</v>
      </c>
      <c r="K790" s="2">
        <v>-3.27</v>
      </c>
      <c r="L790" s="2">
        <v>4.03</v>
      </c>
      <c r="M790" s="2">
        <v>-0.13</v>
      </c>
      <c r="N790" t="s">
        <v>230</v>
      </c>
      <c r="O790">
        <v>36</v>
      </c>
    </row>
    <row r="791" spans="1:15">
      <c r="A791" s="1">
        <v>45971</v>
      </c>
      <c r="B791">
        <v>6</v>
      </c>
      <c r="C791" t="s">
        <v>99</v>
      </c>
      <c r="D791">
        <v>6</v>
      </c>
      <c r="E791" s="2">
        <v>12.5</v>
      </c>
      <c r="F791" s="2">
        <v>-43.06</v>
      </c>
      <c r="G791" s="2">
        <v>52.66</v>
      </c>
      <c r="H791" s="2">
        <v>16.78</v>
      </c>
      <c r="I791" s="2">
        <v>-21.46</v>
      </c>
      <c r="J791" s="2">
        <v>2.0499999999999998</v>
      </c>
      <c r="K791" s="2">
        <v>-3.08</v>
      </c>
      <c r="L791" s="2">
        <v>3.7</v>
      </c>
      <c r="M791" s="2">
        <v>-0.11</v>
      </c>
      <c r="N791" t="s">
        <v>230</v>
      </c>
      <c r="O791">
        <v>36</v>
      </c>
    </row>
    <row r="792" spans="1:15">
      <c r="A792" s="1">
        <v>45971</v>
      </c>
      <c r="B792">
        <v>6</v>
      </c>
      <c r="C792" t="s">
        <v>99</v>
      </c>
      <c r="D792">
        <v>6</v>
      </c>
      <c r="E792" s="2">
        <v>13</v>
      </c>
      <c r="F792" s="2">
        <v>-97.13</v>
      </c>
      <c r="G792" s="2">
        <v>105.27</v>
      </c>
      <c r="H792" s="2">
        <v>-40.57</v>
      </c>
      <c r="I792" s="2">
        <v>38.159999999999997</v>
      </c>
      <c r="J792" s="2">
        <v>1.89</v>
      </c>
      <c r="K792" s="2">
        <v>-2.94</v>
      </c>
      <c r="L792" s="2">
        <v>3.5</v>
      </c>
      <c r="M792" s="2">
        <v>-0.18</v>
      </c>
      <c r="N792" t="s">
        <v>230</v>
      </c>
      <c r="O792">
        <v>36</v>
      </c>
    </row>
    <row r="793" spans="1:15">
      <c r="A793" s="1">
        <v>45971</v>
      </c>
      <c r="B793">
        <v>6</v>
      </c>
      <c r="C793" t="s">
        <v>99</v>
      </c>
      <c r="D793">
        <v>6</v>
      </c>
      <c r="E793" s="2">
        <v>13.5</v>
      </c>
      <c r="F793" s="2">
        <v>-262.55</v>
      </c>
      <c r="G793" s="2">
        <v>272.81</v>
      </c>
      <c r="H793" s="2">
        <v>-180.04</v>
      </c>
      <c r="I793" s="2">
        <v>182.53</v>
      </c>
      <c r="J793" s="2">
        <v>1.85</v>
      </c>
      <c r="K793" s="2">
        <v>-2.97</v>
      </c>
      <c r="L793" s="2">
        <v>3.5</v>
      </c>
      <c r="M793" s="2">
        <v>-0.17</v>
      </c>
      <c r="N793" t="s">
        <v>230</v>
      </c>
      <c r="O793">
        <v>36</v>
      </c>
    </row>
    <row r="794" spans="1:15">
      <c r="A794" s="1">
        <v>45971</v>
      </c>
      <c r="B794">
        <v>6</v>
      </c>
      <c r="C794" t="s">
        <v>99</v>
      </c>
      <c r="D794">
        <v>6</v>
      </c>
      <c r="E794" s="2">
        <v>14</v>
      </c>
      <c r="F794" s="2">
        <v>-294.18</v>
      </c>
      <c r="G794" s="2">
        <v>303.91000000000003</v>
      </c>
      <c r="H794" s="2">
        <v>-293.98</v>
      </c>
      <c r="I794" s="2">
        <v>299.64</v>
      </c>
      <c r="J794" s="2">
        <v>1.85</v>
      </c>
      <c r="K794" s="2">
        <v>-3.01</v>
      </c>
      <c r="L794" s="2">
        <v>3.53</v>
      </c>
      <c r="M794" s="2">
        <v>-0.01</v>
      </c>
      <c r="N794" t="s">
        <v>230</v>
      </c>
      <c r="O794">
        <v>36</v>
      </c>
    </row>
    <row r="795" spans="1:15">
      <c r="A795" s="1">
        <v>45971</v>
      </c>
      <c r="B795">
        <v>6</v>
      </c>
      <c r="C795" t="s">
        <v>99</v>
      </c>
      <c r="D795">
        <v>6</v>
      </c>
      <c r="E795" s="2">
        <v>14.5</v>
      </c>
      <c r="F795" s="2">
        <v>-262.58</v>
      </c>
      <c r="G795" s="2">
        <v>271.85000000000002</v>
      </c>
      <c r="H795" s="2">
        <v>-253.86</v>
      </c>
      <c r="I795" s="2">
        <v>253.21</v>
      </c>
      <c r="J795" s="2">
        <v>1.82</v>
      </c>
      <c r="K795" s="2">
        <v>-2.83</v>
      </c>
      <c r="L795" s="2">
        <v>3.36</v>
      </c>
      <c r="M795" s="2">
        <v>-0.01</v>
      </c>
      <c r="N795" t="s">
        <v>230</v>
      </c>
      <c r="O795">
        <v>36</v>
      </c>
    </row>
    <row r="796" spans="1:15">
      <c r="A796" s="1">
        <v>45971</v>
      </c>
      <c r="B796">
        <v>6</v>
      </c>
      <c r="C796" t="s">
        <v>99</v>
      </c>
      <c r="D796">
        <v>6</v>
      </c>
      <c r="E796" s="2">
        <v>15</v>
      </c>
      <c r="F796" s="2">
        <v>-226.5</v>
      </c>
      <c r="G796" s="2">
        <v>237.22</v>
      </c>
      <c r="H796" s="2">
        <v>-202.51</v>
      </c>
      <c r="I796" s="2">
        <v>194.81</v>
      </c>
      <c r="J796" s="2">
        <v>1.7</v>
      </c>
      <c r="K796" s="2">
        <v>-2.73</v>
      </c>
      <c r="L796" s="2">
        <v>3.22</v>
      </c>
      <c r="M796" s="2">
        <v>0.02</v>
      </c>
      <c r="N796" t="s">
        <v>230</v>
      </c>
      <c r="O796">
        <v>36</v>
      </c>
    </row>
    <row r="797" spans="1:15">
      <c r="A797" s="1">
        <v>45971</v>
      </c>
      <c r="B797">
        <v>6</v>
      </c>
      <c r="C797" t="s">
        <v>99</v>
      </c>
      <c r="D797">
        <v>6</v>
      </c>
      <c r="E797" s="2">
        <v>15.5</v>
      </c>
      <c r="F797" s="2">
        <v>-160.35</v>
      </c>
      <c r="G797" s="2">
        <v>166.39</v>
      </c>
      <c r="H797" s="2">
        <v>-187.66</v>
      </c>
      <c r="I797" s="2">
        <v>178.57</v>
      </c>
      <c r="J797" s="2">
        <v>1.59</v>
      </c>
      <c r="K797" s="2">
        <v>-2.65</v>
      </c>
      <c r="L797" s="2">
        <v>3.09</v>
      </c>
      <c r="M797" s="2">
        <v>0.03</v>
      </c>
      <c r="N797" t="s">
        <v>230</v>
      </c>
      <c r="O797">
        <v>36</v>
      </c>
    </row>
    <row r="798" spans="1:15">
      <c r="A798" s="1">
        <v>45971</v>
      </c>
      <c r="B798">
        <v>6</v>
      </c>
      <c r="C798" t="s">
        <v>99</v>
      </c>
      <c r="D798">
        <v>6</v>
      </c>
      <c r="E798" s="2">
        <v>16</v>
      </c>
      <c r="F798" s="2">
        <v>-74.739999999999995</v>
      </c>
      <c r="G798" s="2">
        <v>82.56</v>
      </c>
      <c r="H798" s="2">
        <v>-162.29</v>
      </c>
      <c r="I798" s="2">
        <v>168.26</v>
      </c>
      <c r="J798" s="2">
        <v>1.53</v>
      </c>
      <c r="K798" s="2">
        <v>-2.5299999999999998</v>
      </c>
      <c r="L798" s="2">
        <v>2.96</v>
      </c>
      <c r="M798" s="2">
        <v>0.03</v>
      </c>
      <c r="N798" t="s">
        <v>230</v>
      </c>
      <c r="O798">
        <v>36</v>
      </c>
    </row>
    <row r="799" spans="1:15">
      <c r="A799" s="1">
        <v>45971</v>
      </c>
      <c r="B799">
        <v>6</v>
      </c>
      <c r="C799" t="s">
        <v>99</v>
      </c>
      <c r="D799">
        <v>6</v>
      </c>
      <c r="E799" s="2">
        <v>16.5</v>
      </c>
      <c r="F799" s="2">
        <v>109.59</v>
      </c>
      <c r="G799" s="2">
        <v>-102.2</v>
      </c>
      <c r="H799" s="2">
        <v>-104.17</v>
      </c>
      <c r="I799" s="2">
        <v>114.25</v>
      </c>
      <c r="J799" s="2">
        <v>1.45</v>
      </c>
      <c r="K799" s="2">
        <v>-2.38</v>
      </c>
      <c r="L799" s="2">
        <v>2.79</v>
      </c>
      <c r="M799" s="2">
        <v>0</v>
      </c>
      <c r="N799" t="s">
        <v>230</v>
      </c>
      <c r="O799">
        <v>36</v>
      </c>
    </row>
    <row r="800" spans="1:15">
      <c r="A800" s="1">
        <v>45971</v>
      </c>
      <c r="B800">
        <v>6</v>
      </c>
      <c r="C800" t="s">
        <v>99</v>
      </c>
      <c r="D800">
        <v>6</v>
      </c>
      <c r="E800" s="2">
        <v>17</v>
      </c>
      <c r="F800" s="2">
        <v>269.64999999999998</v>
      </c>
      <c r="G800" s="2">
        <v>-260.63</v>
      </c>
      <c r="H800" s="2">
        <v>-60.5</v>
      </c>
      <c r="I800" s="2">
        <v>54.46</v>
      </c>
      <c r="J800" s="2">
        <v>1.38</v>
      </c>
      <c r="K800" s="2">
        <v>-2.35</v>
      </c>
      <c r="L800" s="2">
        <v>2.73</v>
      </c>
      <c r="M800" s="2">
        <v>-7.0000000000000007E-2</v>
      </c>
      <c r="N800" t="s">
        <v>230</v>
      </c>
      <c r="O800">
        <v>36</v>
      </c>
    </row>
    <row r="801" spans="1:15">
      <c r="A801" s="1">
        <v>45971</v>
      </c>
      <c r="B801">
        <v>6</v>
      </c>
      <c r="C801" t="s">
        <v>99</v>
      </c>
      <c r="D801">
        <v>6</v>
      </c>
      <c r="E801" s="2">
        <v>17.5</v>
      </c>
      <c r="F801" s="2">
        <v>321.81</v>
      </c>
      <c r="G801" s="2">
        <v>-316.47000000000003</v>
      </c>
      <c r="H801" s="2">
        <v>-75.290000000000006</v>
      </c>
      <c r="I801" s="2">
        <v>62.93</v>
      </c>
      <c r="J801" s="2">
        <v>1.27</v>
      </c>
      <c r="K801" s="2">
        <v>-2.1</v>
      </c>
      <c r="L801" s="2">
        <v>2.4500000000000002</v>
      </c>
      <c r="M801" s="2">
        <v>-0.14000000000000001</v>
      </c>
      <c r="N801" t="s">
        <v>230</v>
      </c>
      <c r="O801">
        <v>36</v>
      </c>
    </row>
    <row r="802" spans="1:15">
      <c r="A802" s="1">
        <v>45971</v>
      </c>
      <c r="B802">
        <v>6</v>
      </c>
      <c r="C802" t="s">
        <v>99</v>
      </c>
      <c r="D802">
        <v>6</v>
      </c>
      <c r="E802" s="2">
        <v>18</v>
      </c>
      <c r="F802" s="2">
        <v>392.24</v>
      </c>
      <c r="G802" s="2">
        <v>-382.59</v>
      </c>
      <c r="H802" s="2">
        <v>-98.7</v>
      </c>
      <c r="I802" s="2">
        <v>98.05</v>
      </c>
      <c r="J802" s="2">
        <v>1.17</v>
      </c>
      <c r="K802" s="2">
        <v>-1.98</v>
      </c>
      <c r="L802" s="2">
        <v>2.2999999999999998</v>
      </c>
      <c r="M802" s="2">
        <v>-0.12</v>
      </c>
      <c r="N802" t="s">
        <v>230</v>
      </c>
      <c r="O802">
        <v>36</v>
      </c>
    </row>
    <row r="803" spans="1:15">
      <c r="A803" s="1">
        <v>45971</v>
      </c>
      <c r="B803">
        <v>6</v>
      </c>
      <c r="C803" t="s">
        <v>99</v>
      </c>
      <c r="D803">
        <v>6</v>
      </c>
      <c r="E803" s="2">
        <v>18.5</v>
      </c>
      <c r="F803" s="2">
        <v>438.37</v>
      </c>
      <c r="G803" s="2">
        <v>-430.5</v>
      </c>
      <c r="H803" s="2">
        <v>-105.02</v>
      </c>
      <c r="I803" s="2">
        <v>113.05</v>
      </c>
      <c r="J803" s="2">
        <v>1.08</v>
      </c>
      <c r="K803" s="2">
        <v>-1.86</v>
      </c>
      <c r="L803" s="2">
        <v>2.15</v>
      </c>
      <c r="M803" s="2">
        <v>-0.14000000000000001</v>
      </c>
      <c r="N803" t="s">
        <v>230</v>
      </c>
      <c r="O803">
        <v>36</v>
      </c>
    </row>
    <row r="804" spans="1:15">
      <c r="A804" s="1">
        <v>45971</v>
      </c>
      <c r="B804">
        <v>6</v>
      </c>
      <c r="C804" t="s">
        <v>99</v>
      </c>
      <c r="D804">
        <v>6</v>
      </c>
      <c r="E804" s="2">
        <v>19</v>
      </c>
      <c r="F804" s="2">
        <v>444.44</v>
      </c>
      <c r="G804" s="2">
        <v>-438.77</v>
      </c>
      <c r="H804" s="2">
        <v>-122.01</v>
      </c>
      <c r="I804" s="2">
        <v>109.05</v>
      </c>
      <c r="J804" s="2">
        <v>1.05</v>
      </c>
      <c r="K804" s="2">
        <v>-1.67</v>
      </c>
      <c r="L804" s="2">
        <v>1.98</v>
      </c>
      <c r="M804" s="2">
        <v>-0.1</v>
      </c>
      <c r="N804" t="s">
        <v>230</v>
      </c>
      <c r="O804">
        <v>36</v>
      </c>
    </row>
    <row r="805" spans="1:15">
      <c r="A805" s="1">
        <v>45971</v>
      </c>
      <c r="B805">
        <v>6</v>
      </c>
      <c r="C805" t="s">
        <v>99</v>
      </c>
      <c r="D805">
        <v>6</v>
      </c>
      <c r="E805" s="2">
        <v>19.5</v>
      </c>
      <c r="F805" s="2">
        <v>326.81</v>
      </c>
      <c r="G805" s="2">
        <v>-321.16000000000003</v>
      </c>
      <c r="H805" s="2">
        <v>-42.61</v>
      </c>
      <c r="I805" s="2">
        <v>50.92</v>
      </c>
      <c r="J805" s="2">
        <v>0.96</v>
      </c>
      <c r="K805" s="2">
        <v>-1.58</v>
      </c>
      <c r="L805" s="2">
        <v>1.84</v>
      </c>
      <c r="M805" s="2">
        <v>-0.11</v>
      </c>
      <c r="N805" t="s">
        <v>230</v>
      </c>
      <c r="O805">
        <v>36</v>
      </c>
    </row>
    <row r="806" spans="1:15">
      <c r="A806" s="1">
        <v>45971</v>
      </c>
      <c r="B806">
        <v>6</v>
      </c>
      <c r="C806" t="s">
        <v>99</v>
      </c>
      <c r="D806">
        <v>6</v>
      </c>
      <c r="E806" s="2">
        <v>20</v>
      </c>
      <c r="F806" s="2">
        <v>191.88</v>
      </c>
      <c r="G806" s="2">
        <v>-183.64</v>
      </c>
      <c r="H806" s="2">
        <v>-0.05</v>
      </c>
      <c r="I806" s="2">
        <v>11.92</v>
      </c>
      <c r="J806" s="2">
        <v>0.9</v>
      </c>
      <c r="K806" s="2">
        <v>-1.51</v>
      </c>
      <c r="L806" s="2">
        <v>1.76</v>
      </c>
      <c r="M806" s="2">
        <v>-0.08</v>
      </c>
      <c r="N806" t="s">
        <v>230</v>
      </c>
      <c r="O806">
        <v>36</v>
      </c>
    </row>
    <row r="807" spans="1:15">
      <c r="A807" s="1">
        <v>45971</v>
      </c>
      <c r="B807">
        <v>6</v>
      </c>
      <c r="C807" t="s">
        <v>99</v>
      </c>
      <c r="D807">
        <v>6</v>
      </c>
      <c r="E807" s="2">
        <v>20.5</v>
      </c>
      <c r="F807" s="2">
        <v>156.99</v>
      </c>
      <c r="G807" s="2">
        <v>-150.71</v>
      </c>
      <c r="H807" s="2">
        <v>-7.48</v>
      </c>
      <c r="I807" s="2">
        <v>15.51</v>
      </c>
      <c r="J807" s="2">
        <v>0.76</v>
      </c>
      <c r="K807" s="2">
        <v>-1.35</v>
      </c>
      <c r="L807" s="2">
        <v>1.55</v>
      </c>
      <c r="M807" s="2">
        <v>0.01</v>
      </c>
      <c r="N807" t="s">
        <v>230</v>
      </c>
      <c r="O807">
        <v>36</v>
      </c>
    </row>
    <row r="808" spans="1:15">
      <c r="A808" s="1">
        <v>45971</v>
      </c>
      <c r="B808">
        <v>6</v>
      </c>
      <c r="C808" t="s">
        <v>99</v>
      </c>
      <c r="D808">
        <v>6</v>
      </c>
      <c r="E808" s="2">
        <v>21</v>
      </c>
      <c r="F808" s="2">
        <v>117</v>
      </c>
      <c r="G808" s="2">
        <v>-109.06</v>
      </c>
      <c r="H808" s="2">
        <v>-7.15</v>
      </c>
      <c r="I808" s="2">
        <v>20.14</v>
      </c>
      <c r="J808" s="2">
        <v>0.7</v>
      </c>
      <c r="K808" s="2">
        <v>-1.25</v>
      </c>
      <c r="L808" s="2">
        <v>1.43</v>
      </c>
      <c r="M808" s="2">
        <v>0.03</v>
      </c>
      <c r="N808" t="s">
        <v>230</v>
      </c>
      <c r="O808">
        <v>36</v>
      </c>
    </row>
    <row r="809" spans="1:15">
      <c r="A809" s="1">
        <v>45971</v>
      </c>
      <c r="B809">
        <v>6</v>
      </c>
      <c r="C809" t="s">
        <v>99</v>
      </c>
      <c r="D809">
        <v>6</v>
      </c>
      <c r="E809" s="2">
        <v>21.5</v>
      </c>
      <c r="F809" s="2">
        <v>-12.09</v>
      </c>
      <c r="G809" s="2">
        <v>20.88</v>
      </c>
      <c r="H809" s="2">
        <v>-17.98</v>
      </c>
      <c r="I809" s="2">
        <v>21.08</v>
      </c>
      <c r="J809" s="2">
        <v>0.53</v>
      </c>
      <c r="K809" s="2">
        <v>-1.38</v>
      </c>
      <c r="L809" s="2">
        <v>1.48</v>
      </c>
      <c r="M809" s="2">
        <v>0.11</v>
      </c>
      <c r="N809" t="s">
        <v>230</v>
      </c>
      <c r="O809">
        <v>36</v>
      </c>
    </row>
    <row r="810" spans="1:15">
      <c r="A810" s="1">
        <v>45971</v>
      </c>
      <c r="B810">
        <v>6</v>
      </c>
      <c r="C810" t="s">
        <v>99</v>
      </c>
      <c r="D810">
        <v>6</v>
      </c>
      <c r="E810" s="2">
        <v>22</v>
      </c>
      <c r="F810" s="2">
        <v>-57.43</v>
      </c>
      <c r="G810" s="2">
        <v>64.78</v>
      </c>
      <c r="H810" s="2">
        <v>-12.96</v>
      </c>
      <c r="I810" s="2">
        <v>26.35</v>
      </c>
      <c r="J810" s="2">
        <v>0.5</v>
      </c>
      <c r="K810" s="2">
        <v>-1.1599999999999999</v>
      </c>
      <c r="L810" s="2">
        <v>1.26</v>
      </c>
      <c r="M810" s="2">
        <v>0.06</v>
      </c>
      <c r="N810" t="s">
        <v>230</v>
      </c>
      <c r="O810">
        <v>36</v>
      </c>
    </row>
    <row r="811" spans="1:15">
      <c r="A811" s="1">
        <v>45971</v>
      </c>
      <c r="B811">
        <v>6</v>
      </c>
      <c r="C811" t="s">
        <v>99</v>
      </c>
      <c r="D811">
        <v>6</v>
      </c>
      <c r="E811" s="2">
        <v>22.5</v>
      </c>
      <c r="F811" s="2">
        <v>-44.61</v>
      </c>
      <c r="G811" s="2">
        <v>53.8</v>
      </c>
      <c r="H811" s="2">
        <v>-104.31</v>
      </c>
      <c r="I811" s="2">
        <v>123.61</v>
      </c>
      <c r="J811" s="2">
        <v>0.48</v>
      </c>
      <c r="K811" s="2">
        <v>-1.17</v>
      </c>
      <c r="L811" s="2">
        <v>1.26</v>
      </c>
      <c r="M811" s="2">
        <v>0.03</v>
      </c>
      <c r="N811" t="s">
        <v>230</v>
      </c>
      <c r="O811">
        <v>36</v>
      </c>
    </row>
    <row r="812" spans="1:15">
      <c r="A812" s="1">
        <v>45971</v>
      </c>
      <c r="B812">
        <v>6</v>
      </c>
      <c r="C812" t="s">
        <v>99</v>
      </c>
      <c r="D812">
        <v>6</v>
      </c>
      <c r="E812" s="2">
        <v>23</v>
      </c>
      <c r="F812" s="2">
        <v>-58.03</v>
      </c>
      <c r="G812" s="2">
        <v>63.17</v>
      </c>
      <c r="H812" s="2">
        <v>-155.72999999999999</v>
      </c>
      <c r="I812" s="2">
        <v>160.15</v>
      </c>
      <c r="J812" s="2">
        <v>0.44</v>
      </c>
      <c r="K812" s="2">
        <v>-0.97</v>
      </c>
      <c r="L812" s="2">
        <v>1.06</v>
      </c>
      <c r="M812" s="2">
        <v>-7.0000000000000007E-2</v>
      </c>
      <c r="N812" t="s">
        <v>230</v>
      </c>
      <c r="O812">
        <v>36</v>
      </c>
    </row>
    <row r="813" spans="1:15">
      <c r="A813" s="1">
        <v>45971</v>
      </c>
      <c r="B813">
        <v>6</v>
      </c>
      <c r="C813" t="s">
        <v>99</v>
      </c>
      <c r="D813">
        <v>6</v>
      </c>
      <c r="E813" s="2">
        <v>23.5</v>
      </c>
      <c r="F813" s="2">
        <v>-122.4</v>
      </c>
      <c r="G813" s="2">
        <v>134.28</v>
      </c>
      <c r="H813" s="2">
        <v>-190.76</v>
      </c>
      <c r="I813" s="2">
        <v>211.81</v>
      </c>
      <c r="J813" s="2">
        <v>0.38</v>
      </c>
      <c r="K813" s="2">
        <v>-0.8</v>
      </c>
      <c r="L813" s="2">
        <v>0.89</v>
      </c>
      <c r="M813" s="2">
        <v>7.0000000000000007E-2</v>
      </c>
      <c r="N813" t="s">
        <v>230</v>
      </c>
      <c r="O813">
        <v>36</v>
      </c>
    </row>
    <row r="814" spans="1:15">
      <c r="A814" s="1">
        <v>45971</v>
      </c>
      <c r="B814">
        <v>6</v>
      </c>
      <c r="C814" t="s">
        <v>99</v>
      </c>
      <c r="D814">
        <v>6</v>
      </c>
      <c r="E814" s="2">
        <v>24</v>
      </c>
      <c r="F814" s="2">
        <v>-156.53</v>
      </c>
      <c r="G814" s="2">
        <v>164.41</v>
      </c>
      <c r="H814" s="2">
        <v>-262.01</v>
      </c>
      <c r="I814" s="2">
        <v>258.82</v>
      </c>
      <c r="J814" s="2">
        <v>0.38</v>
      </c>
      <c r="K814" s="2">
        <v>-0.75</v>
      </c>
      <c r="L814" s="2">
        <v>0.84</v>
      </c>
      <c r="M814" s="2">
        <v>0.01</v>
      </c>
      <c r="N814" t="s">
        <v>230</v>
      </c>
      <c r="O814">
        <v>36</v>
      </c>
    </row>
    <row r="815" spans="1:15">
      <c r="A815" s="1">
        <v>45971</v>
      </c>
      <c r="B815">
        <v>6</v>
      </c>
      <c r="C815" t="s">
        <v>99</v>
      </c>
      <c r="D815">
        <v>6</v>
      </c>
      <c r="E815" s="2">
        <v>24.5</v>
      </c>
      <c r="F815" s="2">
        <v>-52.82</v>
      </c>
      <c r="G815" s="2">
        <v>57.16</v>
      </c>
      <c r="H815" s="2">
        <v>-246.4</v>
      </c>
      <c r="I815" s="2">
        <v>238.14</v>
      </c>
      <c r="J815" s="2">
        <v>0.36</v>
      </c>
      <c r="K815" s="2">
        <v>-0.77</v>
      </c>
      <c r="L815" s="2">
        <v>0.85</v>
      </c>
      <c r="M815" s="2">
        <v>0.08</v>
      </c>
      <c r="N815" t="s">
        <v>230</v>
      </c>
      <c r="O815">
        <v>36</v>
      </c>
    </row>
    <row r="816" spans="1:15">
      <c r="A816" s="1">
        <v>45971</v>
      </c>
      <c r="B816">
        <v>6</v>
      </c>
      <c r="C816" t="s">
        <v>99</v>
      </c>
      <c r="D816">
        <v>6</v>
      </c>
      <c r="E816" s="2">
        <v>25</v>
      </c>
      <c r="F816" s="2">
        <v>43.25</v>
      </c>
      <c r="G816" s="2">
        <v>-35.19</v>
      </c>
      <c r="H816" s="2">
        <v>-230.06</v>
      </c>
      <c r="I816" s="2">
        <v>219.6</v>
      </c>
      <c r="J816" s="2">
        <v>0.28999999999999998</v>
      </c>
      <c r="K816" s="2">
        <v>-0.79</v>
      </c>
      <c r="L816" s="2">
        <v>0.84</v>
      </c>
      <c r="M816" s="2">
        <v>0.09</v>
      </c>
      <c r="N816" t="s">
        <v>230</v>
      </c>
      <c r="O816">
        <v>36</v>
      </c>
    </row>
    <row r="817" spans="1:15">
      <c r="A817" s="1">
        <v>45971</v>
      </c>
      <c r="B817">
        <v>6</v>
      </c>
      <c r="C817" t="s">
        <v>99</v>
      </c>
      <c r="D817">
        <v>6</v>
      </c>
      <c r="E817" s="2">
        <v>25.5</v>
      </c>
      <c r="F817" s="2">
        <v>100.45</v>
      </c>
      <c r="G817" s="2">
        <v>-92.88</v>
      </c>
      <c r="H817" s="2">
        <v>-183.63</v>
      </c>
      <c r="I817" s="2">
        <v>193.39</v>
      </c>
      <c r="J817" s="2">
        <v>0.21</v>
      </c>
      <c r="K817" s="2">
        <v>-0.6</v>
      </c>
      <c r="L817" s="2">
        <v>0.64</v>
      </c>
      <c r="M817" s="2">
        <v>0.09</v>
      </c>
      <c r="N817" t="s">
        <v>230</v>
      </c>
      <c r="O817">
        <v>36</v>
      </c>
    </row>
    <row r="818" spans="1:15">
      <c r="A818" s="1">
        <v>45971</v>
      </c>
      <c r="B818">
        <v>6</v>
      </c>
      <c r="C818" t="s">
        <v>99</v>
      </c>
      <c r="D818">
        <v>6</v>
      </c>
      <c r="E818" s="2">
        <v>26</v>
      </c>
      <c r="F818" s="2">
        <v>146.29</v>
      </c>
      <c r="G818" s="2">
        <v>-136.69</v>
      </c>
      <c r="H818" s="2">
        <v>-234.44</v>
      </c>
      <c r="I818" s="2">
        <v>242.66</v>
      </c>
      <c r="J818" s="2">
        <v>0.16</v>
      </c>
      <c r="K818" s="2">
        <v>-0.13</v>
      </c>
      <c r="L818" s="2">
        <v>0.2</v>
      </c>
      <c r="M818" s="2">
        <v>-0.04</v>
      </c>
      <c r="N818" t="s">
        <v>230</v>
      </c>
      <c r="O818">
        <v>36</v>
      </c>
    </row>
    <row r="819" spans="1:15">
      <c r="A819" s="1">
        <v>45971</v>
      </c>
      <c r="B819">
        <v>6</v>
      </c>
      <c r="C819" t="s">
        <v>99</v>
      </c>
      <c r="D819">
        <v>6</v>
      </c>
      <c r="E819" s="2">
        <v>26.5</v>
      </c>
      <c r="F819" s="2">
        <v>150.41</v>
      </c>
      <c r="G819" s="2">
        <v>-143.29</v>
      </c>
      <c r="H819" s="2">
        <v>-256.68</v>
      </c>
      <c r="I819" s="2">
        <v>258.02999999999997</v>
      </c>
      <c r="J819" s="2">
        <v>0.09</v>
      </c>
      <c r="K819" s="2">
        <v>0.04</v>
      </c>
      <c r="L819" s="2">
        <v>0.1</v>
      </c>
      <c r="M819" s="2">
        <v>-0.04</v>
      </c>
      <c r="N819" t="s">
        <v>230</v>
      </c>
      <c r="O819">
        <v>36</v>
      </c>
    </row>
    <row r="820" spans="1:15">
      <c r="A820" s="1">
        <v>45978</v>
      </c>
      <c r="B820">
        <v>7</v>
      </c>
      <c r="C820" t="s">
        <v>94</v>
      </c>
      <c r="D820">
        <v>7</v>
      </c>
      <c r="E820" s="2">
        <v>0.5</v>
      </c>
      <c r="F820" s="2">
        <v>-378.7</v>
      </c>
      <c r="G820" s="2">
        <v>377.21</v>
      </c>
      <c r="H820" s="2">
        <v>-816.15</v>
      </c>
      <c r="I820" s="2">
        <v>836.78</v>
      </c>
      <c r="J820" s="2">
        <v>0.26</v>
      </c>
      <c r="K820" s="2">
        <v>2.73</v>
      </c>
      <c r="L820" s="2">
        <v>2.75</v>
      </c>
      <c r="M820" s="2">
        <v>0.95</v>
      </c>
      <c r="N820" t="s">
        <v>230</v>
      </c>
      <c r="O820">
        <v>18</v>
      </c>
    </row>
    <row r="821" spans="1:15">
      <c r="A821" s="1">
        <v>45978</v>
      </c>
      <c r="B821">
        <v>7</v>
      </c>
      <c r="C821" t="s">
        <v>94</v>
      </c>
      <c r="D821">
        <v>7</v>
      </c>
      <c r="E821" s="2">
        <v>1</v>
      </c>
      <c r="F821" s="2">
        <v>-379.18</v>
      </c>
      <c r="G821" s="2">
        <v>377.62</v>
      </c>
      <c r="H821" s="2">
        <v>-815.98</v>
      </c>
      <c r="I821" s="2">
        <v>836.96</v>
      </c>
      <c r="J821" s="2">
        <v>0.89</v>
      </c>
      <c r="K821" s="2">
        <v>4.09</v>
      </c>
      <c r="L821" s="2">
        <v>4.18</v>
      </c>
      <c r="M821" s="2">
        <v>1.3</v>
      </c>
      <c r="N821" t="s">
        <v>230</v>
      </c>
      <c r="O821">
        <v>18</v>
      </c>
    </row>
    <row r="822" spans="1:15">
      <c r="A822" s="1">
        <v>45978</v>
      </c>
      <c r="B822">
        <v>7</v>
      </c>
      <c r="C822" t="s">
        <v>94</v>
      </c>
      <c r="D822">
        <v>7</v>
      </c>
      <c r="E822" s="2">
        <v>1.5</v>
      </c>
      <c r="F822" s="2">
        <v>-7.28</v>
      </c>
      <c r="G822" s="2">
        <v>19.329999999999998</v>
      </c>
      <c r="H822" s="2">
        <v>-281.37</v>
      </c>
      <c r="I822" s="2">
        <v>290.63</v>
      </c>
      <c r="J822" s="2">
        <v>1.57</v>
      </c>
      <c r="K822" s="2">
        <v>5.03</v>
      </c>
      <c r="L822" s="2">
        <v>5.27</v>
      </c>
      <c r="M822" s="2">
        <v>1.6</v>
      </c>
      <c r="N822" t="s">
        <v>230</v>
      </c>
      <c r="O822">
        <v>18</v>
      </c>
    </row>
    <row r="823" spans="1:15">
      <c r="A823" s="1">
        <v>45978</v>
      </c>
      <c r="B823">
        <v>7</v>
      </c>
      <c r="C823" t="s">
        <v>94</v>
      </c>
      <c r="D823">
        <v>7</v>
      </c>
      <c r="E823" s="2">
        <v>2</v>
      </c>
      <c r="F823" s="2">
        <v>14.02</v>
      </c>
      <c r="G823" s="2">
        <v>-5.39</v>
      </c>
      <c r="H823" s="2">
        <v>-240.25</v>
      </c>
      <c r="I823" s="2">
        <v>240.78</v>
      </c>
      <c r="J823" s="2">
        <v>1.42</v>
      </c>
      <c r="K823" s="2">
        <v>4.8600000000000003</v>
      </c>
      <c r="L823" s="2">
        <v>5.0599999999999996</v>
      </c>
      <c r="M823" s="2">
        <v>1.39</v>
      </c>
      <c r="N823" t="s">
        <v>230</v>
      </c>
      <c r="O823">
        <v>18</v>
      </c>
    </row>
    <row r="824" spans="1:15">
      <c r="A824" s="1">
        <v>45978</v>
      </c>
      <c r="B824">
        <v>7</v>
      </c>
      <c r="C824" t="s">
        <v>94</v>
      </c>
      <c r="D824">
        <v>7</v>
      </c>
      <c r="E824" s="2">
        <v>2.5</v>
      </c>
      <c r="F824" s="2">
        <v>32.119999999999997</v>
      </c>
      <c r="G824" s="2">
        <v>-24.14</v>
      </c>
      <c r="H824" s="2">
        <v>-214.67</v>
      </c>
      <c r="I824" s="2">
        <v>218.05</v>
      </c>
      <c r="J824" s="2">
        <v>1.93</v>
      </c>
      <c r="K824" s="2">
        <v>4.8</v>
      </c>
      <c r="L824" s="2">
        <v>5.17</v>
      </c>
      <c r="M824" s="2">
        <v>1.1000000000000001</v>
      </c>
      <c r="N824" t="s">
        <v>230</v>
      </c>
      <c r="O824">
        <v>18</v>
      </c>
    </row>
    <row r="825" spans="1:15">
      <c r="A825" s="1">
        <v>45978</v>
      </c>
      <c r="B825">
        <v>7</v>
      </c>
      <c r="C825" t="s">
        <v>94</v>
      </c>
      <c r="D825">
        <v>7</v>
      </c>
      <c r="E825" s="2">
        <v>3</v>
      </c>
      <c r="F825" s="2">
        <v>11.61</v>
      </c>
      <c r="G825" s="2">
        <v>-0.75</v>
      </c>
      <c r="H825" s="2">
        <v>-154.35</v>
      </c>
      <c r="I825" s="2">
        <v>172.8</v>
      </c>
      <c r="J825" s="2">
        <v>2.17</v>
      </c>
      <c r="K825" s="2">
        <v>4.66</v>
      </c>
      <c r="L825" s="2">
        <v>5.15</v>
      </c>
      <c r="M825" s="2">
        <v>0.99</v>
      </c>
      <c r="N825" t="s">
        <v>230</v>
      </c>
      <c r="O825">
        <v>18</v>
      </c>
    </row>
    <row r="826" spans="1:15">
      <c r="A826" s="1">
        <v>45978</v>
      </c>
      <c r="B826">
        <v>7</v>
      </c>
      <c r="C826" t="s">
        <v>94</v>
      </c>
      <c r="D826">
        <v>7</v>
      </c>
      <c r="E826" s="2">
        <v>3.5</v>
      </c>
      <c r="F826" s="2">
        <v>-7.31</v>
      </c>
      <c r="G826" s="2">
        <v>16.95</v>
      </c>
      <c r="H826" s="2">
        <v>-95.05</v>
      </c>
      <c r="I826" s="2">
        <v>109.28</v>
      </c>
      <c r="J826" s="2">
        <v>2.2599999999999998</v>
      </c>
      <c r="K826" s="2">
        <v>4.46</v>
      </c>
      <c r="L826" s="2">
        <v>5</v>
      </c>
      <c r="M826" s="2">
        <v>0.87</v>
      </c>
      <c r="N826" t="s">
        <v>230</v>
      </c>
      <c r="O826">
        <v>18</v>
      </c>
    </row>
    <row r="827" spans="1:15">
      <c r="A827" s="1">
        <v>45978</v>
      </c>
      <c r="B827">
        <v>7</v>
      </c>
      <c r="C827" t="s">
        <v>94</v>
      </c>
      <c r="D827">
        <v>7</v>
      </c>
      <c r="E827" s="2">
        <v>4</v>
      </c>
      <c r="F827" s="2">
        <v>61.88</v>
      </c>
      <c r="G827" s="2">
        <v>-52.49</v>
      </c>
      <c r="H827" s="2">
        <v>-81.400000000000006</v>
      </c>
      <c r="I827" s="2">
        <v>69.010000000000005</v>
      </c>
      <c r="J827" s="2">
        <v>2.29</v>
      </c>
      <c r="K827" s="2">
        <v>4.53</v>
      </c>
      <c r="L827" s="2">
        <v>5.08</v>
      </c>
      <c r="M827" s="2">
        <v>0.9</v>
      </c>
      <c r="N827" t="s">
        <v>230</v>
      </c>
      <c r="O827">
        <v>18</v>
      </c>
    </row>
    <row r="828" spans="1:15">
      <c r="A828" s="1">
        <v>45978</v>
      </c>
      <c r="B828">
        <v>7</v>
      </c>
      <c r="C828" t="s">
        <v>94</v>
      </c>
      <c r="D828">
        <v>7</v>
      </c>
      <c r="E828" s="2">
        <v>4.5</v>
      </c>
      <c r="F828" s="2">
        <v>59.51</v>
      </c>
      <c r="G828" s="2">
        <v>-50.44</v>
      </c>
      <c r="H828" s="2">
        <v>-46.89</v>
      </c>
      <c r="I828" s="2">
        <v>46.79</v>
      </c>
      <c r="J828" s="2">
        <v>2.35</v>
      </c>
      <c r="K828" s="2">
        <v>4.4000000000000004</v>
      </c>
      <c r="L828" s="2">
        <v>4.99</v>
      </c>
      <c r="M828" s="2">
        <v>0.96</v>
      </c>
      <c r="N828" t="s">
        <v>230</v>
      </c>
      <c r="O828">
        <v>18</v>
      </c>
    </row>
    <row r="829" spans="1:15">
      <c r="A829" s="1">
        <v>45978</v>
      </c>
      <c r="B829">
        <v>7</v>
      </c>
      <c r="C829" t="s">
        <v>94</v>
      </c>
      <c r="D829">
        <v>7</v>
      </c>
      <c r="E829" s="2">
        <v>5</v>
      </c>
      <c r="F829" s="2">
        <v>3.35</v>
      </c>
      <c r="G829" s="2">
        <v>6.79</v>
      </c>
      <c r="H829" s="2">
        <v>19.850000000000001</v>
      </c>
      <c r="I829" s="2">
        <v>-9.9</v>
      </c>
      <c r="J829" s="2">
        <v>2.59</v>
      </c>
      <c r="K829" s="2">
        <v>4.05</v>
      </c>
      <c r="L829" s="2">
        <v>4.8099999999999996</v>
      </c>
      <c r="M829" s="2">
        <v>0.84</v>
      </c>
      <c r="N829" t="s">
        <v>230</v>
      </c>
      <c r="O829">
        <v>18</v>
      </c>
    </row>
    <row r="830" spans="1:15">
      <c r="A830" s="1">
        <v>45978</v>
      </c>
      <c r="B830">
        <v>7</v>
      </c>
      <c r="C830" t="s">
        <v>94</v>
      </c>
      <c r="D830">
        <v>7</v>
      </c>
      <c r="E830" s="2">
        <v>5.5</v>
      </c>
      <c r="F830" s="2">
        <v>2.8</v>
      </c>
      <c r="G830" s="2">
        <v>5.99</v>
      </c>
      <c r="H830" s="2">
        <v>9.2100000000000009</v>
      </c>
      <c r="I830" s="2">
        <v>-12.63</v>
      </c>
      <c r="J830" s="2">
        <v>2.68</v>
      </c>
      <c r="K830" s="2">
        <v>4.01</v>
      </c>
      <c r="L830" s="2">
        <v>4.82</v>
      </c>
      <c r="M830" s="2">
        <v>0.71</v>
      </c>
      <c r="N830" t="s">
        <v>230</v>
      </c>
      <c r="O830">
        <v>18</v>
      </c>
    </row>
    <row r="831" spans="1:15">
      <c r="A831" s="1">
        <v>45978</v>
      </c>
      <c r="B831">
        <v>7</v>
      </c>
      <c r="C831" t="s">
        <v>94</v>
      </c>
      <c r="D831">
        <v>7</v>
      </c>
      <c r="E831" s="2">
        <v>6</v>
      </c>
      <c r="F831" s="2">
        <v>16.95</v>
      </c>
      <c r="G831" s="2">
        <v>-9.3000000000000007</v>
      </c>
      <c r="H831" s="2">
        <v>-48.05</v>
      </c>
      <c r="I831" s="2">
        <v>45.87</v>
      </c>
      <c r="J831" s="2">
        <v>2.8</v>
      </c>
      <c r="K831" s="2">
        <v>4.05</v>
      </c>
      <c r="L831" s="2">
        <v>4.92</v>
      </c>
      <c r="M831" s="2">
        <v>0.69</v>
      </c>
      <c r="N831" t="s">
        <v>230</v>
      </c>
      <c r="O831">
        <v>18</v>
      </c>
    </row>
    <row r="832" spans="1:15">
      <c r="A832" s="1">
        <v>45978</v>
      </c>
      <c r="B832">
        <v>7</v>
      </c>
      <c r="C832" t="s">
        <v>94</v>
      </c>
      <c r="D832">
        <v>7</v>
      </c>
      <c r="E832" s="2">
        <v>6.5</v>
      </c>
      <c r="F832" s="2">
        <v>24.38</v>
      </c>
      <c r="G832" s="2">
        <v>-14.47</v>
      </c>
      <c r="H832" s="2">
        <v>-76.819999999999993</v>
      </c>
      <c r="I832" s="2">
        <v>67.91</v>
      </c>
      <c r="J832" s="2">
        <v>2.87</v>
      </c>
      <c r="K832" s="2">
        <v>3.82</v>
      </c>
      <c r="L832" s="2">
        <v>4.78</v>
      </c>
      <c r="M832" s="2">
        <v>0.54</v>
      </c>
      <c r="N832" t="s">
        <v>230</v>
      </c>
      <c r="O832">
        <v>18</v>
      </c>
    </row>
    <row r="833" spans="1:15">
      <c r="A833" s="1">
        <v>45978</v>
      </c>
      <c r="B833">
        <v>7</v>
      </c>
      <c r="C833" t="s">
        <v>94</v>
      </c>
      <c r="D833">
        <v>7</v>
      </c>
      <c r="E833" s="2">
        <v>7</v>
      </c>
      <c r="F833" s="2">
        <v>100.4</v>
      </c>
      <c r="G833" s="2">
        <v>-95.26</v>
      </c>
      <c r="H833" s="2">
        <v>-60.75</v>
      </c>
      <c r="I833" s="2">
        <v>52.45</v>
      </c>
      <c r="J833" s="2">
        <v>2.6</v>
      </c>
      <c r="K833" s="2">
        <v>3.55</v>
      </c>
      <c r="L833" s="2">
        <v>4.4000000000000004</v>
      </c>
      <c r="M833" s="2">
        <v>0.45</v>
      </c>
      <c r="N833" t="s">
        <v>230</v>
      </c>
      <c r="O833">
        <v>18</v>
      </c>
    </row>
    <row r="834" spans="1:15">
      <c r="A834" s="1">
        <v>45978</v>
      </c>
      <c r="B834">
        <v>7</v>
      </c>
      <c r="C834" t="s">
        <v>94</v>
      </c>
      <c r="D834">
        <v>7</v>
      </c>
      <c r="E834" s="2">
        <v>7.5</v>
      </c>
      <c r="F834" s="2">
        <v>60.66</v>
      </c>
      <c r="G834" s="2">
        <v>-54.86</v>
      </c>
      <c r="H834" s="2">
        <v>-52.24</v>
      </c>
      <c r="I834" s="2">
        <v>53.98</v>
      </c>
      <c r="J834" s="2">
        <v>2.5099999999999998</v>
      </c>
      <c r="K834" s="2">
        <v>3.43</v>
      </c>
      <c r="L834" s="2">
        <v>4.25</v>
      </c>
      <c r="M834" s="2">
        <v>0.37</v>
      </c>
      <c r="N834" t="s">
        <v>230</v>
      </c>
      <c r="O834">
        <v>18</v>
      </c>
    </row>
    <row r="835" spans="1:15">
      <c r="A835" s="1">
        <v>45978</v>
      </c>
      <c r="B835">
        <v>7</v>
      </c>
      <c r="C835" t="s">
        <v>94</v>
      </c>
      <c r="D835">
        <v>7</v>
      </c>
      <c r="E835" s="2">
        <v>8</v>
      </c>
      <c r="F835" s="2">
        <v>40.130000000000003</v>
      </c>
      <c r="G835" s="2">
        <v>-31.29</v>
      </c>
      <c r="H835" s="2">
        <v>-40.64</v>
      </c>
      <c r="I835" s="2">
        <v>44.42</v>
      </c>
      <c r="J835" s="2">
        <v>2.2799999999999998</v>
      </c>
      <c r="K835" s="2">
        <v>3.28</v>
      </c>
      <c r="L835" s="2">
        <v>4</v>
      </c>
      <c r="M835" s="2">
        <v>0.28999999999999998</v>
      </c>
      <c r="N835" t="s">
        <v>230</v>
      </c>
      <c r="O835">
        <v>18</v>
      </c>
    </row>
    <row r="836" spans="1:15">
      <c r="A836" s="1">
        <v>45978</v>
      </c>
      <c r="B836">
        <v>7</v>
      </c>
      <c r="C836" t="s">
        <v>94</v>
      </c>
      <c r="D836">
        <v>7</v>
      </c>
      <c r="E836" s="2">
        <v>8.5</v>
      </c>
      <c r="F836" s="2">
        <v>2.39</v>
      </c>
      <c r="G836" s="2">
        <v>4.3</v>
      </c>
      <c r="H836" s="2">
        <v>-15.11</v>
      </c>
      <c r="I836" s="2">
        <v>19.829999999999998</v>
      </c>
      <c r="J836" s="2">
        <v>2.11</v>
      </c>
      <c r="K836" s="2">
        <v>3.07</v>
      </c>
      <c r="L836" s="2">
        <v>3.72</v>
      </c>
      <c r="M836" s="2">
        <v>0.26</v>
      </c>
      <c r="N836" t="s">
        <v>230</v>
      </c>
      <c r="O836">
        <v>18</v>
      </c>
    </row>
    <row r="837" spans="1:15">
      <c r="A837" s="1">
        <v>45978</v>
      </c>
      <c r="B837">
        <v>7</v>
      </c>
      <c r="C837" t="s">
        <v>94</v>
      </c>
      <c r="D837">
        <v>7</v>
      </c>
      <c r="E837" s="2">
        <v>9</v>
      </c>
      <c r="F837" s="2">
        <v>-43.16</v>
      </c>
      <c r="G837" s="2">
        <v>51.11</v>
      </c>
      <c r="H837" s="2">
        <v>0.62</v>
      </c>
      <c r="I837" s="2">
        <v>7.04</v>
      </c>
      <c r="J837" s="2">
        <v>1.99</v>
      </c>
      <c r="K837" s="2">
        <v>2.92</v>
      </c>
      <c r="L837" s="2">
        <v>3.53</v>
      </c>
      <c r="M837" s="2">
        <v>0.23</v>
      </c>
      <c r="N837" t="s">
        <v>230</v>
      </c>
      <c r="O837">
        <v>18</v>
      </c>
    </row>
    <row r="838" spans="1:15">
      <c r="A838" s="1">
        <v>45978</v>
      </c>
      <c r="B838">
        <v>7</v>
      </c>
      <c r="C838" t="s">
        <v>94</v>
      </c>
      <c r="D838">
        <v>7</v>
      </c>
      <c r="E838" s="2">
        <v>9.5</v>
      </c>
      <c r="F838" s="2">
        <v>-111.27</v>
      </c>
      <c r="G838" s="2">
        <v>114.99</v>
      </c>
      <c r="H838" s="2">
        <v>21.79</v>
      </c>
      <c r="I838" s="2">
        <v>-19.25</v>
      </c>
      <c r="J838" s="2">
        <v>1.9</v>
      </c>
      <c r="K838" s="2">
        <v>2.69</v>
      </c>
      <c r="L838" s="2">
        <v>3.29</v>
      </c>
      <c r="M838" s="2">
        <v>0.08</v>
      </c>
      <c r="N838" t="s">
        <v>230</v>
      </c>
      <c r="O838">
        <v>18</v>
      </c>
    </row>
    <row r="839" spans="1:15">
      <c r="A839" s="1">
        <v>45978</v>
      </c>
      <c r="B839">
        <v>7</v>
      </c>
      <c r="C839" t="s">
        <v>94</v>
      </c>
      <c r="D839">
        <v>7</v>
      </c>
      <c r="E839" s="2">
        <v>10</v>
      </c>
      <c r="F839" s="2">
        <v>-202.14</v>
      </c>
      <c r="G839" s="2">
        <v>210.03</v>
      </c>
      <c r="H839" s="2">
        <v>-65.400000000000006</v>
      </c>
      <c r="I839" s="2">
        <v>57.91</v>
      </c>
      <c r="J839" s="2">
        <v>1.71</v>
      </c>
      <c r="K839" s="2">
        <v>2.64</v>
      </c>
      <c r="L839" s="2">
        <v>3.15</v>
      </c>
      <c r="M839" s="2">
        <v>7.0000000000000007E-2</v>
      </c>
      <c r="N839" t="s">
        <v>230</v>
      </c>
      <c r="O839">
        <v>18</v>
      </c>
    </row>
    <row r="840" spans="1:15">
      <c r="A840" s="1">
        <v>45978</v>
      </c>
      <c r="B840">
        <v>7</v>
      </c>
      <c r="C840" t="s">
        <v>94</v>
      </c>
      <c r="D840">
        <v>7</v>
      </c>
      <c r="E840" s="2">
        <v>10.5</v>
      </c>
      <c r="F840" s="2">
        <v>-194.33</v>
      </c>
      <c r="G840" s="2">
        <v>202.27</v>
      </c>
      <c r="H840" s="2">
        <v>-34.799999999999997</v>
      </c>
      <c r="I840" s="2">
        <v>45.12</v>
      </c>
      <c r="J840" s="2">
        <v>1.46</v>
      </c>
      <c r="K840" s="2">
        <v>2.25</v>
      </c>
      <c r="L840" s="2">
        <v>2.68</v>
      </c>
      <c r="M840" s="2">
        <v>-0.06</v>
      </c>
      <c r="N840" t="s">
        <v>230</v>
      </c>
      <c r="O840">
        <v>18</v>
      </c>
    </row>
    <row r="841" spans="1:15">
      <c r="A841" s="1">
        <v>45978</v>
      </c>
      <c r="B841">
        <v>7</v>
      </c>
      <c r="C841" t="s">
        <v>94</v>
      </c>
      <c r="D841">
        <v>7</v>
      </c>
      <c r="E841" s="2">
        <v>11</v>
      </c>
      <c r="F841" s="2">
        <v>-172.2</v>
      </c>
      <c r="G841" s="2">
        <v>173.56</v>
      </c>
      <c r="H841" s="2">
        <v>11.36</v>
      </c>
      <c r="I841" s="2">
        <v>-3.33</v>
      </c>
      <c r="J841" s="2">
        <v>1.35</v>
      </c>
      <c r="K841" s="2">
        <v>2.2400000000000002</v>
      </c>
      <c r="L841" s="2">
        <v>2.61</v>
      </c>
      <c r="M841" s="2">
        <v>-0.17</v>
      </c>
      <c r="N841" t="s">
        <v>230</v>
      </c>
      <c r="O841">
        <v>18</v>
      </c>
    </row>
    <row r="842" spans="1:15">
      <c r="A842" s="1">
        <v>45978</v>
      </c>
      <c r="B842">
        <v>7</v>
      </c>
      <c r="C842" t="s">
        <v>94</v>
      </c>
      <c r="D842">
        <v>7</v>
      </c>
      <c r="E842" s="2">
        <v>11.5</v>
      </c>
      <c r="F842" s="2">
        <v>-76.75</v>
      </c>
      <c r="G842" s="2">
        <v>82.09</v>
      </c>
      <c r="H842" s="2">
        <v>16.62</v>
      </c>
      <c r="I842" s="2">
        <v>-14.47</v>
      </c>
      <c r="J842" s="2">
        <v>1.27</v>
      </c>
      <c r="K842" s="2">
        <v>2.2999999999999998</v>
      </c>
      <c r="L842" s="2">
        <v>2.62</v>
      </c>
      <c r="M842" s="2">
        <v>-0.18</v>
      </c>
      <c r="N842" t="s">
        <v>230</v>
      </c>
      <c r="O842">
        <v>18</v>
      </c>
    </row>
    <row r="843" spans="1:15">
      <c r="A843" s="1">
        <v>45978</v>
      </c>
      <c r="B843">
        <v>7</v>
      </c>
      <c r="C843" t="s">
        <v>94</v>
      </c>
      <c r="D843">
        <v>7</v>
      </c>
      <c r="E843" s="2">
        <v>12</v>
      </c>
      <c r="F843" s="2">
        <v>-145.16999999999999</v>
      </c>
      <c r="G843" s="2">
        <v>154.41</v>
      </c>
      <c r="H843" s="2">
        <v>-11.92</v>
      </c>
      <c r="I843" s="2">
        <v>16.739999999999998</v>
      </c>
      <c r="J843" s="2">
        <v>1.19</v>
      </c>
      <c r="K843" s="2">
        <v>2.41</v>
      </c>
      <c r="L843" s="2">
        <v>2.69</v>
      </c>
      <c r="M843" s="2">
        <v>-0.15</v>
      </c>
      <c r="N843" t="s">
        <v>230</v>
      </c>
      <c r="O843">
        <v>18</v>
      </c>
    </row>
    <row r="844" spans="1:15">
      <c r="A844" s="1">
        <v>45978</v>
      </c>
      <c r="B844">
        <v>7</v>
      </c>
      <c r="C844" t="s">
        <v>94</v>
      </c>
      <c r="D844">
        <v>7</v>
      </c>
      <c r="E844" s="2">
        <v>12.5</v>
      </c>
      <c r="F844" s="2">
        <v>-134.02000000000001</v>
      </c>
      <c r="G844" s="2">
        <v>137.49</v>
      </c>
      <c r="H844" s="2">
        <v>52.57</v>
      </c>
      <c r="I844" s="2">
        <v>-43.77</v>
      </c>
      <c r="J844" s="2">
        <v>1.1599999999999999</v>
      </c>
      <c r="K844" s="2">
        <v>2.2599999999999998</v>
      </c>
      <c r="L844" s="2">
        <v>2.54</v>
      </c>
      <c r="M844" s="2">
        <v>-0.16</v>
      </c>
      <c r="N844" t="s">
        <v>230</v>
      </c>
      <c r="O844">
        <v>18</v>
      </c>
    </row>
    <row r="845" spans="1:15">
      <c r="A845" s="1">
        <v>45978</v>
      </c>
      <c r="B845">
        <v>7</v>
      </c>
      <c r="C845" t="s">
        <v>94</v>
      </c>
      <c r="D845">
        <v>7</v>
      </c>
      <c r="E845" s="2">
        <v>13</v>
      </c>
      <c r="F845" s="2">
        <v>-63.21</v>
      </c>
      <c r="G845" s="2">
        <v>70.2</v>
      </c>
      <c r="H845" s="2">
        <v>48.41</v>
      </c>
      <c r="I845" s="2">
        <v>-34.909999999999997</v>
      </c>
      <c r="J845" s="2">
        <v>1.1200000000000001</v>
      </c>
      <c r="K845" s="2">
        <v>2.2400000000000002</v>
      </c>
      <c r="L845" s="2">
        <v>2.5099999999999998</v>
      </c>
      <c r="M845" s="2">
        <v>-0.15</v>
      </c>
      <c r="N845" t="s">
        <v>230</v>
      </c>
      <c r="O845">
        <v>18</v>
      </c>
    </row>
    <row r="846" spans="1:15">
      <c r="A846" s="1">
        <v>45978</v>
      </c>
      <c r="B846">
        <v>7</v>
      </c>
      <c r="C846" t="s">
        <v>94</v>
      </c>
      <c r="D846">
        <v>7</v>
      </c>
      <c r="E846" s="2">
        <v>13.5</v>
      </c>
      <c r="F846" s="2">
        <v>-51.42</v>
      </c>
      <c r="G846" s="2">
        <v>57.26</v>
      </c>
      <c r="H846" s="2">
        <v>60.33</v>
      </c>
      <c r="I846" s="2">
        <v>-53.23</v>
      </c>
      <c r="J846" s="2">
        <v>0.92</v>
      </c>
      <c r="K846" s="2">
        <v>2.16</v>
      </c>
      <c r="L846" s="2">
        <v>2.35</v>
      </c>
      <c r="M846" s="2">
        <v>-0.14000000000000001</v>
      </c>
      <c r="N846" t="s">
        <v>230</v>
      </c>
      <c r="O846">
        <v>18</v>
      </c>
    </row>
    <row r="847" spans="1:15">
      <c r="A847" s="1">
        <v>45978</v>
      </c>
      <c r="B847">
        <v>7</v>
      </c>
      <c r="C847" t="s">
        <v>94</v>
      </c>
      <c r="D847">
        <v>7</v>
      </c>
      <c r="E847" s="2">
        <v>14</v>
      </c>
      <c r="F847" s="2">
        <v>-51.26</v>
      </c>
      <c r="G847" s="2">
        <v>55.73</v>
      </c>
      <c r="H847" s="2">
        <v>79.319999999999993</v>
      </c>
      <c r="I847" s="2">
        <v>-73.23</v>
      </c>
      <c r="J847" s="2">
        <v>0.6</v>
      </c>
      <c r="K847" s="2">
        <v>2.04</v>
      </c>
      <c r="L847" s="2">
        <v>2.12</v>
      </c>
      <c r="M847" s="2">
        <v>-0.15</v>
      </c>
      <c r="N847" t="s">
        <v>230</v>
      </c>
      <c r="O847">
        <v>18</v>
      </c>
    </row>
    <row r="848" spans="1:15">
      <c r="A848" s="1">
        <v>45978</v>
      </c>
      <c r="B848">
        <v>7</v>
      </c>
      <c r="C848" t="s">
        <v>94</v>
      </c>
      <c r="D848">
        <v>7</v>
      </c>
      <c r="E848" s="2">
        <v>14.5</v>
      </c>
      <c r="F848" s="2">
        <v>-41.95</v>
      </c>
      <c r="G848" s="2">
        <v>46.36</v>
      </c>
      <c r="H848" s="2">
        <v>103.71</v>
      </c>
      <c r="I848" s="2">
        <v>-100.12</v>
      </c>
      <c r="J848" s="2">
        <v>0.24</v>
      </c>
      <c r="K848" s="2">
        <v>1.79</v>
      </c>
      <c r="L848" s="2">
        <v>1.8</v>
      </c>
      <c r="M848" s="2">
        <v>-0.03</v>
      </c>
      <c r="N848" t="s">
        <v>230</v>
      </c>
      <c r="O848">
        <v>18</v>
      </c>
    </row>
    <row r="849" spans="1:15">
      <c r="A849" s="1">
        <v>45978</v>
      </c>
      <c r="B849">
        <v>7</v>
      </c>
      <c r="C849" t="s">
        <v>94</v>
      </c>
      <c r="D849">
        <v>7</v>
      </c>
      <c r="E849" s="2">
        <v>15</v>
      </c>
      <c r="F849" s="2">
        <v>-8.9700000000000006</v>
      </c>
      <c r="G849" s="2">
        <v>15.33</v>
      </c>
      <c r="H849" s="2">
        <v>114.07</v>
      </c>
      <c r="I849" s="2">
        <v>-107.34</v>
      </c>
      <c r="J849" s="2">
        <v>-0.08</v>
      </c>
      <c r="K849" s="2">
        <v>1.67</v>
      </c>
      <c r="L849" s="2">
        <v>1.67</v>
      </c>
      <c r="M849" s="2">
        <v>0.06</v>
      </c>
      <c r="N849" t="s">
        <v>230</v>
      </c>
      <c r="O849">
        <v>18</v>
      </c>
    </row>
    <row r="850" spans="1:15">
      <c r="A850" s="1">
        <v>45978</v>
      </c>
      <c r="B850">
        <v>7</v>
      </c>
      <c r="C850" t="s">
        <v>94</v>
      </c>
      <c r="D850">
        <v>7</v>
      </c>
      <c r="E850" s="2">
        <v>15.5</v>
      </c>
      <c r="F850" s="2">
        <v>-34.89</v>
      </c>
      <c r="G850" s="2">
        <v>36.450000000000003</v>
      </c>
      <c r="H850" s="2">
        <v>122.53</v>
      </c>
      <c r="I850" s="2">
        <v>-101.86</v>
      </c>
      <c r="J850" s="2">
        <v>-0.28000000000000003</v>
      </c>
      <c r="K850" s="2">
        <v>1.43</v>
      </c>
      <c r="L850" s="2">
        <v>1.45</v>
      </c>
      <c r="M850" s="2">
        <v>0.09</v>
      </c>
      <c r="N850" t="s">
        <v>230</v>
      </c>
      <c r="O850">
        <v>18</v>
      </c>
    </row>
    <row r="851" spans="1:15">
      <c r="A851" s="1">
        <v>45978</v>
      </c>
      <c r="B851">
        <v>7</v>
      </c>
      <c r="C851" t="s">
        <v>94</v>
      </c>
      <c r="D851">
        <v>7</v>
      </c>
      <c r="E851" s="2">
        <v>16</v>
      </c>
      <c r="F851" s="2">
        <v>-16.21</v>
      </c>
      <c r="G851" s="2">
        <v>19.809999999999999</v>
      </c>
      <c r="H851" s="2">
        <v>-31.54</v>
      </c>
      <c r="I851" s="2">
        <v>37.229999999999997</v>
      </c>
      <c r="J851" s="2">
        <v>-0.85</v>
      </c>
      <c r="K851" s="2">
        <v>0.83</v>
      </c>
      <c r="L851" s="2">
        <v>1.19</v>
      </c>
      <c r="M851" s="2">
        <v>0.25</v>
      </c>
      <c r="N851" t="s">
        <v>230</v>
      </c>
      <c r="O851">
        <v>18</v>
      </c>
    </row>
    <row r="852" spans="1:15">
      <c r="A852" s="1">
        <v>45978</v>
      </c>
      <c r="B852">
        <v>7</v>
      </c>
      <c r="C852" t="s">
        <v>94</v>
      </c>
      <c r="D852">
        <v>7</v>
      </c>
      <c r="E852" s="2">
        <v>16.5</v>
      </c>
      <c r="F852" s="2">
        <v>4.4400000000000004</v>
      </c>
      <c r="G852" s="2">
        <v>0.01</v>
      </c>
      <c r="H852" s="2">
        <v>-9.27</v>
      </c>
      <c r="I852" s="2">
        <v>21.12</v>
      </c>
      <c r="J852" s="2">
        <v>-0.83</v>
      </c>
      <c r="K852" s="2">
        <v>0.77</v>
      </c>
      <c r="L852" s="2">
        <v>1.1299999999999999</v>
      </c>
      <c r="M852" s="2">
        <v>0.19</v>
      </c>
      <c r="N852" t="s">
        <v>230</v>
      </c>
      <c r="O852">
        <v>18</v>
      </c>
    </row>
    <row r="853" spans="1:15">
      <c r="A853" s="1">
        <v>45978</v>
      </c>
      <c r="B853">
        <v>7</v>
      </c>
      <c r="C853" t="s">
        <v>94</v>
      </c>
      <c r="D853">
        <v>7</v>
      </c>
      <c r="E853" s="2">
        <v>17</v>
      </c>
      <c r="F853" s="2">
        <v>16.07</v>
      </c>
      <c r="G853" s="2">
        <v>-12.78</v>
      </c>
      <c r="H853" s="2">
        <v>5.67</v>
      </c>
      <c r="I853" s="2">
        <v>4.7</v>
      </c>
      <c r="J853" s="2">
        <v>-0.81</v>
      </c>
      <c r="K853" s="2">
        <v>0.8</v>
      </c>
      <c r="L853" s="2">
        <v>1.1399999999999999</v>
      </c>
      <c r="M853" s="2">
        <v>0.15</v>
      </c>
      <c r="N853" t="s">
        <v>230</v>
      </c>
      <c r="O853">
        <v>18</v>
      </c>
    </row>
    <row r="854" spans="1:15">
      <c r="A854" s="1">
        <v>45978</v>
      </c>
      <c r="B854">
        <v>7</v>
      </c>
      <c r="C854" t="s">
        <v>94</v>
      </c>
      <c r="D854">
        <v>7</v>
      </c>
      <c r="E854" s="2">
        <v>17.5</v>
      </c>
      <c r="F854" s="2">
        <v>-11.77</v>
      </c>
      <c r="G854" s="2">
        <v>16.260000000000002</v>
      </c>
      <c r="H854" s="2">
        <v>38.130000000000003</v>
      </c>
      <c r="I854" s="2">
        <v>-27.29</v>
      </c>
      <c r="J854" s="2">
        <v>-0.83</v>
      </c>
      <c r="K854" s="2">
        <v>0.89</v>
      </c>
      <c r="L854" s="2">
        <v>1.22</v>
      </c>
      <c r="M854" s="2">
        <v>0.11</v>
      </c>
      <c r="N854" t="s">
        <v>230</v>
      </c>
      <c r="O854">
        <v>18</v>
      </c>
    </row>
    <row r="855" spans="1:15">
      <c r="A855" s="1">
        <v>45978</v>
      </c>
      <c r="B855">
        <v>7</v>
      </c>
      <c r="C855" t="s">
        <v>94</v>
      </c>
      <c r="D855">
        <v>7</v>
      </c>
      <c r="E855" s="2">
        <v>18</v>
      </c>
      <c r="F855" s="2">
        <v>-31.76</v>
      </c>
      <c r="G855" s="2">
        <v>34.869999999999997</v>
      </c>
      <c r="H855" s="2">
        <v>54.27</v>
      </c>
      <c r="I855" s="2">
        <v>-41.72</v>
      </c>
      <c r="J855" s="2">
        <v>-0.83</v>
      </c>
      <c r="K855" s="2">
        <v>0.89</v>
      </c>
      <c r="L855" s="2">
        <v>1.22</v>
      </c>
      <c r="M855" s="2">
        <v>0.09</v>
      </c>
      <c r="N855" t="s">
        <v>230</v>
      </c>
      <c r="O855">
        <v>18</v>
      </c>
    </row>
    <row r="856" spans="1:15">
      <c r="A856" s="1">
        <v>45978</v>
      </c>
      <c r="B856">
        <v>7</v>
      </c>
      <c r="C856" t="s">
        <v>94</v>
      </c>
      <c r="D856">
        <v>7</v>
      </c>
      <c r="E856" s="2">
        <v>18.5</v>
      </c>
      <c r="F856" s="2">
        <v>-35.29</v>
      </c>
      <c r="G856" s="2">
        <v>45.07</v>
      </c>
      <c r="H856" s="2">
        <v>76.069999999999993</v>
      </c>
      <c r="I856" s="2">
        <v>-55.99</v>
      </c>
      <c r="J856" s="2">
        <v>-0.84</v>
      </c>
      <c r="K856" s="2">
        <v>0.97</v>
      </c>
      <c r="L856" s="2">
        <v>1.28</v>
      </c>
      <c r="M856" s="2">
        <v>0.12</v>
      </c>
      <c r="N856" t="s">
        <v>230</v>
      </c>
      <c r="O856">
        <v>18</v>
      </c>
    </row>
    <row r="857" spans="1:15">
      <c r="A857" s="1">
        <v>45978</v>
      </c>
      <c r="B857">
        <v>7</v>
      </c>
      <c r="C857" t="s">
        <v>94</v>
      </c>
      <c r="D857">
        <v>7</v>
      </c>
      <c r="E857" s="2">
        <v>19</v>
      </c>
      <c r="F857" s="2">
        <v>-138.4</v>
      </c>
      <c r="G857" s="2">
        <v>135.6</v>
      </c>
      <c r="H857" s="2">
        <v>-27.57</v>
      </c>
      <c r="I857" s="2">
        <v>44.89</v>
      </c>
      <c r="J857" s="2">
        <v>-0.83</v>
      </c>
      <c r="K857" s="2">
        <v>0.99</v>
      </c>
      <c r="L857" s="2">
        <v>1.29</v>
      </c>
      <c r="M857" s="2">
        <v>0.3</v>
      </c>
      <c r="N857" t="s">
        <v>230</v>
      </c>
      <c r="O857">
        <v>18</v>
      </c>
    </row>
    <row r="858" spans="1:15">
      <c r="A858" s="1">
        <v>45978</v>
      </c>
      <c r="B858">
        <v>7</v>
      </c>
      <c r="C858" t="s">
        <v>94</v>
      </c>
      <c r="D858">
        <v>7</v>
      </c>
      <c r="E858" s="2">
        <v>19.5</v>
      </c>
      <c r="F858" s="2">
        <v>-132.35</v>
      </c>
      <c r="G858" s="2">
        <v>135.35</v>
      </c>
      <c r="H858" s="2">
        <v>-36.25</v>
      </c>
      <c r="I858" s="2">
        <v>39.58</v>
      </c>
      <c r="J858" s="2">
        <v>-0.85</v>
      </c>
      <c r="K858" s="2">
        <v>1.03</v>
      </c>
      <c r="L858" s="2">
        <v>1.34</v>
      </c>
      <c r="M858" s="2">
        <v>0.31</v>
      </c>
      <c r="N858" t="s">
        <v>230</v>
      </c>
      <c r="O858">
        <v>18</v>
      </c>
    </row>
    <row r="859" spans="1:15">
      <c r="A859" s="1">
        <v>45978</v>
      </c>
      <c r="B859">
        <v>7</v>
      </c>
      <c r="C859" t="s">
        <v>94</v>
      </c>
      <c r="D859">
        <v>7</v>
      </c>
      <c r="E859" s="2">
        <v>20</v>
      </c>
      <c r="F859" s="2">
        <v>-141.91999999999999</v>
      </c>
      <c r="G859" s="2">
        <v>145</v>
      </c>
      <c r="H859" s="2">
        <v>-35.47</v>
      </c>
      <c r="I859" s="2">
        <v>41.46</v>
      </c>
      <c r="J859" s="2">
        <v>-0.87</v>
      </c>
      <c r="K859" s="2">
        <v>1.02</v>
      </c>
      <c r="L859" s="2">
        <v>1.34</v>
      </c>
      <c r="M859" s="2">
        <v>0.41</v>
      </c>
      <c r="N859" t="s">
        <v>230</v>
      </c>
      <c r="O859">
        <v>18</v>
      </c>
    </row>
    <row r="860" spans="1:15">
      <c r="A860" s="1">
        <v>45978</v>
      </c>
      <c r="B860">
        <v>7</v>
      </c>
      <c r="C860" t="s">
        <v>94</v>
      </c>
      <c r="D860">
        <v>7</v>
      </c>
      <c r="E860" s="2">
        <v>20.5</v>
      </c>
      <c r="F860" s="2">
        <v>-167.39</v>
      </c>
      <c r="G860" s="2">
        <v>170.28</v>
      </c>
      <c r="H860" s="2">
        <v>-26.54</v>
      </c>
      <c r="I860" s="2">
        <v>24.69</v>
      </c>
      <c r="J860" s="2">
        <v>-0.86</v>
      </c>
      <c r="K860" s="2">
        <v>0.99</v>
      </c>
      <c r="L860" s="2">
        <v>1.31</v>
      </c>
      <c r="M860" s="2">
        <v>0.43</v>
      </c>
      <c r="N860" t="s">
        <v>230</v>
      </c>
      <c r="O860">
        <v>18</v>
      </c>
    </row>
    <row r="861" spans="1:15">
      <c r="A861" s="1">
        <v>45978</v>
      </c>
      <c r="B861">
        <v>7</v>
      </c>
      <c r="C861" t="s">
        <v>94</v>
      </c>
      <c r="D861">
        <v>7</v>
      </c>
      <c r="E861" s="2">
        <v>21</v>
      </c>
      <c r="F861" s="2">
        <v>-156.1</v>
      </c>
      <c r="G861" s="2">
        <v>156.4</v>
      </c>
      <c r="H861" s="2">
        <v>-19.100000000000001</v>
      </c>
      <c r="I861" s="2">
        <v>15.02</v>
      </c>
      <c r="J861" s="2">
        <v>-0.86</v>
      </c>
      <c r="K861" s="2">
        <v>0.85</v>
      </c>
      <c r="L861" s="2">
        <v>1.21</v>
      </c>
      <c r="M861" s="2">
        <v>0.38</v>
      </c>
      <c r="N861" t="s">
        <v>230</v>
      </c>
      <c r="O861">
        <v>18</v>
      </c>
    </row>
    <row r="862" spans="1:15">
      <c r="A862" s="1">
        <v>45978</v>
      </c>
      <c r="B862">
        <v>7</v>
      </c>
      <c r="C862" t="s">
        <v>94</v>
      </c>
      <c r="D862">
        <v>7</v>
      </c>
      <c r="E862" s="2">
        <v>21.5</v>
      </c>
      <c r="F862" s="2">
        <v>-74.83</v>
      </c>
      <c r="G862" s="2">
        <v>81.510000000000005</v>
      </c>
      <c r="H862" s="2">
        <v>-15.91</v>
      </c>
      <c r="I862" s="2">
        <v>38.630000000000003</v>
      </c>
      <c r="J862" s="2">
        <v>-0.84</v>
      </c>
      <c r="K862" s="2">
        <v>0.88</v>
      </c>
      <c r="L862" s="2">
        <v>1.22</v>
      </c>
      <c r="M862" s="2">
        <v>0.28000000000000003</v>
      </c>
      <c r="N862" t="s">
        <v>230</v>
      </c>
      <c r="O862">
        <v>18</v>
      </c>
    </row>
    <row r="863" spans="1:15">
      <c r="A863" s="1">
        <v>45978</v>
      </c>
      <c r="B863">
        <v>7</v>
      </c>
      <c r="C863" t="s">
        <v>94</v>
      </c>
      <c r="D863">
        <v>7</v>
      </c>
      <c r="E863" s="2">
        <v>22</v>
      </c>
      <c r="F863" s="2">
        <v>5.83</v>
      </c>
      <c r="G863" s="2">
        <v>-7.41</v>
      </c>
      <c r="H863" s="2">
        <v>-96.43</v>
      </c>
      <c r="I863" s="2">
        <v>99.31</v>
      </c>
      <c r="J863" s="2">
        <v>-0.84</v>
      </c>
      <c r="K863" s="2">
        <v>0.81</v>
      </c>
      <c r="L863" s="2">
        <v>1.17</v>
      </c>
      <c r="M863" s="2">
        <v>0.15</v>
      </c>
      <c r="N863" t="s">
        <v>230</v>
      </c>
      <c r="O863">
        <v>18</v>
      </c>
    </row>
    <row r="864" spans="1:15">
      <c r="A864" s="1">
        <v>45978</v>
      </c>
      <c r="B864">
        <v>7</v>
      </c>
      <c r="C864" t="s">
        <v>94</v>
      </c>
      <c r="D864">
        <v>7</v>
      </c>
      <c r="E864" s="2">
        <v>22.5</v>
      </c>
      <c r="F864" s="2">
        <v>-24.72</v>
      </c>
      <c r="G864" s="2">
        <v>26.28</v>
      </c>
      <c r="H864" s="2">
        <v>-43.65</v>
      </c>
      <c r="I864" s="2">
        <v>42.29</v>
      </c>
      <c r="J864" s="2">
        <v>-0.86</v>
      </c>
      <c r="K864" s="2">
        <v>0.92</v>
      </c>
      <c r="L864" s="2">
        <v>1.26</v>
      </c>
      <c r="M864" s="2">
        <v>0.13</v>
      </c>
      <c r="N864" t="s">
        <v>230</v>
      </c>
      <c r="O864">
        <v>18</v>
      </c>
    </row>
    <row r="865" spans="1:15">
      <c r="A865" s="1">
        <v>45978</v>
      </c>
      <c r="B865">
        <v>7</v>
      </c>
      <c r="C865" t="s">
        <v>94</v>
      </c>
      <c r="D865">
        <v>7</v>
      </c>
      <c r="E865" s="2">
        <v>23</v>
      </c>
      <c r="F865" s="2">
        <v>-46.51</v>
      </c>
      <c r="G865" s="2">
        <v>47.23</v>
      </c>
      <c r="H865" s="2">
        <v>-4.5599999999999996</v>
      </c>
      <c r="I865" s="2">
        <v>14.03</v>
      </c>
      <c r="J865" s="2">
        <v>-0.87</v>
      </c>
      <c r="K865" s="2">
        <v>0.84</v>
      </c>
      <c r="L865" s="2">
        <v>1.21</v>
      </c>
      <c r="M865" s="2">
        <v>0.18</v>
      </c>
      <c r="N865" t="s">
        <v>230</v>
      </c>
      <c r="O865">
        <v>18</v>
      </c>
    </row>
    <row r="866" spans="1:15">
      <c r="A866" s="1">
        <v>45978</v>
      </c>
      <c r="B866">
        <v>7</v>
      </c>
      <c r="C866" t="s">
        <v>94</v>
      </c>
      <c r="D866">
        <v>7</v>
      </c>
      <c r="E866" s="2">
        <v>23.5</v>
      </c>
      <c r="F866" s="2">
        <v>-63.26</v>
      </c>
      <c r="G866" s="2">
        <v>66.22</v>
      </c>
      <c r="H866" s="2">
        <v>25.93</v>
      </c>
      <c r="I866" s="2">
        <v>-19.59</v>
      </c>
      <c r="J866" s="2">
        <v>-0.83</v>
      </c>
      <c r="K866" s="2">
        <v>0.6</v>
      </c>
      <c r="L866" s="2">
        <v>1.03</v>
      </c>
      <c r="M866" s="2">
        <v>0.13</v>
      </c>
      <c r="N866" t="s">
        <v>230</v>
      </c>
      <c r="O866">
        <v>18</v>
      </c>
    </row>
    <row r="867" spans="1:15">
      <c r="A867" s="1">
        <v>45978</v>
      </c>
      <c r="B867">
        <v>7</v>
      </c>
      <c r="C867" t="s">
        <v>94</v>
      </c>
      <c r="D867">
        <v>7</v>
      </c>
      <c r="E867" s="2">
        <v>24</v>
      </c>
      <c r="F867" s="2">
        <v>-88.66</v>
      </c>
      <c r="G867" s="2">
        <v>90.25</v>
      </c>
      <c r="H867" s="2">
        <v>14.4</v>
      </c>
      <c r="I867" s="2">
        <v>-14.22</v>
      </c>
      <c r="J867" s="2">
        <v>-0.75</v>
      </c>
      <c r="K867" s="2">
        <v>0.63</v>
      </c>
      <c r="L867" s="2">
        <v>0.98</v>
      </c>
      <c r="M867" s="2">
        <v>0.18</v>
      </c>
      <c r="N867" t="s">
        <v>230</v>
      </c>
      <c r="O867">
        <v>18</v>
      </c>
    </row>
    <row r="868" spans="1:15">
      <c r="A868" s="1">
        <v>45978</v>
      </c>
      <c r="B868">
        <v>7</v>
      </c>
      <c r="C868" t="s">
        <v>94</v>
      </c>
      <c r="D868">
        <v>7</v>
      </c>
      <c r="E868" s="2">
        <v>24.5</v>
      </c>
      <c r="F868" s="2">
        <v>-120.4</v>
      </c>
      <c r="G868" s="2">
        <v>115.32</v>
      </c>
      <c r="H868" s="2">
        <v>39.869999999999997</v>
      </c>
      <c r="I868" s="2">
        <v>-6</v>
      </c>
      <c r="J868" s="2">
        <v>-0.72</v>
      </c>
      <c r="K868" s="2">
        <v>0.42</v>
      </c>
      <c r="L868" s="2">
        <v>0.83</v>
      </c>
      <c r="M868" s="2">
        <v>0.15</v>
      </c>
      <c r="N868" t="s">
        <v>230</v>
      </c>
      <c r="O868">
        <v>18</v>
      </c>
    </row>
    <row r="869" spans="1:15">
      <c r="A869" s="1">
        <v>45978</v>
      </c>
      <c r="B869">
        <v>7</v>
      </c>
      <c r="C869" t="s">
        <v>94</v>
      </c>
      <c r="D869">
        <v>7</v>
      </c>
      <c r="E869" s="2">
        <v>25</v>
      </c>
      <c r="F869" s="2">
        <v>-108</v>
      </c>
      <c r="G869" s="2">
        <v>114.68</v>
      </c>
      <c r="H869" s="2">
        <v>-55.52</v>
      </c>
      <c r="I869" s="2">
        <v>58.58</v>
      </c>
      <c r="J869" s="2">
        <v>-0.66</v>
      </c>
      <c r="K869" s="2">
        <v>0.7</v>
      </c>
      <c r="L869" s="2">
        <v>0.96</v>
      </c>
      <c r="M869" s="2">
        <v>0.16</v>
      </c>
      <c r="N869" t="s">
        <v>230</v>
      </c>
      <c r="O869">
        <v>18</v>
      </c>
    </row>
    <row r="870" spans="1:15">
      <c r="A870" s="1">
        <v>45978</v>
      </c>
      <c r="B870">
        <v>7</v>
      </c>
      <c r="C870" t="s">
        <v>94</v>
      </c>
      <c r="D870">
        <v>7</v>
      </c>
      <c r="E870" s="2">
        <v>25.5</v>
      </c>
      <c r="F870" s="2">
        <v>-95.13</v>
      </c>
      <c r="G870" s="2">
        <v>96.86</v>
      </c>
      <c r="H870" s="2">
        <v>-42.78</v>
      </c>
      <c r="I870" s="2">
        <v>38.75</v>
      </c>
      <c r="J870" s="2">
        <v>-0.67</v>
      </c>
      <c r="K870" s="2">
        <v>0.21</v>
      </c>
      <c r="L870" s="2">
        <v>0.71</v>
      </c>
      <c r="M870" s="2">
        <v>0.08</v>
      </c>
      <c r="N870" t="s">
        <v>230</v>
      </c>
      <c r="O870">
        <v>18</v>
      </c>
    </row>
    <row r="871" spans="1:15">
      <c r="A871" s="1">
        <v>45978</v>
      </c>
      <c r="B871">
        <v>7</v>
      </c>
      <c r="C871" t="s">
        <v>94</v>
      </c>
      <c r="D871">
        <v>7</v>
      </c>
      <c r="E871" s="2">
        <v>26</v>
      </c>
      <c r="F871" s="2">
        <v>-58.33</v>
      </c>
      <c r="G871" s="2">
        <v>60.88</v>
      </c>
      <c r="H871" s="2">
        <v>-24.09</v>
      </c>
      <c r="I871" s="2">
        <v>27.01</v>
      </c>
      <c r="J871" s="2">
        <v>-0.72</v>
      </c>
      <c r="K871" s="2">
        <v>7.0000000000000007E-2</v>
      </c>
      <c r="L871" s="2">
        <v>0.73</v>
      </c>
      <c r="M871" s="2">
        <v>0.1</v>
      </c>
      <c r="N871" t="s">
        <v>230</v>
      </c>
      <c r="O871">
        <v>18</v>
      </c>
    </row>
    <row r="872" spans="1:15">
      <c r="A872" s="1">
        <v>45978</v>
      </c>
      <c r="B872">
        <v>7</v>
      </c>
      <c r="C872" t="s">
        <v>94</v>
      </c>
      <c r="D872">
        <v>7</v>
      </c>
      <c r="E872" s="2">
        <v>26.5</v>
      </c>
      <c r="F872" s="2">
        <v>-20.18</v>
      </c>
      <c r="G872" s="2">
        <v>22</v>
      </c>
      <c r="H872" s="2">
        <v>3.99</v>
      </c>
      <c r="I872" s="2">
        <v>-10.35</v>
      </c>
      <c r="J872" s="2">
        <v>-0.67</v>
      </c>
      <c r="K872" s="2">
        <v>0.11</v>
      </c>
      <c r="L872" s="2">
        <v>0.67</v>
      </c>
      <c r="M872" s="2">
        <v>0.05</v>
      </c>
      <c r="N872" t="s">
        <v>230</v>
      </c>
      <c r="O872">
        <v>18</v>
      </c>
    </row>
    <row r="873" spans="1:15">
      <c r="A873" s="1">
        <v>45978</v>
      </c>
      <c r="B873">
        <v>7</v>
      </c>
      <c r="C873" t="s">
        <v>94</v>
      </c>
      <c r="D873">
        <v>7</v>
      </c>
      <c r="E873" s="2">
        <v>27</v>
      </c>
      <c r="F873" s="2">
        <v>32.82</v>
      </c>
      <c r="G873" s="2">
        <v>-31.38</v>
      </c>
      <c r="H873" s="2">
        <v>52.24</v>
      </c>
      <c r="I873" s="2">
        <v>-59.72</v>
      </c>
      <c r="J873" s="2">
        <v>-0.41</v>
      </c>
      <c r="K873" s="2">
        <v>0.05</v>
      </c>
      <c r="L873" s="2">
        <v>0.41</v>
      </c>
      <c r="M873" s="2">
        <v>0.02</v>
      </c>
      <c r="N873" t="s">
        <v>230</v>
      </c>
      <c r="O873">
        <v>18</v>
      </c>
    </row>
    <row r="874" spans="1:15">
      <c r="A874" s="1">
        <v>45978</v>
      </c>
      <c r="B874">
        <v>7</v>
      </c>
      <c r="C874" t="s">
        <v>99</v>
      </c>
      <c r="D874">
        <v>7</v>
      </c>
      <c r="E874" s="2">
        <v>0.5</v>
      </c>
      <c r="F874" s="2">
        <v>-407.49</v>
      </c>
      <c r="G874" s="2">
        <v>394.58</v>
      </c>
      <c r="H874" s="2">
        <v>-126.64</v>
      </c>
      <c r="I874" s="2">
        <v>119.49</v>
      </c>
      <c r="J874" s="2">
        <v>0.96</v>
      </c>
      <c r="K874" s="2">
        <v>-7.2</v>
      </c>
      <c r="L874" s="2">
        <v>7.26</v>
      </c>
      <c r="M874" s="2">
        <v>1.43</v>
      </c>
      <c r="N874" t="s">
        <v>230</v>
      </c>
      <c r="O874">
        <v>38</v>
      </c>
    </row>
    <row r="875" spans="1:15">
      <c r="A875" s="1">
        <v>45978</v>
      </c>
      <c r="B875">
        <v>7</v>
      </c>
      <c r="C875" t="s">
        <v>99</v>
      </c>
      <c r="D875">
        <v>7</v>
      </c>
      <c r="E875" s="2">
        <v>1</v>
      </c>
      <c r="F875" s="2">
        <v>-396.5</v>
      </c>
      <c r="G875" s="2">
        <v>402.73</v>
      </c>
      <c r="H875" s="2">
        <v>-119.99</v>
      </c>
      <c r="I875" s="2">
        <v>122.23</v>
      </c>
      <c r="J875" s="2">
        <v>1.36</v>
      </c>
      <c r="K875" s="2">
        <v>-5.93</v>
      </c>
      <c r="L875" s="2">
        <v>6.09</v>
      </c>
      <c r="M875" s="2">
        <v>1.3</v>
      </c>
      <c r="N875" t="s">
        <v>230</v>
      </c>
      <c r="O875">
        <v>38</v>
      </c>
    </row>
    <row r="876" spans="1:15">
      <c r="A876" s="1">
        <v>45978</v>
      </c>
      <c r="B876">
        <v>7</v>
      </c>
      <c r="C876" t="s">
        <v>99</v>
      </c>
      <c r="D876">
        <v>7</v>
      </c>
      <c r="E876" s="2">
        <v>1.5</v>
      </c>
      <c r="F876" s="2">
        <v>-375.41</v>
      </c>
      <c r="G876" s="2">
        <v>382.25</v>
      </c>
      <c r="H876" s="2">
        <v>-135.47</v>
      </c>
      <c r="I876" s="2">
        <v>148.93</v>
      </c>
      <c r="J876" s="2">
        <v>1.86</v>
      </c>
      <c r="K876" s="2">
        <v>-4.6500000000000004</v>
      </c>
      <c r="L876" s="2">
        <v>5.01</v>
      </c>
      <c r="M876" s="2">
        <v>1.1299999999999999</v>
      </c>
      <c r="N876" t="s">
        <v>230</v>
      </c>
      <c r="O876">
        <v>38</v>
      </c>
    </row>
    <row r="877" spans="1:15">
      <c r="A877" s="1">
        <v>45978</v>
      </c>
      <c r="B877">
        <v>7</v>
      </c>
      <c r="C877" t="s">
        <v>99</v>
      </c>
      <c r="D877">
        <v>7</v>
      </c>
      <c r="E877" s="2">
        <v>2</v>
      </c>
      <c r="F877" s="2">
        <v>-330.97</v>
      </c>
      <c r="G877" s="2">
        <v>341.65</v>
      </c>
      <c r="H877" s="2">
        <v>-207.19</v>
      </c>
      <c r="I877" s="2">
        <v>209.06</v>
      </c>
      <c r="J877" s="2">
        <v>1.98</v>
      </c>
      <c r="K877" s="2">
        <v>-4.21</v>
      </c>
      <c r="L877" s="2">
        <v>4.66</v>
      </c>
      <c r="M877" s="2">
        <v>1.07</v>
      </c>
      <c r="N877" t="s">
        <v>230</v>
      </c>
      <c r="O877">
        <v>38</v>
      </c>
    </row>
    <row r="878" spans="1:15">
      <c r="A878" s="1">
        <v>45978</v>
      </c>
      <c r="B878">
        <v>7</v>
      </c>
      <c r="C878" t="s">
        <v>99</v>
      </c>
      <c r="D878">
        <v>7</v>
      </c>
      <c r="E878" s="2">
        <v>2.5</v>
      </c>
      <c r="F878" s="2">
        <v>-304.68</v>
      </c>
      <c r="G878" s="2">
        <v>313.62</v>
      </c>
      <c r="H878" s="2">
        <v>-192.76</v>
      </c>
      <c r="I878" s="2">
        <v>194.25</v>
      </c>
      <c r="J878" s="2">
        <v>2.0499999999999998</v>
      </c>
      <c r="K878" s="2">
        <v>-4.08</v>
      </c>
      <c r="L878" s="2">
        <v>4.57</v>
      </c>
      <c r="M878" s="2">
        <v>0.99</v>
      </c>
      <c r="N878" t="s">
        <v>230</v>
      </c>
      <c r="O878">
        <v>38</v>
      </c>
    </row>
    <row r="879" spans="1:15">
      <c r="A879" s="1">
        <v>45978</v>
      </c>
      <c r="B879">
        <v>7</v>
      </c>
      <c r="C879" t="s">
        <v>99</v>
      </c>
      <c r="D879">
        <v>7</v>
      </c>
      <c r="E879" s="2">
        <v>3</v>
      </c>
      <c r="F879" s="2">
        <v>-267.35000000000002</v>
      </c>
      <c r="G879" s="2">
        <v>276.22000000000003</v>
      </c>
      <c r="H879" s="2">
        <v>-137.04</v>
      </c>
      <c r="I879" s="2">
        <v>128.1</v>
      </c>
      <c r="J879" s="2">
        <v>2.09</v>
      </c>
      <c r="K879" s="2">
        <v>-4.17</v>
      </c>
      <c r="L879" s="2">
        <v>4.67</v>
      </c>
      <c r="M879" s="2">
        <v>1.17</v>
      </c>
      <c r="N879" t="s">
        <v>230</v>
      </c>
      <c r="O879">
        <v>38</v>
      </c>
    </row>
    <row r="880" spans="1:15">
      <c r="A880" s="1">
        <v>45978</v>
      </c>
      <c r="B880">
        <v>7</v>
      </c>
      <c r="C880" t="s">
        <v>99</v>
      </c>
      <c r="D880">
        <v>7</v>
      </c>
      <c r="E880" s="2">
        <v>3.5</v>
      </c>
      <c r="F880" s="2">
        <v>-205.59</v>
      </c>
      <c r="G880" s="2">
        <v>214.87</v>
      </c>
      <c r="H880" s="2">
        <v>-74.03</v>
      </c>
      <c r="I880" s="2">
        <v>72.48</v>
      </c>
      <c r="J880" s="2">
        <v>2.17</v>
      </c>
      <c r="K880" s="2">
        <v>-4.04</v>
      </c>
      <c r="L880" s="2">
        <v>4.58</v>
      </c>
      <c r="M880" s="2">
        <v>1.1299999999999999</v>
      </c>
      <c r="N880" t="s">
        <v>230</v>
      </c>
      <c r="O880">
        <v>38</v>
      </c>
    </row>
    <row r="881" spans="1:15">
      <c r="A881" s="1">
        <v>45978</v>
      </c>
      <c r="B881">
        <v>7</v>
      </c>
      <c r="C881" t="s">
        <v>99</v>
      </c>
      <c r="D881">
        <v>7</v>
      </c>
      <c r="E881" s="2">
        <v>4</v>
      </c>
      <c r="F881" s="2">
        <v>-149.44999999999999</v>
      </c>
      <c r="G881" s="2">
        <v>160.36000000000001</v>
      </c>
      <c r="H881" s="2">
        <v>-66.94</v>
      </c>
      <c r="I881" s="2">
        <v>65.23</v>
      </c>
      <c r="J881" s="2">
        <v>2.29</v>
      </c>
      <c r="K881" s="2">
        <v>-3.7</v>
      </c>
      <c r="L881" s="2">
        <v>4.3600000000000003</v>
      </c>
      <c r="M881" s="2">
        <v>1.01</v>
      </c>
      <c r="N881" t="s">
        <v>230</v>
      </c>
      <c r="O881">
        <v>38</v>
      </c>
    </row>
    <row r="882" spans="1:15">
      <c r="A882" s="1">
        <v>45978</v>
      </c>
      <c r="B882">
        <v>7</v>
      </c>
      <c r="C882" t="s">
        <v>99</v>
      </c>
      <c r="D882">
        <v>7</v>
      </c>
      <c r="E882" s="2">
        <v>4.5</v>
      </c>
      <c r="F882" s="2">
        <v>-101.49</v>
      </c>
      <c r="G882" s="2">
        <v>109.42</v>
      </c>
      <c r="H882" s="2">
        <v>-120.58</v>
      </c>
      <c r="I882" s="2">
        <v>118.26</v>
      </c>
      <c r="J882" s="2">
        <v>2.41</v>
      </c>
      <c r="K882" s="2">
        <v>-3.68</v>
      </c>
      <c r="L882" s="2">
        <v>4.4000000000000004</v>
      </c>
      <c r="M882" s="2">
        <v>1.08</v>
      </c>
      <c r="N882" t="s">
        <v>230</v>
      </c>
      <c r="O882">
        <v>38</v>
      </c>
    </row>
    <row r="883" spans="1:15">
      <c r="A883" s="1">
        <v>45978</v>
      </c>
      <c r="B883">
        <v>7</v>
      </c>
      <c r="C883" t="s">
        <v>99</v>
      </c>
      <c r="D883">
        <v>7</v>
      </c>
      <c r="E883" s="2">
        <v>5</v>
      </c>
      <c r="F883" s="2">
        <v>-27.55</v>
      </c>
      <c r="G883" s="2">
        <v>36.18</v>
      </c>
      <c r="H883" s="2">
        <v>-156.63999999999999</v>
      </c>
      <c r="I883" s="2">
        <v>166.42</v>
      </c>
      <c r="J883" s="2">
        <v>2.52</v>
      </c>
      <c r="K883" s="2">
        <v>-3.75</v>
      </c>
      <c r="L883" s="2">
        <v>4.5199999999999996</v>
      </c>
      <c r="M883" s="2">
        <v>1.03</v>
      </c>
      <c r="N883" t="s">
        <v>230</v>
      </c>
      <c r="O883">
        <v>38</v>
      </c>
    </row>
    <row r="884" spans="1:15">
      <c r="A884" s="1">
        <v>45978</v>
      </c>
      <c r="B884">
        <v>7</v>
      </c>
      <c r="C884" t="s">
        <v>99</v>
      </c>
      <c r="D884">
        <v>7</v>
      </c>
      <c r="E884" s="2">
        <v>5.5</v>
      </c>
      <c r="F884" s="2">
        <v>39.07</v>
      </c>
      <c r="G884" s="2">
        <v>-29.59</v>
      </c>
      <c r="H884" s="2">
        <v>-156.41999999999999</v>
      </c>
      <c r="I884" s="2">
        <v>149.04</v>
      </c>
      <c r="J884" s="2">
        <v>2.7</v>
      </c>
      <c r="K884" s="2">
        <v>-3.98</v>
      </c>
      <c r="L884" s="2">
        <v>4.82</v>
      </c>
      <c r="M884" s="2">
        <v>1.1299999999999999</v>
      </c>
      <c r="N884" t="s">
        <v>230</v>
      </c>
      <c r="O884">
        <v>38</v>
      </c>
    </row>
    <row r="885" spans="1:15">
      <c r="A885" s="1">
        <v>45978</v>
      </c>
      <c r="B885">
        <v>7</v>
      </c>
      <c r="C885" t="s">
        <v>99</v>
      </c>
      <c r="D885">
        <v>7</v>
      </c>
      <c r="E885" s="2">
        <v>6</v>
      </c>
      <c r="F885" s="2">
        <v>73.83</v>
      </c>
      <c r="G885" s="2">
        <v>-64.97</v>
      </c>
      <c r="H885" s="2">
        <v>-186.28</v>
      </c>
      <c r="I885" s="2">
        <v>182.16</v>
      </c>
      <c r="J885" s="2">
        <v>2.88</v>
      </c>
      <c r="K885" s="2">
        <v>-4.1100000000000003</v>
      </c>
      <c r="L885" s="2">
        <v>5.0199999999999996</v>
      </c>
      <c r="M885" s="2">
        <v>1.1000000000000001</v>
      </c>
      <c r="N885" t="s">
        <v>230</v>
      </c>
      <c r="O885">
        <v>38</v>
      </c>
    </row>
    <row r="886" spans="1:15">
      <c r="A886" s="1">
        <v>45978</v>
      </c>
      <c r="B886">
        <v>7</v>
      </c>
      <c r="C886" t="s">
        <v>99</v>
      </c>
      <c r="D886">
        <v>7</v>
      </c>
      <c r="E886" s="2">
        <v>6.5</v>
      </c>
      <c r="F886" s="2">
        <v>176.8</v>
      </c>
      <c r="G886" s="2">
        <v>-167.66</v>
      </c>
      <c r="H886" s="2">
        <v>-175.39</v>
      </c>
      <c r="I886" s="2">
        <v>171.05</v>
      </c>
      <c r="J886" s="2">
        <v>2.97</v>
      </c>
      <c r="K886" s="2">
        <v>-4.03</v>
      </c>
      <c r="L886" s="2">
        <v>5</v>
      </c>
      <c r="M886" s="2">
        <v>1.04</v>
      </c>
      <c r="N886" t="s">
        <v>230</v>
      </c>
      <c r="O886">
        <v>38</v>
      </c>
    </row>
    <row r="887" spans="1:15">
      <c r="A887" s="1">
        <v>45978</v>
      </c>
      <c r="B887">
        <v>7</v>
      </c>
      <c r="C887" t="s">
        <v>99</v>
      </c>
      <c r="D887">
        <v>7</v>
      </c>
      <c r="E887" s="2">
        <v>7</v>
      </c>
      <c r="F887" s="2">
        <v>279.85000000000002</v>
      </c>
      <c r="G887" s="2">
        <v>-271.25</v>
      </c>
      <c r="H887" s="2">
        <v>-188.87</v>
      </c>
      <c r="I887" s="2">
        <v>175.47</v>
      </c>
      <c r="J887" s="2">
        <v>3.06</v>
      </c>
      <c r="K887" s="2">
        <v>-3.79</v>
      </c>
      <c r="L887" s="2">
        <v>4.87</v>
      </c>
      <c r="M887" s="2">
        <v>0.97</v>
      </c>
      <c r="N887" t="s">
        <v>230</v>
      </c>
      <c r="O887">
        <v>38</v>
      </c>
    </row>
    <row r="888" spans="1:15">
      <c r="A888" s="1">
        <v>45978</v>
      </c>
      <c r="B888">
        <v>7</v>
      </c>
      <c r="C888" t="s">
        <v>99</v>
      </c>
      <c r="D888">
        <v>7</v>
      </c>
      <c r="E888" s="2">
        <v>7.5</v>
      </c>
      <c r="F888" s="2">
        <v>303.98</v>
      </c>
      <c r="G888" s="2">
        <v>-286.76</v>
      </c>
      <c r="H888" s="2">
        <v>-163.84</v>
      </c>
      <c r="I888" s="2">
        <v>158.01</v>
      </c>
      <c r="J888" s="2">
        <v>3.08</v>
      </c>
      <c r="K888" s="2">
        <v>-3.67</v>
      </c>
      <c r="L888" s="2">
        <v>4.79</v>
      </c>
      <c r="M888" s="2">
        <v>1.01</v>
      </c>
      <c r="N888" t="s">
        <v>230</v>
      </c>
      <c r="O888">
        <v>38</v>
      </c>
    </row>
    <row r="889" spans="1:15">
      <c r="A889" s="1">
        <v>45978</v>
      </c>
      <c r="B889">
        <v>7</v>
      </c>
      <c r="C889" t="s">
        <v>99</v>
      </c>
      <c r="D889">
        <v>7</v>
      </c>
      <c r="E889" s="2">
        <v>8</v>
      </c>
      <c r="F889" s="2">
        <v>270.45999999999998</v>
      </c>
      <c r="G889" s="2">
        <v>-265.81</v>
      </c>
      <c r="H889" s="2">
        <v>-69.67</v>
      </c>
      <c r="I889" s="2">
        <v>69.66</v>
      </c>
      <c r="J889" s="2">
        <v>3.18</v>
      </c>
      <c r="K889" s="2">
        <v>-3.59</v>
      </c>
      <c r="L889" s="2">
        <v>4.79</v>
      </c>
      <c r="M889" s="2">
        <v>0.98</v>
      </c>
      <c r="N889" t="s">
        <v>230</v>
      </c>
      <c r="O889">
        <v>38</v>
      </c>
    </row>
    <row r="890" spans="1:15">
      <c r="A890" s="1">
        <v>45978</v>
      </c>
      <c r="B890">
        <v>7</v>
      </c>
      <c r="C890" t="s">
        <v>99</v>
      </c>
      <c r="D890">
        <v>7</v>
      </c>
      <c r="E890" s="2">
        <v>8.5</v>
      </c>
      <c r="F890" s="2">
        <v>332.88</v>
      </c>
      <c r="G890" s="2">
        <v>-322.10000000000002</v>
      </c>
      <c r="H890" s="2">
        <v>-3.06</v>
      </c>
      <c r="I890" s="2">
        <v>8.4499999999999993</v>
      </c>
      <c r="J890" s="2">
        <v>3.26</v>
      </c>
      <c r="K890" s="2">
        <v>-3.55</v>
      </c>
      <c r="L890" s="2">
        <v>4.82</v>
      </c>
      <c r="M890" s="2">
        <v>0.95</v>
      </c>
      <c r="N890" t="s">
        <v>230</v>
      </c>
      <c r="O890">
        <v>38</v>
      </c>
    </row>
    <row r="891" spans="1:15">
      <c r="A891" s="1">
        <v>45978</v>
      </c>
      <c r="B891">
        <v>7</v>
      </c>
      <c r="C891" t="s">
        <v>99</v>
      </c>
      <c r="D891">
        <v>7</v>
      </c>
      <c r="E891" s="2">
        <v>9</v>
      </c>
      <c r="F891" s="2">
        <v>317.23</v>
      </c>
      <c r="G891" s="2">
        <v>-308.3</v>
      </c>
      <c r="H891" s="2">
        <v>58.18</v>
      </c>
      <c r="I891" s="2">
        <v>-48.23</v>
      </c>
      <c r="J891" s="2">
        <v>3.18</v>
      </c>
      <c r="K891" s="2">
        <v>-3.58</v>
      </c>
      <c r="L891" s="2">
        <v>4.79</v>
      </c>
      <c r="M891" s="2">
        <v>0.78</v>
      </c>
      <c r="N891" t="s">
        <v>230</v>
      </c>
      <c r="O891">
        <v>38</v>
      </c>
    </row>
    <row r="892" spans="1:15">
      <c r="A892" s="1">
        <v>45978</v>
      </c>
      <c r="B892">
        <v>7</v>
      </c>
      <c r="C892" t="s">
        <v>99</v>
      </c>
      <c r="D892">
        <v>7</v>
      </c>
      <c r="E892" s="2">
        <v>9.5</v>
      </c>
      <c r="F892" s="2">
        <v>204.06</v>
      </c>
      <c r="G892" s="2">
        <v>-197.15</v>
      </c>
      <c r="H892" s="2">
        <v>111.08</v>
      </c>
      <c r="I892" s="2">
        <v>-128.36000000000001</v>
      </c>
      <c r="J892" s="2">
        <v>3.21</v>
      </c>
      <c r="K892" s="2">
        <v>-3.64</v>
      </c>
      <c r="L892" s="2">
        <v>4.8600000000000003</v>
      </c>
      <c r="M892" s="2">
        <v>0.67</v>
      </c>
      <c r="N892" t="s">
        <v>230</v>
      </c>
      <c r="O892">
        <v>38</v>
      </c>
    </row>
    <row r="893" spans="1:15">
      <c r="A893" s="1">
        <v>45978</v>
      </c>
      <c r="B893">
        <v>7</v>
      </c>
      <c r="C893" t="s">
        <v>99</v>
      </c>
      <c r="D893">
        <v>7</v>
      </c>
      <c r="E893" s="2">
        <v>10</v>
      </c>
      <c r="F893" s="2">
        <v>60.33</v>
      </c>
      <c r="G893" s="2">
        <v>-43.75</v>
      </c>
      <c r="H893" s="2">
        <v>144.44</v>
      </c>
      <c r="I893" s="2">
        <v>-150.06</v>
      </c>
      <c r="J893" s="2">
        <v>3.3</v>
      </c>
      <c r="K893" s="2">
        <v>-3.59</v>
      </c>
      <c r="L893" s="2">
        <v>4.88</v>
      </c>
      <c r="M893" s="2">
        <v>0.56999999999999995</v>
      </c>
      <c r="N893" t="s">
        <v>230</v>
      </c>
      <c r="O893">
        <v>38</v>
      </c>
    </row>
    <row r="894" spans="1:15">
      <c r="A894" s="1">
        <v>45978</v>
      </c>
      <c r="B894">
        <v>7</v>
      </c>
      <c r="C894" t="s">
        <v>99</v>
      </c>
      <c r="D894">
        <v>7</v>
      </c>
      <c r="E894" s="2">
        <v>10.5</v>
      </c>
      <c r="F894" s="2">
        <v>76.72</v>
      </c>
      <c r="G894" s="2">
        <v>-70.680000000000007</v>
      </c>
      <c r="H894" s="2">
        <v>81.39</v>
      </c>
      <c r="I894" s="2">
        <v>-78.25</v>
      </c>
      <c r="J894" s="2">
        <v>3.24</v>
      </c>
      <c r="K894" s="2">
        <v>-3.8</v>
      </c>
      <c r="L894" s="2">
        <v>5</v>
      </c>
      <c r="M894" s="2">
        <v>0.56000000000000005</v>
      </c>
      <c r="N894" t="s">
        <v>230</v>
      </c>
      <c r="O894">
        <v>38</v>
      </c>
    </row>
    <row r="895" spans="1:15">
      <c r="A895" s="1">
        <v>45978</v>
      </c>
      <c r="B895">
        <v>7</v>
      </c>
      <c r="C895" t="s">
        <v>99</v>
      </c>
      <c r="D895">
        <v>7</v>
      </c>
      <c r="E895" s="2">
        <v>11</v>
      </c>
      <c r="F895" s="2">
        <v>6.15</v>
      </c>
      <c r="G895" s="2">
        <v>3</v>
      </c>
      <c r="H895" s="2">
        <v>32.93</v>
      </c>
      <c r="I895" s="2">
        <v>-44.36</v>
      </c>
      <c r="J895" s="2">
        <v>3.18</v>
      </c>
      <c r="K895" s="2">
        <v>-3.77</v>
      </c>
      <c r="L895" s="2">
        <v>4.93</v>
      </c>
      <c r="M895" s="2">
        <v>0.52</v>
      </c>
      <c r="N895" t="s">
        <v>230</v>
      </c>
      <c r="O895">
        <v>38</v>
      </c>
    </row>
    <row r="896" spans="1:15">
      <c r="A896" s="1">
        <v>45978</v>
      </c>
      <c r="B896">
        <v>7</v>
      </c>
      <c r="C896" t="s">
        <v>99</v>
      </c>
      <c r="D896">
        <v>7</v>
      </c>
      <c r="E896" s="2">
        <v>11.5</v>
      </c>
      <c r="F896" s="2">
        <v>-73.39</v>
      </c>
      <c r="G896" s="2">
        <v>76.34</v>
      </c>
      <c r="H896" s="2">
        <v>8.44</v>
      </c>
      <c r="I896" s="2">
        <v>-15.69</v>
      </c>
      <c r="J896" s="2">
        <v>3</v>
      </c>
      <c r="K896" s="2">
        <v>-3.8</v>
      </c>
      <c r="L896" s="2">
        <v>4.84</v>
      </c>
      <c r="M896" s="2">
        <v>0.53</v>
      </c>
      <c r="N896" t="s">
        <v>230</v>
      </c>
      <c r="O896">
        <v>38</v>
      </c>
    </row>
    <row r="897" spans="1:15">
      <c r="A897" s="1">
        <v>45978</v>
      </c>
      <c r="B897">
        <v>7</v>
      </c>
      <c r="C897" t="s">
        <v>99</v>
      </c>
      <c r="D897">
        <v>7</v>
      </c>
      <c r="E897" s="2">
        <v>12</v>
      </c>
      <c r="F897" s="2">
        <v>-85.47</v>
      </c>
      <c r="G897" s="2">
        <v>97.43</v>
      </c>
      <c r="H897" s="2">
        <v>20.079999999999998</v>
      </c>
      <c r="I897" s="2">
        <v>-24.41</v>
      </c>
      <c r="J897" s="2">
        <v>2.71</v>
      </c>
      <c r="K897" s="2">
        <v>-3.64</v>
      </c>
      <c r="L897" s="2">
        <v>4.54</v>
      </c>
      <c r="M897" s="2">
        <v>0.51</v>
      </c>
      <c r="N897" t="s">
        <v>230</v>
      </c>
      <c r="O897">
        <v>38</v>
      </c>
    </row>
    <row r="898" spans="1:15">
      <c r="A898" s="1">
        <v>45978</v>
      </c>
      <c r="B898">
        <v>7</v>
      </c>
      <c r="C898" t="s">
        <v>99</v>
      </c>
      <c r="D898">
        <v>7</v>
      </c>
      <c r="E898" s="2">
        <v>12.5</v>
      </c>
      <c r="F898" s="2">
        <v>-44.77</v>
      </c>
      <c r="G898" s="2">
        <v>53.09</v>
      </c>
      <c r="H898" s="2">
        <v>10.32</v>
      </c>
      <c r="I898" s="2">
        <v>-19.27</v>
      </c>
      <c r="J898" s="2">
        <v>2.39</v>
      </c>
      <c r="K898" s="2">
        <v>-3.48</v>
      </c>
      <c r="L898" s="2">
        <v>4.22</v>
      </c>
      <c r="M898" s="2">
        <v>0.53</v>
      </c>
      <c r="N898" t="s">
        <v>230</v>
      </c>
      <c r="O898">
        <v>38</v>
      </c>
    </row>
    <row r="899" spans="1:15">
      <c r="A899" s="1">
        <v>45978</v>
      </c>
      <c r="B899">
        <v>7</v>
      </c>
      <c r="C899" t="s">
        <v>99</v>
      </c>
      <c r="D899">
        <v>7</v>
      </c>
      <c r="E899" s="2">
        <v>13</v>
      </c>
      <c r="F899" s="2">
        <v>-98.01</v>
      </c>
      <c r="G899" s="2">
        <v>105.85</v>
      </c>
      <c r="H899" s="2">
        <v>-34.56</v>
      </c>
      <c r="I899" s="2">
        <v>39.81</v>
      </c>
      <c r="J899" s="2">
        <v>2.2000000000000002</v>
      </c>
      <c r="K899" s="2">
        <v>-3.46</v>
      </c>
      <c r="L899" s="2">
        <v>4.0999999999999996</v>
      </c>
      <c r="M899" s="2">
        <v>0.6</v>
      </c>
      <c r="N899" t="s">
        <v>230</v>
      </c>
      <c r="O899">
        <v>38</v>
      </c>
    </row>
    <row r="900" spans="1:15">
      <c r="A900" s="1">
        <v>45978</v>
      </c>
      <c r="B900">
        <v>7</v>
      </c>
      <c r="C900" t="s">
        <v>99</v>
      </c>
      <c r="D900">
        <v>7</v>
      </c>
      <c r="E900" s="2">
        <v>13.5</v>
      </c>
      <c r="F900" s="2">
        <v>-263.83999999999997</v>
      </c>
      <c r="G900" s="2">
        <v>273.75</v>
      </c>
      <c r="H900" s="2">
        <v>-156.69999999999999</v>
      </c>
      <c r="I900" s="2">
        <v>177.11</v>
      </c>
      <c r="J900" s="2">
        <v>2.15</v>
      </c>
      <c r="K900" s="2">
        <v>-3.43</v>
      </c>
      <c r="L900" s="2">
        <v>4.04</v>
      </c>
      <c r="M900" s="2">
        <v>0.55000000000000004</v>
      </c>
      <c r="N900" t="s">
        <v>230</v>
      </c>
      <c r="O900">
        <v>38</v>
      </c>
    </row>
    <row r="901" spans="1:15">
      <c r="A901" s="1">
        <v>45978</v>
      </c>
      <c r="B901">
        <v>7</v>
      </c>
      <c r="C901" t="s">
        <v>99</v>
      </c>
      <c r="D901">
        <v>7</v>
      </c>
      <c r="E901" s="2">
        <v>14</v>
      </c>
      <c r="F901" s="2">
        <v>-295.27</v>
      </c>
      <c r="G901" s="2">
        <v>304.58999999999997</v>
      </c>
      <c r="H901" s="2">
        <v>-297.92</v>
      </c>
      <c r="I901" s="2">
        <v>300.39999999999998</v>
      </c>
      <c r="J901" s="2">
        <v>2.12</v>
      </c>
      <c r="K901" s="2">
        <v>-3.1</v>
      </c>
      <c r="L901" s="2">
        <v>3.76</v>
      </c>
      <c r="M901" s="2">
        <v>0.23</v>
      </c>
      <c r="N901" t="s">
        <v>230</v>
      </c>
      <c r="O901">
        <v>38</v>
      </c>
    </row>
    <row r="902" spans="1:15">
      <c r="A902" s="1">
        <v>45978</v>
      </c>
      <c r="B902">
        <v>7</v>
      </c>
      <c r="C902" t="s">
        <v>99</v>
      </c>
      <c r="D902">
        <v>7</v>
      </c>
      <c r="E902" s="2">
        <v>14.5</v>
      </c>
      <c r="F902" s="2">
        <v>-263.98</v>
      </c>
      <c r="G902" s="2">
        <v>272.99</v>
      </c>
      <c r="H902" s="2">
        <v>-253.17</v>
      </c>
      <c r="I902" s="2">
        <v>253.71</v>
      </c>
      <c r="J902" s="2">
        <v>2.0699999999999998</v>
      </c>
      <c r="K902" s="2">
        <v>-2.99</v>
      </c>
      <c r="L902" s="2">
        <v>3.63</v>
      </c>
      <c r="M902" s="2">
        <v>0.27</v>
      </c>
      <c r="N902" t="s">
        <v>230</v>
      </c>
      <c r="O902">
        <v>38</v>
      </c>
    </row>
    <row r="903" spans="1:15">
      <c r="A903" s="1">
        <v>45978</v>
      </c>
      <c r="B903">
        <v>7</v>
      </c>
      <c r="C903" t="s">
        <v>99</v>
      </c>
      <c r="D903">
        <v>7</v>
      </c>
      <c r="E903" s="2">
        <v>15</v>
      </c>
      <c r="F903" s="2">
        <v>-226.85</v>
      </c>
      <c r="G903" s="2">
        <v>237.95</v>
      </c>
      <c r="H903" s="2">
        <v>-202.35</v>
      </c>
      <c r="I903" s="2">
        <v>194.07</v>
      </c>
      <c r="J903" s="2">
        <v>1.92</v>
      </c>
      <c r="K903" s="2">
        <v>-2.88</v>
      </c>
      <c r="L903" s="2">
        <v>3.47</v>
      </c>
      <c r="M903" s="2">
        <v>0.25</v>
      </c>
      <c r="N903" t="s">
        <v>230</v>
      </c>
      <c r="O903">
        <v>38</v>
      </c>
    </row>
    <row r="904" spans="1:15">
      <c r="A904" s="1">
        <v>45978</v>
      </c>
      <c r="B904">
        <v>7</v>
      </c>
      <c r="C904" t="s">
        <v>99</v>
      </c>
      <c r="D904">
        <v>7</v>
      </c>
      <c r="E904" s="2">
        <v>15.5</v>
      </c>
      <c r="F904" s="2">
        <v>-161.54</v>
      </c>
      <c r="G904" s="2">
        <v>166.81</v>
      </c>
      <c r="H904" s="2">
        <v>-188.68</v>
      </c>
      <c r="I904" s="2">
        <v>177.57</v>
      </c>
      <c r="J904" s="2">
        <v>1.8</v>
      </c>
      <c r="K904" s="2">
        <v>-2.79</v>
      </c>
      <c r="L904" s="2">
        <v>3.32</v>
      </c>
      <c r="M904" s="2">
        <v>0.23</v>
      </c>
      <c r="N904" t="s">
        <v>230</v>
      </c>
      <c r="O904">
        <v>38</v>
      </c>
    </row>
    <row r="905" spans="1:15">
      <c r="A905" s="1">
        <v>45978</v>
      </c>
      <c r="B905">
        <v>7</v>
      </c>
      <c r="C905" t="s">
        <v>99</v>
      </c>
      <c r="D905">
        <v>7</v>
      </c>
      <c r="E905" s="2">
        <v>16</v>
      </c>
      <c r="F905" s="2">
        <v>-75.36</v>
      </c>
      <c r="G905" s="2">
        <v>83.17</v>
      </c>
      <c r="H905" s="2">
        <v>-162.41</v>
      </c>
      <c r="I905" s="2">
        <v>169.33</v>
      </c>
      <c r="J905" s="2">
        <v>1.71</v>
      </c>
      <c r="K905" s="2">
        <v>-2.67</v>
      </c>
      <c r="L905" s="2">
        <v>3.18</v>
      </c>
      <c r="M905" s="2">
        <v>0.22</v>
      </c>
      <c r="N905" t="s">
        <v>230</v>
      </c>
      <c r="O905">
        <v>38</v>
      </c>
    </row>
    <row r="906" spans="1:15">
      <c r="A906" s="1">
        <v>45978</v>
      </c>
      <c r="B906">
        <v>7</v>
      </c>
      <c r="C906" t="s">
        <v>99</v>
      </c>
      <c r="D906">
        <v>7</v>
      </c>
      <c r="E906" s="2">
        <v>16.5</v>
      </c>
      <c r="F906" s="2">
        <v>107.84</v>
      </c>
      <c r="G906" s="2">
        <v>-102.08</v>
      </c>
      <c r="H906" s="2">
        <v>-107.35</v>
      </c>
      <c r="I906" s="2">
        <v>113.69</v>
      </c>
      <c r="J906" s="2">
        <v>1.62</v>
      </c>
      <c r="K906" s="2">
        <v>-2.54</v>
      </c>
      <c r="L906" s="2">
        <v>3.01</v>
      </c>
      <c r="M906" s="2">
        <v>0.22</v>
      </c>
      <c r="N906" t="s">
        <v>230</v>
      </c>
      <c r="O906">
        <v>38</v>
      </c>
    </row>
    <row r="907" spans="1:15">
      <c r="A907" s="1">
        <v>45978</v>
      </c>
      <c r="B907">
        <v>7</v>
      </c>
      <c r="C907" t="s">
        <v>99</v>
      </c>
      <c r="D907">
        <v>7</v>
      </c>
      <c r="E907" s="2">
        <v>17</v>
      </c>
      <c r="F907" s="2">
        <v>268.56</v>
      </c>
      <c r="G907" s="2">
        <v>-260.75</v>
      </c>
      <c r="H907" s="2">
        <v>-61.32</v>
      </c>
      <c r="I907" s="2">
        <v>55.84</v>
      </c>
      <c r="J907" s="2">
        <v>1.53</v>
      </c>
      <c r="K907" s="2">
        <v>-2.54</v>
      </c>
      <c r="L907" s="2">
        <v>2.97</v>
      </c>
      <c r="M907" s="2">
        <v>0.24</v>
      </c>
      <c r="N907" t="s">
        <v>230</v>
      </c>
      <c r="O907">
        <v>38</v>
      </c>
    </row>
    <row r="908" spans="1:15">
      <c r="A908" s="1">
        <v>45978</v>
      </c>
      <c r="B908">
        <v>7</v>
      </c>
      <c r="C908" t="s">
        <v>99</v>
      </c>
      <c r="D908">
        <v>7</v>
      </c>
      <c r="E908" s="2">
        <v>17.5</v>
      </c>
      <c r="F908" s="2">
        <v>321.07</v>
      </c>
      <c r="G908" s="2">
        <v>-316.17</v>
      </c>
      <c r="H908" s="2">
        <v>-75.290000000000006</v>
      </c>
      <c r="I908" s="2">
        <v>63.04</v>
      </c>
      <c r="J908" s="2">
        <v>1.4</v>
      </c>
      <c r="K908" s="2">
        <v>-2.31</v>
      </c>
      <c r="L908" s="2">
        <v>2.7</v>
      </c>
      <c r="M908" s="2">
        <v>0.26</v>
      </c>
      <c r="N908" t="s">
        <v>230</v>
      </c>
      <c r="O908">
        <v>38</v>
      </c>
    </row>
    <row r="909" spans="1:15">
      <c r="A909" s="1">
        <v>45978</v>
      </c>
      <c r="B909">
        <v>7</v>
      </c>
      <c r="C909" t="s">
        <v>99</v>
      </c>
      <c r="D909">
        <v>7</v>
      </c>
      <c r="E909" s="2">
        <v>18</v>
      </c>
      <c r="F909" s="2">
        <v>391.56</v>
      </c>
      <c r="G909" s="2">
        <v>-382.46</v>
      </c>
      <c r="H909" s="2">
        <v>-102.11</v>
      </c>
      <c r="I909" s="2">
        <v>99.05</v>
      </c>
      <c r="J909" s="2">
        <v>1.29</v>
      </c>
      <c r="K909" s="2">
        <v>-2.2000000000000002</v>
      </c>
      <c r="L909" s="2">
        <v>2.5499999999999998</v>
      </c>
      <c r="M909" s="2">
        <v>0.25</v>
      </c>
      <c r="N909" t="s">
        <v>230</v>
      </c>
      <c r="O909">
        <v>38</v>
      </c>
    </row>
    <row r="910" spans="1:15">
      <c r="A910" s="1">
        <v>45978</v>
      </c>
      <c r="B910">
        <v>7</v>
      </c>
      <c r="C910" t="s">
        <v>99</v>
      </c>
      <c r="D910">
        <v>7</v>
      </c>
      <c r="E910" s="2">
        <v>18.5</v>
      </c>
      <c r="F910" s="2">
        <v>437.61</v>
      </c>
      <c r="G910" s="2">
        <v>-430.43</v>
      </c>
      <c r="H910" s="2">
        <v>-107.28</v>
      </c>
      <c r="I910" s="2">
        <v>114.77</v>
      </c>
      <c r="J910" s="2">
        <v>1.19</v>
      </c>
      <c r="K910" s="2">
        <v>-2.13</v>
      </c>
      <c r="L910" s="2">
        <v>2.44</v>
      </c>
      <c r="M910" s="2">
        <v>0.28999999999999998</v>
      </c>
      <c r="N910" t="s">
        <v>230</v>
      </c>
      <c r="O910">
        <v>38</v>
      </c>
    </row>
    <row r="911" spans="1:15">
      <c r="A911" s="1">
        <v>45978</v>
      </c>
      <c r="B911">
        <v>7</v>
      </c>
      <c r="C911" t="s">
        <v>99</v>
      </c>
      <c r="D911">
        <v>7</v>
      </c>
      <c r="E911" s="2">
        <v>19</v>
      </c>
      <c r="F911" s="2">
        <v>445.03</v>
      </c>
      <c r="G911" s="2">
        <v>-438.19</v>
      </c>
      <c r="H911" s="2">
        <v>-107.97</v>
      </c>
      <c r="I911" s="2">
        <v>109.42</v>
      </c>
      <c r="J911" s="2">
        <v>1.1499999999999999</v>
      </c>
      <c r="K911" s="2">
        <v>-2</v>
      </c>
      <c r="L911" s="2">
        <v>2.31</v>
      </c>
      <c r="M911" s="2">
        <v>0.33</v>
      </c>
      <c r="N911" t="s">
        <v>230</v>
      </c>
      <c r="O911">
        <v>38</v>
      </c>
    </row>
    <row r="912" spans="1:15">
      <c r="A912" s="1">
        <v>45978</v>
      </c>
      <c r="B912">
        <v>7</v>
      </c>
      <c r="C912" t="s">
        <v>99</v>
      </c>
      <c r="D912">
        <v>7</v>
      </c>
      <c r="E912" s="2">
        <v>19.5</v>
      </c>
      <c r="F912" s="2">
        <v>326.45</v>
      </c>
      <c r="G912" s="2">
        <v>-320.43</v>
      </c>
      <c r="H912" s="2">
        <v>-41.52</v>
      </c>
      <c r="I912" s="2">
        <v>50.46</v>
      </c>
      <c r="J912" s="2">
        <v>1.06</v>
      </c>
      <c r="K912" s="2">
        <v>-1.73</v>
      </c>
      <c r="L912" s="2">
        <v>2.0299999999999998</v>
      </c>
      <c r="M912" s="2">
        <v>0.18</v>
      </c>
      <c r="N912" t="s">
        <v>230</v>
      </c>
      <c r="O912">
        <v>38</v>
      </c>
    </row>
    <row r="913" spans="1:15">
      <c r="A913" s="1">
        <v>45978</v>
      </c>
      <c r="B913">
        <v>7</v>
      </c>
      <c r="C913" t="s">
        <v>99</v>
      </c>
      <c r="D913">
        <v>7</v>
      </c>
      <c r="E913" s="2">
        <v>20</v>
      </c>
      <c r="F913" s="2">
        <v>191.74</v>
      </c>
      <c r="G913" s="2">
        <v>-183.46</v>
      </c>
      <c r="H913" s="2">
        <v>-1.1299999999999999</v>
      </c>
      <c r="I913" s="2">
        <v>5.93</v>
      </c>
      <c r="J913" s="2">
        <v>0.98</v>
      </c>
      <c r="K913" s="2">
        <v>-1.65</v>
      </c>
      <c r="L913" s="2">
        <v>1.92</v>
      </c>
      <c r="M913" s="2">
        <v>0.16</v>
      </c>
      <c r="N913" t="s">
        <v>230</v>
      </c>
      <c r="O913">
        <v>38</v>
      </c>
    </row>
    <row r="914" spans="1:15">
      <c r="A914" s="1">
        <v>45978</v>
      </c>
      <c r="B914">
        <v>7</v>
      </c>
      <c r="C914" t="s">
        <v>99</v>
      </c>
      <c r="D914">
        <v>7</v>
      </c>
      <c r="E914" s="2">
        <v>20.5</v>
      </c>
      <c r="F914" s="2">
        <v>156.61000000000001</v>
      </c>
      <c r="G914" s="2">
        <v>-149.76</v>
      </c>
      <c r="H914" s="2">
        <v>-6.76</v>
      </c>
      <c r="I914" s="2">
        <v>9.2799999999999994</v>
      </c>
      <c r="J914" s="2">
        <v>0.84</v>
      </c>
      <c r="K914" s="2">
        <v>-1.42</v>
      </c>
      <c r="L914" s="2">
        <v>1.65</v>
      </c>
      <c r="M914" s="2">
        <v>0.1</v>
      </c>
      <c r="N914" t="s">
        <v>230</v>
      </c>
      <c r="O914">
        <v>38</v>
      </c>
    </row>
    <row r="915" spans="1:15">
      <c r="A915" s="1">
        <v>45978</v>
      </c>
      <c r="B915">
        <v>7</v>
      </c>
      <c r="C915" t="s">
        <v>99</v>
      </c>
      <c r="D915">
        <v>7</v>
      </c>
      <c r="E915" s="2">
        <v>21</v>
      </c>
      <c r="F915" s="2">
        <v>116.67</v>
      </c>
      <c r="G915" s="2">
        <v>-108.61</v>
      </c>
      <c r="H915" s="2">
        <v>-6.91</v>
      </c>
      <c r="I915" s="2">
        <v>19.03</v>
      </c>
      <c r="J915" s="2">
        <v>0.77</v>
      </c>
      <c r="K915" s="2">
        <v>-1.23</v>
      </c>
      <c r="L915" s="2">
        <v>1.45</v>
      </c>
      <c r="M915" s="2">
        <v>0.02</v>
      </c>
      <c r="N915" t="s">
        <v>230</v>
      </c>
      <c r="O915">
        <v>38</v>
      </c>
    </row>
    <row r="916" spans="1:15">
      <c r="A916" s="1">
        <v>45978</v>
      </c>
      <c r="B916">
        <v>7</v>
      </c>
      <c r="C916" t="s">
        <v>99</v>
      </c>
      <c r="D916">
        <v>7</v>
      </c>
      <c r="E916" s="2">
        <v>21.5</v>
      </c>
      <c r="F916" s="2">
        <v>-12.49</v>
      </c>
      <c r="G916" s="2">
        <v>21.69</v>
      </c>
      <c r="H916" s="2">
        <v>-20.45</v>
      </c>
      <c r="I916" s="2">
        <v>19.309999999999999</v>
      </c>
      <c r="J916" s="2">
        <v>0.59</v>
      </c>
      <c r="K916" s="2">
        <v>-1.35</v>
      </c>
      <c r="L916" s="2">
        <v>1.47</v>
      </c>
      <c r="M916" s="2">
        <v>-0.01</v>
      </c>
      <c r="N916" t="s">
        <v>230</v>
      </c>
      <c r="O916">
        <v>38</v>
      </c>
    </row>
    <row r="917" spans="1:15">
      <c r="A917" s="1">
        <v>45978</v>
      </c>
      <c r="B917">
        <v>7</v>
      </c>
      <c r="C917" t="s">
        <v>99</v>
      </c>
      <c r="D917">
        <v>7</v>
      </c>
      <c r="E917" s="2">
        <v>22</v>
      </c>
      <c r="F917" s="2">
        <v>-57.96</v>
      </c>
      <c r="G917" s="2">
        <v>64.3</v>
      </c>
      <c r="H917" s="2">
        <v>-7.51</v>
      </c>
      <c r="I917" s="2">
        <v>24.55</v>
      </c>
      <c r="J917" s="2">
        <v>0.54</v>
      </c>
      <c r="K917" s="2">
        <v>-1.1299999999999999</v>
      </c>
      <c r="L917" s="2">
        <v>1.26</v>
      </c>
      <c r="M917" s="2">
        <v>0</v>
      </c>
      <c r="N917" t="s">
        <v>230</v>
      </c>
      <c r="O917">
        <v>38</v>
      </c>
    </row>
    <row r="918" spans="1:15">
      <c r="A918" s="1">
        <v>45978</v>
      </c>
      <c r="B918">
        <v>7</v>
      </c>
      <c r="C918" t="s">
        <v>99</v>
      </c>
      <c r="D918">
        <v>7</v>
      </c>
      <c r="E918" s="2">
        <v>22.5</v>
      </c>
      <c r="F918" s="2">
        <v>-44.78</v>
      </c>
      <c r="G918" s="2">
        <v>53.79</v>
      </c>
      <c r="H918" s="2">
        <v>-102.66</v>
      </c>
      <c r="I918" s="2">
        <v>120.61</v>
      </c>
      <c r="J918" s="2">
        <v>0.52</v>
      </c>
      <c r="K918" s="2">
        <v>-1.06</v>
      </c>
      <c r="L918" s="2">
        <v>1.18</v>
      </c>
      <c r="M918" s="2">
        <v>-0.09</v>
      </c>
      <c r="N918" t="s">
        <v>230</v>
      </c>
      <c r="O918">
        <v>38</v>
      </c>
    </row>
    <row r="919" spans="1:15">
      <c r="A919" s="1">
        <v>45978</v>
      </c>
      <c r="B919">
        <v>7</v>
      </c>
      <c r="C919" t="s">
        <v>99</v>
      </c>
      <c r="D919">
        <v>7</v>
      </c>
      <c r="E919" s="2">
        <v>23</v>
      </c>
      <c r="F919" s="2">
        <v>-58.79</v>
      </c>
      <c r="G919" s="2">
        <v>62.87</v>
      </c>
      <c r="H919" s="2">
        <v>-162.57</v>
      </c>
      <c r="I919" s="2">
        <v>162.35</v>
      </c>
      <c r="J919" s="2">
        <v>0.48</v>
      </c>
      <c r="K919" s="2">
        <v>-0.8</v>
      </c>
      <c r="L919" s="2">
        <v>0.93</v>
      </c>
      <c r="M919" s="2">
        <v>-0.13</v>
      </c>
      <c r="N919" t="s">
        <v>230</v>
      </c>
      <c r="O919">
        <v>38</v>
      </c>
    </row>
    <row r="920" spans="1:15">
      <c r="A920" s="1">
        <v>45978</v>
      </c>
      <c r="B920">
        <v>7</v>
      </c>
      <c r="C920" t="s">
        <v>99</v>
      </c>
      <c r="D920">
        <v>7</v>
      </c>
      <c r="E920" s="2">
        <v>23.5</v>
      </c>
      <c r="F920" s="2">
        <v>-123.75</v>
      </c>
      <c r="G920" s="2">
        <v>134.75</v>
      </c>
      <c r="H920" s="2">
        <v>-203.2</v>
      </c>
      <c r="I920" s="2">
        <v>207.82</v>
      </c>
      <c r="J920" s="2">
        <v>0.42</v>
      </c>
      <c r="K920" s="2">
        <v>-0.74</v>
      </c>
      <c r="L920" s="2">
        <v>0.85</v>
      </c>
      <c r="M920" s="2">
        <v>-0.04</v>
      </c>
      <c r="N920" t="s">
        <v>230</v>
      </c>
      <c r="O920">
        <v>38</v>
      </c>
    </row>
    <row r="921" spans="1:15">
      <c r="A921" s="1">
        <v>45978</v>
      </c>
      <c r="B921">
        <v>7</v>
      </c>
      <c r="C921" t="s">
        <v>99</v>
      </c>
      <c r="D921">
        <v>7</v>
      </c>
      <c r="E921" s="2">
        <v>24</v>
      </c>
      <c r="F921" s="2">
        <v>-156.59</v>
      </c>
      <c r="G921" s="2">
        <v>164.99</v>
      </c>
      <c r="H921" s="2">
        <v>-251.45</v>
      </c>
      <c r="I921" s="2">
        <v>260.24</v>
      </c>
      <c r="J921" s="2">
        <v>0.39</v>
      </c>
      <c r="K921" s="2">
        <v>-0.79</v>
      </c>
      <c r="L921" s="2">
        <v>0.89</v>
      </c>
      <c r="M921" s="2">
        <v>0.05</v>
      </c>
      <c r="N921" t="s">
        <v>230</v>
      </c>
      <c r="O921">
        <v>38</v>
      </c>
    </row>
    <row r="922" spans="1:15">
      <c r="A922" s="1">
        <v>45978</v>
      </c>
      <c r="B922">
        <v>7</v>
      </c>
      <c r="C922" t="s">
        <v>99</v>
      </c>
      <c r="D922">
        <v>7</v>
      </c>
      <c r="E922" s="2">
        <v>24.5</v>
      </c>
      <c r="F922" s="2">
        <v>-53.07</v>
      </c>
      <c r="G922" s="2">
        <v>56.77</v>
      </c>
      <c r="H922" s="2">
        <v>-247.61</v>
      </c>
      <c r="I922" s="2">
        <v>239.06</v>
      </c>
      <c r="J922" s="2">
        <v>0.36</v>
      </c>
      <c r="K922" s="2">
        <v>-0.7</v>
      </c>
      <c r="L922" s="2">
        <v>0.79</v>
      </c>
      <c r="M922" s="2">
        <v>-0.06</v>
      </c>
      <c r="N922" t="s">
        <v>230</v>
      </c>
      <c r="O922">
        <v>38</v>
      </c>
    </row>
    <row r="923" spans="1:15">
      <c r="A923" s="1">
        <v>45978</v>
      </c>
      <c r="B923">
        <v>7</v>
      </c>
      <c r="C923" t="s">
        <v>99</v>
      </c>
      <c r="D923">
        <v>7</v>
      </c>
      <c r="E923" s="2">
        <v>25</v>
      </c>
      <c r="F923" s="2">
        <v>43.54</v>
      </c>
      <c r="G923" s="2">
        <v>-34.94</v>
      </c>
      <c r="H923" s="2">
        <v>-233.25</v>
      </c>
      <c r="I923" s="2">
        <v>222.88</v>
      </c>
      <c r="J923" s="2">
        <v>0.28999999999999998</v>
      </c>
      <c r="K923" s="2">
        <v>-0.75</v>
      </c>
      <c r="L923" s="2">
        <v>0.81</v>
      </c>
      <c r="M923" s="2">
        <v>-0.04</v>
      </c>
      <c r="N923" t="s">
        <v>230</v>
      </c>
      <c r="O923">
        <v>38</v>
      </c>
    </row>
    <row r="924" spans="1:15">
      <c r="A924" s="1">
        <v>45978</v>
      </c>
      <c r="B924">
        <v>7</v>
      </c>
      <c r="C924" t="s">
        <v>99</v>
      </c>
      <c r="D924">
        <v>7</v>
      </c>
      <c r="E924" s="2">
        <v>25.5</v>
      </c>
      <c r="F924" s="2">
        <v>100.12</v>
      </c>
      <c r="G924" s="2">
        <v>-93.75</v>
      </c>
      <c r="H924" s="2">
        <v>-189.67</v>
      </c>
      <c r="I924" s="2">
        <v>190.3</v>
      </c>
      <c r="J924" s="2">
        <v>0.22</v>
      </c>
      <c r="K924" s="2">
        <v>-0.64</v>
      </c>
      <c r="L924" s="2">
        <v>0.68</v>
      </c>
      <c r="M924" s="2">
        <v>0.04</v>
      </c>
      <c r="N924" t="s">
        <v>230</v>
      </c>
      <c r="O924">
        <v>38</v>
      </c>
    </row>
    <row r="925" spans="1:15">
      <c r="A925" s="1">
        <v>45978</v>
      </c>
      <c r="B925">
        <v>7</v>
      </c>
      <c r="C925" t="s">
        <v>99</v>
      </c>
      <c r="D925">
        <v>7</v>
      </c>
      <c r="E925" s="2">
        <v>26</v>
      </c>
      <c r="F925" s="2">
        <v>145.55000000000001</v>
      </c>
      <c r="G925" s="2">
        <v>-136.76</v>
      </c>
      <c r="H925" s="2">
        <v>-233.6</v>
      </c>
      <c r="I925" s="2">
        <v>240.08</v>
      </c>
      <c r="J925" s="2">
        <v>0.17</v>
      </c>
      <c r="K925" s="2">
        <v>-0.2</v>
      </c>
      <c r="L925" s="2">
        <v>0.27</v>
      </c>
      <c r="M925" s="2">
        <v>0.06</v>
      </c>
      <c r="N925" t="s">
        <v>230</v>
      </c>
      <c r="O925">
        <v>38</v>
      </c>
    </row>
    <row r="926" spans="1:15">
      <c r="A926" s="1">
        <v>45978</v>
      </c>
      <c r="B926">
        <v>7</v>
      </c>
      <c r="C926" t="s">
        <v>99</v>
      </c>
      <c r="D926">
        <v>7</v>
      </c>
      <c r="E926" s="2">
        <v>26.5</v>
      </c>
      <c r="F926" s="2">
        <v>150.13</v>
      </c>
      <c r="G926" s="2">
        <v>-143.41999999999999</v>
      </c>
      <c r="H926" s="2">
        <v>-253.09</v>
      </c>
      <c r="I926" s="2">
        <v>258.82</v>
      </c>
      <c r="J926" s="2">
        <v>0.1</v>
      </c>
      <c r="K926" s="2">
        <v>0</v>
      </c>
      <c r="L926" s="2">
        <v>0.1</v>
      </c>
      <c r="M926" s="2">
        <v>-0.01</v>
      </c>
      <c r="N926" t="s">
        <v>230</v>
      </c>
      <c r="O926">
        <v>38</v>
      </c>
    </row>
    <row r="927" spans="1:15">
      <c r="A927" s="1">
        <v>45978</v>
      </c>
      <c r="B927">
        <v>6</v>
      </c>
      <c r="C927" t="s">
        <v>100</v>
      </c>
      <c r="D927">
        <v>6</v>
      </c>
      <c r="E927" s="2">
        <v>0.5</v>
      </c>
      <c r="F927" s="2">
        <v>409.39</v>
      </c>
      <c r="G927" s="2">
        <v>-398.52</v>
      </c>
      <c r="H927" s="2">
        <v>484.06</v>
      </c>
      <c r="I927" s="2">
        <v>-472.19</v>
      </c>
      <c r="J927" s="2">
        <v>0.19</v>
      </c>
      <c r="K927" s="2">
        <v>-0.12</v>
      </c>
      <c r="L927" s="2">
        <v>0.22</v>
      </c>
      <c r="M927" s="2">
        <v>-1.21</v>
      </c>
      <c r="N927" t="s">
        <v>230</v>
      </c>
      <c r="O927">
        <v>56</v>
      </c>
    </row>
    <row r="928" spans="1:15">
      <c r="A928" s="1">
        <v>45978</v>
      </c>
      <c r="B928">
        <v>6</v>
      </c>
      <c r="C928" t="s">
        <v>100</v>
      </c>
      <c r="D928">
        <v>6</v>
      </c>
      <c r="E928" s="2">
        <v>1</v>
      </c>
      <c r="F928" s="2">
        <v>409.41</v>
      </c>
      <c r="G928" s="2">
        <v>-398.89</v>
      </c>
      <c r="H928" s="2">
        <v>483.73</v>
      </c>
      <c r="I928" s="2">
        <v>-472.24</v>
      </c>
      <c r="J928" s="2">
        <v>0.2</v>
      </c>
      <c r="K928" s="2">
        <v>-0.3</v>
      </c>
      <c r="L928" s="2">
        <v>0.36</v>
      </c>
      <c r="M928" s="2">
        <v>-0.8</v>
      </c>
      <c r="N928" t="s">
        <v>230</v>
      </c>
      <c r="O928">
        <v>56</v>
      </c>
    </row>
    <row r="929" spans="1:15">
      <c r="A929" s="1">
        <v>45978</v>
      </c>
      <c r="B929">
        <v>6</v>
      </c>
      <c r="C929" t="s">
        <v>100</v>
      </c>
      <c r="D929">
        <v>6</v>
      </c>
      <c r="E929" s="2">
        <v>1.5</v>
      </c>
      <c r="F929" s="2">
        <v>438.62</v>
      </c>
      <c r="G929" s="2">
        <v>-433.55</v>
      </c>
      <c r="H929" s="2">
        <v>406.62</v>
      </c>
      <c r="I929" s="2">
        <v>-400.4</v>
      </c>
      <c r="J929" s="2">
        <v>0.23</v>
      </c>
      <c r="K929" s="2">
        <v>-0.47</v>
      </c>
      <c r="L929" s="2">
        <v>0.53</v>
      </c>
      <c r="M929" s="2">
        <v>-0.36</v>
      </c>
      <c r="N929" t="s">
        <v>230</v>
      </c>
      <c r="O929">
        <v>56</v>
      </c>
    </row>
    <row r="930" spans="1:15">
      <c r="A930" s="1">
        <v>45978</v>
      </c>
      <c r="B930">
        <v>6</v>
      </c>
      <c r="C930" t="s">
        <v>100</v>
      </c>
      <c r="D930">
        <v>6</v>
      </c>
      <c r="E930" s="2">
        <v>2</v>
      </c>
      <c r="F930" s="2">
        <v>498.6</v>
      </c>
      <c r="G930" s="2">
        <v>-491.4</v>
      </c>
      <c r="H930" s="2">
        <v>240.26</v>
      </c>
      <c r="I930" s="2">
        <v>-225.56</v>
      </c>
      <c r="J930" s="2">
        <v>0.25</v>
      </c>
      <c r="K930" s="2">
        <v>-0.64</v>
      </c>
      <c r="L930" s="2">
        <v>0.69</v>
      </c>
      <c r="M930" s="2">
        <v>-0.13</v>
      </c>
      <c r="N930" t="s">
        <v>230</v>
      </c>
      <c r="O930">
        <v>56</v>
      </c>
    </row>
    <row r="931" spans="1:15">
      <c r="A931" s="1">
        <v>45978</v>
      </c>
      <c r="B931">
        <v>6</v>
      </c>
      <c r="C931" t="s">
        <v>100</v>
      </c>
      <c r="D931">
        <v>6</v>
      </c>
      <c r="E931" s="2">
        <v>2.5</v>
      </c>
      <c r="F931" s="2">
        <v>451.11</v>
      </c>
      <c r="G931" s="2">
        <v>-444.66</v>
      </c>
      <c r="H931" s="2">
        <v>121.98</v>
      </c>
      <c r="I931" s="2">
        <v>-107.97</v>
      </c>
      <c r="J931" s="2">
        <v>0.31</v>
      </c>
      <c r="K931" s="2">
        <v>-0.81</v>
      </c>
      <c r="L931" s="2">
        <v>0.87</v>
      </c>
      <c r="M931" s="2">
        <v>-0.04</v>
      </c>
      <c r="N931" t="s">
        <v>230</v>
      </c>
      <c r="O931">
        <v>56</v>
      </c>
    </row>
    <row r="932" spans="1:15">
      <c r="A932" s="1">
        <v>45978</v>
      </c>
      <c r="B932">
        <v>6</v>
      </c>
      <c r="C932" t="s">
        <v>100</v>
      </c>
      <c r="D932">
        <v>6</v>
      </c>
      <c r="E932" s="2">
        <v>3</v>
      </c>
      <c r="F932" s="2">
        <v>400.46</v>
      </c>
      <c r="G932" s="2">
        <v>-391.41</v>
      </c>
      <c r="H932" s="2">
        <v>-14.75</v>
      </c>
      <c r="I932" s="2">
        <v>18.64</v>
      </c>
      <c r="J932" s="2">
        <v>0.36</v>
      </c>
      <c r="K932" s="2">
        <v>-1.07</v>
      </c>
      <c r="L932" s="2">
        <v>1.1299999999999999</v>
      </c>
      <c r="M932" s="2">
        <v>0.22</v>
      </c>
      <c r="N932" t="s">
        <v>230</v>
      </c>
      <c r="O932">
        <v>56</v>
      </c>
    </row>
    <row r="933" spans="1:15">
      <c r="A933" s="1">
        <v>45978</v>
      </c>
      <c r="B933">
        <v>6</v>
      </c>
      <c r="C933" t="s">
        <v>100</v>
      </c>
      <c r="D933">
        <v>6</v>
      </c>
      <c r="E933" s="2">
        <v>3.5</v>
      </c>
      <c r="F933" s="2">
        <v>358.59</v>
      </c>
      <c r="G933" s="2">
        <v>-351.9</v>
      </c>
      <c r="H933" s="2">
        <v>-85.33</v>
      </c>
      <c r="I933" s="2">
        <v>97.42</v>
      </c>
      <c r="J933" s="2">
        <v>0.43</v>
      </c>
      <c r="K933" s="2">
        <v>-1.36</v>
      </c>
      <c r="L933" s="2">
        <v>1.43</v>
      </c>
      <c r="M933" s="2">
        <v>0.48</v>
      </c>
      <c r="N933" t="s">
        <v>230</v>
      </c>
      <c r="O933">
        <v>56</v>
      </c>
    </row>
    <row r="934" spans="1:15">
      <c r="A934" s="1">
        <v>45978</v>
      </c>
      <c r="B934">
        <v>6</v>
      </c>
      <c r="C934" t="s">
        <v>100</v>
      </c>
      <c r="D934">
        <v>6</v>
      </c>
      <c r="E934" s="2">
        <v>4</v>
      </c>
      <c r="F934" s="2">
        <v>348.75</v>
      </c>
      <c r="G934" s="2">
        <v>-340.96</v>
      </c>
      <c r="H934" s="2">
        <v>-101.26</v>
      </c>
      <c r="I934" s="2">
        <v>119.98</v>
      </c>
      <c r="J934" s="2">
        <v>0.47</v>
      </c>
      <c r="K934" s="2">
        <v>-1.25</v>
      </c>
      <c r="L934" s="2">
        <v>1.34</v>
      </c>
      <c r="M934" s="2">
        <v>0.34</v>
      </c>
      <c r="N934" t="s">
        <v>230</v>
      </c>
      <c r="O934">
        <v>56</v>
      </c>
    </row>
    <row r="935" spans="1:15">
      <c r="A935" s="1">
        <v>45978</v>
      </c>
      <c r="B935">
        <v>6</v>
      </c>
      <c r="C935" t="s">
        <v>100</v>
      </c>
      <c r="D935">
        <v>6</v>
      </c>
      <c r="E935" s="2">
        <v>4.5</v>
      </c>
      <c r="F935" s="2">
        <v>351.47</v>
      </c>
      <c r="G935" s="2">
        <v>-342.15</v>
      </c>
      <c r="H935" s="2">
        <v>-105.28</v>
      </c>
      <c r="I935" s="2">
        <v>123.7</v>
      </c>
      <c r="J935" s="2">
        <v>0.55000000000000004</v>
      </c>
      <c r="K935" s="2">
        <v>-1.2</v>
      </c>
      <c r="L935" s="2">
        <v>1.32</v>
      </c>
      <c r="M935" s="2">
        <v>0.27</v>
      </c>
      <c r="N935" t="s">
        <v>230</v>
      </c>
      <c r="O935">
        <v>56</v>
      </c>
    </row>
    <row r="936" spans="1:15">
      <c r="A936" s="1">
        <v>45978</v>
      </c>
      <c r="B936">
        <v>6</v>
      </c>
      <c r="C936" t="s">
        <v>100</v>
      </c>
      <c r="D936">
        <v>6</v>
      </c>
      <c r="E936" s="2">
        <v>5</v>
      </c>
      <c r="F936" s="2">
        <v>287.12</v>
      </c>
      <c r="G936" s="2">
        <v>-280.35000000000002</v>
      </c>
      <c r="H936" s="2">
        <v>-66.38</v>
      </c>
      <c r="I936" s="2">
        <v>90.09</v>
      </c>
      <c r="J936" s="2">
        <v>0.61</v>
      </c>
      <c r="K936" s="2">
        <v>-1.26</v>
      </c>
      <c r="L936" s="2">
        <v>1.4</v>
      </c>
      <c r="M936" s="2">
        <v>0.42</v>
      </c>
      <c r="N936" t="s">
        <v>230</v>
      </c>
      <c r="O936">
        <v>56</v>
      </c>
    </row>
    <row r="937" spans="1:15">
      <c r="A937" s="1">
        <v>45978</v>
      </c>
      <c r="B937">
        <v>6</v>
      </c>
      <c r="C937" t="s">
        <v>100</v>
      </c>
      <c r="D937">
        <v>6</v>
      </c>
      <c r="E937" s="2">
        <v>5.5</v>
      </c>
      <c r="F937" s="2">
        <v>204.27</v>
      </c>
      <c r="G937" s="2">
        <v>-195.28</v>
      </c>
      <c r="H937" s="2">
        <v>-18.29</v>
      </c>
      <c r="I937" s="2">
        <v>27.78</v>
      </c>
      <c r="J937" s="2">
        <v>0.64</v>
      </c>
      <c r="K937" s="2">
        <v>-1.46</v>
      </c>
      <c r="L937" s="2">
        <v>1.6</v>
      </c>
      <c r="M937" s="2">
        <v>0.79</v>
      </c>
      <c r="N937" t="s">
        <v>230</v>
      </c>
      <c r="O937">
        <v>56</v>
      </c>
    </row>
    <row r="938" spans="1:15">
      <c r="A938" s="1">
        <v>45978</v>
      </c>
      <c r="B938">
        <v>6</v>
      </c>
      <c r="C938" t="s">
        <v>100</v>
      </c>
      <c r="D938">
        <v>6</v>
      </c>
      <c r="E938" s="2">
        <v>6</v>
      </c>
      <c r="F938" s="2">
        <v>171.35</v>
      </c>
      <c r="G938" s="2">
        <v>-163.96</v>
      </c>
      <c r="H938" s="2">
        <v>21.83</v>
      </c>
      <c r="I938" s="2">
        <v>-11.87</v>
      </c>
      <c r="J938" s="2">
        <v>0.66</v>
      </c>
      <c r="K938" s="2">
        <v>-1.39</v>
      </c>
      <c r="L938" s="2">
        <v>1.54</v>
      </c>
      <c r="M938" s="2">
        <v>0.72</v>
      </c>
      <c r="N938" t="s">
        <v>230</v>
      </c>
      <c r="O938">
        <v>56</v>
      </c>
    </row>
    <row r="939" spans="1:15">
      <c r="A939" s="1">
        <v>45978</v>
      </c>
      <c r="B939">
        <v>6</v>
      </c>
      <c r="C939" t="s">
        <v>100</v>
      </c>
      <c r="D939">
        <v>6</v>
      </c>
      <c r="E939" s="2">
        <v>6.5</v>
      </c>
      <c r="F939" s="2">
        <v>174.96</v>
      </c>
      <c r="G939" s="2">
        <v>-166.74</v>
      </c>
      <c r="H939" s="2">
        <v>76.36</v>
      </c>
      <c r="I939" s="2">
        <v>-63.9</v>
      </c>
      <c r="J939" s="2">
        <v>0.74</v>
      </c>
      <c r="K939" s="2">
        <v>-1.54</v>
      </c>
      <c r="L939" s="2">
        <v>1.71</v>
      </c>
      <c r="M939" s="2">
        <v>0.91</v>
      </c>
      <c r="N939" t="s">
        <v>230</v>
      </c>
      <c r="O939">
        <v>56</v>
      </c>
    </row>
    <row r="940" spans="1:15">
      <c r="A940" s="1">
        <v>45978</v>
      </c>
      <c r="B940">
        <v>6</v>
      </c>
      <c r="C940" t="s">
        <v>100</v>
      </c>
      <c r="D940">
        <v>6</v>
      </c>
      <c r="E940" s="2">
        <v>7</v>
      </c>
      <c r="F940" s="2">
        <v>135.79</v>
      </c>
      <c r="G940" s="2">
        <v>-128.84</v>
      </c>
      <c r="H940" s="2">
        <v>135.94</v>
      </c>
      <c r="I940" s="2">
        <v>-131.62</v>
      </c>
      <c r="J940" s="2">
        <v>0.79</v>
      </c>
      <c r="K940" s="2">
        <v>-1.6</v>
      </c>
      <c r="L940" s="2">
        <v>1.78</v>
      </c>
      <c r="M940" s="2">
        <v>0.96</v>
      </c>
      <c r="N940" t="s">
        <v>230</v>
      </c>
      <c r="O940">
        <v>56</v>
      </c>
    </row>
    <row r="941" spans="1:15">
      <c r="A941" s="1">
        <v>45978</v>
      </c>
      <c r="B941">
        <v>6</v>
      </c>
      <c r="C941" t="s">
        <v>100</v>
      </c>
      <c r="D941">
        <v>6</v>
      </c>
      <c r="E941" s="2">
        <v>7.5</v>
      </c>
      <c r="F941" s="2">
        <v>94.46</v>
      </c>
      <c r="G941" s="2">
        <v>-87.41</v>
      </c>
      <c r="H941" s="2">
        <v>210.97</v>
      </c>
      <c r="I941" s="2">
        <v>-203.36</v>
      </c>
      <c r="J941" s="2">
        <v>0.82</v>
      </c>
      <c r="K941" s="2">
        <v>-1.62</v>
      </c>
      <c r="L941" s="2">
        <v>0</v>
      </c>
      <c r="M941" s="2">
        <v>-0.85</v>
      </c>
      <c r="N941" t="s">
        <v>230</v>
      </c>
      <c r="O941">
        <v>56</v>
      </c>
    </row>
    <row r="942" spans="1:15">
      <c r="A942" s="1">
        <v>45978</v>
      </c>
      <c r="B942">
        <v>6</v>
      </c>
      <c r="C942" t="s">
        <v>100</v>
      </c>
      <c r="D942">
        <v>6</v>
      </c>
      <c r="E942" s="2">
        <v>8</v>
      </c>
      <c r="F942" s="2">
        <v>97.07</v>
      </c>
      <c r="G942" s="2">
        <v>-92.46</v>
      </c>
      <c r="H942" s="2">
        <v>231</v>
      </c>
      <c r="I942" s="2">
        <v>-238.27</v>
      </c>
      <c r="J942" s="2">
        <v>0.81</v>
      </c>
      <c r="K942" s="2">
        <v>-1.46</v>
      </c>
      <c r="L942" s="2">
        <v>1.67</v>
      </c>
      <c r="M942" s="2">
        <v>0.81</v>
      </c>
      <c r="N942" t="s">
        <v>230</v>
      </c>
      <c r="O942">
        <v>56</v>
      </c>
    </row>
    <row r="943" spans="1:15">
      <c r="A943" s="1">
        <v>45978</v>
      </c>
      <c r="B943">
        <v>6</v>
      </c>
      <c r="C943" t="s">
        <v>100</v>
      </c>
      <c r="D943">
        <v>6</v>
      </c>
      <c r="E943" s="2">
        <v>8.5</v>
      </c>
      <c r="F943" s="2">
        <v>127.96</v>
      </c>
      <c r="G943" s="2">
        <v>-122.65</v>
      </c>
      <c r="H943" s="2">
        <v>321.16000000000003</v>
      </c>
      <c r="I943" s="2">
        <v>-317.45999999999998</v>
      </c>
      <c r="J943" s="2">
        <v>0.84</v>
      </c>
      <c r="K943" s="2">
        <v>-1.58</v>
      </c>
      <c r="L943" s="2">
        <v>1.79</v>
      </c>
      <c r="M943" s="2">
        <v>0.97</v>
      </c>
      <c r="N943" t="s">
        <v>230</v>
      </c>
      <c r="O943">
        <v>56</v>
      </c>
    </row>
    <row r="944" spans="1:15">
      <c r="A944" s="1">
        <v>45978</v>
      </c>
      <c r="B944">
        <v>6</v>
      </c>
      <c r="C944" t="s">
        <v>100</v>
      </c>
      <c r="D944">
        <v>6</v>
      </c>
      <c r="E944" s="2">
        <v>9</v>
      </c>
      <c r="F944" s="2">
        <v>177.96</v>
      </c>
      <c r="G944" s="2">
        <v>-169.99</v>
      </c>
      <c r="H944" s="2">
        <v>371.62</v>
      </c>
      <c r="I944" s="2">
        <v>-369.47</v>
      </c>
      <c r="J944" s="2">
        <v>0.87</v>
      </c>
      <c r="K944" s="2">
        <v>-1.41</v>
      </c>
      <c r="L944" s="2">
        <v>1.66</v>
      </c>
      <c r="M944" s="2">
        <v>0.82</v>
      </c>
      <c r="N944" t="s">
        <v>230</v>
      </c>
      <c r="O944">
        <v>56</v>
      </c>
    </row>
    <row r="945" spans="1:15">
      <c r="A945" s="1">
        <v>45978</v>
      </c>
      <c r="B945">
        <v>6</v>
      </c>
      <c r="C945" t="s">
        <v>100</v>
      </c>
      <c r="D945">
        <v>6</v>
      </c>
      <c r="E945" s="2">
        <v>9.5</v>
      </c>
      <c r="F945" s="2">
        <v>161.51</v>
      </c>
      <c r="G945" s="2">
        <v>-158.57</v>
      </c>
      <c r="H945" s="2">
        <v>430.63</v>
      </c>
      <c r="I945" s="2">
        <v>-419.27</v>
      </c>
      <c r="J945" s="2">
        <v>0.86</v>
      </c>
      <c r="K945" s="2">
        <v>-1.25</v>
      </c>
      <c r="L945" s="2">
        <v>1.52</v>
      </c>
      <c r="M945" s="2">
        <v>0.66</v>
      </c>
      <c r="N945" t="s">
        <v>230</v>
      </c>
      <c r="O945">
        <v>56</v>
      </c>
    </row>
    <row r="946" spans="1:15">
      <c r="A946" s="1">
        <v>45978</v>
      </c>
      <c r="B946">
        <v>6</v>
      </c>
      <c r="C946" t="s">
        <v>100</v>
      </c>
      <c r="D946">
        <v>6</v>
      </c>
      <c r="E946" s="2">
        <v>10</v>
      </c>
      <c r="F946" s="2">
        <v>145.05000000000001</v>
      </c>
      <c r="G946" s="2">
        <v>-140.34</v>
      </c>
      <c r="H946" s="2">
        <v>447.45</v>
      </c>
      <c r="I946" s="2">
        <v>-434.29</v>
      </c>
      <c r="J946" s="2">
        <v>0.81</v>
      </c>
      <c r="K946" s="2">
        <v>-1</v>
      </c>
      <c r="L946" s="2">
        <v>1.29</v>
      </c>
      <c r="M946" s="2">
        <v>0.4</v>
      </c>
      <c r="N946" t="s">
        <v>230</v>
      </c>
      <c r="O946">
        <v>56</v>
      </c>
    </row>
    <row r="947" spans="1:15">
      <c r="A947" s="1">
        <v>45978</v>
      </c>
      <c r="B947">
        <v>6</v>
      </c>
      <c r="C947" t="s">
        <v>100</v>
      </c>
      <c r="D947">
        <v>6</v>
      </c>
      <c r="E947" s="2">
        <v>10.5</v>
      </c>
      <c r="F947" s="2">
        <v>331.27</v>
      </c>
      <c r="G947" s="2">
        <v>-325.24</v>
      </c>
      <c r="H947" s="2">
        <v>464.78</v>
      </c>
      <c r="I947" s="2">
        <v>-453.52</v>
      </c>
      <c r="J947" s="2">
        <v>0.82</v>
      </c>
      <c r="K947" s="2">
        <v>-1.03</v>
      </c>
      <c r="L947" s="2">
        <v>1.32</v>
      </c>
      <c r="M947" s="2">
        <v>0.46</v>
      </c>
      <c r="N947" t="s">
        <v>230</v>
      </c>
      <c r="O947">
        <v>56</v>
      </c>
    </row>
    <row r="948" spans="1:15">
      <c r="A948" s="1">
        <v>45978</v>
      </c>
      <c r="B948">
        <v>6</v>
      </c>
      <c r="C948" t="s">
        <v>100</v>
      </c>
      <c r="D948">
        <v>6</v>
      </c>
      <c r="E948" s="2">
        <v>11</v>
      </c>
      <c r="F948" s="2">
        <v>343.75</v>
      </c>
      <c r="G948" s="2">
        <v>-337.7</v>
      </c>
      <c r="H948" s="2">
        <v>456.33</v>
      </c>
      <c r="I948" s="2">
        <v>-449.13</v>
      </c>
      <c r="J948" s="2">
        <v>0.87</v>
      </c>
      <c r="K948" s="2">
        <v>-1.07</v>
      </c>
      <c r="L948" s="2">
        <v>1.38</v>
      </c>
      <c r="M948" s="2">
        <v>0.6</v>
      </c>
      <c r="N948" t="s">
        <v>230</v>
      </c>
      <c r="O948">
        <v>56</v>
      </c>
    </row>
    <row r="949" spans="1:15">
      <c r="A949" s="1">
        <v>45978</v>
      </c>
      <c r="B949">
        <v>6</v>
      </c>
      <c r="C949" t="s">
        <v>100</v>
      </c>
      <c r="D949">
        <v>6</v>
      </c>
      <c r="E949" s="2">
        <v>11.5</v>
      </c>
      <c r="F949" s="2">
        <v>317.5</v>
      </c>
      <c r="G949" s="2">
        <v>-306.55</v>
      </c>
      <c r="H949" s="2">
        <v>375</v>
      </c>
      <c r="I949" s="2">
        <v>-365.76</v>
      </c>
      <c r="J949" s="2">
        <v>0.84</v>
      </c>
      <c r="K949" s="2">
        <v>-1.07</v>
      </c>
      <c r="L949" s="2">
        <v>1.36</v>
      </c>
      <c r="M949" s="2">
        <v>0.63</v>
      </c>
      <c r="N949" t="s">
        <v>230</v>
      </c>
      <c r="O949">
        <v>56</v>
      </c>
    </row>
    <row r="950" spans="1:15">
      <c r="A950" s="1">
        <v>45978</v>
      </c>
      <c r="B950">
        <v>6</v>
      </c>
      <c r="C950" t="s">
        <v>100</v>
      </c>
      <c r="D950">
        <v>6</v>
      </c>
      <c r="E950" s="2">
        <v>12</v>
      </c>
      <c r="F950" s="2">
        <v>295.45</v>
      </c>
      <c r="G950" s="2">
        <v>-286.08999999999997</v>
      </c>
      <c r="H950" s="2">
        <v>274.72000000000003</v>
      </c>
      <c r="I950" s="2">
        <v>-268.56</v>
      </c>
      <c r="J950" s="2">
        <v>0.79</v>
      </c>
      <c r="K950" s="2">
        <v>-1.02</v>
      </c>
      <c r="L950" s="2">
        <v>1.29</v>
      </c>
      <c r="M950" s="2">
        <v>0.63</v>
      </c>
      <c r="N950" t="s">
        <v>230</v>
      </c>
      <c r="O950">
        <v>56</v>
      </c>
    </row>
    <row r="951" spans="1:15">
      <c r="A951" s="1">
        <v>45978</v>
      </c>
      <c r="B951">
        <v>6</v>
      </c>
      <c r="C951" t="s">
        <v>100</v>
      </c>
      <c r="D951">
        <v>6</v>
      </c>
      <c r="E951" s="2">
        <v>12.5</v>
      </c>
      <c r="F951" s="2">
        <v>248.85</v>
      </c>
      <c r="G951" s="2">
        <v>-241.6</v>
      </c>
      <c r="H951" s="2">
        <v>191.18</v>
      </c>
      <c r="I951" s="2">
        <v>-182.61</v>
      </c>
      <c r="J951" s="2">
        <v>0.78</v>
      </c>
      <c r="K951" s="2">
        <v>-1.31</v>
      </c>
      <c r="L951" s="2">
        <v>1.52</v>
      </c>
      <c r="M951" s="2">
        <v>0.91</v>
      </c>
      <c r="N951" t="s">
        <v>230</v>
      </c>
      <c r="O951">
        <v>56</v>
      </c>
    </row>
    <row r="952" spans="1:15">
      <c r="A952" s="1">
        <v>45978</v>
      </c>
      <c r="B952">
        <v>6</v>
      </c>
      <c r="C952" t="s">
        <v>100</v>
      </c>
      <c r="D952">
        <v>6</v>
      </c>
      <c r="E952" s="2">
        <v>13</v>
      </c>
      <c r="F952" s="2">
        <v>218.61</v>
      </c>
      <c r="G952" s="2">
        <v>-210.37</v>
      </c>
      <c r="H952" s="2">
        <v>135.69</v>
      </c>
      <c r="I952" s="2">
        <v>-123.8</v>
      </c>
      <c r="J952" s="2">
        <v>0.77</v>
      </c>
      <c r="K952" s="2">
        <v>-1.41</v>
      </c>
      <c r="L952" s="2">
        <v>1.61</v>
      </c>
      <c r="M952" s="2">
        <v>0.94</v>
      </c>
      <c r="N952" t="s">
        <v>230</v>
      </c>
      <c r="O952">
        <v>56</v>
      </c>
    </row>
    <row r="953" spans="1:15">
      <c r="A953" s="1">
        <v>45978</v>
      </c>
      <c r="B953">
        <v>6</v>
      </c>
      <c r="C953" t="s">
        <v>100</v>
      </c>
      <c r="D953">
        <v>6</v>
      </c>
      <c r="E953" s="2">
        <v>13.5</v>
      </c>
      <c r="F953" s="2">
        <v>188.73</v>
      </c>
      <c r="G953" s="2">
        <v>-183.19</v>
      </c>
      <c r="H953" s="2">
        <v>148.15</v>
      </c>
      <c r="I953" s="2">
        <v>-150.63</v>
      </c>
      <c r="J953" s="2">
        <v>0.72</v>
      </c>
      <c r="K953" s="2">
        <v>-1.34</v>
      </c>
      <c r="L953" s="2">
        <v>1.52</v>
      </c>
      <c r="M953" s="2">
        <v>0.86</v>
      </c>
      <c r="N953" t="s">
        <v>230</v>
      </c>
      <c r="O953">
        <v>56</v>
      </c>
    </row>
    <row r="954" spans="1:15">
      <c r="A954" s="1">
        <v>45978</v>
      </c>
      <c r="B954">
        <v>6</v>
      </c>
      <c r="C954" t="s">
        <v>100</v>
      </c>
      <c r="D954">
        <v>6</v>
      </c>
      <c r="E954" s="2">
        <v>14</v>
      </c>
      <c r="F954" s="2">
        <v>146.91999999999999</v>
      </c>
      <c r="G954" s="2">
        <v>-141.86000000000001</v>
      </c>
      <c r="H954" s="2">
        <v>157.07</v>
      </c>
      <c r="I954" s="2">
        <v>-159.93</v>
      </c>
      <c r="J954" s="2">
        <v>0.62</v>
      </c>
      <c r="K954" s="2">
        <v>-0.81</v>
      </c>
      <c r="L954" s="2">
        <v>1.02</v>
      </c>
      <c r="M954" s="2">
        <v>0.49</v>
      </c>
      <c r="N954" t="s">
        <v>230</v>
      </c>
      <c r="O954">
        <v>56</v>
      </c>
    </row>
    <row r="955" spans="1:15">
      <c r="A955" s="1">
        <v>45978</v>
      </c>
      <c r="B955">
        <v>6</v>
      </c>
      <c r="C955" t="s">
        <v>100</v>
      </c>
      <c r="D955">
        <v>6</v>
      </c>
      <c r="E955" s="2">
        <v>14.5</v>
      </c>
      <c r="F955" s="2">
        <v>141.38999999999999</v>
      </c>
      <c r="G955" s="2">
        <v>-135.13999999999999</v>
      </c>
      <c r="H955" s="2">
        <v>187.47</v>
      </c>
      <c r="I955" s="2">
        <v>-179.08</v>
      </c>
      <c r="J955" s="2">
        <v>0.64</v>
      </c>
      <c r="K955" s="2">
        <v>-1.28</v>
      </c>
      <c r="L955" s="2">
        <v>1.43</v>
      </c>
      <c r="M955" s="2">
        <v>0.54</v>
      </c>
      <c r="N955" t="s">
        <v>230</v>
      </c>
      <c r="O955">
        <v>56</v>
      </c>
    </row>
    <row r="956" spans="1:15">
      <c r="A956" s="1">
        <v>45978</v>
      </c>
      <c r="B956">
        <v>6</v>
      </c>
      <c r="C956" t="s">
        <v>100</v>
      </c>
      <c r="D956">
        <v>6</v>
      </c>
      <c r="E956" s="2">
        <v>15</v>
      </c>
      <c r="F956" s="2">
        <v>145.69</v>
      </c>
      <c r="G956" s="2">
        <v>-139.43</v>
      </c>
      <c r="H956" s="2">
        <v>269.98</v>
      </c>
      <c r="I956" s="2">
        <v>-257.75</v>
      </c>
      <c r="J956" s="2">
        <v>0.57999999999999996</v>
      </c>
      <c r="K956" s="2">
        <v>-1.43</v>
      </c>
      <c r="L956" s="2">
        <v>1.54</v>
      </c>
      <c r="M956" s="2">
        <v>0.49</v>
      </c>
      <c r="N956" t="s">
        <v>230</v>
      </c>
      <c r="O956">
        <v>56</v>
      </c>
    </row>
    <row r="957" spans="1:15">
      <c r="A957" s="1">
        <v>45978</v>
      </c>
      <c r="B957">
        <v>6</v>
      </c>
      <c r="C957" t="s">
        <v>100</v>
      </c>
      <c r="D957">
        <v>6</v>
      </c>
      <c r="E957" s="2">
        <v>15.5</v>
      </c>
      <c r="F957" s="2">
        <v>58.23</v>
      </c>
      <c r="G957" s="2">
        <v>-56.52</v>
      </c>
      <c r="H957" s="2">
        <v>348.23</v>
      </c>
      <c r="I957" s="2">
        <v>-338.4</v>
      </c>
      <c r="J957" s="2">
        <v>0.51</v>
      </c>
      <c r="K957" s="2">
        <v>-1.35</v>
      </c>
      <c r="L957" s="2">
        <v>1.44</v>
      </c>
      <c r="M957" s="2">
        <v>0.4</v>
      </c>
      <c r="N957" t="s">
        <v>230</v>
      </c>
      <c r="O957">
        <v>56</v>
      </c>
    </row>
    <row r="958" spans="1:15">
      <c r="A958" s="1">
        <v>45978</v>
      </c>
      <c r="B958">
        <v>6</v>
      </c>
      <c r="C958" t="s">
        <v>100</v>
      </c>
      <c r="D958">
        <v>6</v>
      </c>
      <c r="E958" s="2">
        <v>16</v>
      </c>
      <c r="F958" s="2">
        <v>201.83</v>
      </c>
      <c r="G958" s="2">
        <v>-188</v>
      </c>
      <c r="H958" s="2">
        <v>188.38</v>
      </c>
      <c r="I958" s="2">
        <v>-180.11</v>
      </c>
      <c r="J958" s="2">
        <v>0.47</v>
      </c>
      <c r="K958" s="2">
        <v>-1.3</v>
      </c>
      <c r="L958" s="2">
        <v>1.38</v>
      </c>
      <c r="M958" s="2">
        <v>0.43</v>
      </c>
      <c r="N958" t="s">
        <v>230</v>
      </c>
      <c r="O958">
        <v>56</v>
      </c>
    </row>
    <row r="959" spans="1:15">
      <c r="A959" s="1">
        <v>45978</v>
      </c>
      <c r="B959">
        <v>6</v>
      </c>
      <c r="C959" t="s">
        <v>100</v>
      </c>
      <c r="D959">
        <v>6</v>
      </c>
      <c r="E959" s="2">
        <v>16.5</v>
      </c>
      <c r="F959" s="2">
        <v>324.74</v>
      </c>
      <c r="G959" s="2">
        <v>-320.52</v>
      </c>
      <c r="H959" s="2">
        <v>207.04</v>
      </c>
      <c r="I959" s="2">
        <v>-190.21</v>
      </c>
      <c r="J959" s="2">
        <v>0.51</v>
      </c>
      <c r="K959" s="2">
        <v>-1.47</v>
      </c>
      <c r="L959" s="2">
        <v>1.56</v>
      </c>
      <c r="M959" s="2">
        <v>0.42</v>
      </c>
      <c r="N959" t="s">
        <v>230</v>
      </c>
      <c r="O959">
        <v>56</v>
      </c>
    </row>
    <row r="960" spans="1:15">
      <c r="A960" s="1">
        <v>45978</v>
      </c>
      <c r="B960">
        <v>6</v>
      </c>
      <c r="C960" t="s">
        <v>100</v>
      </c>
      <c r="D960">
        <v>6</v>
      </c>
      <c r="E960" s="2">
        <v>17</v>
      </c>
      <c r="F960" s="2">
        <v>385.08</v>
      </c>
      <c r="G960" s="2">
        <v>-376.04</v>
      </c>
      <c r="H960" s="2">
        <v>245.51</v>
      </c>
      <c r="I960" s="2">
        <v>-243.41</v>
      </c>
      <c r="J960" s="2">
        <v>0.53</v>
      </c>
      <c r="K960" s="2">
        <v>-1.31</v>
      </c>
      <c r="L960" s="2">
        <v>1.41</v>
      </c>
      <c r="M960" s="2">
        <v>0.34</v>
      </c>
      <c r="N960" t="s">
        <v>230</v>
      </c>
      <c r="O960">
        <v>56</v>
      </c>
    </row>
    <row r="961" spans="1:15">
      <c r="A961" s="1">
        <v>45978</v>
      </c>
      <c r="B961">
        <v>6</v>
      </c>
      <c r="C961" t="s">
        <v>100</v>
      </c>
      <c r="D961">
        <v>6</v>
      </c>
      <c r="E961" s="2">
        <v>17.5</v>
      </c>
      <c r="F961" s="2">
        <v>380.5</v>
      </c>
      <c r="G961" s="2">
        <v>-375.19</v>
      </c>
      <c r="H961" s="2">
        <v>170.95</v>
      </c>
      <c r="I961" s="2">
        <v>-161.94</v>
      </c>
      <c r="J961" s="2">
        <v>0.52</v>
      </c>
      <c r="K961" s="2">
        <v>-1.1399999999999999</v>
      </c>
      <c r="L961" s="2">
        <v>1.25</v>
      </c>
      <c r="M961" s="2">
        <v>0.53</v>
      </c>
      <c r="N961" t="s">
        <v>230</v>
      </c>
      <c r="O961">
        <v>56</v>
      </c>
    </row>
    <row r="962" spans="1:15">
      <c r="A962" s="1">
        <v>45978</v>
      </c>
      <c r="B962">
        <v>6</v>
      </c>
      <c r="C962" t="s">
        <v>100</v>
      </c>
      <c r="D962">
        <v>6</v>
      </c>
      <c r="E962" s="2">
        <v>18</v>
      </c>
      <c r="F962" s="2">
        <v>348.09</v>
      </c>
      <c r="G962" s="2">
        <v>-340.73</v>
      </c>
      <c r="H962" s="2">
        <v>94.92</v>
      </c>
      <c r="I962" s="2">
        <v>-98.42</v>
      </c>
      <c r="J962" s="2">
        <v>0.51</v>
      </c>
      <c r="K962" s="2">
        <v>-0.61</v>
      </c>
      <c r="L962" s="2">
        <v>0.8</v>
      </c>
      <c r="M962" s="2">
        <v>0.35</v>
      </c>
      <c r="N962" t="s">
        <v>230</v>
      </c>
      <c r="O962">
        <v>56</v>
      </c>
    </row>
    <row r="963" spans="1:15">
      <c r="A963" s="1">
        <v>45978</v>
      </c>
      <c r="B963">
        <v>6</v>
      </c>
      <c r="C963" t="s">
        <v>100</v>
      </c>
      <c r="D963">
        <v>6</v>
      </c>
      <c r="E963" s="2">
        <v>18.5</v>
      </c>
      <c r="F963" s="2">
        <v>317.7</v>
      </c>
      <c r="G963" s="2">
        <v>-312.52</v>
      </c>
      <c r="H963" s="2">
        <v>55.6</v>
      </c>
      <c r="I963" s="2">
        <v>-60.65</v>
      </c>
      <c r="J963" s="2">
        <v>0.48</v>
      </c>
      <c r="K963" s="2">
        <v>-0.59</v>
      </c>
      <c r="L963" s="2">
        <v>0.76</v>
      </c>
      <c r="M963" s="2">
        <v>0.33</v>
      </c>
      <c r="N963" t="s">
        <v>230</v>
      </c>
      <c r="O963">
        <v>56</v>
      </c>
    </row>
    <row r="964" spans="1:15">
      <c r="A964" s="1">
        <v>45978</v>
      </c>
      <c r="B964">
        <v>6</v>
      </c>
      <c r="C964" t="s">
        <v>100</v>
      </c>
      <c r="D964">
        <v>6</v>
      </c>
      <c r="E964" s="2">
        <v>19</v>
      </c>
      <c r="F964" s="2">
        <v>304.08999999999997</v>
      </c>
      <c r="G964" s="2">
        <v>-299.20999999999998</v>
      </c>
      <c r="H964" s="2">
        <v>51.17</v>
      </c>
      <c r="I964" s="2">
        <v>-48.66</v>
      </c>
      <c r="J964" s="2">
        <v>0.39</v>
      </c>
      <c r="K964" s="2">
        <v>-0.8</v>
      </c>
      <c r="L964" s="2">
        <v>0.89</v>
      </c>
      <c r="M964" s="2">
        <v>0.48</v>
      </c>
      <c r="N964" t="s">
        <v>230</v>
      </c>
      <c r="O964">
        <v>56</v>
      </c>
    </row>
    <row r="965" spans="1:15">
      <c r="A965" s="1">
        <v>45978</v>
      </c>
      <c r="B965">
        <v>6</v>
      </c>
      <c r="C965" t="s">
        <v>100</v>
      </c>
      <c r="D965">
        <v>6</v>
      </c>
      <c r="E965" s="2">
        <v>19.5</v>
      </c>
      <c r="F965" s="2">
        <v>210.45</v>
      </c>
      <c r="G965" s="2">
        <v>-203.96</v>
      </c>
      <c r="H965" s="2">
        <v>102.16</v>
      </c>
      <c r="I965" s="2">
        <v>-96.35</v>
      </c>
      <c r="J965" s="2">
        <v>0.34</v>
      </c>
      <c r="K965" s="2">
        <v>-0.91</v>
      </c>
      <c r="L965" s="2">
        <v>0.97</v>
      </c>
      <c r="M965" s="2">
        <v>0.51</v>
      </c>
      <c r="N965" t="s">
        <v>230</v>
      </c>
      <c r="O965">
        <v>56</v>
      </c>
    </row>
    <row r="966" spans="1:15">
      <c r="A966" s="1">
        <v>45978</v>
      </c>
      <c r="B966">
        <v>6</v>
      </c>
      <c r="C966" t="s">
        <v>100</v>
      </c>
      <c r="D966">
        <v>6</v>
      </c>
      <c r="E966" s="2">
        <v>20</v>
      </c>
      <c r="F966" s="2">
        <v>145.46</v>
      </c>
      <c r="G966" s="2">
        <v>-139.82</v>
      </c>
      <c r="H966" s="2">
        <v>138.49</v>
      </c>
      <c r="I966" s="2">
        <v>-148.31</v>
      </c>
      <c r="J966" s="2">
        <v>0.2</v>
      </c>
      <c r="K966" s="2">
        <v>-0.47</v>
      </c>
      <c r="L966" s="2">
        <v>0.51</v>
      </c>
      <c r="M966" s="2">
        <v>0.28000000000000003</v>
      </c>
      <c r="N966" t="s">
        <v>230</v>
      </c>
      <c r="O966">
        <v>56</v>
      </c>
    </row>
    <row r="967" spans="1:15">
      <c r="A967" s="1">
        <v>45978</v>
      </c>
      <c r="B967">
        <v>6</v>
      </c>
      <c r="C967" t="s">
        <v>100</v>
      </c>
      <c r="D967">
        <v>6</v>
      </c>
      <c r="E967" s="2">
        <v>20.5</v>
      </c>
      <c r="F967" s="2">
        <v>154.63</v>
      </c>
      <c r="G967" s="2">
        <v>-149.84</v>
      </c>
      <c r="H967" s="2">
        <v>149.32</v>
      </c>
      <c r="I967" s="2">
        <v>-161.59</v>
      </c>
      <c r="J967" s="2">
        <v>0.18</v>
      </c>
      <c r="K967" s="2">
        <v>-0.33</v>
      </c>
      <c r="L967" s="2">
        <v>0.37</v>
      </c>
      <c r="M967" s="2">
        <v>0.17</v>
      </c>
      <c r="N967" t="s">
        <v>230</v>
      </c>
      <c r="O967">
        <v>56</v>
      </c>
    </row>
    <row r="968" spans="1:15">
      <c r="A968" s="1">
        <v>45978</v>
      </c>
      <c r="B968">
        <v>6</v>
      </c>
      <c r="C968" t="s">
        <v>100</v>
      </c>
      <c r="D968">
        <v>6</v>
      </c>
      <c r="E968" s="2">
        <v>21</v>
      </c>
      <c r="F968" s="2">
        <v>163.05000000000001</v>
      </c>
      <c r="G968" s="2">
        <v>-157.66999999999999</v>
      </c>
      <c r="H968" s="2">
        <v>160.86000000000001</v>
      </c>
      <c r="I968" s="2">
        <v>-178.03</v>
      </c>
      <c r="J968" s="2">
        <v>0.16</v>
      </c>
      <c r="K968" s="2">
        <v>0.01</v>
      </c>
      <c r="L968" s="2">
        <v>0.16</v>
      </c>
      <c r="M968" s="2">
        <v>-0.06</v>
      </c>
      <c r="N968" t="s">
        <v>230</v>
      </c>
      <c r="O968">
        <v>56</v>
      </c>
    </row>
    <row r="969" spans="1:15">
      <c r="A969" s="1">
        <v>45978</v>
      </c>
      <c r="B969">
        <v>6</v>
      </c>
      <c r="C969" t="s">
        <v>100</v>
      </c>
      <c r="D969">
        <v>6</v>
      </c>
      <c r="E969" s="2">
        <v>21.5</v>
      </c>
      <c r="F969" s="2">
        <v>180.15</v>
      </c>
      <c r="G969" s="2">
        <v>-173.61</v>
      </c>
      <c r="H969" s="2">
        <v>162.21</v>
      </c>
      <c r="I969" s="2">
        <v>-170.93</v>
      </c>
      <c r="J969" s="2">
        <v>0.1</v>
      </c>
      <c r="K969" s="2">
        <v>0.16</v>
      </c>
      <c r="L969" s="2">
        <v>0.19</v>
      </c>
      <c r="M969" s="2">
        <v>-0.05</v>
      </c>
      <c r="N969" t="s">
        <v>230</v>
      </c>
      <c r="O969">
        <v>56</v>
      </c>
    </row>
    <row r="970" spans="1:15">
      <c r="A970" s="1">
        <v>45978</v>
      </c>
      <c r="B970">
        <v>6</v>
      </c>
      <c r="C970" t="s">
        <v>100</v>
      </c>
      <c r="D970">
        <v>6</v>
      </c>
      <c r="E970" s="2">
        <v>22</v>
      </c>
      <c r="F970" s="2">
        <v>189.65</v>
      </c>
      <c r="G970" s="2">
        <v>-182.4</v>
      </c>
      <c r="H970" s="2">
        <v>185.42</v>
      </c>
      <c r="I970" s="2">
        <v>-185.29</v>
      </c>
      <c r="J970" s="2">
        <v>0.05</v>
      </c>
      <c r="K970" s="2">
        <v>0.13</v>
      </c>
      <c r="L970" s="2">
        <v>0.14000000000000001</v>
      </c>
      <c r="M970" s="2">
        <v>-7.0000000000000007E-2</v>
      </c>
      <c r="N970" t="s">
        <v>230</v>
      </c>
      <c r="O970">
        <v>56</v>
      </c>
    </row>
    <row r="971" spans="1:15">
      <c r="A971" s="1">
        <v>45985</v>
      </c>
      <c r="B971">
        <v>8</v>
      </c>
      <c r="C971" t="s">
        <v>94</v>
      </c>
      <c r="D971">
        <v>8</v>
      </c>
      <c r="E971" s="2">
        <v>0.5</v>
      </c>
      <c r="F971" s="2">
        <v>-364.04</v>
      </c>
      <c r="G971" s="2">
        <v>364.6</v>
      </c>
      <c r="H971" s="2">
        <v>-802.83</v>
      </c>
      <c r="I971" s="2">
        <v>833.98</v>
      </c>
      <c r="J971" s="2">
        <v>-0.18</v>
      </c>
      <c r="K971" s="2">
        <v>3.47</v>
      </c>
      <c r="L971" s="2">
        <v>3.47</v>
      </c>
      <c r="M971" s="2">
        <v>0.72</v>
      </c>
      <c r="N971" t="s">
        <v>230</v>
      </c>
      <c r="O971">
        <v>20</v>
      </c>
    </row>
    <row r="972" spans="1:15">
      <c r="A972" s="1">
        <v>45985</v>
      </c>
      <c r="B972">
        <v>8</v>
      </c>
      <c r="C972" t="s">
        <v>94</v>
      </c>
      <c r="D972">
        <v>8</v>
      </c>
      <c r="E972" s="2">
        <v>1</v>
      </c>
      <c r="F972" s="2">
        <v>-364.24</v>
      </c>
      <c r="G972" s="2">
        <v>364.46</v>
      </c>
      <c r="H972" s="2">
        <v>-803.01</v>
      </c>
      <c r="I972" s="2">
        <v>834.54</v>
      </c>
      <c r="J972" s="2">
        <v>0.79</v>
      </c>
      <c r="K972" s="2">
        <v>5.0199999999999996</v>
      </c>
      <c r="L972" s="2">
        <v>5.08</v>
      </c>
      <c r="M972" s="2">
        <v>0.9</v>
      </c>
      <c r="N972" t="s">
        <v>230</v>
      </c>
      <c r="O972">
        <v>20</v>
      </c>
    </row>
    <row r="973" spans="1:15">
      <c r="A973" s="1">
        <v>45985</v>
      </c>
      <c r="B973">
        <v>8</v>
      </c>
      <c r="C973" t="s">
        <v>94</v>
      </c>
      <c r="D973">
        <v>8</v>
      </c>
      <c r="E973" s="2">
        <v>1.5</v>
      </c>
      <c r="F973" s="2">
        <v>-10.41</v>
      </c>
      <c r="G973" s="2">
        <v>22.59</v>
      </c>
      <c r="H973" s="2">
        <v>-270.51</v>
      </c>
      <c r="I973" s="2">
        <v>294.45</v>
      </c>
      <c r="J973" s="2">
        <v>1.82</v>
      </c>
      <c r="K973" s="2">
        <v>6.16</v>
      </c>
      <c r="L973" s="2">
        <v>6.42</v>
      </c>
      <c r="M973" s="2">
        <v>1.1499999999999999</v>
      </c>
      <c r="N973" t="s">
        <v>230</v>
      </c>
      <c r="O973">
        <v>20</v>
      </c>
    </row>
    <row r="974" spans="1:15">
      <c r="A974" s="1">
        <v>45985</v>
      </c>
      <c r="B974">
        <v>8</v>
      </c>
      <c r="C974" t="s">
        <v>94</v>
      </c>
      <c r="D974">
        <v>8</v>
      </c>
      <c r="E974" s="2">
        <v>2</v>
      </c>
      <c r="F974" s="2">
        <v>20.54</v>
      </c>
      <c r="G974" s="2">
        <v>-11.93</v>
      </c>
      <c r="H974" s="2">
        <v>-235.36</v>
      </c>
      <c r="I974" s="2">
        <v>246.06</v>
      </c>
      <c r="J974" s="2">
        <v>1.59</v>
      </c>
      <c r="K974" s="2">
        <v>6.07</v>
      </c>
      <c r="L974" s="2">
        <v>6.27</v>
      </c>
      <c r="M974" s="2">
        <v>1.21</v>
      </c>
      <c r="N974" t="s">
        <v>230</v>
      </c>
      <c r="O974">
        <v>20</v>
      </c>
    </row>
    <row r="975" spans="1:15">
      <c r="A975" s="1">
        <v>45985</v>
      </c>
      <c r="B975">
        <v>8</v>
      </c>
      <c r="C975" t="s">
        <v>94</v>
      </c>
      <c r="D975">
        <v>8</v>
      </c>
      <c r="E975" s="2">
        <v>2.5</v>
      </c>
      <c r="F975" s="2">
        <v>37.9</v>
      </c>
      <c r="G975" s="2">
        <v>-30.87</v>
      </c>
      <c r="H975" s="2">
        <v>-207.14</v>
      </c>
      <c r="I975" s="2">
        <v>224.18</v>
      </c>
      <c r="J975" s="2">
        <v>2.2599999999999998</v>
      </c>
      <c r="K975" s="2">
        <v>6.01</v>
      </c>
      <c r="L975" s="2">
        <v>6.42</v>
      </c>
      <c r="M975" s="2">
        <v>1.25</v>
      </c>
      <c r="N975" t="s">
        <v>230</v>
      </c>
      <c r="O975">
        <v>20</v>
      </c>
    </row>
    <row r="976" spans="1:15">
      <c r="A976" s="1">
        <v>45985</v>
      </c>
      <c r="B976">
        <v>8</v>
      </c>
      <c r="C976" t="s">
        <v>94</v>
      </c>
      <c r="D976">
        <v>8</v>
      </c>
      <c r="E976" s="2">
        <v>3</v>
      </c>
      <c r="F976" s="2">
        <v>13.61</v>
      </c>
      <c r="G976" s="2">
        <v>-3.24</v>
      </c>
      <c r="H976" s="2">
        <v>-151.29</v>
      </c>
      <c r="I976" s="2">
        <v>168.77</v>
      </c>
      <c r="J976" s="2">
        <v>2.67</v>
      </c>
      <c r="K976" s="2">
        <v>5.89</v>
      </c>
      <c r="L976" s="2">
        <v>6.47</v>
      </c>
      <c r="M976" s="2">
        <v>1.32</v>
      </c>
      <c r="N976" t="s">
        <v>230</v>
      </c>
      <c r="O976">
        <v>20</v>
      </c>
    </row>
    <row r="977" spans="1:15">
      <c r="A977" s="1">
        <v>45985</v>
      </c>
      <c r="B977">
        <v>8</v>
      </c>
      <c r="C977" t="s">
        <v>94</v>
      </c>
      <c r="D977">
        <v>8</v>
      </c>
      <c r="E977" s="2">
        <v>3.5</v>
      </c>
      <c r="F977" s="2">
        <v>-7.6</v>
      </c>
      <c r="G977" s="2">
        <v>16.18</v>
      </c>
      <c r="H977" s="2">
        <v>-89.44</v>
      </c>
      <c r="I977" s="2">
        <v>114.64</v>
      </c>
      <c r="J977" s="2">
        <v>2.8</v>
      </c>
      <c r="K977" s="2">
        <v>5.78</v>
      </c>
      <c r="L977" s="2">
        <v>6.42</v>
      </c>
      <c r="M977" s="2">
        <v>1.42</v>
      </c>
      <c r="N977" t="s">
        <v>230</v>
      </c>
      <c r="O977">
        <v>20</v>
      </c>
    </row>
    <row r="978" spans="1:15">
      <c r="A978" s="1">
        <v>45985</v>
      </c>
      <c r="B978">
        <v>8</v>
      </c>
      <c r="C978" t="s">
        <v>94</v>
      </c>
      <c r="D978">
        <v>8</v>
      </c>
      <c r="E978" s="2">
        <v>4</v>
      </c>
      <c r="F978" s="2">
        <v>62.62</v>
      </c>
      <c r="G978" s="2">
        <v>-53</v>
      </c>
      <c r="H978" s="2">
        <v>-70.41</v>
      </c>
      <c r="I978" s="2">
        <v>76.38</v>
      </c>
      <c r="J978" s="2">
        <v>2.84</v>
      </c>
      <c r="K978" s="2">
        <v>5.85</v>
      </c>
      <c r="L978" s="2">
        <v>6.5</v>
      </c>
      <c r="M978" s="2">
        <v>1.43</v>
      </c>
      <c r="N978" t="s">
        <v>230</v>
      </c>
      <c r="O978">
        <v>20</v>
      </c>
    </row>
    <row r="979" spans="1:15">
      <c r="A979" s="1">
        <v>45985</v>
      </c>
      <c r="B979">
        <v>8</v>
      </c>
      <c r="C979" t="s">
        <v>94</v>
      </c>
      <c r="D979">
        <v>8</v>
      </c>
      <c r="E979" s="2">
        <v>4.5</v>
      </c>
      <c r="F979" s="2">
        <v>66.540000000000006</v>
      </c>
      <c r="G979" s="2">
        <v>-55.8</v>
      </c>
      <c r="H979" s="2">
        <v>-41.83</v>
      </c>
      <c r="I979" s="2">
        <v>47.8</v>
      </c>
      <c r="J979" s="2">
        <v>2.92</v>
      </c>
      <c r="K979" s="2">
        <v>5.76</v>
      </c>
      <c r="L979" s="2">
        <v>6.46</v>
      </c>
      <c r="M979" s="2">
        <v>1.47</v>
      </c>
      <c r="N979" t="s">
        <v>230</v>
      </c>
      <c r="O979">
        <v>20</v>
      </c>
    </row>
    <row r="980" spans="1:15">
      <c r="A980" s="1">
        <v>45985</v>
      </c>
      <c r="B980">
        <v>8</v>
      </c>
      <c r="C980" t="s">
        <v>94</v>
      </c>
      <c r="D980">
        <v>8</v>
      </c>
      <c r="E980" s="2">
        <v>5</v>
      </c>
      <c r="F980" s="2">
        <v>7.44</v>
      </c>
      <c r="G980" s="2">
        <v>3.92</v>
      </c>
      <c r="H980" s="2">
        <v>20.07</v>
      </c>
      <c r="I980" s="2">
        <v>-10.61</v>
      </c>
      <c r="J980" s="2">
        <v>3.31</v>
      </c>
      <c r="K980" s="2">
        <v>5.47</v>
      </c>
      <c r="L980" s="2">
        <v>6.39</v>
      </c>
      <c r="M980" s="2">
        <v>1.58</v>
      </c>
      <c r="N980" t="s">
        <v>230</v>
      </c>
      <c r="O980">
        <v>20</v>
      </c>
    </row>
    <row r="981" spans="1:15">
      <c r="A981" s="1">
        <v>45985</v>
      </c>
      <c r="B981">
        <v>8</v>
      </c>
      <c r="C981" t="s">
        <v>94</v>
      </c>
      <c r="D981">
        <v>8</v>
      </c>
      <c r="E981" s="2">
        <v>5.5</v>
      </c>
      <c r="F981" s="2">
        <v>6.34</v>
      </c>
      <c r="G981" s="2">
        <v>3.56</v>
      </c>
      <c r="H981" s="2">
        <v>14.6</v>
      </c>
      <c r="I981" s="2">
        <v>-13.52</v>
      </c>
      <c r="J981" s="2">
        <v>3.49</v>
      </c>
      <c r="K981" s="2">
        <v>5.43</v>
      </c>
      <c r="L981" s="2">
        <v>6.46</v>
      </c>
      <c r="M981" s="2">
        <v>1.64</v>
      </c>
      <c r="N981" t="s">
        <v>230</v>
      </c>
      <c r="O981">
        <v>20</v>
      </c>
    </row>
    <row r="982" spans="1:15">
      <c r="A982" s="1">
        <v>45985</v>
      </c>
      <c r="B982">
        <v>8</v>
      </c>
      <c r="C982" t="s">
        <v>94</v>
      </c>
      <c r="D982">
        <v>8</v>
      </c>
      <c r="E982" s="2">
        <v>6</v>
      </c>
      <c r="F982" s="2">
        <v>22.74</v>
      </c>
      <c r="G982" s="2">
        <v>-13.7</v>
      </c>
      <c r="H982" s="2">
        <v>-45.57</v>
      </c>
      <c r="I982" s="2">
        <v>45.1</v>
      </c>
      <c r="J982" s="2">
        <v>3.68</v>
      </c>
      <c r="K982" s="2">
        <v>5.55</v>
      </c>
      <c r="L982" s="2">
        <v>6.66</v>
      </c>
      <c r="M982" s="2">
        <v>1.74</v>
      </c>
      <c r="N982" t="s">
        <v>230</v>
      </c>
      <c r="O982">
        <v>20</v>
      </c>
    </row>
    <row r="983" spans="1:15">
      <c r="A983" s="1">
        <v>45985</v>
      </c>
      <c r="B983">
        <v>8</v>
      </c>
      <c r="C983" t="s">
        <v>94</v>
      </c>
      <c r="D983">
        <v>8</v>
      </c>
      <c r="E983" s="2">
        <v>6.5</v>
      </c>
      <c r="F983" s="2">
        <v>28.37</v>
      </c>
      <c r="G983" s="2">
        <v>-15.04</v>
      </c>
      <c r="H983" s="2">
        <v>-65.48</v>
      </c>
      <c r="I983" s="2">
        <v>83.41</v>
      </c>
      <c r="J983" s="2">
        <v>3.88</v>
      </c>
      <c r="K983" s="2">
        <v>5.37</v>
      </c>
      <c r="L983" s="2">
        <v>6.62</v>
      </c>
      <c r="M983" s="2">
        <v>1.84</v>
      </c>
      <c r="N983" t="s">
        <v>230</v>
      </c>
      <c r="O983">
        <v>20</v>
      </c>
    </row>
    <row r="984" spans="1:15">
      <c r="A984" s="1">
        <v>45985</v>
      </c>
      <c r="B984">
        <v>8</v>
      </c>
      <c r="C984" t="s">
        <v>94</v>
      </c>
      <c r="D984">
        <v>8</v>
      </c>
      <c r="E984" s="2">
        <v>7</v>
      </c>
      <c r="F984" s="2">
        <v>106.72</v>
      </c>
      <c r="G984" s="2">
        <v>-99.36</v>
      </c>
      <c r="H984" s="2">
        <v>-50.08</v>
      </c>
      <c r="I984" s="2">
        <v>58.67</v>
      </c>
      <c r="J984" s="2">
        <v>3.67</v>
      </c>
      <c r="K984" s="2">
        <v>5.04</v>
      </c>
      <c r="L984" s="2">
        <v>6.24</v>
      </c>
      <c r="M984" s="2">
        <v>1.84</v>
      </c>
      <c r="N984" t="s">
        <v>230</v>
      </c>
      <c r="O984">
        <v>20</v>
      </c>
    </row>
    <row r="985" spans="1:15">
      <c r="A985" s="1">
        <v>45985</v>
      </c>
      <c r="B985">
        <v>8</v>
      </c>
      <c r="C985" t="s">
        <v>94</v>
      </c>
      <c r="D985">
        <v>8</v>
      </c>
      <c r="E985" s="2">
        <v>7.5</v>
      </c>
      <c r="F985" s="2">
        <v>63.25</v>
      </c>
      <c r="G985" s="2">
        <v>-55.34</v>
      </c>
      <c r="H985" s="2">
        <v>-49.22</v>
      </c>
      <c r="I985" s="2">
        <v>58.72</v>
      </c>
      <c r="J985" s="2">
        <v>3.71</v>
      </c>
      <c r="K985" s="2">
        <v>4.9800000000000004</v>
      </c>
      <c r="L985" s="2">
        <v>6.21</v>
      </c>
      <c r="M985" s="2">
        <v>1.96</v>
      </c>
      <c r="N985" t="s">
        <v>230</v>
      </c>
      <c r="O985">
        <v>20</v>
      </c>
    </row>
    <row r="986" spans="1:15">
      <c r="A986" s="1">
        <v>45985</v>
      </c>
      <c r="B986">
        <v>8</v>
      </c>
      <c r="C986" t="s">
        <v>94</v>
      </c>
      <c r="D986">
        <v>8</v>
      </c>
      <c r="E986" s="2">
        <v>8</v>
      </c>
      <c r="F986" s="2">
        <v>39.71</v>
      </c>
      <c r="G986" s="2">
        <v>-29.96</v>
      </c>
      <c r="H986" s="2">
        <v>-49.45</v>
      </c>
      <c r="I986" s="2">
        <v>59.2</v>
      </c>
      <c r="J986" s="2">
        <v>3.52</v>
      </c>
      <c r="K986" s="2">
        <v>4.8</v>
      </c>
      <c r="L986" s="2">
        <v>5.96</v>
      </c>
      <c r="M986" s="2">
        <v>1.96</v>
      </c>
      <c r="N986" t="s">
        <v>230</v>
      </c>
      <c r="O986">
        <v>20</v>
      </c>
    </row>
    <row r="987" spans="1:15">
      <c r="A987" s="1">
        <v>45985</v>
      </c>
      <c r="B987">
        <v>8</v>
      </c>
      <c r="C987" t="s">
        <v>94</v>
      </c>
      <c r="D987">
        <v>8</v>
      </c>
      <c r="E987" s="2">
        <v>8.5</v>
      </c>
      <c r="F987" s="2">
        <v>2.17</v>
      </c>
      <c r="G987" s="2">
        <v>6.21</v>
      </c>
      <c r="H987" s="2">
        <v>-22.56</v>
      </c>
      <c r="I987" s="2">
        <v>24.46</v>
      </c>
      <c r="J987" s="2">
        <v>3.33</v>
      </c>
      <c r="K987" s="2">
        <v>4.3</v>
      </c>
      <c r="L987" s="2">
        <v>5.44</v>
      </c>
      <c r="M987" s="2">
        <v>1.71</v>
      </c>
      <c r="N987" t="s">
        <v>230</v>
      </c>
      <c r="O987">
        <v>20</v>
      </c>
    </row>
    <row r="988" spans="1:15">
      <c r="A988" s="1">
        <v>45985</v>
      </c>
      <c r="B988">
        <v>8</v>
      </c>
      <c r="C988" t="s">
        <v>94</v>
      </c>
      <c r="D988">
        <v>8</v>
      </c>
      <c r="E988" s="2">
        <v>9</v>
      </c>
      <c r="F988" s="2">
        <v>-43.47</v>
      </c>
      <c r="G988" s="2">
        <v>51.85</v>
      </c>
      <c r="H988" s="2">
        <v>-0.85</v>
      </c>
      <c r="I988" s="2">
        <v>1.17</v>
      </c>
      <c r="J988" s="2">
        <v>3.18</v>
      </c>
      <c r="K988" s="2">
        <v>4</v>
      </c>
      <c r="L988" s="2">
        <v>5.1100000000000003</v>
      </c>
      <c r="M988" s="2">
        <v>1.58</v>
      </c>
      <c r="N988" t="s">
        <v>230</v>
      </c>
      <c r="O988">
        <v>20</v>
      </c>
    </row>
    <row r="989" spans="1:15">
      <c r="A989" s="1">
        <v>45985</v>
      </c>
      <c r="B989">
        <v>8</v>
      </c>
      <c r="C989" t="s">
        <v>94</v>
      </c>
      <c r="D989">
        <v>8</v>
      </c>
      <c r="E989" s="2">
        <v>9.5</v>
      </c>
      <c r="F989" s="2">
        <v>-115.51</v>
      </c>
      <c r="G989" s="2">
        <v>120.03</v>
      </c>
      <c r="H989" s="2">
        <v>9.2799999999999994</v>
      </c>
      <c r="I989" s="2">
        <v>-10.16</v>
      </c>
      <c r="J989" s="2">
        <v>3.07</v>
      </c>
      <c r="K989" s="2">
        <v>3.83</v>
      </c>
      <c r="L989" s="2">
        <v>4.91</v>
      </c>
      <c r="M989" s="2">
        <v>1.62</v>
      </c>
      <c r="N989" t="s">
        <v>230</v>
      </c>
      <c r="O989">
        <v>20</v>
      </c>
    </row>
    <row r="990" spans="1:15">
      <c r="A990" s="1">
        <v>45985</v>
      </c>
      <c r="B990">
        <v>8</v>
      </c>
      <c r="C990" t="s">
        <v>94</v>
      </c>
      <c r="D990">
        <v>8</v>
      </c>
      <c r="E990" s="2">
        <v>10</v>
      </c>
      <c r="F990" s="2">
        <v>-208.95</v>
      </c>
      <c r="G990" s="2">
        <v>218.12</v>
      </c>
      <c r="H990" s="2">
        <v>-68.040000000000006</v>
      </c>
      <c r="I990" s="2">
        <v>66.48</v>
      </c>
      <c r="J990" s="2">
        <v>2.77</v>
      </c>
      <c r="K990" s="2">
        <v>3.5</v>
      </c>
      <c r="L990" s="2">
        <v>4.47</v>
      </c>
      <c r="M990" s="2">
        <v>1.32</v>
      </c>
      <c r="N990" t="s">
        <v>230</v>
      </c>
      <c r="O990">
        <v>20</v>
      </c>
    </row>
    <row r="991" spans="1:15">
      <c r="A991" s="1">
        <v>45985</v>
      </c>
      <c r="B991">
        <v>8</v>
      </c>
      <c r="C991" t="s">
        <v>94</v>
      </c>
      <c r="D991">
        <v>8</v>
      </c>
      <c r="E991" s="2">
        <v>10.5</v>
      </c>
      <c r="F991" s="2">
        <v>-197.43</v>
      </c>
      <c r="G991" s="2">
        <v>205.94</v>
      </c>
      <c r="H991" s="2">
        <v>-42.62</v>
      </c>
      <c r="I991" s="2">
        <v>47.74</v>
      </c>
      <c r="J991" s="2">
        <v>2.33</v>
      </c>
      <c r="K991" s="2">
        <v>2.98</v>
      </c>
      <c r="L991" s="2">
        <v>3.78</v>
      </c>
      <c r="M991" s="2">
        <v>1.1000000000000001</v>
      </c>
      <c r="N991" t="s">
        <v>230</v>
      </c>
      <c r="O991">
        <v>20</v>
      </c>
    </row>
    <row r="992" spans="1:15">
      <c r="A992" s="1">
        <v>45985</v>
      </c>
      <c r="B992">
        <v>8</v>
      </c>
      <c r="C992" t="s">
        <v>94</v>
      </c>
      <c r="D992">
        <v>8</v>
      </c>
      <c r="E992" s="2">
        <v>11</v>
      </c>
      <c r="F992" s="2">
        <v>-175.22</v>
      </c>
      <c r="G992" s="2">
        <v>178.25</v>
      </c>
      <c r="H992" s="2">
        <v>8.0299999999999994</v>
      </c>
      <c r="I992" s="2">
        <v>2.87</v>
      </c>
      <c r="J992" s="2">
        <v>2.14</v>
      </c>
      <c r="K992" s="2">
        <v>2.83</v>
      </c>
      <c r="L992" s="2">
        <v>3.55</v>
      </c>
      <c r="M992" s="2">
        <v>0.94</v>
      </c>
      <c r="N992" t="s">
        <v>230</v>
      </c>
      <c r="O992">
        <v>20</v>
      </c>
    </row>
    <row r="993" spans="1:15">
      <c r="A993" s="1">
        <v>45985</v>
      </c>
      <c r="B993">
        <v>8</v>
      </c>
      <c r="C993" t="s">
        <v>94</v>
      </c>
      <c r="D993">
        <v>8</v>
      </c>
      <c r="E993" s="2">
        <v>11.5</v>
      </c>
      <c r="F993" s="2">
        <v>-79.72</v>
      </c>
      <c r="G993" s="2">
        <v>84.41</v>
      </c>
      <c r="H993" s="2">
        <v>-3.74</v>
      </c>
      <c r="I993" s="2">
        <v>-9.5</v>
      </c>
      <c r="J993" s="2">
        <v>1.96</v>
      </c>
      <c r="K993" s="2">
        <v>2.77</v>
      </c>
      <c r="L993" s="2">
        <v>3.4</v>
      </c>
      <c r="M993" s="2">
        <v>0.77</v>
      </c>
      <c r="N993" t="s">
        <v>230</v>
      </c>
      <c r="O993">
        <v>20</v>
      </c>
    </row>
    <row r="994" spans="1:15">
      <c r="A994" s="1">
        <v>45985</v>
      </c>
      <c r="B994">
        <v>8</v>
      </c>
      <c r="C994" t="s">
        <v>94</v>
      </c>
      <c r="D994">
        <v>8</v>
      </c>
      <c r="E994" s="2">
        <v>12</v>
      </c>
      <c r="F994" s="2">
        <v>-146.02000000000001</v>
      </c>
      <c r="G994" s="2">
        <v>156.07</v>
      </c>
      <c r="H994" s="2">
        <v>-12.22</v>
      </c>
      <c r="I994" s="2">
        <v>19.32</v>
      </c>
      <c r="J994" s="2">
        <v>1.81</v>
      </c>
      <c r="K994" s="2">
        <v>2.57</v>
      </c>
      <c r="L994" s="2">
        <v>3.14</v>
      </c>
      <c r="M994" s="2">
        <v>0.46</v>
      </c>
      <c r="N994" t="s">
        <v>230</v>
      </c>
      <c r="O994">
        <v>20</v>
      </c>
    </row>
    <row r="995" spans="1:15">
      <c r="A995" s="1">
        <v>45985</v>
      </c>
      <c r="B995">
        <v>8</v>
      </c>
      <c r="C995" t="s">
        <v>94</v>
      </c>
      <c r="D995">
        <v>8</v>
      </c>
      <c r="E995" s="2">
        <v>12.5</v>
      </c>
      <c r="F995" s="2">
        <v>-135.46</v>
      </c>
      <c r="G995" s="2">
        <v>138.32</v>
      </c>
      <c r="H995" s="2">
        <v>50.44</v>
      </c>
      <c r="I995" s="2">
        <v>-53.46</v>
      </c>
      <c r="J995" s="2">
        <v>1.75</v>
      </c>
      <c r="K995" s="2">
        <v>2.39</v>
      </c>
      <c r="L995" s="2">
        <v>2.96</v>
      </c>
      <c r="M995" s="2">
        <v>0.42</v>
      </c>
      <c r="N995" t="s">
        <v>230</v>
      </c>
      <c r="O995">
        <v>20</v>
      </c>
    </row>
    <row r="996" spans="1:15">
      <c r="A996" s="1">
        <v>45985</v>
      </c>
      <c r="B996">
        <v>8</v>
      </c>
      <c r="C996" t="s">
        <v>94</v>
      </c>
      <c r="D996">
        <v>8</v>
      </c>
      <c r="E996" s="2">
        <v>13</v>
      </c>
      <c r="F996" s="2">
        <v>-66.260000000000005</v>
      </c>
      <c r="G996" s="2">
        <v>72.790000000000006</v>
      </c>
      <c r="H996" s="2">
        <v>48.1</v>
      </c>
      <c r="I996" s="2">
        <v>-39.869999999999997</v>
      </c>
      <c r="J996" s="2">
        <v>1.69</v>
      </c>
      <c r="K996" s="2">
        <v>2.46</v>
      </c>
      <c r="L996" s="2">
        <v>2.98</v>
      </c>
      <c r="M996" s="2">
        <v>0.48</v>
      </c>
      <c r="N996" t="s">
        <v>230</v>
      </c>
      <c r="O996">
        <v>20</v>
      </c>
    </row>
    <row r="997" spans="1:15">
      <c r="A997" s="1">
        <v>45985</v>
      </c>
      <c r="B997">
        <v>8</v>
      </c>
      <c r="C997" t="s">
        <v>94</v>
      </c>
      <c r="D997">
        <v>8</v>
      </c>
      <c r="E997" s="2">
        <v>13.5</v>
      </c>
      <c r="F997" s="2">
        <v>-54.07</v>
      </c>
      <c r="G997" s="2">
        <v>59.66</v>
      </c>
      <c r="H997" s="2">
        <v>64.3</v>
      </c>
      <c r="I997" s="2">
        <v>-56.33</v>
      </c>
      <c r="J997" s="2">
        <v>1.41</v>
      </c>
      <c r="K997" s="2">
        <v>2.44</v>
      </c>
      <c r="L997" s="2">
        <v>2.82</v>
      </c>
      <c r="M997" s="2">
        <v>0.47</v>
      </c>
      <c r="N997" t="s">
        <v>230</v>
      </c>
      <c r="O997">
        <v>20</v>
      </c>
    </row>
    <row r="998" spans="1:15">
      <c r="A998" s="1">
        <v>45985</v>
      </c>
      <c r="B998">
        <v>8</v>
      </c>
      <c r="C998" t="s">
        <v>94</v>
      </c>
      <c r="D998">
        <v>8</v>
      </c>
      <c r="E998" s="2">
        <v>14</v>
      </c>
      <c r="F998" s="2">
        <v>-53.84</v>
      </c>
      <c r="G998" s="2">
        <v>58.54</v>
      </c>
      <c r="H998" s="2">
        <v>78.91</v>
      </c>
      <c r="I998" s="2">
        <v>-70.77</v>
      </c>
      <c r="J998" s="2">
        <v>1.03</v>
      </c>
      <c r="K998" s="2">
        <v>2.4</v>
      </c>
      <c r="L998" s="2">
        <v>2.61</v>
      </c>
      <c r="M998" s="2">
        <v>0.49</v>
      </c>
      <c r="N998" t="s">
        <v>230</v>
      </c>
      <c r="O998">
        <v>20</v>
      </c>
    </row>
    <row r="999" spans="1:15">
      <c r="A999" s="1">
        <v>45985</v>
      </c>
      <c r="B999">
        <v>8</v>
      </c>
      <c r="C999" t="s">
        <v>94</v>
      </c>
      <c r="D999">
        <v>8</v>
      </c>
      <c r="E999" s="2">
        <v>14.5</v>
      </c>
      <c r="F999" s="2">
        <v>-43.79</v>
      </c>
      <c r="G999" s="2">
        <v>49</v>
      </c>
      <c r="H999" s="2">
        <v>102.67</v>
      </c>
      <c r="I999" s="2">
        <v>-96.54</v>
      </c>
      <c r="J999" s="2">
        <v>0.61</v>
      </c>
      <c r="K999" s="2">
        <v>2.12</v>
      </c>
      <c r="L999" s="2">
        <v>2.2000000000000002</v>
      </c>
      <c r="M999" s="2">
        <v>0.4</v>
      </c>
      <c r="N999" t="s">
        <v>230</v>
      </c>
      <c r="O999">
        <v>20</v>
      </c>
    </row>
    <row r="1000" spans="1:15">
      <c r="A1000" s="1">
        <v>45985</v>
      </c>
      <c r="B1000">
        <v>8</v>
      </c>
      <c r="C1000" t="s">
        <v>94</v>
      </c>
      <c r="D1000">
        <v>8</v>
      </c>
      <c r="E1000" s="2">
        <v>15</v>
      </c>
      <c r="F1000" s="2">
        <v>-11</v>
      </c>
      <c r="G1000" s="2">
        <v>17.2</v>
      </c>
      <c r="H1000" s="2">
        <v>114.12</v>
      </c>
      <c r="I1000" s="2">
        <v>-104.88</v>
      </c>
      <c r="J1000" s="2">
        <v>0.23</v>
      </c>
      <c r="K1000" s="2">
        <v>1.94</v>
      </c>
      <c r="L1000" s="2">
        <v>1.96</v>
      </c>
      <c r="M1000" s="2">
        <v>0.28000000000000003</v>
      </c>
      <c r="N1000" t="s">
        <v>230</v>
      </c>
      <c r="O1000">
        <v>20</v>
      </c>
    </row>
    <row r="1001" spans="1:15">
      <c r="A1001" s="1">
        <v>45985</v>
      </c>
      <c r="B1001">
        <v>8</v>
      </c>
      <c r="C1001" t="s">
        <v>94</v>
      </c>
      <c r="D1001">
        <v>8</v>
      </c>
      <c r="E1001" s="2">
        <v>15.5</v>
      </c>
      <c r="F1001" s="2">
        <v>-38.159999999999997</v>
      </c>
      <c r="G1001" s="2">
        <v>40.65</v>
      </c>
      <c r="H1001" s="2">
        <v>107.88</v>
      </c>
      <c r="I1001" s="2">
        <v>-97.69</v>
      </c>
      <c r="J1001" s="2">
        <v>-0.02</v>
      </c>
      <c r="K1001" s="2">
        <v>1.67</v>
      </c>
      <c r="L1001" s="2">
        <v>1.67</v>
      </c>
      <c r="M1001" s="2">
        <v>0.21</v>
      </c>
      <c r="N1001" t="s">
        <v>230</v>
      </c>
      <c r="O1001">
        <v>20</v>
      </c>
    </row>
    <row r="1002" spans="1:15">
      <c r="A1002" s="1">
        <v>45985</v>
      </c>
      <c r="B1002">
        <v>8</v>
      </c>
      <c r="C1002" t="s">
        <v>94</v>
      </c>
      <c r="D1002">
        <v>8</v>
      </c>
      <c r="E1002" s="2">
        <v>16</v>
      </c>
      <c r="F1002" s="2">
        <v>-16.260000000000002</v>
      </c>
      <c r="G1002" s="2">
        <v>20.72</v>
      </c>
      <c r="H1002" s="2">
        <v>-34.020000000000003</v>
      </c>
      <c r="I1002" s="2">
        <v>34.06</v>
      </c>
      <c r="J1002" s="2">
        <v>-0.68</v>
      </c>
      <c r="K1002" s="2">
        <v>0.83</v>
      </c>
      <c r="L1002" s="2">
        <v>1.08</v>
      </c>
      <c r="M1002" s="2">
        <v>-0.11</v>
      </c>
      <c r="N1002" t="s">
        <v>230</v>
      </c>
      <c r="O1002">
        <v>20</v>
      </c>
    </row>
    <row r="1003" spans="1:15">
      <c r="A1003" s="1">
        <v>45985</v>
      </c>
      <c r="B1003">
        <v>8</v>
      </c>
      <c r="C1003" t="s">
        <v>94</v>
      </c>
      <c r="D1003">
        <v>8</v>
      </c>
      <c r="E1003" s="2">
        <v>16.5</v>
      </c>
      <c r="F1003" s="2">
        <v>4.6500000000000004</v>
      </c>
      <c r="G1003" s="2">
        <v>0.17</v>
      </c>
      <c r="H1003" s="2">
        <v>-11.95</v>
      </c>
      <c r="I1003" s="2">
        <v>19.36</v>
      </c>
      <c r="J1003" s="2">
        <v>-0.67</v>
      </c>
      <c r="K1003" s="2">
        <v>0.78</v>
      </c>
      <c r="L1003" s="2">
        <v>1.03</v>
      </c>
      <c r="M1003" s="2">
        <v>-0.1</v>
      </c>
      <c r="N1003" t="s">
        <v>230</v>
      </c>
      <c r="O1003">
        <v>20</v>
      </c>
    </row>
    <row r="1004" spans="1:15">
      <c r="A1004" s="1">
        <v>45985</v>
      </c>
      <c r="B1004">
        <v>8</v>
      </c>
      <c r="C1004" t="s">
        <v>94</v>
      </c>
      <c r="D1004">
        <v>8</v>
      </c>
      <c r="E1004" s="2">
        <v>17</v>
      </c>
      <c r="F1004" s="2">
        <v>15.44</v>
      </c>
      <c r="G1004" s="2">
        <v>-12.09</v>
      </c>
      <c r="H1004" s="2">
        <v>4.7</v>
      </c>
      <c r="I1004" s="2">
        <v>4.4000000000000004</v>
      </c>
      <c r="J1004" s="2">
        <v>-0.65</v>
      </c>
      <c r="K1004" s="2">
        <v>0.8</v>
      </c>
      <c r="L1004" s="2">
        <v>1.03</v>
      </c>
      <c r="M1004" s="2">
        <v>-0.1</v>
      </c>
      <c r="N1004" t="s">
        <v>230</v>
      </c>
      <c r="O1004">
        <v>20</v>
      </c>
    </row>
    <row r="1005" spans="1:15">
      <c r="A1005" s="1">
        <v>45985</v>
      </c>
      <c r="B1005">
        <v>8</v>
      </c>
      <c r="C1005" t="s">
        <v>94</v>
      </c>
      <c r="D1005">
        <v>8</v>
      </c>
      <c r="E1005" s="2">
        <v>17.5</v>
      </c>
      <c r="F1005" s="2">
        <v>-12.05</v>
      </c>
      <c r="G1005" s="2">
        <v>15.69</v>
      </c>
      <c r="H1005" s="2">
        <v>37.1</v>
      </c>
      <c r="I1005" s="2">
        <v>-30.06</v>
      </c>
      <c r="J1005" s="2">
        <v>-0.69</v>
      </c>
      <c r="K1005" s="2">
        <v>0.88</v>
      </c>
      <c r="L1005" s="2">
        <v>1.1200000000000001</v>
      </c>
      <c r="M1005" s="2">
        <v>-0.1</v>
      </c>
      <c r="N1005" t="s">
        <v>230</v>
      </c>
      <c r="O1005">
        <v>20</v>
      </c>
    </row>
    <row r="1006" spans="1:15">
      <c r="A1006" s="1">
        <v>45985</v>
      </c>
      <c r="B1006">
        <v>8</v>
      </c>
      <c r="C1006" t="s">
        <v>94</v>
      </c>
      <c r="D1006">
        <v>8</v>
      </c>
      <c r="E1006" s="2">
        <v>18</v>
      </c>
      <c r="F1006" s="2">
        <v>-31.83</v>
      </c>
      <c r="G1006" s="2">
        <v>34.869999999999997</v>
      </c>
      <c r="H1006" s="2">
        <v>51</v>
      </c>
      <c r="I1006" s="2">
        <v>-39.17</v>
      </c>
      <c r="J1006" s="2">
        <v>-0.69</v>
      </c>
      <c r="K1006" s="2">
        <v>0.91</v>
      </c>
      <c r="L1006" s="2">
        <v>1.1399999999999999</v>
      </c>
      <c r="M1006" s="2">
        <v>-0.08</v>
      </c>
      <c r="N1006" t="s">
        <v>230</v>
      </c>
      <c r="O1006">
        <v>20</v>
      </c>
    </row>
    <row r="1007" spans="1:15">
      <c r="A1007" s="1">
        <v>45985</v>
      </c>
      <c r="B1007">
        <v>8</v>
      </c>
      <c r="C1007" t="s">
        <v>94</v>
      </c>
      <c r="D1007">
        <v>8</v>
      </c>
      <c r="E1007" s="2">
        <v>18.5</v>
      </c>
      <c r="F1007" s="2">
        <v>-35.71</v>
      </c>
      <c r="G1007" s="2">
        <v>46.11</v>
      </c>
      <c r="H1007" s="2">
        <v>51.78</v>
      </c>
      <c r="I1007" s="2">
        <v>-53.69</v>
      </c>
      <c r="J1007" s="2">
        <v>-0.7</v>
      </c>
      <c r="K1007" s="2">
        <v>0.91</v>
      </c>
      <c r="L1007" s="2">
        <v>1.1499999999999999</v>
      </c>
      <c r="M1007" s="2">
        <v>-0.13</v>
      </c>
      <c r="N1007" t="s">
        <v>230</v>
      </c>
      <c r="O1007">
        <v>20</v>
      </c>
    </row>
    <row r="1008" spans="1:15">
      <c r="A1008" s="1">
        <v>45985</v>
      </c>
      <c r="B1008">
        <v>8</v>
      </c>
      <c r="C1008" t="s">
        <v>94</v>
      </c>
      <c r="D1008">
        <v>8</v>
      </c>
      <c r="E1008" s="2">
        <v>19</v>
      </c>
      <c r="F1008" s="2">
        <v>-139.07</v>
      </c>
      <c r="G1008" s="2">
        <v>135.80000000000001</v>
      </c>
      <c r="H1008" s="2">
        <v>-32.630000000000003</v>
      </c>
      <c r="I1008" s="2">
        <v>49.58</v>
      </c>
      <c r="J1008" s="2">
        <v>-0.7</v>
      </c>
      <c r="K1008" s="2">
        <v>0.6</v>
      </c>
      <c r="L1008" s="2">
        <v>0.92</v>
      </c>
      <c r="M1008" s="2">
        <v>-0.37</v>
      </c>
      <c r="N1008" t="s">
        <v>230</v>
      </c>
      <c r="O1008">
        <v>20</v>
      </c>
    </row>
    <row r="1009" spans="1:15">
      <c r="A1009" s="1">
        <v>45985</v>
      </c>
      <c r="B1009">
        <v>8</v>
      </c>
      <c r="C1009" t="s">
        <v>94</v>
      </c>
      <c r="D1009">
        <v>8</v>
      </c>
      <c r="E1009" s="2">
        <v>19.5</v>
      </c>
      <c r="F1009" s="2">
        <v>-133.76</v>
      </c>
      <c r="G1009" s="2">
        <v>137.03</v>
      </c>
      <c r="H1009" s="2">
        <v>-44.73</v>
      </c>
      <c r="I1009" s="2">
        <v>48.45</v>
      </c>
      <c r="J1009" s="2">
        <v>-0.74</v>
      </c>
      <c r="K1009" s="2">
        <v>0.52</v>
      </c>
      <c r="L1009" s="2">
        <v>0.9</v>
      </c>
      <c r="M1009" s="2">
        <v>-0.44</v>
      </c>
      <c r="N1009" t="s">
        <v>230</v>
      </c>
      <c r="O1009">
        <v>20</v>
      </c>
    </row>
    <row r="1010" spans="1:15">
      <c r="A1010" s="1">
        <v>45985</v>
      </c>
      <c r="B1010">
        <v>8</v>
      </c>
      <c r="C1010" t="s">
        <v>94</v>
      </c>
      <c r="D1010">
        <v>8</v>
      </c>
      <c r="E1010" s="2">
        <v>20</v>
      </c>
      <c r="F1010" s="2">
        <v>-143.36000000000001</v>
      </c>
      <c r="G1010" s="2">
        <v>146.38</v>
      </c>
      <c r="H1010" s="2">
        <v>-40.76</v>
      </c>
      <c r="I1010" s="2">
        <v>50.42</v>
      </c>
      <c r="J1010" s="2">
        <v>-0.8</v>
      </c>
      <c r="K1010" s="2">
        <v>0.28999999999999998</v>
      </c>
      <c r="L1010" s="2">
        <v>0.85</v>
      </c>
      <c r="M1010" s="2">
        <v>-0.49</v>
      </c>
      <c r="N1010" t="s">
        <v>230</v>
      </c>
      <c r="O1010">
        <v>20</v>
      </c>
    </row>
    <row r="1011" spans="1:15">
      <c r="A1011" s="1">
        <v>45985</v>
      </c>
      <c r="B1011">
        <v>8</v>
      </c>
      <c r="C1011" t="s">
        <v>94</v>
      </c>
      <c r="D1011">
        <v>8</v>
      </c>
      <c r="E1011" s="2">
        <v>20.5</v>
      </c>
      <c r="F1011" s="2">
        <v>-167.76</v>
      </c>
      <c r="G1011" s="2">
        <v>171.41</v>
      </c>
      <c r="H1011" s="2">
        <v>-29</v>
      </c>
      <c r="I1011" s="2">
        <v>28.69</v>
      </c>
      <c r="J1011" s="2">
        <v>-0.82</v>
      </c>
      <c r="K1011" s="2">
        <v>0.09</v>
      </c>
      <c r="L1011" s="2">
        <v>0.83</v>
      </c>
      <c r="M1011" s="2">
        <v>-0.49</v>
      </c>
      <c r="N1011" t="s">
        <v>230</v>
      </c>
      <c r="O1011">
        <v>20</v>
      </c>
    </row>
    <row r="1012" spans="1:15">
      <c r="A1012" s="1">
        <v>45985</v>
      </c>
      <c r="B1012">
        <v>8</v>
      </c>
      <c r="C1012" t="s">
        <v>94</v>
      </c>
      <c r="D1012">
        <v>8</v>
      </c>
      <c r="E1012" s="2">
        <v>21</v>
      </c>
      <c r="F1012" s="2">
        <v>-156.19</v>
      </c>
      <c r="G1012" s="2">
        <v>158.4</v>
      </c>
      <c r="H1012" s="2">
        <v>-19.62</v>
      </c>
      <c r="I1012" s="2">
        <v>19.420000000000002</v>
      </c>
      <c r="J1012" s="2">
        <v>-0.83</v>
      </c>
      <c r="K1012" s="2">
        <v>-0.14000000000000001</v>
      </c>
      <c r="L1012" s="2">
        <v>0.85</v>
      </c>
      <c r="M1012" s="2">
        <v>-0.36</v>
      </c>
      <c r="N1012" t="s">
        <v>230</v>
      </c>
      <c r="O1012">
        <v>20</v>
      </c>
    </row>
    <row r="1013" spans="1:15">
      <c r="A1013" s="1">
        <v>45985</v>
      </c>
      <c r="B1013">
        <v>8</v>
      </c>
      <c r="C1013" t="s">
        <v>94</v>
      </c>
      <c r="D1013">
        <v>8</v>
      </c>
      <c r="E1013" s="2">
        <v>21.5</v>
      </c>
      <c r="F1013" s="2">
        <v>-75.45</v>
      </c>
      <c r="G1013" s="2">
        <v>80.84</v>
      </c>
      <c r="H1013" s="2">
        <v>-27.03</v>
      </c>
      <c r="I1013" s="2">
        <v>23.61</v>
      </c>
      <c r="J1013" s="2">
        <v>-0.84</v>
      </c>
      <c r="K1013" s="2">
        <v>-0.17</v>
      </c>
      <c r="L1013" s="2">
        <v>0.86</v>
      </c>
      <c r="M1013" s="2">
        <v>-0.36</v>
      </c>
      <c r="N1013" t="s">
        <v>230</v>
      </c>
      <c r="O1013">
        <v>20</v>
      </c>
    </row>
    <row r="1014" spans="1:15">
      <c r="A1014" s="1">
        <v>45985</v>
      </c>
      <c r="B1014">
        <v>8</v>
      </c>
      <c r="C1014" t="s">
        <v>94</v>
      </c>
      <c r="D1014">
        <v>8</v>
      </c>
      <c r="E1014" s="2">
        <v>22</v>
      </c>
      <c r="F1014" s="2">
        <v>6.84</v>
      </c>
      <c r="G1014" s="2">
        <v>-7.68</v>
      </c>
      <c r="H1014" s="2">
        <v>-86.57</v>
      </c>
      <c r="I1014" s="2">
        <v>79.34</v>
      </c>
      <c r="J1014" s="2">
        <v>-0.85</v>
      </c>
      <c r="K1014" s="2">
        <v>-0.19</v>
      </c>
      <c r="L1014" s="2">
        <v>0.87</v>
      </c>
      <c r="M1014" s="2">
        <v>-0.3</v>
      </c>
      <c r="N1014" t="s">
        <v>230</v>
      </c>
      <c r="O1014">
        <v>20</v>
      </c>
    </row>
    <row r="1015" spans="1:15">
      <c r="A1015" s="1">
        <v>45985</v>
      </c>
      <c r="B1015">
        <v>8</v>
      </c>
      <c r="C1015" t="s">
        <v>94</v>
      </c>
      <c r="D1015">
        <v>8</v>
      </c>
      <c r="E1015" s="2">
        <v>22.5</v>
      </c>
      <c r="F1015" s="2">
        <v>-23.43</v>
      </c>
      <c r="G1015" s="2">
        <v>27.56</v>
      </c>
      <c r="H1015" s="2">
        <v>-27.9</v>
      </c>
      <c r="I1015" s="2">
        <v>40.96</v>
      </c>
      <c r="J1015" s="2">
        <v>-0.85</v>
      </c>
      <c r="K1015" s="2">
        <v>0.3</v>
      </c>
      <c r="L1015" s="2">
        <v>0.9</v>
      </c>
      <c r="M1015" s="2">
        <v>-0.36</v>
      </c>
      <c r="N1015" t="s">
        <v>230</v>
      </c>
      <c r="O1015">
        <v>20</v>
      </c>
    </row>
    <row r="1016" spans="1:15">
      <c r="A1016" s="1">
        <v>45985</v>
      </c>
      <c r="B1016">
        <v>8</v>
      </c>
      <c r="C1016" t="s">
        <v>94</v>
      </c>
      <c r="D1016">
        <v>8</v>
      </c>
      <c r="E1016" s="2">
        <v>23</v>
      </c>
      <c r="F1016" s="2">
        <v>-46.23</v>
      </c>
      <c r="G1016" s="2">
        <v>46.94</v>
      </c>
      <c r="H1016" s="2">
        <v>3.08</v>
      </c>
      <c r="I1016" s="2">
        <v>-4.92</v>
      </c>
      <c r="J1016" s="2">
        <v>-0.86</v>
      </c>
      <c r="K1016" s="2">
        <v>0.42</v>
      </c>
      <c r="L1016" s="2">
        <v>0.96</v>
      </c>
      <c r="M1016" s="2">
        <v>-0.25</v>
      </c>
      <c r="N1016" t="s">
        <v>230</v>
      </c>
      <c r="O1016">
        <v>20</v>
      </c>
    </row>
    <row r="1017" spans="1:15">
      <c r="A1017" s="1">
        <v>45985</v>
      </c>
      <c r="B1017">
        <v>8</v>
      </c>
      <c r="C1017" t="s">
        <v>94</v>
      </c>
      <c r="D1017">
        <v>8</v>
      </c>
      <c r="E1017" s="2">
        <v>23.5</v>
      </c>
      <c r="F1017" s="2">
        <v>-63.53</v>
      </c>
      <c r="G1017" s="2">
        <v>67.42</v>
      </c>
      <c r="H1017" s="2">
        <v>23.46</v>
      </c>
      <c r="I1017" s="2">
        <v>-21.86</v>
      </c>
      <c r="J1017" s="2">
        <v>-0.81</v>
      </c>
      <c r="K1017" s="2">
        <v>0.52</v>
      </c>
      <c r="L1017" s="2">
        <v>0.97</v>
      </c>
      <c r="M1017" s="2">
        <v>-0.06</v>
      </c>
      <c r="N1017" t="s">
        <v>230</v>
      </c>
      <c r="O1017">
        <v>20</v>
      </c>
    </row>
    <row r="1018" spans="1:15">
      <c r="A1018" s="1">
        <v>45985</v>
      </c>
      <c r="B1018">
        <v>8</v>
      </c>
      <c r="C1018" t="s">
        <v>94</v>
      </c>
      <c r="D1018">
        <v>8</v>
      </c>
      <c r="E1018" s="2">
        <v>24</v>
      </c>
      <c r="F1018" s="2">
        <v>-88.02</v>
      </c>
      <c r="G1018" s="2">
        <v>91.41</v>
      </c>
      <c r="H1018" s="2">
        <v>20.100000000000001</v>
      </c>
      <c r="I1018" s="2">
        <v>-19.510000000000002</v>
      </c>
      <c r="J1018" s="2">
        <v>-0.75</v>
      </c>
      <c r="K1018" s="2">
        <v>0.55000000000000004</v>
      </c>
      <c r="L1018" s="2">
        <v>0.93</v>
      </c>
      <c r="M1018" s="2">
        <v>-0.05</v>
      </c>
      <c r="N1018" t="s">
        <v>230</v>
      </c>
      <c r="O1018">
        <v>20</v>
      </c>
    </row>
    <row r="1019" spans="1:15">
      <c r="A1019" s="1">
        <v>45985</v>
      </c>
      <c r="B1019">
        <v>8</v>
      </c>
      <c r="C1019" t="s">
        <v>94</v>
      </c>
      <c r="D1019">
        <v>8</v>
      </c>
      <c r="E1019" s="2">
        <v>24.5</v>
      </c>
      <c r="F1019" s="2">
        <v>-120.12</v>
      </c>
      <c r="G1019" s="2">
        <v>116.38</v>
      </c>
      <c r="H1019" s="2">
        <v>38.700000000000003</v>
      </c>
      <c r="I1019" s="2">
        <v>-14.4</v>
      </c>
      <c r="J1019" s="2">
        <v>-0.72</v>
      </c>
      <c r="K1019" s="2">
        <v>0.47</v>
      </c>
      <c r="L1019" s="2">
        <v>0.86</v>
      </c>
      <c r="M1019" s="2">
        <v>0.03</v>
      </c>
      <c r="N1019" t="s">
        <v>230</v>
      </c>
      <c r="O1019">
        <v>20</v>
      </c>
    </row>
    <row r="1020" spans="1:15">
      <c r="A1020" s="1">
        <v>45985</v>
      </c>
      <c r="B1020">
        <v>8</v>
      </c>
      <c r="C1020" t="s">
        <v>94</v>
      </c>
      <c r="D1020">
        <v>8</v>
      </c>
      <c r="E1020" s="2">
        <v>25</v>
      </c>
      <c r="F1020" s="2">
        <v>-108.38</v>
      </c>
      <c r="G1020" s="2">
        <v>116.33</v>
      </c>
      <c r="H1020" s="2">
        <v>-42.69</v>
      </c>
      <c r="I1020" s="2">
        <v>58.68</v>
      </c>
      <c r="J1020" s="2">
        <v>-0.67</v>
      </c>
      <c r="K1020" s="2">
        <v>0.84</v>
      </c>
      <c r="L1020" s="2">
        <v>1.08</v>
      </c>
      <c r="M1020" s="2">
        <v>0.12</v>
      </c>
      <c r="N1020" t="s">
        <v>230</v>
      </c>
      <c r="O1020">
        <v>20</v>
      </c>
    </row>
    <row r="1021" spans="1:15">
      <c r="A1021" s="1">
        <v>45985</v>
      </c>
      <c r="B1021">
        <v>8</v>
      </c>
      <c r="C1021" t="s">
        <v>94</v>
      </c>
      <c r="D1021">
        <v>8</v>
      </c>
      <c r="E1021" s="2">
        <v>25.5</v>
      </c>
      <c r="F1021" s="2">
        <v>-95.55</v>
      </c>
      <c r="G1021" s="2">
        <v>98.89</v>
      </c>
      <c r="H1021" s="2">
        <v>-42.61</v>
      </c>
      <c r="I1021" s="2">
        <v>41.74</v>
      </c>
      <c r="J1021" s="2">
        <v>-0.71</v>
      </c>
      <c r="K1021" s="2">
        <v>0.52</v>
      </c>
      <c r="L1021" s="2">
        <v>0.88</v>
      </c>
      <c r="M1021" s="2">
        <v>0.18</v>
      </c>
      <c r="N1021" t="s">
        <v>230</v>
      </c>
      <c r="O1021">
        <v>20</v>
      </c>
    </row>
    <row r="1022" spans="1:15">
      <c r="A1022" s="1">
        <v>45985</v>
      </c>
      <c r="B1022">
        <v>8</v>
      </c>
      <c r="C1022" t="s">
        <v>94</v>
      </c>
      <c r="D1022">
        <v>8</v>
      </c>
      <c r="E1022" s="2">
        <v>26</v>
      </c>
      <c r="F1022" s="2">
        <v>-58.11</v>
      </c>
      <c r="G1022" s="2">
        <v>63.05</v>
      </c>
      <c r="H1022" s="2">
        <v>-29.05</v>
      </c>
      <c r="I1022" s="2">
        <v>25.62</v>
      </c>
      <c r="J1022" s="2">
        <v>-0.8</v>
      </c>
      <c r="K1022" s="2">
        <v>0.33</v>
      </c>
      <c r="L1022" s="2">
        <v>0.86</v>
      </c>
      <c r="M1022" s="2">
        <v>0.14000000000000001</v>
      </c>
      <c r="N1022" t="s">
        <v>230</v>
      </c>
      <c r="O1022">
        <v>20</v>
      </c>
    </row>
    <row r="1023" spans="1:15">
      <c r="A1023" s="1">
        <v>45985</v>
      </c>
      <c r="B1023">
        <v>8</v>
      </c>
      <c r="C1023" t="s">
        <v>94</v>
      </c>
      <c r="D1023">
        <v>8</v>
      </c>
      <c r="E1023" s="2">
        <v>26.5</v>
      </c>
      <c r="F1023" s="2">
        <v>-18.43</v>
      </c>
      <c r="G1023" s="2">
        <v>21.67</v>
      </c>
      <c r="H1023" s="2">
        <v>5.73</v>
      </c>
      <c r="I1023" s="2">
        <v>-4.47</v>
      </c>
      <c r="J1023" s="2">
        <v>-0.76</v>
      </c>
      <c r="K1023" s="2">
        <v>0.33</v>
      </c>
      <c r="L1023" s="2">
        <v>0.83</v>
      </c>
      <c r="M1023" s="2">
        <v>0.16</v>
      </c>
      <c r="N1023" t="s">
        <v>230</v>
      </c>
      <c r="O1023">
        <v>20</v>
      </c>
    </row>
    <row r="1024" spans="1:15">
      <c r="A1024" s="1">
        <v>45985</v>
      </c>
      <c r="B1024">
        <v>8</v>
      </c>
      <c r="C1024" t="s">
        <v>94</v>
      </c>
      <c r="D1024">
        <v>8</v>
      </c>
      <c r="E1024" s="2">
        <v>27</v>
      </c>
      <c r="F1024" s="2">
        <v>36.26</v>
      </c>
      <c r="G1024" s="2">
        <v>-33.56</v>
      </c>
      <c r="H1024" s="2">
        <v>51.98</v>
      </c>
      <c r="I1024" s="2">
        <v>-46.27</v>
      </c>
      <c r="J1024" s="2">
        <v>-0.48</v>
      </c>
      <c r="K1024" s="2">
        <v>0.22</v>
      </c>
      <c r="L1024" s="2">
        <v>0.53</v>
      </c>
      <c r="M1024" s="2">
        <v>0.12</v>
      </c>
      <c r="N1024" t="s">
        <v>230</v>
      </c>
      <c r="O1024">
        <v>20</v>
      </c>
    </row>
    <row r="1025" spans="1:15">
      <c r="A1025" s="1">
        <v>45985</v>
      </c>
      <c r="B1025">
        <v>8</v>
      </c>
      <c r="C1025" t="s">
        <v>99</v>
      </c>
      <c r="D1025">
        <v>8</v>
      </c>
      <c r="E1025" s="2">
        <v>0.5</v>
      </c>
      <c r="F1025" s="2">
        <v>-387.89</v>
      </c>
      <c r="G1025" s="2">
        <v>402.56</v>
      </c>
      <c r="H1025" s="2">
        <v>-120.84</v>
      </c>
      <c r="I1025" s="2">
        <v>136.49</v>
      </c>
      <c r="J1025" s="2">
        <v>0.56000000000000005</v>
      </c>
      <c r="K1025" s="2">
        <v>-5.9</v>
      </c>
      <c r="L1025" s="2">
        <v>5.93</v>
      </c>
      <c r="M1025" s="2">
        <v>-1.34</v>
      </c>
      <c r="N1025" t="s">
        <v>230</v>
      </c>
      <c r="O1025">
        <v>40</v>
      </c>
    </row>
    <row r="1026" spans="1:15">
      <c r="A1026" s="1">
        <v>45985</v>
      </c>
      <c r="B1026">
        <v>8</v>
      </c>
      <c r="C1026" t="s">
        <v>99</v>
      </c>
      <c r="D1026">
        <v>8</v>
      </c>
      <c r="E1026" s="2">
        <v>1</v>
      </c>
      <c r="F1026" s="2">
        <v>-409.69</v>
      </c>
      <c r="G1026" s="2">
        <v>394.36</v>
      </c>
      <c r="H1026" s="2">
        <v>-125.54</v>
      </c>
      <c r="I1026" s="2">
        <v>134.41</v>
      </c>
      <c r="J1026" s="2">
        <v>1.1000000000000001</v>
      </c>
      <c r="K1026" s="2">
        <v>-4.78</v>
      </c>
      <c r="L1026" s="2">
        <v>4.9000000000000004</v>
      </c>
      <c r="M1026" s="2">
        <v>-1.19</v>
      </c>
      <c r="N1026" t="s">
        <v>230</v>
      </c>
      <c r="O1026">
        <v>40</v>
      </c>
    </row>
    <row r="1027" spans="1:15">
      <c r="A1027" s="1">
        <v>45985</v>
      </c>
      <c r="B1027">
        <v>8</v>
      </c>
      <c r="C1027" t="s">
        <v>99</v>
      </c>
      <c r="D1027">
        <v>8</v>
      </c>
      <c r="E1027" s="2">
        <v>1.5</v>
      </c>
      <c r="F1027" s="2">
        <v>-375.84</v>
      </c>
      <c r="G1027" s="2">
        <v>379.3</v>
      </c>
      <c r="H1027" s="2">
        <v>-163.44</v>
      </c>
      <c r="I1027" s="2">
        <v>157.11000000000001</v>
      </c>
      <c r="J1027" s="2">
        <v>1.54</v>
      </c>
      <c r="K1027" s="2">
        <v>-3.72</v>
      </c>
      <c r="L1027" s="2">
        <v>4.0199999999999996</v>
      </c>
      <c r="M1027" s="2">
        <v>-0.99</v>
      </c>
      <c r="N1027" t="s">
        <v>230</v>
      </c>
      <c r="O1027">
        <v>40</v>
      </c>
    </row>
    <row r="1028" spans="1:15">
      <c r="A1028" s="1">
        <v>45985</v>
      </c>
      <c r="B1028">
        <v>8</v>
      </c>
      <c r="C1028" t="s">
        <v>99</v>
      </c>
      <c r="D1028">
        <v>8</v>
      </c>
      <c r="E1028" s="2">
        <v>2</v>
      </c>
      <c r="F1028" s="2">
        <v>-330.54</v>
      </c>
      <c r="G1028" s="2">
        <v>340.43</v>
      </c>
      <c r="H1028" s="2">
        <v>-208.37</v>
      </c>
      <c r="I1028" s="2">
        <v>210.57</v>
      </c>
      <c r="J1028" s="2">
        <v>1.7</v>
      </c>
      <c r="K1028" s="2">
        <v>-3.73</v>
      </c>
      <c r="L1028" s="2">
        <v>4.0999999999999996</v>
      </c>
      <c r="M1028" s="2">
        <v>-0.56000000000000005</v>
      </c>
      <c r="N1028" t="s">
        <v>230</v>
      </c>
      <c r="O1028">
        <v>40</v>
      </c>
    </row>
    <row r="1029" spans="1:15">
      <c r="A1029" s="1">
        <v>45985</v>
      </c>
      <c r="B1029">
        <v>8</v>
      </c>
      <c r="C1029" t="s">
        <v>99</v>
      </c>
      <c r="D1029">
        <v>8</v>
      </c>
      <c r="E1029" s="2">
        <v>2.5</v>
      </c>
      <c r="F1029" s="2">
        <v>-303.79000000000002</v>
      </c>
      <c r="G1029" s="2">
        <v>313.47000000000003</v>
      </c>
      <c r="H1029" s="2">
        <v>-190.81</v>
      </c>
      <c r="I1029" s="2">
        <v>198.6</v>
      </c>
      <c r="J1029" s="2">
        <v>1.78</v>
      </c>
      <c r="K1029" s="2">
        <v>-3.63</v>
      </c>
      <c r="L1029" s="2">
        <v>4.04</v>
      </c>
      <c r="M1029" s="2">
        <v>-0.52</v>
      </c>
      <c r="N1029" t="s">
        <v>230</v>
      </c>
      <c r="O1029">
        <v>40</v>
      </c>
    </row>
    <row r="1030" spans="1:15">
      <c r="A1030" s="1">
        <v>45985</v>
      </c>
      <c r="B1030">
        <v>8</v>
      </c>
      <c r="C1030" t="s">
        <v>99</v>
      </c>
      <c r="D1030">
        <v>8</v>
      </c>
      <c r="E1030" s="2">
        <v>3</v>
      </c>
      <c r="F1030" s="2">
        <v>-268.22000000000003</v>
      </c>
      <c r="G1030" s="2">
        <v>275.61</v>
      </c>
      <c r="H1030" s="2">
        <v>-134.6</v>
      </c>
      <c r="I1030" s="2">
        <v>130.22999999999999</v>
      </c>
      <c r="J1030" s="2">
        <v>1.84</v>
      </c>
      <c r="K1030" s="2">
        <v>-3.75</v>
      </c>
      <c r="L1030" s="2">
        <v>4.18</v>
      </c>
      <c r="M1030" s="2">
        <v>-0.49</v>
      </c>
      <c r="N1030" t="s">
        <v>230</v>
      </c>
      <c r="O1030">
        <v>40</v>
      </c>
    </row>
    <row r="1031" spans="1:15">
      <c r="A1031" s="1">
        <v>45985</v>
      </c>
      <c r="B1031">
        <v>8</v>
      </c>
      <c r="C1031" t="s">
        <v>99</v>
      </c>
      <c r="D1031">
        <v>8</v>
      </c>
      <c r="E1031" s="2">
        <v>3.5</v>
      </c>
      <c r="F1031" s="2">
        <v>-205.27</v>
      </c>
      <c r="G1031" s="2">
        <v>213.63</v>
      </c>
      <c r="H1031" s="2">
        <v>-69.67</v>
      </c>
      <c r="I1031" s="2">
        <v>82.19</v>
      </c>
      <c r="J1031" s="2">
        <v>1.91</v>
      </c>
      <c r="K1031" s="2">
        <v>-3.61</v>
      </c>
      <c r="L1031" s="2">
        <v>4.09</v>
      </c>
      <c r="M1031" s="2">
        <v>-0.5</v>
      </c>
      <c r="N1031" t="s">
        <v>230</v>
      </c>
      <c r="O1031">
        <v>40</v>
      </c>
    </row>
    <row r="1032" spans="1:15">
      <c r="A1032" s="1">
        <v>45985</v>
      </c>
      <c r="B1032">
        <v>8</v>
      </c>
      <c r="C1032" t="s">
        <v>99</v>
      </c>
      <c r="D1032">
        <v>8</v>
      </c>
      <c r="E1032" s="2">
        <v>4</v>
      </c>
      <c r="F1032" s="2">
        <v>-149.43</v>
      </c>
      <c r="G1032" s="2">
        <v>159.22</v>
      </c>
      <c r="H1032" s="2">
        <v>-70.89</v>
      </c>
      <c r="I1032" s="2">
        <v>61.68</v>
      </c>
      <c r="J1032" s="2">
        <v>2.06</v>
      </c>
      <c r="K1032" s="2">
        <v>-3.35</v>
      </c>
      <c r="L1032" s="2">
        <v>3.93</v>
      </c>
      <c r="M1032" s="2">
        <v>-0.43</v>
      </c>
      <c r="N1032" t="s">
        <v>230</v>
      </c>
      <c r="O1032">
        <v>40</v>
      </c>
    </row>
    <row r="1033" spans="1:15">
      <c r="A1033" s="1">
        <v>45985</v>
      </c>
      <c r="B1033">
        <v>8</v>
      </c>
      <c r="C1033" t="s">
        <v>99</v>
      </c>
      <c r="D1033">
        <v>8</v>
      </c>
      <c r="E1033" s="2">
        <v>4.5</v>
      </c>
      <c r="F1033" s="2">
        <v>-101.33</v>
      </c>
      <c r="G1033" s="2">
        <v>108.09</v>
      </c>
      <c r="H1033" s="2">
        <v>-116.27</v>
      </c>
      <c r="I1033" s="2">
        <v>119.59</v>
      </c>
      <c r="J1033" s="2">
        <v>2.19</v>
      </c>
      <c r="K1033" s="2">
        <v>-3.33</v>
      </c>
      <c r="L1033" s="2">
        <v>3.98</v>
      </c>
      <c r="M1033" s="2">
        <v>-0.42</v>
      </c>
      <c r="N1033" t="s">
        <v>230</v>
      </c>
      <c r="O1033">
        <v>40</v>
      </c>
    </row>
    <row r="1034" spans="1:15">
      <c r="A1034" s="1">
        <v>45985</v>
      </c>
      <c r="B1034">
        <v>8</v>
      </c>
      <c r="C1034" t="s">
        <v>99</v>
      </c>
      <c r="D1034">
        <v>8</v>
      </c>
      <c r="E1034" s="2">
        <v>5</v>
      </c>
      <c r="F1034" s="2">
        <v>-26.4</v>
      </c>
      <c r="G1034" s="2">
        <v>34.25</v>
      </c>
      <c r="H1034" s="2">
        <v>-147.77000000000001</v>
      </c>
      <c r="I1034" s="2">
        <v>154.32</v>
      </c>
      <c r="J1034" s="2">
        <v>2.3199999999999998</v>
      </c>
      <c r="K1034" s="2">
        <v>-3.36</v>
      </c>
      <c r="L1034" s="2">
        <v>4.08</v>
      </c>
      <c r="M1034" s="2">
        <v>-0.44</v>
      </c>
      <c r="N1034" t="s">
        <v>230</v>
      </c>
      <c r="O1034">
        <v>40</v>
      </c>
    </row>
    <row r="1035" spans="1:15">
      <c r="A1035" s="1">
        <v>45985</v>
      </c>
      <c r="B1035">
        <v>8</v>
      </c>
      <c r="C1035" t="s">
        <v>99</v>
      </c>
      <c r="D1035">
        <v>8</v>
      </c>
      <c r="E1035" s="2">
        <v>5.5</v>
      </c>
      <c r="F1035" s="2">
        <v>39.43</v>
      </c>
      <c r="G1035" s="2">
        <v>-30.53</v>
      </c>
      <c r="H1035" s="2">
        <v>-152.03</v>
      </c>
      <c r="I1035" s="2">
        <v>150.86000000000001</v>
      </c>
      <c r="J1035" s="2">
        <v>2.54</v>
      </c>
      <c r="K1035" s="2">
        <v>-3.33</v>
      </c>
      <c r="L1035" s="2">
        <v>4.1900000000000004</v>
      </c>
      <c r="M1035" s="2">
        <v>-0.63</v>
      </c>
      <c r="N1035" t="s">
        <v>230</v>
      </c>
      <c r="O1035">
        <v>40</v>
      </c>
    </row>
    <row r="1036" spans="1:15">
      <c r="A1036" s="1">
        <v>45985</v>
      </c>
      <c r="B1036">
        <v>8</v>
      </c>
      <c r="C1036" t="s">
        <v>99</v>
      </c>
      <c r="D1036">
        <v>8</v>
      </c>
      <c r="E1036" s="2">
        <v>6</v>
      </c>
      <c r="F1036" s="2">
        <v>74.989999999999995</v>
      </c>
      <c r="G1036" s="2">
        <v>-66.12</v>
      </c>
      <c r="H1036" s="2">
        <v>-183.13</v>
      </c>
      <c r="I1036" s="2">
        <v>184.72</v>
      </c>
      <c r="J1036" s="2">
        <v>2.73</v>
      </c>
      <c r="K1036" s="2">
        <v>-3.43</v>
      </c>
      <c r="L1036" s="2">
        <v>4.38</v>
      </c>
      <c r="M1036" s="2">
        <v>-0.64</v>
      </c>
      <c r="N1036" t="s">
        <v>230</v>
      </c>
      <c r="O1036">
        <v>40</v>
      </c>
    </row>
    <row r="1037" spans="1:15">
      <c r="A1037" s="1">
        <v>45985</v>
      </c>
      <c r="B1037">
        <v>8</v>
      </c>
      <c r="C1037" t="s">
        <v>99</v>
      </c>
      <c r="D1037">
        <v>8</v>
      </c>
      <c r="E1037" s="2">
        <v>6.5</v>
      </c>
      <c r="F1037" s="2">
        <v>177.2</v>
      </c>
      <c r="G1037" s="2">
        <v>-168.64</v>
      </c>
      <c r="H1037" s="2">
        <v>-172.37</v>
      </c>
      <c r="I1037" s="2">
        <v>173.48</v>
      </c>
      <c r="J1037" s="2">
        <v>2.85</v>
      </c>
      <c r="K1037" s="2">
        <v>-3.34</v>
      </c>
      <c r="L1037" s="2">
        <v>4.3899999999999997</v>
      </c>
      <c r="M1037" s="2">
        <v>-0.62</v>
      </c>
      <c r="N1037" t="s">
        <v>230</v>
      </c>
      <c r="O1037">
        <v>40</v>
      </c>
    </row>
    <row r="1038" spans="1:15">
      <c r="A1038" s="1">
        <v>45985</v>
      </c>
      <c r="B1038">
        <v>8</v>
      </c>
      <c r="C1038" t="s">
        <v>99</v>
      </c>
      <c r="D1038">
        <v>8</v>
      </c>
      <c r="E1038" s="2">
        <v>7</v>
      </c>
      <c r="F1038" s="2">
        <v>281.07</v>
      </c>
      <c r="G1038" s="2">
        <v>-272.18</v>
      </c>
      <c r="H1038" s="2">
        <v>-184.32</v>
      </c>
      <c r="I1038" s="2">
        <v>176.54</v>
      </c>
      <c r="J1038" s="2">
        <v>2.96</v>
      </c>
      <c r="K1038" s="2">
        <v>-3.1</v>
      </c>
      <c r="L1038" s="2">
        <v>4.28</v>
      </c>
      <c r="M1038" s="2">
        <v>-0.59</v>
      </c>
      <c r="N1038" t="s">
        <v>230</v>
      </c>
      <c r="O1038">
        <v>40</v>
      </c>
    </row>
    <row r="1039" spans="1:15">
      <c r="A1039" s="1">
        <v>45985</v>
      </c>
      <c r="B1039">
        <v>8</v>
      </c>
      <c r="C1039" t="s">
        <v>99</v>
      </c>
      <c r="D1039">
        <v>8</v>
      </c>
      <c r="E1039" s="2">
        <v>7.5</v>
      </c>
      <c r="F1039" s="2">
        <v>304.29000000000002</v>
      </c>
      <c r="G1039" s="2">
        <v>-287.89999999999998</v>
      </c>
      <c r="H1039" s="2">
        <v>-163.47999999999999</v>
      </c>
      <c r="I1039" s="2">
        <v>160.75</v>
      </c>
      <c r="J1039" s="2">
        <v>3.01</v>
      </c>
      <c r="K1039" s="2">
        <v>-2.92</v>
      </c>
      <c r="L1039" s="2">
        <v>4.1900000000000004</v>
      </c>
      <c r="M1039" s="2">
        <v>-0.6</v>
      </c>
      <c r="N1039" t="s">
        <v>230</v>
      </c>
      <c r="O1039">
        <v>40</v>
      </c>
    </row>
    <row r="1040" spans="1:15">
      <c r="A1040" s="1">
        <v>45985</v>
      </c>
      <c r="B1040">
        <v>8</v>
      </c>
      <c r="C1040" t="s">
        <v>99</v>
      </c>
      <c r="D1040">
        <v>8</v>
      </c>
      <c r="E1040" s="2">
        <v>8</v>
      </c>
      <c r="F1040" s="2">
        <v>271.33999999999997</v>
      </c>
      <c r="G1040" s="2">
        <v>-266.83</v>
      </c>
      <c r="H1040" s="2">
        <v>-69.48</v>
      </c>
      <c r="I1040" s="2">
        <v>79.16</v>
      </c>
      <c r="J1040" s="2">
        <v>3.12</v>
      </c>
      <c r="K1040" s="2">
        <v>-2.87</v>
      </c>
      <c r="L1040" s="2">
        <v>4.24</v>
      </c>
      <c r="M1040" s="2">
        <v>-0.55000000000000004</v>
      </c>
      <c r="N1040" t="s">
        <v>230</v>
      </c>
      <c r="O1040">
        <v>40</v>
      </c>
    </row>
    <row r="1041" spans="1:15">
      <c r="A1041" s="1">
        <v>45985</v>
      </c>
      <c r="B1041">
        <v>8</v>
      </c>
      <c r="C1041" t="s">
        <v>99</v>
      </c>
      <c r="D1041">
        <v>8</v>
      </c>
      <c r="E1041" s="2">
        <v>8.5</v>
      </c>
      <c r="F1041" s="2">
        <v>332.8</v>
      </c>
      <c r="G1041" s="2">
        <v>-322.18</v>
      </c>
      <c r="H1041" s="2">
        <v>-8.25</v>
      </c>
      <c r="I1041" s="2">
        <v>11.34</v>
      </c>
      <c r="J1041" s="2">
        <v>3.23</v>
      </c>
      <c r="K1041" s="2">
        <v>-2.95</v>
      </c>
      <c r="L1041" s="2">
        <v>4.37</v>
      </c>
      <c r="M1041" s="2">
        <v>-0.45</v>
      </c>
      <c r="N1041" t="s">
        <v>230</v>
      </c>
      <c r="O1041">
        <v>40</v>
      </c>
    </row>
    <row r="1042" spans="1:15">
      <c r="A1042" s="1">
        <v>45985</v>
      </c>
      <c r="B1042">
        <v>8</v>
      </c>
      <c r="C1042" t="s">
        <v>99</v>
      </c>
      <c r="D1042">
        <v>8</v>
      </c>
      <c r="E1042" s="2">
        <v>9</v>
      </c>
      <c r="F1042" s="2">
        <v>316.95999999999998</v>
      </c>
      <c r="G1042" s="2">
        <v>-306.93</v>
      </c>
      <c r="H1042" s="2">
        <v>57.2</v>
      </c>
      <c r="I1042" s="2">
        <v>-52.37</v>
      </c>
      <c r="J1042" s="2">
        <v>3.15</v>
      </c>
      <c r="K1042" s="2">
        <v>-3.08</v>
      </c>
      <c r="L1042" s="2">
        <v>4.4000000000000004</v>
      </c>
      <c r="M1042" s="2">
        <v>-0.38</v>
      </c>
      <c r="N1042" t="s">
        <v>230</v>
      </c>
      <c r="O1042">
        <v>40</v>
      </c>
    </row>
    <row r="1043" spans="1:15">
      <c r="A1043" s="1">
        <v>45985</v>
      </c>
      <c r="B1043">
        <v>8</v>
      </c>
      <c r="C1043" t="s">
        <v>99</v>
      </c>
      <c r="D1043">
        <v>8</v>
      </c>
      <c r="E1043" s="2">
        <v>9.5</v>
      </c>
      <c r="F1043" s="2">
        <v>204.33</v>
      </c>
      <c r="G1043" s="2">
        <v>-197.11</v>
      </c>
      <c r="H1043" s="2">
        <v>113.57</v>
      </c>
      <c r="I1043" s="2">
        <v>-129.03</v>
      </c>
      <c r="J1043" s="2">
        <v>3.16</v>
      </c>
      <c r="K1043" s="2">
        <v>-3.11</v>
      </c>
      <c r="L1043" s="2">
        <v>4.43</v>
      </c>
      <c r="M1043" s="2">
        <v>-0.43</v>
      </c>
      <c r="N1043" t="s">
        <v>230</v>
      </c>
      <c r="O1043">
        <v>40</v>
      </c>
    </row>
    <row r="1044" spans="1:15">
      <c r="A1044" s="1">
        <v>45985</v>
      </c>
      <c r="B1044">
        <v>8</v>
      </c>
      <c r="C1044" t="s">
        <v>99</v>
      </c>
      <c r="D1044">
        <v>8</v>
      </c>
      <c r="E1044" s="2">
        <v>10</v>
      </c>
      <c r="F1044" s="2">
        <v>62.08</v>
      </c>
      <c r="G1044" s="2">
        <v>-44.96</v>
      </c>
      <c r="H1044" s="2">
        <v>147.26</v>
      </c>
      <c r="I1044" s="2">
        <v>-147.87</v>
      </c>
      <c r="J1044" s="2">
        <v>3.25</v>
      </c>
      <c r="K1044" s="2">
        <v>-3.02</v>
      </c>
      <c r="L1044" s="2">
        <v>4.43</v>
      </c>
      <c r="M1044" s="2">
        <v>-0.44</v>
      </c>
      <c r="N1044" t="s">
        <v>230</v>
      </c>
      <c r="O1044">
        <v>40</v>
      </c>
    </row>
    <row r="1045" spans="1:15">
      <c r="A1045" s="1">
        <v>45985</v>
      </c>
      <c r="B1045">
        <v>8</v>
      </c>
      <c r="C1045" t="s">
        <v>99</v>
      </c>
      <c r="D1045">
        <v>8</v>
      </c>
      <c r="E1045" s="2">
        <v>10.5</v>
      </c>
      <c r="F1045" s="2">
        <v>78.59</v>
      </c>
      <c r="G1045" s="2">
        <v>-71.66</v>
      </c>
      <c r="H1045" s="2">
        <v>76.66</v>
      </c>
      <c r="I1045" s="2">
        <v>-77.069999999999993</v>
      </c>
      <c r="J1045" s="2">
        <v>3.23</v>
      </c>
      <c r="K1045" s="2">
        <v>-3.22</v>
      </c>
      <c r="L1045" s="2">
        <v>4.5599999999999996</v>
      </c>
      <c r="M1045" s="2">
        <v>-0.44</v>
      </c>
      <c r="N1045" t="s">
        <v>230</v>
      </c>
      <c r="O1045">
        <v>40</v>
      </c>
    </row>
    <row r="1046" spans="1:15">
      <c r="A1046" s="1">
        <v>45985</v>
      </c>
      <c r="B1046">
        <v>8</v>
      </c>
      <c r="C1046" t="s">
        <v>99</v>
      </c>
      <c r="D1046">
        <v>8</v>
      </c>
      <c r="E1046" s="2">
        <v>11</v>
      </c>
      <c r="F1046" s="2">
        <v>8.26</v>
      </c>
      <c r="G1046" s="2">
        <v>2.06</v>
      </c>
      <c r="H1046" s="2">
        <v>31.86</v>
      </c>
      <c r="I1046" s="2">
        <v>-33.79</v>
      </c>
      <c r="J1046" s="2">
        <v>3.2</v>
      </c>
      <c r="K1046" s="2">
        <v>-3.26</v>
      </c>
      <c r="L1046" s="2">
        <v>4.57</v>
      </c>
      <c r="M1046" s="2">
        <v>-0.36</v>
      </c>
      <c r="N1046" t="s">
        <v>230</v>
      </c>
      <c r="O1046">
        <v>40</v>
      </c>
    </row>
    <row r="1047" spans="1:15">
      <c r="A1047" s="1">
        <v>45985</v>
      </c>
      <c r="B1047">
        <v>8</v>
      </c>
      <c r="C1047" t="s">
        <v>99</v>
      </c>
      <c r="D1047">
        <v>8</v>
      </c>
      <c r="E1047" s="2">
        <v>11.5</v>
      </c>
      <c r="F1047" s="2">
        <v>-71.349999999999994</v>
      </c>
      <c r="G1047" s="2">
        <v>74.92</v>
      </c>
      <c r="H1047" s="2">
        <v>11.53</v>
      </c>
      <c r="I1047" s="2">
        <v>-14.46</v>
      </c>
      <c r="J1047" s="2">
        <v>3.06</v>
      </c>
      <c r="K1047" s="2">
        <v>-3.43</v>
      </c>
      <c r="L1047" s="2">
        <v>4.5999999999999996</v>
      </c>
      <c r="M1047" s="2">
        <v>-0.24</v>
      </c>
      <c r="N1047" t="s">
        <v>230</v>
      </c>
      <c r="O1047">
        <v>40</v>
      </c>
    </row>
    <row r="1048" spans="1:15">
      <c r="A1048" s="1">
        <v>45985</v>
      </c>
      <c r="B1048">
        <v>8</v>
      </c>
      <c r="C1048" t="s">
        <v>99</v>
      </c>
      <c r="D1048">
        <v>8</v>
      </c>
      <c r="E1048" s="2">
        <v>12</v>
      </c>
      <c r="F1048" s="2">
        <v>-83.49</v>
      </c>
      <c r="G1048" s="2">
        <v>96.32</v>
      </c>
      <c r="H1048" s="2">
        <v>20.8</v>
      </c>
      <c r="I1048" s="2">
        <v>-22.57</v>
      </c>
      <c r="J1048" s="2">
        <v>2.81</v>
      </c>
      <c r="K1048" s="2">
        <v>-3.25</v>
      </c>
      <c r="L1048" s="2">
        <v>4.3</v>
      </c>
      <c r="M1048" s="2">
        <v>-0.24</v>
      </c>
      <c r="N1048" t="s">
        <v>230</v>
      </c>
      <c r="O1048">
        <v>40</v>
      </c>
    </row>
    <row r="1049" spans="1:15">
      <c r="A1049" s="1">
        <v>45985</v>
      </c>
      <c r="B1049">
        <v>8</v>
      </c>
      <c r="C1049" t="s">
        <v>99</v>
      </c>
      <c r="D1049">
        <v>8</v>
      </c>
      <c r="E1049" s="2">
        <v>12.5</v>
      </c>
      <c r="F1049" s="2">
        <v>-42.86</v>
      </c>
      <c r="G1049" s="2">
        <v>51.72</v>
      </c>
      <c r="H1049" s="2">
        <v>13.88</v>
      </c>
      <c r="I1049" s="2">
        <v>-20.07</v>
      </c>
      <c r="J1049" s="2">
        <v>2.5299999999999998</v>
      </c>
      <c r="K1049" s="2">
        <v>-3.11</v>
      </c>
      <c r="L1049" s="2">
        <v>4.01</v>
      </c>
      <c r="M1049" s="2">
        <v>-0.21</v>
      </c>
      <c r="N1049" t="s">
        <v>230</v>
      </c>
      <c r="O1049">
        <v>40</v>
      </c>
    </row>
    <row r="1050" spans="1:15">
      <c r="A1050" s="1">
        <v>45985</v>
      </c>
      <c r="B1050">
        <v>8</v>
      </c>
      <c r="C1050" t="s">
        <v>99</v>
      </c>
      <c r="D1050">
        <v>8</v>
      </c>
      <c r="E1050" s="2">
        <v>13</v>
      </c>
      <c r="F1050" s="2">
        <v>-98.03</v>
      </c>
      <c r="G1050" s="2">
        <v>105.03</v>
      </c>
      <c r="H1050" s="2">
        <v>-44.81</v>
      </c>
      <c r="I1050" s="2">
        <v>40.770000000000003</v>
      </c>
      <c r="J1050" s="2">
        <v>2.39</v>
      </c>
      <c r="K1050" s="2">
        <v>-3.03</v>
      </c>
      <c r="L1050" s="2">
        <v>3.86</v>
      </c>
      <c r="M1050" s="2">
        <v>-0.24</v>
      </c>
      <c r="N1050" t="s">
        <v>230</v>
      </c>
      <c r="O1050">
        <v>40</v>
      </c>
    </row>
    <row r="1051" spans="1:15">
      <c r="A1051" s="1">
        <v>45985</v>
      </c>
      <c r="B1051">
        <v>8</v>
      </c>
      <c r="C1051" t="s">
        <v>99</v>
      </c>
      <c r="D1051">
        <v>8</v>
      </c>
      <c r="E1051" s="2">
        <v>13.5</v>
      </c>
      <c r="F1051" s="2">
        <v>-263.77</v>
      </c>
      <c r="G1051" s="2">
        <v>273.61</v>
      </c>
      <c r="H1051" s="2">
        <v>-175.98</v>
      </c>
      <c r="I1051" s="2">
        <v>185.95</v>
      </c>
      <c r="J1051" s="2">
        <v>2.34</v>
      </c>
      <c r="K1051" s="2">
        <v>-3.14</v>
      </c>
      <c r="L1051" s="2">
        <v>3.92</v>
      </c>
      <c r="M1051" s="2">
        <v>-0.13</v>
      </c>
      <c r="N1051" t="s">
        <v>230</v>
      </c>
      <c r="O1051">
        <v>40</v>
      </c>
    </row>
    <row r="1052" spans="1:15">
      <c r="A1052" s="1">
        <v>45985</v>
      </c>
      <c r="B1052">
        <v>8</v>
      </c>
      <c r="C1052" t="s">
        <v>99</v>
      </c>
      <c r="D1052">
        <v>8</v>
      </c>
      <c r="E1052" s="2">
        <v>14</v>
      </c>
      <c r="F1052" s="2">
        <v>-292.16000000000003</v>
      </c>
      <c r="G1052" s="2">
        <v>301.85000000000002</v>
      </c>
      <c r="H1052" s="2">
        <v>-302.58</v>
      </c>
      <c r="I1052" s="2">
        <v>304.36</v>
      </c>
      <c r="J1052" s="2">
        <v>2.31</v>
      </c>
      <c r="K1052" s="2">
        <v>-3.17</v>
      </c>
      <c r="L1052" s="2">
        <v>3.92</v>
      </c>
      <c r="M1052" s="2">
        <v>0.17</v>
      </c>
      <c r="N1052" t="s">
        <v>230</v>
      </c>
      <c r="O1052">
        <v>40</v>
      </c>
    </row>
    <row r="1053" spans="1:15">
      <c r="A1053" s="1">
        <v>45985</v>
      </c>
      <c r="B1053">
        <v>8</v>
      </c>
      <c r="C1053" t="s">
        <v>99</v>
      </c>
      <c r="D1053">
        <v>8</v>
      </c>
      <c r="E1053" s="2">
        <v>14.5</v>
      </c>
      <c r="F1053" s="2">
        <v>-262.42</v>
      </c>
      <c r="G1053" s="2">
        <v>271.33999999999997</v>
      </c>
      <c r="H1053" s="2">
        <v>-255.69</v>
      </c>
      <c r="I1053" s="2">
        <v>257.77999999999997</v>
      </c>
      <c r="J1053" s="2">
        <v>2.33</v>
      </c>
      <c r="K1053" s="2">
        <v>-3.16</v>
      </c>
      <c r="L1053" s="2">
        <v>3.93</v>
      </c>
      <c r="M1053" s="2">
        <v>0.3</v>
      </c>
      <c r="N1053" t="s">
        <v>230</v>
      </c>
      <c r="O1053">
        <v>40</v>
      </c>
    </row>
    <row r="1054" spans="1:15">
      <c r="A1054" s="1">
        <v>45985</v>
      </c>
      <c r="B1054">
        <v>8</v>
      </c>
      <c r="C1054" t="s">
        <v>99</v>
      </c>
      <c r="D1054">
        <v>8</v>
      </c>
      <c r="E1054" s="2">
        <v>15</v>
      </c>
      <c r="F1054" s="2">
        <v>-225.76</v>
      </c>
      <c r="G1054" s="2">
        <v>237.37</v>
      </c>
      <c r="H1054" s="2">
        <v>-198.13</v>
      </c>
      <c r="I1054" s="2">
        <v>194.25</v>
      </c>
      <c r="J1054" s="2">
        <v>2.23</v>
      </c>
      <c r="K1054" s="2">
        <v>-3.14</v>
      </c>
      <c r="L1054" s="2">
        <v>3.85</v>
      </c>
      <c r="M1054" s="2">
        <v>0.38</v>
      </c>
      <c r="N1054" t="s">
        <v>230</v>
      </c>
      <c r="O1054">
        <v>40</v>
      </c>
    </row>
    <row r="1055" spans="1:15">
      <c r="A1055" s="1">
        <v>45985</v>
      </c>
      <c r="B1055">
        <v>8</v>
      </c>
      <c r="C1055" t="s">
        <v>99</v>
      </c>
      <c r="D1055">
        <v>8</v>
      </c>
      <c r="E1055" s="2">
        <v>15.5</v>
      </c>
      <c r="F1055" s="2">
        <v>-160.77000000000001</v>
      </c>
      <c r="G1055" s="2">
        <v>166.65</v>
      </c>
      <c r="H1055" s="2">
        <v>-187.78</v>
      </c>
      <c r="I1055" s="2">
        <v>181.98</v>
      </c>
      <c r="J1055" s="2">
        <v>2.13</v>
      </c>
      <c r="K1055" s="2">
        <v>-3</v>
      </c>
      <c r="L1055" s="2">
        <v>3.68</v>
      </c>
      <c r="M1055" s="2">
        <v>0.35</v>
      </c>
      <c r="N1055" t="s">
        <v>230</v>
      </c>
      <c r="O1055">
        <v>40</v>
      </c>
    </row>
    <row r="1056" spans="1:15">
      <c r="A1056" s="1">
        <v>45985</v>
      </c>
      <c r="B1056">
        <v>8</v>
      </c>
      <c r="C1056" t="s">
        <v>99</v>
      </c>
      <c r="D1056">
        <v>8</v>
      </c>
      <c r="E1056" s="2">
        <v>16</v>
      </c>
      <c r="F1056" s="2">
        <v>-75.09</v>
      </c>
      <c r="G1056" s="2">
        <v>83.06</v>
      </c>
      <c r="H1056" s="2">
        <v>-168.25</v>
      </c>
      <c r="I1056" s="2">
        <v>170.84</v>
      </c>
      <c r="J1056" s="2">
        <v>2.0499999999999998</v>
      </c>
      <c r="K1056" s="2">
        <v>-2.92</v>
      </c>
      <c r="L1056" s="2">
        <v>3.57</v>
      </c>
      <c r="M1056" s="2">
        <v>0.4</v>
      </c>
      <c r="N1056" t="s">
        <v>230</v>
      </c>
      <c r="O1056">
        <v>40</v>
      </c>
    </row>
    <row r="1057" spans="1:15">
      <c r="A1057" s="1">
        <v>45985</v>
      </c>
      <c r="B1057">
        <v>8</v>
      </c>
      <c r="C1057" t="s">
        <v>99</v>
      </c>
      <c r="D1057">
        <v>8</v>
      </c>
      <c r="E1057" s="2">
        <v>16.5</v>
      </c>
      <c r="F1057" s="2">
        <v>108.62</v>
      </c>
      <c r="G1057" s="2">
        <v>-102.26</v>
      </c>
      <c r="H1057" s="2">
        <v>-106.83</v>
      </c>
      <c r="I1057" s="2">
        <v>116.21</v>
      </c>
      <c r="J1057" s="2">
        <v>1.97</v>
      </c>
      <c r="K1057" s="2">
        <v>-2.88</v>
      </c>
      <c r="L1057" s="2">
        <v>3.49</v>
      </c>
      <c r="M1057" s="2">
        <v>0.47</v>
      </c>
      <c r="N1057" t="s">
        <v>230</v>
      </c>
      <c r="O1057">
        <v>40</v>
      </c>
    </row>
    <row r="1058" spans="1:15">
      <c r="A1058" s="1">
        <v>45985</v>
      </c>
      <c r="B1058">
        <v>8</v>
      </c>
      <c r="C1058" t="s">
        <v>99</v>
      </c>
      <c r="D1058">
        <v>8</v>
      </c>
      <c r="E1058" s="2">
        <v>17</v>
      </c>
      <c r="F1058" s="2">
        <v>267.95999999999998</v>
      </c>
      <c r="G1058" s="2">
        <v>-259.81</v>
      </c>
      <c r="H1058" s="2">
        <v>-58.31</v>
      </c>
      <c r="I1058" s="2">
        <v>56.7</v>
      </c>
      <c r="J1058" s="2">
        <v>1.89</v>
      </c>
      <c r="K1058" s="2">
        <v>-2.91</v>
      </c>
      <c r="L1058" s="2">
        <v>3.47</v>
      </c>
      <c r="M1058" s="2">
        <v>0.5</v>
      </c>
      <c r="N1058" t="s">
        <v>230</v>
      </c>
      <c r="O1058">
        <v>40</v>
      </c>
    </row>
    <row r="1059" spans="1:15">
      <c r="A1059" s="1">
        <v>45985</v>
      </c>
      <c r="B1059">
        <v>8</v>
      </c>
      <c r="C1059" t="s">
        <v>99</v>
      </c>
      <c r="D1059">
        <v>8</v>
      </c>
      <c r="E1059" s="2">
        <v>17.5</v>
      </c>
      <c r="F1059" s="2">
        <v>320.58999999999997</v>
      </c>
      <c r="G1059" s="2">
        <v>-315.06</v>
      </c>
      <c r="H1059" s="2">
        <v>-69.95</v>
      </c>
      <c r="I1059" s="2">
        <v>63.51</v>
      </c>
      <c r="J1059" s="2">
        <v>1.74</v>
      </c>
      <c r="K1059" s="2">
        <v>-2.65</v>
      </c>
      <c r="L1059" s="2">
        <v>3.17</v>
      </c>
      <c r="M1059" s="2">
        <v>0.47</v>
      </c>
      <c r="N1059" t="s">
        <v>230</v>
      </c>
      <c r="O1059">
        <v>40</v>
      </c>
    </row>
    <row r="1060" spans="1:15">
      <c r="A1060" s="1">
        <v>45985</v>
      </c>
      <c r="B1060">
        <v>8</v>
      </c>
      <c r="C1060" t="s">
        <v>99</v>
      </c>
      <c r="D1060">
        <v>8</v>
      </c>
      <c r="E1060" s="2">
        <v>18</v>
      </c>
      <c r="F1060" s="2">
        <v>391.65</v>
      </c>
      <c r="G1060" s="2">
        <v>-382.21</v>
      </c>
      <c r="H1060" s="2">
        <v>-92.98</v>
      </c>
      <c r="I1060" s="2">
        <v>101.73</v>
      </c>
      <c r="J1060" s="2">
        <v>1.6</v>
      </c>
      <c r="K1060" s="2">
        <v>-2.48</v>
      </c>
      <c r="L1060" s="2">
        <v>2.95</v>
      </c>
      <c r="M1060" s="2">
        <v>0.4</v>
      </c>
      <c r="N1060" t="s">
        <v>230</v>
      </c>
      <c r="O1060">
        <v>40</v>
      </c>
    </row>
    <row r="1061" spans="1:15">
      <c r="A1061" s="1">
        <v>45985</v>
      </c>
      <c r="B1061">
        <v>8</v>
      </c>
      <c r="C1061" t="s">
        <v>99</v>
      </c>
      <c r="D1061">
        <v>8</v>
      </c>
      <c r="E1061" s="2">
        <v>18.5</v>
      </c>
      <c r="F1061" s="2">
        <v>438</v>
      </c>
      <c r="G1061" s="2">
        <v>-430.3</v>
      </c>
      <c r="H1061" s="2">
        <v>-104.12</v>
      </c>
      <c r="I1061" s="2">
        <v>115.33</v>
      </c>
      <c r="J1061" s="2">
        <v>1.5</v>
      </c>
      <c r="K1061" s="2">
        <v>-2.33</v>
      </c>
      <c r="L1061" s="2">
        <v>2.77</v>
      </c>
      <c r="M1061" s="2">
        <v>0.33</v>
      </c>
      <c r="N1061" t="s">
        <v>230</v>
      </c>
      <c r="O1061">
        <v>40</v>
      </c>
    </row>
    <row r="1062" spans="1:15">
      <c r="A1062" s="1">
        <v>45985</v>
      </c>
      <c r="B1062">
        <v>8</v>
      </c>
      <c r="C1062" t="s">
        <v>99</v>
      </c>
      <c r="D1062">
        <v>8</v>
      </c>
      <c r="E1062" s="2">
        <v>19</v>
      </c>
      <c r="F1062" s="2">
        <v>442.64</v>
      </c>
      <c r="G1062" s="2">
        <v>-436.74</v>
      </c>
      <c r="H1062" s="2">
        <v>-105.08</v>
      </c>
      <c r="I1062" s="2">
        <v>106.19</v>
      </c>
      <c r="J1062" s="2">
        <v>1.47</v>
      </c>
      <c r="K1062" s="2">
        <v>-2.16</v>
      </c>
      <c r="L1062" s="2">
        <v>2.61</v>
      </c>
      <c r="M1062" s="2">
        <v>0.31</v>
      </c>
      <c r="N1062" t="s">
        <v>230</v>
      </c>
      <c r="O1062">
        <v>40</v>
      </c>
    </row>
    <row r="1063" spans="1:15">
      <c r="A1063" s="1">
        <v>45985</v>
      </c>
      <c r="B1063">
        <v>8</v>
      </c>
      <c r="C1063" t="s">
        <v>99</v>
      </c>
      <c r="D1063">
        <v>8</v>
      </c>
      <c r="E1063" s="2">
        <v>19.5</v>
      </c>
      <c r="F1063" s="2">
        <v>324.83999999999997</v>
      </c>
      <c r="G1063" s="2">
        <v>-318.89</v>
      </c>
      <c r="H1063" s="2">
        <v>-42.61</v>
      </c>
      <c r="I1063" s="2">
        <v>48.34</v>
      </c>
      <c r="J1063" s="2">
        <v>1.33</v>
      </c>
      <c r="K1063" s="2">
        <v>-1.82</v>
      </c>
      <c r="L1063" s="2">
        <v>2.25</v>
      </c>
      <c r="M1063" s="2">
        <v>0.22</v>
      </c>
      <c r="N1063" t="s">
        <v>230</v>
      </c>
      <c r="O1063">
        <v>40</v>
      </c>
    </row>
    <row r="1064" spans="1:15">
      <c r="A1064" s="1">
        <v>45985</v>
      </c>
      <c r="B1064">
        <v>8</v>
      </c>
      <c r="C1064" t="s">
        <v>99</v>
      </c>
      <c r="D1064">
        <v>8</v>
      </c>
      <c r="E1064" s="2">
        <v>20</v>
      </c>
      <c r="F1064" s="2">
        <v>190.58</v>
      </c>
      <c r="G1064" s="2">
        <v>-183.81</v>
      </c>
      <c r="H1064" s="2">
        <v>3.14</v>
      </c>
      <c r="I1064" s="2">
        <v>12.06</v>
      </c>
      <c r="J1064" s="2">
        <v>1.21</v>
      </c>
      <c r="K1064" s="2">
        <v>-1.72</v>
      </c>
      <c r="L1064" s="2">
        <v>2.11</v>
      </c>
      <c r="M1064" s="2">
        <v>0.19</v>
      </c>
      <c r="N1064" t="s">
        <v>230</v>
      </c>
      <c r="O1064">
        <v>40</v>
      </c>
    </row>
    <row r="1065" spans="1:15">
      <c r="A1065" s="1">
        <v>45985</v>
      </c>
      <c r="B1065">
        <v>8</v>
      </c>
      <c r="C1065" t="s">
        <v>99</v>
      </c>
      <c r="D1065">
        <v>8</v>
      </c>
      <c r="E1065" s="2">
        <v>20.5</v>
      </c>
      <c r="F1065" s="2">
        <v>155.34</v>
      </c>
      <c r="G1065" s="2">
        <v>-149.19</v>
      </c>
      <c r="H1065" s="2">
        <v>-4.51</v>
      </c>
      <c r="I1065" s="2">
        <v>25.99</v>
      </c>
      <c r="J1065" s="2">
        <v>1.07</v>
      </c>
      <c r="K1065" s="2">
        <v>-1.52</v>
      </c>
      <c r="L1065" s="2">
        <v>1.86</v>
      </c>
      <c r="M1065" s="2">
        <v>0.2</v>
      </c>
      <c r="N1065" t="s">
        <v>230</v>
      </c>
      <c r="O1065">
        <v>40</v>
      </c>
    </row>
    <row r="1066" spans="1:15">
      <c r="A1066" s="1">
        <v>45985</v>
      </c>
      <c r="B1066">
        <v>8</v>
      </c>
      <c r="C1066" t="s">
        <v>99</v>
      </c>
      <c r="D1066">
        <v>8</v>
      </c>
      <c r="E1066" s="2">
        <v>21</v>
      </c>
      <c r="F1066" s="2">
        <v>115.11</v>
      </c>
      <c r="G1066" s="2">
        <v>-107.75</v>
      </c>
      <c r="H1066" s="2">
        <v>-2.4900000000000002</v>
      </c>
      <c r="I1066" s="2">
        <v>18.579999999999998</v>
      </c>
      <c r="J1066" s="2">
        <v>0.97</v>
      </c>
      <c r="K1066" s="2">
        <v>-1.51</v>
      </c>
      <c r="L1066" s="2">
        <v>1.79</v>
      </c>
      <c r="M1066" s="2">
        <v>0.34</v>
      </c>
      <c r="N1066" t="s">
        <v>230</v>
      </c>
      <c r="O1066">
        <v>40</v>
      </c>
    </row>
    <row r="1067" spans="1:15">
      <c r="A1067" s="1">
        <v>45985</v>
      </c>
      <c r="B1067">
        <v>8</v>
      </c>
      <c r="C1067" t="s">
        <v>99</v>
      </c>
      <c r="D1067">
        <v>8</v>
      </c>
      <c r="E1067" s="2">
        <v>21.5</v>
      </c>
      <c r="F1067" s="2">
        <v>-13.9</v>
      </c>
      <c r="G1067" s="2">
        <v>22.32</v>
      </c>
      <c r="H1067" s="2">
        <v>-17.809999999999999</v>
      </c>
      <c r="I1067" s="2">
        <v>20.75</v>
      </c>
      <c r="J1067" s="2">
        <v>0.76</v>
      </c>
      <c r="K1067" s="2">
        <v>-1.57</v>
      </c>
      <c r="L1067" s="2">
        <v>1.74</v>
      </c>
      <c r="M1067" s="2">
        <v>0.27</v>
      </c>
      <c r="N1067" t="s">
        <v>230</v>
      </c>
      <c r="O1067">
        <v>40</v>
      </c>
    </row>
    <row r="1068" spans="1:15">
      <c r="A1068" s="1">
        <v>45985</v>
      </c>
      <c r="B1068">
        <v>8</v>
      </c>
      <c r="C1068" t="s">
        <v>99</v>
      </c>
      <c r="D1068">
        <v>8</v>
      </c>
      <c r="E1068" s="2">
        <v>22</v>
      </c>
      <c r="F1068" s="2">
        <v>-58.71</v>
      </c>
      <c r="G1068" s="2">
        <v>65</v>
      </c>
      <c r="H1068" s="2">
        <v>-6.72</v>
      </c>
      <c r="I1068" s="2">
        <v>25.6</v>
      </c>
      <c r="J1068" s="2">
        <v>0.68</v>
      </c>
      <c r="K1068" s="2">
        <v>-1.34</v>
      </c>
      <c r="L1068" s="2">
        <v>1.5</v>
      </c>
      <c r="M1068" s="2">
        <v>0.25</v>
      </c>
      <c r="N1068" t="s">
        <v>230</v>
      </c>
      <c r="O1068">
        <v>40</v>
      </c>
    </row>
    <row r="1069" spans="1:15">
      <c r="A1069" s="1">
        <v>45985</v>
      </c>
      <c r="B1069">
        <v>8</v>
      </c>
      <c r="C1069" t="s">
        <v>99</v>
      </c>
      <c r="D1069">
        <v>8</v>
      </c>
      <c r="E1069" s="2">
        <v>22.5</v>
      </c>
      <c r="F1069" s="2">
        <v>-46.01</v>
      </c>
      <c r="G1069" s="2">
        <v>54.39</v>
      </c>
      <c r="H1069" s="2">
        <v>-101.88</v>
      </c>
      <c r="I1069" s="2">
        <v>122.48</v>
      </c>
      <c r="J1069" s="2">
        <v>0.64</v>
      </c>
      <c r="K1069" s="2">
        <v>-1.26</v>
      </c>
      <c r="L1069" s="2">
        <v>1.42</v>
      </c>
      <c r="M1069" s="2">
        <v>0.24</v>
      </c>
      <c r="N1069" t="s">
        <v>230</v>
      </c>
      <c r="O1069">
        <v>40</v>
      </c>
    </row>
    <row r="1070" spans="1:15">
      <c r="A1070" s="1">
        <v>45985</v>
      </c>
      <c r="B1070">
        <v>8</v>
      </c>
      <c r="C1070" t="s">
        <v>99</v>
      </c>
      <c r="D1070">
        <v>8</v>
      </c>
      <c r="E1070" s="2">
        <v>23</v>
      </c>
      <c r="F1070" s="2">
        <v>-59.02</v>
      </c>
      <c r="G1070" s="2">
        <v>63.05</v>
      </c>
      <c r="H1070" s="2">
        <v>-151.59</v>
      </c>
      <c r="I1070" s="2">
        <v>160.13</v>
      </c>
      <c r="J1070" s="2">
        <v>0.57999999999999996</v>
      </c>
      <c r="K1070" s="2">
        <v>-1.02</v>
      </c>
      <c r="L1070" s="2">
        <v>1.17</v>
      </c>
      <c r="M1070" s="2">
        <v>0.24</v>
      </c>
      <c r="N1070" t="s">
        <v>230</v>
      </c>
      <c r="O1070">
        <v>40</v>
      </c>
    </row>
    <row r="1071" spans="1:15">
      <c r="A1071" s="1">
        <v>45985</v>
      </c>
      <c r="B1071">
        <v>8</v>
      </c>
      <c r="C1071" t="s">
        <v>99</v>
      </c>
      <c r="D1071">
        <v>8</v>
      </c>
      <c r="E1071" s="2">
        <v>23.5</v>
      </c>
      <c r="F1071" s="2">
        <v>-124.62</v>
      </c>
      <c r="G1071" s="2">
        <v>135.53</v>
      </c>
      <c r="H1071" s="2">
        <v>-196.98</v>
      </c>
      <c r="I1071" s="2">
        <v>210.39</v>
      </c>
      <c r="J1071" s="2">
        <v>0.51</v>
      </c>
      <c r="K1071" s="2">
        <v>-0.8</v>
      </c>
      <c r="L1071" s="2">
        <v>0.95</v>
      </c>
      <c r="M1071" s="2">
        <v>0.1</v>
      </c>
      <c r="N1071" t="s">
        <v>230</v>
      </c>
      <c r="O1071">
        <v>40</v>
      </c>
    </row>
    <row r="1072" spans="1:15">
      <c r="A1072" s="1">
        <v>45985</v>
      </c>
      <c r="B1072">
        <v>8</v>
      </c>
      <c r="C1072" t="s">
        <v>99</v>
      </c>
      <c r="D1072">
        <v>8</v>
      </c>
      <c r="E1072" s="2">
        <v>24</v>
      </c>
      <c r="F1072" s="2">
        <v>-157.54</v>
      </c>
      <c r="G1072" s="2">
        <v>164.44</v>
      </c>
      <c r="H1072" s="2">
        <v>-246.02</v>
      </c>
      <c r="I1072" s="2">
        <v>259.07</v>
      </c>
      <c r="J1072" s="2">
        <v>0.47</v>
      </c>
      <c r="K1072" s="2">
        <v>-0.8</v>
      </c>
      <c r="L1072" s="2">
        <v>0.93</v>
      </c>
      <c r="M1072" s="2">
        <v>0.04</v>
      </c>
      <c r="N1072" t="s">
        <v>230</v>
      </c>
      <c r="O1072">
        <v>40</v>
      </c>
    </row>
    <row r="1073" spans="1:15">
      <c r="A1073" s="1">
        <v>45985</v>
      </c>
      <c r="B1073">
        <v>8</v>
      </c>
      <c r="C1073" t="s">
        <v>99</v>
      </c>
      <c r="D1073">
        <v>8</v>
      </c>
      <c r="E1073" s="2">
        <v>24.5</v>
      </c>
      <c r="F1073" s="2">
        <v>-53.67</v>
      </c>
      <c r="G1073" s="2">
        <v>57.28</v>
      </c>
      <c r="H1073" s="2">
        <v>-245.84</v>
      </c>
      <c r="I1073" s="2">
        <v>240.4</v>
      </c>
      <c r="J1073" s="2">
        <v>0.43</v>
      </c>
      <c r="K1073" s="2">
        <v>-0.63</v>
      </c>
      <c r="L1073" s="2">
        <v>0.76</v>
      </c>
      <c r="M1073" s="2">
        <v>-0.03</v>
      </c>
      <c r="N1073" t="s">
        <v>230</v>
      </c>
      <c r="O1073">
        <v>40</v>
      </c>
    </row>
    <row r="1074" spans="1:15">
      <c r="A1074" s="1">
        <v>45985</v>
      </c>
      <c r="B1074">
        <v>8</v>
      </c>
      <c r="C1074" t="s">
        <v>99</v>
      </c>
      <c r="D1074">
        <v>8</v>
      </c>
      <c r="E1074" s="2">
        <v>25</v>
      </c>
      <c r="F1074" s="2">
        <v>42.24</v>
      </c>
      <c r="G1074" s="2">
        <v>-34.11</v>
      </c>
      <c r="H1074" s="2">
        <v>-227.96</v>
      </c>
      <c r="I1074" s="2">
        <v>223.85</v>
      </c>
      <c r="J1074" s="2">
        <v>0.34</v>
      </c>
      <c r="K1074" s="2">
        <v>-0.67</v>
      </c>
      <c r="L1074" s="2">
        <v>0.76</v>
      </c>
      <c r="M1074" s="2">
        <v>-0.05</v>
      </c>
      <c r="N1074" t="s">
        <v>230</v>
      </c>
      <c r="O1074">
        <v>40</v>
      </c>
    </row>
    <row r="1075" spans="1:15">
      <c r="A1075" s="1">
        <v>45985</v>
      </c>
      <c r="B1075">
        <v>8</v>
      </c>
      <c r="C1075" t="s">
        <v>99</v>
      </c>
      <c r="D1075">
        <v>8</v>
      </c>
      <c r="E1075" s="2">
        <v>25.5</v>
      </c>
      <c r="F1075" s="2">
        <v>100.14</v>
      </c>
      <c r="G1075" s="2">
        <v>-92.83</v>
      </c>
      <c r="H1075" s="2">
        <v>-183.3</v>
      </c>
      <c r="I1075" s="2">
        <v>193.14</v>
      </c>
      <c r="J1075" s="2">
        <v>0.25</v>
      </c>
      <c r="K1075" s="2">
        <v>-0.51</v>
      </c>
      <c r="L1075" s="2">
        <v>0.56000000000000005</v>
      </c>
      <c r="M1075" s="2">
        <v>-0.11</v>
      </c>
      <c r="N1075" t="s">
        <v>230</v>
      </c>
      <c r="O1075">
        <v>40</v>
      </c>
    </row>
    <row r="1076" spans="1:15">
      <c r="A1076" s="1">
        <v>45985</v>
      </c>
      <c r="B1076">
        <v>8</v>
      </c>
      <c r="C1076" t="s">
        <v>99</v>
      </c>
      <c r="D1076">
        <v>8</v>
      </c>
      <c r="E1076" s="2">
        <v>26</v>
      </c>
      <c r="F1076" s="2">
        <v>145.79</v>
      </c>
      <c r="G1076" s="2">
        <v>-135.99</v>
      </c>
      <c r="H1076" s="2">
        <v>-241.54</v>
      </c>
      <c r="I1076" s="2">
        <v>243.08</v>
      </c>
      <c r="J1076" s="2">
        <v>0.19</v>
      </c>
      <c r="K1076" s="2">
        <v>-0.03</v>
      </c>
      <c r="L1076" s="2">
        <v>0.19</v>
      </c>
      <c r="M1076" s="2">
        <v>-0.08</v>
      </c>
      <c r="N1076" t="s">
        <v>230</v>
      </c>
      <c r="O1076">
        <v>40</v>
      </c>
    </row>
    <row r="1077" spans="1:15">
      <c r="A1077" s="1">
        <v>45985</v>
      </c>
      <c r="B1077">
        <v>8</v>
      </c>
      <c r="C1077" t="s">
        <v>99</v>
      </c>
      <c r="D1077">
        <v>8</v>
      </c>
      <c r="E1077" s="2">
        <v>26.5</v>
      </c>
      <c r="F1077" s="2">
        <v>149.37</v>
      </c>
      <c r="G1077" s="2">
        <v>-143.19999999999999</v>
      </c>
      <c r="H1077" s="2">
        <v>-256.37</v>
      </c>
      <c r="I1077" s="2">
        <v>258.70999999999998</v>
      </c>
      <c r="J1077" s="2">
        <v>0.11</v>
      </c>
      <c r="K1077" s="2">
        <v>0.04</v>
      </c>
      <c r="L1077" s="2">
        <v>0.12</v>
      </c>
      <c r="M1077" s="2">
        <v>0.02</v>
      </c>
      <c r="N1077" t="s">
        <v>230</v>
      </c>
      <c r="O1077">
        <v>40</v>
      </c>
    </row>
    <row r="1078" spans="1:15">
      <c r="A1078" s="1">
        <v>45985</v>
      </c>
      <c r="B1078">
        <v>7</v>
      </c>
      <c r="C1078" t="s">
        <v>100</v>
      </c>
      <c r="D1078">
        <v>7</v>
      </c>
      <c r="E1078" s="2">
        <v>0.5</v>
      </c>
      <c r="F1078" s="2">
        <v>411.7</v>
      </c>
      <c r="G1078" s="2">
        <v>-401.31</v>
      </c>
      <c r="H1078" s="2">
        <v>488.71</v>
      </c>
      <c r="I1078" s="2">
        <v>-480.41</v>
      </c>
      <c r="J1078" s="2">
        <v>0.93</v>
      </c>
      <c r="K1078" s="2">
        <v>-0.45</v>
      </c>
      <c r="L1078" s="2">
        <v>1.03</v>
      </c>
      <c r="M1078" s="2">
        <v>0.81</v>
      </c>
      <c r="N1078" t="s">
        <v>230</v>
      </c>
      <c r="O1078">
        <v>58</v>
      </c>
    </row>
    <row r="1079" spans="1:15">
      <c r="A1079" s="1">
        <v>45985</v>
      </c>
      <c r="B1079">
        <v>7</v>
      </c>
      <c r="C1079" t="s">
        <v>100</v>
      </c>
      <c r="D1079">
        <v>7</v>
      </c>
      <c r="E1079" s="2">
        <v>1</v>
      </c>
      <c r="F1079" s="2">
        <v>411.59</v>
      </c>
      <c r="G1079" s="2">
        <v>-401.37</v>
      </c>
      <c r="H1079" s="2">
        <v>489.21</v>
      </c>
      <c r="I1079" s="2">
        <v>-480.36</v>
      </c>
      <c r="J1079" s="2">
        <v>1.01</v>
      </c>
      <c r="K1079" s="2">
        <v>-0.47</v>
      </c>
      <c r="L1079" s="2">
        <v>1.1100000000000001</v>
      </c>
      <c r="M1079" s="2">
        <v>0.75</v>
      </c>
      <c r="N1079" t="s">
        <v>230</v>
      </c>
      <c r="O1079">
        <v>58</v>
      </c>
    </row>
    <row r="1080" spans="1:15">
      <c r="A1080" s="1">
        <v>45985</v>
      </c>
      <c r="B1080">
        <v>7</v>
      </c>
      <c r="C1080" t="s">
        <v>100</v>
      </c>
      <c r="D1080">
        <v>7</v>
      </c>
      <c r="E1080" s="2">
        <v>1.5</v>
      </c>
      <c r="F1080" s="2">
        <v>441.59</v>
      </c>
      <c r="G1080" s="2">
        <v>-436.11</v>
      </c>
      <c r="H1080" s="2">
        <v>407.44</v>
      </c>
      <c r="I1080" s="2">
        <v>-400.3</v>
      </c>
      <c r="J1080" s="2">
        <v>1.1000000000000001</v>
      </c>
      <c r="K1080" s="2">
        <v>-0.48</v>
      </c>
      <c r="L1080" s="2">
        <v>1.2</v>
      </c>
      <c r="M1080" s="2">
        <v>0.67</v>
      </c>
      <c r="N1080" t="s">
        <v>230</v>
      </c>
      <c r="O1080">
        <v>58</v>
      </c>
    </row>
    <row r="1081" spans="1:15">
      <c r="A1081" s="1">
        <v>45985</v>
      </c>
      <c r="B1081">
        <v>7</v>
      </c>
      <c r="C1081" t="s">
        <v>100</v>
      </c>
      <c r="D1081">
        <v>7</v>
      </c>
      <c r="E1081" s="2">
        <v>2</v>
      </c>
      <c r="F1081" s="2">
        <v>500.87</v>
      </c>
      <c r="G1081" s="2">
        <v>-494.19</v>
      </c>
      <c r="H1081" s="2">
        <v>238.16</v>
      </c>
      <c r="I1081" s="2">
        <v>-224.74</v>
      </c>
      <c r="J1081" s="2">
        <v>1.18</v>
      </c>
      <c r="K1081" s="2">
        <v>-0.63</v>
      </c>
      <c r="L1081" s="2">
        <v>1.34</v>
      </c>
      <c r="M1081" s="2">
        <v>0.65</v>
      </c>
      <c r="N1081" t="s">
        <v>230</v>
      </c>
      <c r="O1081">
        <v>58</v>
      </c>
    </row>
    <row r="1082" spans="1:15">
      <c r="A1082" s="1">
        <v>45985</v>
      </c>
      <c r="B1082">
        <v>7</v>
      </c>
      <c r="C1082" t="s">
        <v>100</v>
      </c>
      <c r="D1082">
        <v>7</v>
      </c>
      <c r="E1082" s="2">
        <v>2.5</v>
      </c>
      <c r="F1082" s="2">
        <v>453.51</v>
      </c>
      <c r="G1082" s="2">
        <v>-447.02</v>
      </c>
      <c r="H1082" s="2">
        <v>142.08000000000001</v>
      </c>
      <c r="I1082" s="2">
        <v>-116.87</v>
      </c>
      <c r="J1082" s="2">
        <v>1.31</v>
      </c>
      <c r="K1082" s="2">
        <v>-0.84</v>
      </c>
      <c r="L1082" s="2">
        <v>1.56</v>
      </c>
      <c r="M1082" s="2">
        <v>0.69</v>
      </c>
      <c r="N1082" t="s">
        <v>230</v>
      </c>
      <c r="O1082">
        <v>58</v>
      </c>
    </row>
    <row r="1083" spans="1:15">
      <c r="A1083" s="1">
        <v>45985</v>
      </c>
      <c r="B1083">
        <v>7</v>
      </c>
      <c r="C1083" t="s">
        <v>100</v>
      </c>
      <c r="D1083">
        <v>7</v>
      </c>
      <c r="E1083" s="2">
        <v>3</v>
      </c>
      <c r="F1083" s="2">
        <v>402.8</v>
      </c>
      <c r="G1083" s="2">
        <v>-394.67</v>
      </c>
      <c r="H1083" s="2">
        <v>-9.3000000000000007</v>
      </c>
      <c r="I1083" s="2">
        <v>21.17</v>
      </c>
      <c r="J1083" s="2">
        <v>1.42</v>
      </c>
      <c r="K1083" s="2">
        <v>-0.73</v>
      </c>
      <c r="L1083" s="2">
        <v>1.6</v>
      </c>
      <c r="M1083" s="2">
        <v>0.47</v>
      </c>
      <c r="N1083" t="s">
        <v>230</v>
      </c>
      <c r="O1083">
        <v>58</v>
      </c>
    </row>
    <row r="1084" spans="1:15">
      <c r="A1084" s="1">
        <v>45985</v>
      </c>
      <c r="B1084">
        <v>7</v>
      </c>
      <c r="C1084" t="s">
        <v>100</v>
      </c>
      <c r="D1084">
        <v>7</v>
      </c>
      <c r="E1084" s="2">
        <v>3.5</v>
      </c>
      <c r="F1084" s="2">
        <v>359.96</v>
      </c>
      <c r="G1084" s="2">
        <v>-353.3</v>
      </c>
      <c r="H1084" s="2">
        <v>-83.08</v>
      </c>
      <c r="I1084" s="2">
        <v>96.49</v>
      </c>
      <c r="J1084" s="2">
        <v>1.55</v>
      </c>
      <c r="K1084" s="2">
        <v>-0.99</v>
      </c>
      <c r="L1084" s="2">
        <v>1.84</v>
      </c>
      <c r="M1084" s="2">
        <v>0.42</v>
      </c>
      <c r="N1084" t="s">
        <v>230</v>
      </c>
      <c r="O1084">
        <v>58</v>
      </c>
    </row>
    <row r="1085" spans="1:15">
      <c r="A1085" s="1">
        <v>45985</v>
      </c>
      <c r="B1085">
        <v>7</v>
      </c>
      <c r="C1085" t="s">
        <v>100</v>
      </c>
      <c r="D1085">
        <v>7</v>
      </c>
      <c r="E1085" s="2">
        <v>4</v>
      </c>
      <c r="F1085" s="2">
        <v>350.64</v>
      </c>
      <c r="G1085" s="2">
        <v>-342.5</v>
      </c>
      <c r="H1085" s="2">
        <v>-102.7</v>
      </c>
      <c r="I1085" s="2">
        <v>118.3</v>
      </c>
      <c r="J1085" s="2">
        <v>1.63</v>
      </c>
      <c r="K1085" s="2">
        <v>-0.84</v>
      </c>
      <c r="L1085" s="2">
        <v>1.84</v>
      </c>
      <c r="M1085" s="2">
        <v>0.5</v>
      </c>
      <c r="N1085" t="s">
        <v>230</v>
      </c>
      <c r="O1085">
        <v>58</v>
      </c>
    </row>
    <row r="1086" spans="1:15">
      <c r="A1086" s="1">
        <v>45985</v>
      </c>
      <c r="B1086">
        <v>7</v>
      </c>
      <c r="C1086" t="s">
        <v>100</v>
      </c>
      <c r="D1086">
        <v>7</v>
      </c>
      <c r="E1086" s="2">
        <v>4.5</v>
      </c>
      <c r="F1086" s="2">
        <v>353.17</v>
      </c>
      <c r="G1086" s="2">
        <v>-343.84</v>
      </c>
      <c r="H1086" s="2">
        <v>-104.57</v>
      </c>
      <c r="I1086" s="2">
        <v>120.39</v>
      </c>
      <c r="J1086" s="2">
        <v>1.76</v>
      </c>
      <c r="K1086" s="2">
        <v>-0.78</v>
      </c>
      <c r="L1086" s="2">
        <v>1.92</v>
      </c>
      <c r="M1086" s="2">
        <v>0.61</v>
      </c>
      <c r="N1086" t="s">
        <v>230</v>
      </c>
      <c r="O1086">
        <v>58</v>
      </c>
    </row>
    <row r="1087" spans="1:15">
      <c r="A1087" s="1">
        <v>45985</v>
      </c>
      <c r="B1087">
        <v>7</v>
      </c>
      <c r="C1087" t="s">
        <v>100</v>
      </c>
      <c r="D1087">
        <v>7</v>
      </c>
      <c r="E1087" s="2">
        <v>5</v>
      </c>
      <c r="F1087" s="2">
        <v>285.51</v>
      </c>
      <c r="G1087" s="2">
        <v>-277.63</v>
      </c>
      <c r="H1087" s="2">
        <v>-67.53</v>
      </c>
      <c r="I1087" s="2">
        <v>87.04</v>
      </c>
      <c r="J1087" s="2">
        <v>1.86</v>
      </c>
      <c r="K1087" s="2">
        <v>-0.8</v>
      </c>
      <c r="L1087" s="2">
        <v>2.02</v>
      </c>
      <c r="M1087" s="2">
        <v>0.62</v>
      </c>
      <c r="N1087" t="s">
        <v>230</v>
      </c>
      <c r="O1087">
        <v>58</v>
      </c>
    </row>
    <row r="1088" spans="1:15">
      <c r="A1088" s="1">
        <v>45985</v>
      </c>
      <c r="B1088">
        <v>7</v>
      </c>
      <c r="C1088" t="s">
        <v>100</v>
      </c>
      <c r="D1088">
        <v>7</v>
      </c>
      <c r="E1088" s="2">
        <v>5.5</v>
      </c>
      <c r="F1088" s="2">
        <v>203.35</v>
      </c>
      <c r="G1088" s="2">
        <v>-193.04</v>
      </c>
      <c r="H1088" s="2">
        <v>-17.420000000000002</v>
      </c>
      <c r="I1088" s="2">
        <v>31.37</v>
      </c>
      <c r="J1088" s="2">
        <v>1.84</v>
      </c>
      <c r="K1088" s="2">
        <v>-0.97</v>
      </c>
      <c r="L1088" s="2">
        <v>2.08</v>
      </c>
      <c r="M1088" s="2">
        <v>0.48</v>
      </c>
      <c r="N1088" t="s">
        <v>230</v>
      </c>
      <c r="O1088">
        <v>58</v>
      </c>
    </row>
    <row r="1089" spans="1:15">
      <c r="A1089" s="1">
        <v>45985</v>
      </c>
      <c r="B1089">
        <v>7</v>
      </c>
      <c r="C1089" t="s">
        <v>100</v>
      </c>
      <c r="D1089">
        <v>7</v>
      </c>
      <c r="E1089" s="2">
        <v>6</v>
      </c>
      <c r="F1089" s="2">
        <v>167.5</v>
      </c>
      <c r="G1089" s="2">
        <v>-160.68</v>
      </c>
      <c r="H1089" s="2">
        <v>20.48</v>
      </c>
      <c r="I1089" s="2">
        <v>-18.760000000000002</v>
      </c>
      <c r="J1089" s="2">
        <v>1.82</v>
      </c>
      <c r="K1089" s="2">
        <v>-0.94</v>
      </c>
      <c r="L1089" s="2">
        <v>2.0499999999999998</v>
      </c>
      <c r="M1089" s="2">
        <v>0.5</v>
      </c>
      <c r="N1089" t="s">
        <v>230</v>
      </c>
      <c r="O1089">
        <v>58</v>
      </c>
    </row>
    <row r="1090" spans="1:15">
      <c r="A1090" s="1">
        <v>45985</v>
      </c>
      <c r="B1090">
        <v>7</v>
      </c>
      <c r="C1090" t="s">
        <v>100</v>
      </c>
      <c r="D1090">
        <v>7</v>
      </c>
      <c r="E1090" s="2">
        <v>6.5</v>
      </c>
      <c r="F1090" s="2">
        <v>171.73</v>
      </c>
      <c r="G1090" s="2">
        <v>-162.76</v>
      </c>
      <c r="H1090" s="2">
        <v>76.67</v>
      </c>
      <c r="I1090" s="2">
        <v>-77.2</v>
      </c>
      <c r="J1090" s="2">
        <v>1.8</v>
      </c>
      <c r="K1090" s="2">
        <v>-1.02</v>
      </c>
      <c r="L1090" s="2">
        <v>2.0699999999999998</v>
      </c>
      <c r="M1090" s="2">
        <v>0.36</v>
      </c>
      <c r="N1090" t="s">
        <v>230</v>
      </c>
      <c r="O1090">
        <v>58</v>
      </c>
    </row>
    <row r="1091" spans="1:15">
      <c r="A1091" s="1">
        <v>45985</v>
      </c>
      <c r="B1091">
        <v>7</v>
      </c>
      <c r="C1091" t="s">
        <v>100</v>
      </c>
      <c r="D1091">
        <v>7</v>
      </c>
      <c r="E1091" s="2">
        <v>7</v>
      </c>
      <c r="F1091" s="2">
        <v>134.11000000000001</v>
      </c>
      <c r="G1091" s="2">
        <v>-126.46</v>
      </c>
      <c r="H1091" s="2">
        <v>137.49</v>
      </c>
      <c r="I1091" s="2">
        <v>-132.4</v>
      </c>
      <c r="J1091" s="2">
        <v>1.77</v>
      </c>
      <c r="K1091" s="2">
        <v>-0.9</v>
      </c>
      <c r="L1091" s="2">
        <v>1.99</v>
      </c>
      <c r="M1091" s="2">
        <v>0.2</v>
      </c>
      <c r="N1091" t="s">
        <v>230</v>
      </c>
      <c r="O1091">
        <v>58</v>
      </c>
    </row>
    <row r="1092" spans="1:15">
      <c r="A1092" s="1">
        <v>45985</v>
      </c>
      <c r="B1092">
        <v>7</v>
      </c>
      <c r="C1092" t="s">
        <v>100</v>
      </c>
      <c r="D1092">
        <v>7</v>
      </c>
      <c r="E1092" s="2">
        <v>7.5</v>
      </c>
      <c r="F1092" s="2">
        <v>93.88</v>
      </c>
      <c r="G1092" s="2">
        <v>-85.75</v>
      </c>
      <c r="H1092" s="2">
        <v>211.55</v>
      </c>
      <c r="I1092" s="2">
        <v>-205.07</v>
      </c>
      <c r="J1092" s="2">
        <v>1.74</v>
      </c>
      <c r="K1092" s="2">
        <v>-0.9</v>
      </c>
      <c r="L1092" s="2">
        <v>1.96</v>
      </c>
      <c r="M1092" s="2">
        <v>1.96</v>
      </c>
      <c r="N1092" t="s">
        <v>230</v>
      </c>
      <c r="O1092">
        <v>58</v>
      </c>
    </row>
    <row r="1093" spans="1:15">
      <c r="A1093" s="1">
        <v>45985</v>
      </c>
      <c r="B1093">
        <v>7</v>
      </c>
      <c r="C1093" t="s">
        <v>100</v>
      </c>
      <c r="D1093">
        <v>7</v>
      </c>
      <c r="E1093" s="2">
        <v>8</v>
      </c>
      <c r="F1093" s="2">
        <v>96.25</v>
      </c>
      <c r="G1093" s="2">
        <v>-91.51</v>
      </c>
      <c r="H1093" s="2">
        <v>238.68</v>
      </c>
      <c r="I1093" s="2">
        <v>-236.14</v>
      </c>
      <c r="J1093" s="2">
        <v>1.71</v>
      </c>
      <c r="K1093" s="2">
        <v>-0.71</v>
      </c>
      <c r="L1093" s="2">
        <v>1.85</v>
      </c>
      <c r="M1093" s="2">
        <v>0.18</v>
      </c>
      <c r="N1093" t="s">
        <v>230</v>
      </c>
      <c r="O1093">
        <v>58</v>
      </c>
    </row>
    <row r="1094" spans="1:15">
      <c r="A1094" s="1">
        <v>45985</v>
      </c>
      <c r="B1094">
        <v>7</v>
      </c>
      <c r="C1094" t="s">
        <v>100</v>
      </c>
      <c r="D1094">
        <v>7</v>
      </c>
      <c r="E1094" s="2">
        <v>8.5</v>
      </c>
      <c r="F1094" s="2">
        <v>127.45</v>
      </c>
      <c r="G1094" s="2">
        <v>-121.07</v>
      </c>
      <c r="H1094" s="2">
        <v>326.54000000000002</v>
      </c>
      <c r="I1094" s="2">
        <v>-315.83999999999997</v>
      </c>
      <c r="J1094" s="2">
        <v>1.71</v>
      </c>
      <c r="K1094" s="2">
        <v>-0.76</v>
      </c>
      <c r="L1094" s="2">
        <v>1.87</v>
      </c>
      <c r="M1094" s="2">
        <v>0.08</v>
      </c>
      <c r="N1094" t="s">
        <v>230</v>
      </c>
      <c r="O1094">
        <v>58</v>
      </c>
    </row>
    <row r="1095" spans="1:15">
      <c r="A1095" s="1">
        <v>45985</v>
      </c>
      <c r="B1095">
        <v>7</v>
      </c>
      <c r="C1095" t="s">
        <v>100</v>
      </c>
      <c r="D1095">
        <v>7</v>
      </c>
      <c r="E1095" s="2">
        <v>9</v>
      </c>
      <c r="F1095" s="2">
        <v>178.43</v>
      </c>
      <c r="G1095" s="2">
        <v>-169.64</v>
      </c>
      <c r="H1095" s="2">
        <v>373.32</v>
      </c>
      <c r="I1095" s="2">
        <v>-368.56</v>
      </c>
      <c r="J1095" s="2">
        <v>1.71</v>
      </c>
      <c r="K1095" s="2">
        <v>-0.55000000000000004</v>
      </c>
      <c r="L1095" s="2">
        <v>1.8</v>
      </c>
      <c r="M1095" s="2">
        <v>0.14000000000000001</v>
      </c>
      <c r="N1095" t="s">
        <v>230</v>
      </c>
      <c r="O1095">
        <v>58</v>
      </c>
    </row>
    <row r="1096" spans="1:15">
      <c r="A1096" s="1">
        <v>45985</v>
      </c>
      <c r="B1096">
        <v>7</v>
      </c>
      <c r="C1096" t="s">
        <v>100</v>
      </c>
      <c r="D1096">
        <v>7</v>
      </c>
      <c r="E1096" s="2">
        <v>9.5</v>
      </c>
      <c r="F1096" s="2">
        <v>160.71</v>
      </c>
      <c r="G1096" s="2">
        <v>-156.94999999999999</v>
      </c>
      <c r="H1096" s="2">
        <v>432.1</v>
      </c>
      <c r="I1096" s="2">
        <v>-416.08</v>
      </c>
      <c r="J1096" s="2">
        <v>1.7</v>
      </c>
      <c r="K1096" s="2">
        <v>-0.38</v>
      </c>
      <c r="L1096" s="2">
        <v>1.74</v>
      </c>
      <c r="M1096" s="2">
        <v>0.23</v>
      </c>
      <c r="N1096" t="s">
        <v>230</v>
      </c>
      <c r="O1096">
        <v>58</v>
      </c>
    </row>
    <row r="1097" spans="1:15">
      <c r="A1097" s="1">
        <v>45985</v>
      </c>
      <c r="B1097">
        <v>7</v>
      </c>
      <c r="C1097" t="s">
        <v>100</v>
      </c>
      <c r="D1097">
        <v>7</v>
      </c>
      <c r="E1097" s="2">
        <v>10</v>
      </c>
      <c r="F1097" s="2">
        <v>144.30000000000001</v>
      </c>
      <c r="G1097" s="2">
        <v>-138.74</v>
      </c>
      <c r="H1097" s="2">
        <v>443.42</v>
      </c>
      <c r="I1097" s="2">
        <v>-432.57</v>
      </c>
      <c r="J1097" s="2">
        <v>1.63</v>
      </c>
      <c r="K1097" s="2">
        <v>-0.15</v>
      </c>
      <c r="L1097" s="2">
        <v>1.63</v>
      </c>
      <c r="M1097" s="2">
        <v>0.34</v>
      </c>
      <c r="N1097" t="s">
        <v>230</v>
      </c>
      <c r="O1097">
        <v>58</v>
      </c>
    </row>
    <row r="1098" spans="1:15">
      <c r="A1098" s="1">
        <v>45985</v>
      </c>
      <c r="B1098">
        <v>7</v>
      </c>
      <c r="C1098" t="s">
        <v>100</v>
      </c>
      <c r="D1098">
        <v>7</v>
      </c>
      <c r="E1098" s="2">
        <v>10.5</v>
      </c>
      <c r="F1098" s="2">
        <v>331.18</v>
      </c>
      <c r="G1098" s="2">
        <v>-323.94</v>
      </c>
      <c r="H1098" s="2">
        <v>464.9</v>
      </c>
      <c r="I1098" s="2">
        <v>-450.45</v>
      </c>
      <c r="J1098" s="2">
        <v>1.61</v>
      </c>
      <c r="K1098" s="2">
        <v>-0.25</v>
      </c>
      <c r="L1098" s="2">
        <v>1.63</v>
      </c>
      <c r="M1098" s="2">
        <v>0.31</v>
      </c>
      <c r="N1098" t="s">
        <v>230</v>
      </c>
      <c r="O1098">
        <v>58</v>
      </c>
    </row>
    <row r="1099" spans="1:15">
      <c r="A1099" s="1">
        <v>45985</v>
      </c>
      <c r="B1099">
        <v>7</v>
      </c>
      <c r="C1099" t="s">
        <v>100</v>
      </c>
      <c r="D1099">
        <v>7</v>
      </c>
      <c r="E1099" s="2">
        <v>11</v>
      </c>
      <c r="F1099" s="2">
        <v>343.56</v>
      </c>
      <c r="G1099" s="2">
        <v>-336.73</v>
      </c>
      <c r="H1099" s="2">
        <v>447.24</v>
      </c>
      <c r="I1099" s="2">
        <v>-449.22</v>
      </c>
      <c r="J1099" s="2">
        <v>1.64</v>
      </c>
      <c r="K1099" s="2">
        <v>-0.33</v>
      </c>
      <c r="L1099" s="2">
        <v>1.67</v>
      </c>
      <c r="M1099" s="2">
        <v>0.28999999999999998</v>
      </c>
      <c r="N1099" t="s">
        <v>230</v>
      </c>
      <c r="O1099">
        <v>58</v>
      </c>
    </row>
    <row r="1100" spans="1:15">
      <c r="A1100" s="1">
        <v>45985</v>
      </c>
      <c r="B1100">
        <v>7</v>
      </c>
      <c r="C1100" t="s">
        <v>100</v>
      </c>
      <c r="D1100">
        <v>7</v>
      </c>
      <c r="E1100" s="2">
        <v>11.5</v>
      </c>
      <c r="F1100" s="2">
        <v>315.67</v>
      </c>
      <c r="G1100" s="2">
        <v>-305.81</v>
      </c>
      <c r="H1100" s="2">
        <v>383.4</v>
      </c>
      <c r="I1100" s="2">
        <v>-364.49</v>
      </c>
      <c r="J1100" s="2">
        <v>1.6</v>
      </c>
      <c r="K1100" s="2">
        <v>-0.43</v>
      </c>
      <c r="L1100" s="2">
        <v>1.66</v>
      </c>
      <c r="M1100" s="2">
        <v>0.3</v>
      </c>
      <c r="N1100" t="s">
        <v>230</v>
      </c>
      <c r="O1100">
        <v>58</v>
      </c>
    </row>
    <row r="1101" spans="1:15">
      <c r="A1101" s="1">
        <v>45985</v>
      </c>
      <c r="B1101">
        <v>7</v>
      </c>
      <c r="C1101" t="s">
        <v>100</v>
      </c>
      <c r="D1101">
        <v>7</v>
      </c>
      <c r="E1101" s="2">
        <v>12</v>
      </c>
      <c r="F1101" s="2">
        <v>294.49</v>
      </c>
      <c r="G1101" s="2">
        <v>-283.98</v>
      </c>
      <c r="H1101" s="2">
        <v>279.45</v>
      </c>
      <c r="I1101" s="2">
        <v>-268.42</v>
      </c>
      <c r="J1101" s="2">
        <v>1.52</v>
      </c>
      <c r="K1101" s="2">
        <v>-0.28999999999999998</v>
      </c>
      <c r="L1101" s="2">
        <v>1.55</v>
      </c>
      <c r="M1101" s="2">
        <v>0.26</v>
      </c>
      <c r="N1101" t="s">
        <v>230</v>
      </c>
      <c r="O1101">
        <v>58</v>
      </c>
    </row>
    <row r="1102" spans="1:15">
      <c r="A1102" s="1">
        <v>45985</v>
      </c>
      <c r="B1102">
        <v>7</v>
      </c>
      <c r="C1102" t="s">
        <v>100</v>
      </c>
      <c r="D1102">
        <v>7</v>
      </c>
      <c r="E1102" s="2">
        <v>12.5</v>
      </c>
      <c r="F1102" s="2">
        <v>247.05</v>
      </c>
      <c r="G1102" s="2">
        <v>-240.14</v>
      </c>
      <c r="H1102" s="2">
        <v>190.32</v>
      </c>
      <c r="I1102" s="2">
        <v>-176.35</v>
      </c>
      <c r="J1102" s="2">
        <v>1.46</v>
      </c>
      <c r="K1102" s="2">
        <v>-0.53</v>
      </c>
      <c r="L1102" s="2">
        <v>1.56</v>
      </c>
      <c r="M1102" s="2">
        <v>0.03</v>
      </c>
      <c r="N1102" t="s">
        <v>230</v>
      </c>
      <c r="O1102">
        <v>58</v>
      </c>
    </row>
    <row r="1103" spans="1:15">
      <c r="A1103" s="1">
        <v>45985</v>
      </c>
      <c r="B1103">
        <v>7</v>
      </c>
      <c r="C1103" t="s">
        <v>100</v>
      </c>
      <c r="D1103">
        <v>7</v>
      </c>
      <c r="E1103" s="2">
        <v>13</v>
      </c>
      <c r="F1103" s="2">
        <v>215.5</v>
      </c>
      <c r="G1103" s="2">
        <v>-207.86</v>
      </c>
      <c r="H1103" s="2">
        <v>140.07</v>
      </c>
      <c r="I1103" s="2">
        <v>-116.06</v>
      </c>
      <c r="J1103" s="2">
        <v>1.42</v>
      </c>
      <c r="K1103" s="2">
        <v>-0.72</v>
      </c>
      <c r="L1103" s="2">
        <v>1.59</v>
      </c>
      <c r="M1103" s="2">
        <v>-0.02</v>
      </c>
      <c r="N1103" t="s">
        <v>230</v>
      </c>
      <c r="O1103">
        <v>58</v>
      </c>
    </row>
    <row r="1104" spans="1:15">
      <c r="A1104" s="1">
        <v>45985</v>
      </c>
      <c r="B1104">
        <v>7</v>
      </c>
      <c r="C1104" t="s">
        <v>100</v>
      </c>
      <c r="D1104">
        <v>7</v>
      </c>
      <c r="E1104" s="2">
        <v>13.5</v>
      </c>
      <c r="F1104" s="2">
        <v>185.71</v>
      </c>
      <c r="G1104" s="2">
        <v>-180.44</v>
      </c>
      <c r="H1104" s="2">
        <v>155.46</v>
      </c>
      <c r="I1104" s="2">
        <v>-128.22</v>
      </c>
      <c r="J1104" s="2">
        <v>1.29</v>
      </c>
      <c r="K1104" s="2">
        <v>-0.69</v>
      </c>
      <c r="L1104" s="2">
        <v>1.47</v>
      </c>
      <c r="M1104" s="2">
        <v>-0.05</v>
      </c>
      <c r="N1104" t="s">
        <v>230</v>
      </c>
      <c r="O1104">
        <v>58</v>
      </c>
    </row>
    <row r="1105" spans="1:15">
      <c r="A1105" s="1">
        <v>45985</v>
      </c>
      <c r="B1105">
        <v>7</v>
      </c>
      <c r="C1105" t="s">
        <v>100</v>
      </c>
      <c r="D1105">
        <v>7</v>
      </c>
      <c r="E1105" s="2">
        <v>14</v>
      </c>
      <c r="F1105" s="2">
        <v>144</v>
      </c>
      <c r="G1105" s="2">
        <v>-138.63999999999999</v>
      </c>
      <c r="H1105" s="2">
        <v>168.24</v>
      </c>
      <c r="I1105" s="2">
        <v>-161.16</v>
      </c>
      <c r="J1105" s="2">
        <v>1.1299999999999999</v>
      </c>
      <c r="K1105" s="2">
        <v>-0.35</v>
      </c>
      <c r="L1105" s="2">
        <v>1.18</v>
      </c>
      <c r="M1105" s="2">
        <v>0.16</v>
      </c>
      <c r="N1105" t="s">
        <v>230</v>
      </c>
      <c r="O1105">
        <v>58</v>
      </c>
    </row>
    <row r="1106" spans="1:15">
      <c r="A1106" s="1">
        <v>45985</v>
      </c>
      <c r="B1106">
        <v>7</v>
      </c>
      <c r="C1106" t="s">
        <v>100</v>
      </c>
      <c r="D1106">
        <v>7</v>
      </c>
      <c r="E1106" s="2">
        <v>14.5</v>
      </c>
      <c r="F1106" s="2">
        <v>138.94999999999999</v>
      </c>
      <c r="G1106" s="2">
        <v>-132.69999999999999</v>
      </c>
      <c r="H1106" s="2">
        <v>188.85</v>
      </c>
      <c r="I1106" s="2">
        <v>-174.26</v>
      </c>
      <c r="J1106" s="2">
        <v>1.06</v>
      </c>
      <c r="K1106" s="2">
        <v>-0.67</v>
      </c>
      <c r="L1106" s="2">
        <v>1.26</v>
      </c>
      <c r="M1106" s="2">
        <v>-0.18</v>
      </c>
      <c r="N1106" t="s">
        <v>230</v>
      </c>
      <c r="O1106">
        <v>58</v>
      </c>
    </row>
    <row r="1107" spans="1:15">
      <c r="A1107" s="1">
        <v>45985</v>
      </c>
      <c r="B1107">
        <v>7</v>
      </c>
      <c r="C1107" t="s">
        <v>100</v>
      </c>
      <c r="D1107">
        <v>7</v>
      </c>
      <c r="E1107" s="2">
        <v>15</v>
      </c>
      <c r="F1107" s="2">
        <v>143.78</v>
      </c>
      <c r="G1107" s="2">
        <v>-136.77000000000001</v>
      </c>
      <c r="H1107" s="2">
        <v>267.58</v>
      </c>
      <c r="I1107" s="2">
        <v>-256.47000000000003</v>
      </c>
      <c r="J1107" s="2">
        <v>0.94</v>
      </c>
      <c r="K1107" s="2">
        <v>-0.86</v>
      </c>
      <c r="L1107" s="2">
        <v>1.27</v>
      </c>
      <c r="M1107" s="2">
        <v>-0.27</v>
      </c>
      <c r="N1107" t="s">
        <v>230</v>
      </c>
      <c r="O1107">
        <v>58</v>
      </c>
    </row>
    <row r="1108" spans="1:15">
      <c r="A1108" s="1">
        <v>45985</v>
      </c>
      <c r="B1108">
        <v>7</v>
      </c>
      <c r="C1108" t="s">
        <v>100</v>
      </c>
      <c r="D1108">
        <v>7</v>
      </c>
      <c r="E1108" s="2">
        <v>15.5</v>
      </c>
      <c r="F1108" s="2">
        <v>57.65</v>
      </c>
      <c r="G1108" s="2">
        <v>-55.99</v>
      </c>
      <c r="H1108" s="2">
        <v>348.31</v>
      </c>
      <c r="I1108" s="2">
        <v>-333.69</v>
      </c>
      <c r="J1108" s="2">
        <v>0.82</v>
      </c>
      <c r="K1108" s="2">
        <v>-0.82</v>
      </c>
      <c r="L1108" s="2">
        <v>1.1599999999999999</v>
      </c>
      <c r="M1108" s="2">
        <v>-0.28000000000000003</v>
      </c>
      <c r="N1108" t="s">
        <v>230</v>
      </c>
      <c r="O1108">
        <v>58</v>
      </c>
    </row>
    <row r="1109" spans="1:15">
      <c r="A1109" s="1">
        <v>45985</v>
      </c>
      <c r="B1109">
        <v>7</v>
      </c>
      <c r="C1109" t="s">
        <v>100</v>
      </c>
      <c r="D1109">
        <v>7</v>
      </c>
      <c r="E1109" s="2">
        <v>16</v>
      </c>
      <c r="F1109" s="2">
        <v>201.46</v>
      </c>
      <c r="G1109" s="2">
        <v>-187.91</v>
      </c>
      <c r="H1109" s="2">
        <v>196.99</v>
      </c>
      <c r="I1109" s="2">
        <v>-176.02</v>
      </c>
      <c r="J1109" s="2">
        <v>0.76</v>
      </c>
      <c r="K1109" s="2">
        <v>-0.84</v>
      </c>
      <c r="L1109" s="2">
        <v>1.1299999999999999</v>
      </c>
      <c r="M1109" s="2">
        <v>-0.26</v>
      </c>
      <c r="N1109" t="s">
        <v>230</v>
      </c>
      <c r="O1109">
        <v>58</v>
      </c>
    </row>
    <row r="1110" spans="1:15">
      <c r="A1110" s="1">
        <v>45985</v>
      </c>
      <c r="B1110">
        <v>7</v>
      </c>
      <c r="C1110" t="s">
        <v>100</v>
      </c>
      <c r="D1110">
        <v>7</v>
      </c>
      <c r="E1110" s="2">
        <v>16.5</v>
      </c>
      <c r="F1110" s="2">
        <v>323.3</v>
      </c>
      <c r="G1110" s="2">
        <v>-320.10000000000002</v>
      </c>
      <c r="H1110" s="2">
        <v>207.37</v>
      </c>
      <c r="I1110" s="2">
        <v>-189.7</v>
      </c>
      <c r="J1110" s="2">
        <v>0.8</v>
      </c>
      <c r="K1110" s="2">
        <v>-0.95</v>
      </c>
      <c r="L1110" s="2">
        <v>1.24</v>
      </c>
      <c r="M1110" s="2">
        <v>-0.32</v>
      </c>
      <c r="N1110" t="s">
        <v>230</v>
      </c>
      <c r="O1110">
        <v>58</v>
      </c>
    </row>
    <row r="1111" spans="1:15">
      <c r="A1111" s="1">
        <v>45985</v>
      </c>
      <c r="B1111">
        <v>7</v>
      </c>
      <c r="C1111" t="s">
        <v>100</v>
      </c>
      <c r="D1111">
        <v>7</v>
      </c>
      <c r="E1111" s="2">
        <v>17</v>
      </c>
      <c r="F1111" s="2">
        <v>393.1</v>
      </c>
      <c r="G1111" s="2">
        <v>-376.95</v>
      </c>
      <c r="H1111" s="2">
        <v>227.21</v>
      </c>
      <c r="I1111" s="2">
        <v>-223.93</v>
      </c>
      <c r="J1111" s="2">
        <v>0.8</v>
      </c>
      <c r="K1111" s="2">
        <v>-0.79</v>
      </c>
      <c r="L1111" s="2">
        <v>1.1200000000000001</v>
      </c>
      <c r="M1111" s="2">
        <v>-0.28999999999999998</v>
      </c>
      <c r="N1111" t="s">
        <v>230</v>
      </c>
      <c r="O1111">
        <v>58</v>
      </c>
    </row>
    <row r="1112" spans="1:15">
      <c r="A1112" s="1">
        <v>45985</v>
      </c>
      <c r="B1112">
        <v>7</v>
      </c>
      <c r="C1112" t="s">
        <v>100</v>
      </c>
      <c r="D1112">
        <v>7</v>
      </c>
      <c r="E1112" s="2">
        <v>17.5</v>
      </c>
      <c r="F1112" s="2">
        <v>378.58</v>
      </c>
      <c r="G1112" s="2">
        <v>-373.27</v>
      </c>
      <c r="H1112" s="2">
        <v>153.54</v>
      </c>
      <c r="I1112" s="2">
        <v>-145.43</v>
      </c>
      <c r="J1112" s="2">
        <v>0.9</v>
      </c>
      <c r="K1112" s="2">
        <v>-1.0900000000000001</v>
      </c>
      <c r="L1112" s="2">
        <v>1.41</v>
      </c>
      <c r="M1112" s="2">
        <v>0.16</v>
      </c>
      <c r="N1112" t="s">
        <v>230</v>
      </c>
      <c r="O1112">
        <v>58</v>
      </c>
    </row>
    <row r="1113" spans="1:15">
      <c r="A1113" s="1">
        <v>45985</v>
      </c>
      <c r="B1113">
        <v>7</v>
      </c>
      <c r="C1113" t="s">
        <v>100</v>
      </c>
      <c r="D1113">
        <v>7</v>
      </c>
      <c r="E1113" s="2">
        <v>18</v>
      </c>
      <c r="F1113" s="2">
        <v>347.41</v>
      </c>
      <c r="G1113" s="2">
        <v>-340.4</v>
      </c>
      <c r="H1113" s="2">
        <v>96.56</v>
      </c>
      <c r="I1113" s="2">
        <v>-99.01</v>
      </c>
      <c r="J1113" s="2">
        <v>0.84</v>
      </c>
      <c r="K1113" s="2">
        <v>-0.99</v>
      </c>
      <c r="L1113" s="2">
        <v>1.29</v>
      </c>
      <c r="M1113" s="2">
        <v>0.5</v>
      </c>
      <c r="N1113" t="s">
        <v>230</v>
      </c>
      <c r="O1113">
        <v>58</v>
      </c>
    </row>
    <row r="1114" spans="1:15">
      <c r="A1114" s="1">
        <v>45985</v>
      </c>
      <c r="B1114">
        <v>7</v>
      </c>
      <c r="C1114" t="s">
        <v>100</v>
      </c>
      <c r="D1114">
        <v>7</v>
      </c>
      <c r="E1114" s="2">
        <v>18.5</v>
      </c>
      <c r="F1114" s="2">
        <v>316.64</v>
      </c>
      <c r="G1114" s="2">
        <v>-311.83999999999997</v>
      </c>
      <c r="H1114" s="2">
        <v>71.760000000000005</v>
      </c>
      <c r="I1114" s="2">
        <v>-60.96</v>
      </c>
      <c r="J1114" s="2">
        <v>0.8</v>
      </c>
      <c r="K1114" s="2">
        <v>-0.93</v>
      </c>
      <c r="L1114" s="2">
        <v>1.23</v>
      </c>
      <c r="M1114" s="2">
        <v>0.47</v>
      </c>
      <c r="N1114" t="s">
        <v>230</v>
      </c>
      <c r="O1114">
        <v>58</v>
      </c>
    </row>
    <row r="1115" spans="1:15">
      <c r="A1115" s="1">
        <v>45985</v>
      </c>
      <c r="B1115">
        <v>7</v>
      </c>
      <c r="C1115" t="s">
        <v>100</v>
      </c>
      <c r="D1115">
        <v>7</v>
      </c>
      <c r="E1115" s="2">
        <v>19</v>
      </c>
      <c r="F1115" s="2">
        <v>302.83999999999997</v>
      </c>
      <c r="G1115" s="2">
        <v>-299.27</v>
      </c>
      <c r="H1115" s="2">
        <v>54.75</v>
      </c>
      <c r="I1115" s="2">
        <v>-45.31</v>
      </c>
      <c r="J1115" s="2">
        <v>0.68</v>
      </c>
      <c r="K1115" s="2">
        <v>-0.94</v>
      </c>
      <c r="L1115" s="2">
        <v>1.1599999999999999</v>
      </c>
      <c r="M1115" s="2">
        <v>0.27</v>
      </c>
      <c r="N1115" t="s">
        <v>230</v>
      </c>
      <c r="O1115">
        <v>58</v>
      </c>
    </row>
    <row r="1116" spans="1:15">
      <c r="A1116" s="1">
        <v>45985</v>
      </c>
      <c r="B1116">
        <v>7</v>
      </c>
      <c r="C1116" t="s">
        <v>100</v>
      </c>
      <c r="D1116">
        <v>7</v>
      </c>
      <c r="E1116" s="2">
        <v>19.5</v>
      </c>
      <c r="F1116" s="2">
        <v>209.37</v>
      </c>
      <c r="G1116" s="2">
        <v>-202.91</v>
      </c>
      <c r="H1116" s="2">
        <v>98.88</v>
      </c>
      <c r="I1116" s="2">
        <v>-85.83</v>
      </c>
      <c r="J1116" s="2">
        <v>0.62</v>
      </c>
      <c r="K1116" s="2">
        <v>-1.05</v>
      </c>
      <c r="L1116" s="2">
        <v>1.22</v>
      </c>
      <c r="M1116" s="2">
        <v>0.24</v>
      </c>
      <c r="N1116" t="s">
        <v>230</v>
      </c>
      <c r="O1116">
        <v>58</v>
      </c>
    </row>
    <row r="1117" spans="1:15">
      <c r="A1117" s="1">
        <v>45985</v>
      </c>
      <c r="B1117">
        <v>7</v>
      </c>
      <c r="C1117" t="s">
        <v>100</v>
      </c>
      <c r="D1117">
        <v>7</v>
      </c>
      <c r="E1117" s="2">
        <v>20</v>
      </c>
      <c r="F1117" s="2">
        <v>142.93</v>
      </c>
      <c r="G1117" s="2">
        <v>-136.97</v>
      </c>
      <c r="H1117" s="2">
        <v>151.33000000000001</v>
      </c>
      <c r="I1117" s="2">
        <v>-136.30000000000001</v>
      </c>
      <c r="J1117" s="2">
        <v>0.45</v>
      </c>
      <c r="K1117" s="2">
        <v>-0.78</v>
      </c>
      <c r="L1117" s="2">
        <v>0.9</v>
      </c>
      <c r="M1117" s="2">
        <v>0.39</v>
      </c>
      <c r="N1117" t="s">
        <v>230</v>
      </c>
      <c r="O1117">
        <v>58</v>
      </c>
    </row>
    <row r="1118" spans="1:15">
      <c r="A1118" s="1">
        <v>45985</v>
      </c>
      <c r="B1118">
        <v>7</v>
      </c>
      <c r="C1118" t="s">
        <v>100</v>
      </c>
      <c r="D1118">
        <v>7</v>
      </c>
      <c r="E1118" s="2">
        <v>20.5</v>
      </c>
      <c r="F1118" s="2">
        <v>152.18</v>
      </c>
      <c r="G1118" s="2">
        <v>-146.63</v>
      </c>
      <c r="H1118" s="2">
        <v>164.46</v>
      </c>
      <c r="I1118" s="2">
        <v>-143.68</v>
      </c>
      <c r="J1118" s="2">
        <v>0.36</v>
      </c>
      <c r="K1118" s="2">
        <v>-0.62</v>
      </c>
      <c r="L1118" s="2">
        <v>0.72</v>
      </c>
      <c r="M1118" s="2">
        <v>0.35</v>
      </c>
      <c r="N1118" t="s">
        <v>230</v>
      </c>
      <c r="O1118">
        <v>58</v>
      </c>
    </row>
    <row r="1119" spans="1:15">
      <c r="A1119" s="1">
        <v>45985</v>
      </c>
      <c r="B1119">
        <v>7</v>
      </c>
      <c r="C1119" t="s">
        <v>100</v>
      </c>
      <c r="D1119">
        <v>7</v>
      </c>
      <c r="E1119" s="2">
        <v>21</v>
      </c>
      <c r="F1119" s="2">
        <v>161</v>
      </c>
      <c r="G1119" s="2">
        <v>-155.62</v>
      </c>
      <c r="H1119" s="2">
        <v>180.52</v>
      </c>
      <c r="I1119" s="2">
        <v>-166.09</v>
      </c>
      <c r="J1119" s="2">
        <v>0.27</v>
      </c>
      <c r="K1119" s="2">
        <v>-0.32</v>
      </c>
      <c r="L1119" s="2">
        <v>0.42</v>
      </c>
      <c r="M1119" s="2">
        <v>0.26</v>
      </c>
      <c r="N1119" t="s">
        <v>230</v>
      </c>
      <c r="O1119">
        <v>58</v>
      </c>
    </row>
    <row r="1120" spans="1:15">
      <c r="A1120" s="1">
        <v>45985</v>
      </c>
      <c r="B1120">
        <v>7</v>
      </c>
      <c r="C1120" t="s">
        <v>100</v>
      </c>
      <c r="D1120">
        <v>7</v>
      </c>
      <c r="E1120" s="2">
        <v>21.5</v>
      </c>
      <c r="F1120" s="2">
        <v>175.7</v>
      </c>
      <c r="G1120" s="2">
        <v>-173.18</v>
      </c>
      <c r="H1120" s="2">
        <v>177.2</v>
      </c>
      <c r="I1120" s="2">
        <v>-171.66</v>
      </c>
      <c r="J1120" s="2">
        <v>0.17</v>
      </c>
      <c r="K1120" s="2">
        <v>-7.0000000000000007E-2</v>
      </c>
      <c r="L1120" s="2">
        <v>0.18</v>
      </c>
      <c r="M1120" s="2">
        <v>-0.01</v>
      </c>
      <c r="N1120" t="s">
        <v>230</v>
      </c>
      <c r="O1120">
        <v>58</v>
      </c>
    </row>
    <row r="1121" spans="1:15">
      <c r="A1121" s="1">
        <v>45985</v>
      </c>
      <c r="B1121">
        <v>7</v>
      </c>
      <c r="C1121" t="s">
        <v>100</v>
      </c>
      <c r="D1121">
        <v>7</v>
      </c>
      <c r="E1121" s="2">
        <v>22</v>
      </c>
      <c r="F1121" s="2">
        <v>188.21</v>
      </c>
      <c r="G1121" s="2">
        <v>-183.66</v>
      </c>
      <c r="H1121" s="2">
        <v>198.08</v>
      </c>
      <c r="I1121" s="2">
        <v>-175.9</v>
      </c>
      <c r="J1121" s="2">
        <v>0.05</v>
      </c>
      <c r="K1121" s="2">
        <v>0.09</v>
      </c>
      <c r="L1121" s="2">
        <v>0.1</v>
      </c>
      <c r="M1121" s="2">
        <v>-0.04</v>
      </c>
      <c r="N1121" t="s">
        <v>230</v>
      </c>
      <c r="O1121">
        <v>58</v>
      </c>
    </row>
    <row r="1122" spans="1:15">
      <c r="A1122" s="1">
        <v>45993</v>
      </c>
      <c r="B1122">
        <v>9</v>
      </c>
      <c r="C1122" t="s">
        <v>94</v>
      </c>
      <c r="D1122">
        <v>9</v>
      </c>
      <c r="E1122" s="2">
        <v>0.5</v>
      </c>
      <c r="F1122" s="2">
        <v>-352.93</v>
      </c>
      <c r="G1122" s="2">
        <v>352.14</v>
      </c>
      <c r="H1122" s="2">
        <v>-792.73</v>
      </c>
      <c r="I1122" s="2">
        <v>822.59</v>
      </c>
      <c r="J1122" s="2">
        <v>-1.75</v>
      </c>
      <c r="K1122" s="2">
        <v>5.01</v>
      </c>
      <c r="L1122" s="2">
        <v>5.31</v>
      </c>
      <c r="M1122" s="2">
        <v>1.84</v>
      </c>
      <c r="N1122" t="s">
        <v>230</v>
      </c>
      <c r="O1122">
        <v>22</v>
      </c>
    </row>
    <row r="1123" spans="1:15">
      <c r="A1123" s="1">
        <v>45993</v>
      </c>
      <c r="B1123">
        <v>9</v>
      </c>
      <c r="C1123" t="s">
        <v>94</v>
      </c>
      <c r="D1123">
        <v>9</v>
      </c>
      <c r="E1123" s="2">
        <v>1</v>
      </c>
      <c r="F1123" s="2">
        <v>-352.91</v>
      </c>
      <c r="G1123" s="2">
        <v>351.91</v>
      </c>
      <c r="H1123" s="2">
        <v>-793.35</v>
      </c>
      <c r="I1123" s="2">
        <v>823.01</v>
      </c>
      <c r="J1123" s="2">
        <v>-0.48</v>
      </c>
      <c r="K1123" s="2">
        <v>6.84</v>
      </c>
      <c r="L1123" s="2">
        <v>6.85</v>
      </c>
      <c r="M1123" s="2">
        <v>1.77</v>
      </c>
      <c r="N1123" t="s">
        <v>230</v>
      </c>
      <c r="O1123">
        <v>22</v>
      </c>
    </row>
    <row r="1124" spans="1:15">
      <c r="A1124" s="1">
        <v>45993</v>
      </c>
      <c r="B1124">
        <v>9</v>
      </c>
      <c r="C1124" t="s">
        <v>94</v>
      </c>
      <c r="D1124">
        <v>9</v>
      </c>
      <c r="E1124" s="2">
        <v>1.5</v>
      </c>
      <c r="F1124" s="2">
        <v>-12.23</v>
      </c>
      <c r="G1124" s="2">
        <v>23.1</v>
      </c>
      <c r="H1124" s="2">
        <v>-274.18</v>
      </c>
      <c r="I1124" s="2">
        <v>297.64999999999998</v>
      </c>
      <c r="J1124" s="2">
        <v>0.84</v>
      </c>
      <c r="K1124" s="2">
        <v>8.24</v>
      </c>
      <c r="L1124" s="2">
        <v>8.2799999999999994</v>
      </c>
      <c r="M1124" s="2">
        <v>1.86</v>
      </c>
      <c r="N1124" t="s">
        <v>230</v>
      </c>
      <c r="O1124">
        <v>22</v>
      </c>
    </row>
    <row r="1125" spans="1:15">
      <c r="A1125" s="1">
        <v>45993</v>
      </c>
      <c r="B1125">
        <v>9</v>
      </c>
      <c r="C1125" t="s">
        <v>94</v>
      </c>
      <c r="D1125">
        <v>9</v>
      </c>
      <c r="E1125" s="2">
        <v>2</v>
      </c>
      <c r="F1125" s="2">
        <v>27.33</v>
      </c>
      <c r="G1125" s="2">
        <v>-21.07</v>
      </c>
      <c r="H1125" s="2">
        <v>-232.54</v>
      </c>
      <c r="I1125" s="2">
        <v>252.54</v>
      </c>
      <c r="J1125" s="2">
        <v>0.57999999999999996</v>
      </c>
      <c r="K1125" s="2">
        <v>8.07</v>
      </c>
      <c r="L1125" s="2">
        <v>8.09</v>
      </c>
      <c r="M1125" s="2">
        <v>1.81</v>
      </c>
      <c r="N1125" t="s">
        <v>230</v>
      </c>
      <c r="O1125">
        <v>22</v>
      </c>
    </row>
    <row r="1126" spans="1:15">
      <c r="A1126" s="1">
        <v>45993</v>
      </c>
      <c r="B1126">
        <v>9</v>
      </c>
      <c r="C1126" t="s">
        <v>94</v>
      </c>
      <c r="D1126">
        <v>9</v>
      </c>
      <c r="E1126" s="2">
        <v>2.5</v>
      </c>
      <c r="F1126" s="2">
        <v>43.12</v>
      </c>
      <c r="G1126" s="2">
        <v>-37.33</v>
      </c>
      <c r="H1126" s="2">
        <v>-204.48</v>
      </c>
      <c r="I1126" s="2">
        <v>223.15</v>
      </c>
      <c r="J1126" s="2">
        <v>1.45</v>
      </c>
      <c r="K1126" s="2">
        <v>7.96</v>
      </c>
      <c r="L1126" s="2">
        <v>8.09</v>
      </c>
      <c r="M1126" s="2">
        <v>1.67</v>
      </c>
      <c r="N1126" t="s">
        <v>230</v>
      </c>
      <c r="O1126">
        <v>22</v>
      </c>
    </row>
    <row r="1127" spans="1:15">
      <c r="A1127" s="1">
        <v>45993</v>
      </c>
      <c r="B1127">
        <v>9</v>
      </c>
      <c r="C1127" t="s">
        <v>94</v>
      </c>
      <c r="D1127">
        <v>9</v>
      </c>
      <c r="E1127" s="2">
        <v>3</v>
      </c>
      <c r="F1127" s="2">
        <v>15.33</v>
      </c>
      <c r="G1127" s="2">
        <v>-6.76</v>
      </c>
      <c r="H1127" s="2">
        <v>-148.76</v>
      </c>
      <c r="I1127" s="2">
        <v>175.48</v>
      </c>
      <c r="J1127" s="2">
        <v>2</v>
      </c>
      <c r="K1127" s="2">
        <v>7.89</v>
      </c>
      <c r="L1127" s="2">
        <v>8.14</v>
      </c>
      <c r="M1127" s="2">
        <v>1.67</v>
      </c>
      <c r="N1127" t="s">
        <v>230</v>
      </c>
      <c r="O1127">
        <v>22</v>
      </c>
    </row>
    <row r="1128" spans="1:15">
      <c r="A1128" s="1">
        <v>45993</v>
      </c>
      <c r="B1128">
        <v>9</v>
      </c>
      <c r="C1128" t="s">
        <v>94</v>
      </c>
      <c r="D1128">
        <v>9</v>
      </c>
      <c r="E1128" s="2">
        <v>3.5</v>
      </c>
      <c r="F1128" s="2">
        <v>-8.24</v>
      </c>
      <c r="G1128" s="2">
        <v>14.2</v>
      </c>
      <c r="H1128" s="2">
        <v>-89.83</v>
      </c>
      <c r="I1128" s="2">
        <v>105.47</v>
      </c>
      <c r="J1128" s="2">
        <v>2.21</v>
      </c>
      <c r="K1128" s="2">
        <v>7.72</v>
      </c>
      <c r="L1128" s="2">
        <v>8.0299999999999994</v>
      </c>
      <c r="M1128" s="2">
        <v>1.61</v>
      </c>
      <c r="N1128" t="s">
        <v>230</v>
      </c>
      <c r="O1128">
        <v>22</v>
      </c>
    </row>
    <row r="1129" spans="1:15">
      <c r="A1129" s="1">
        <v>45993</v>
      </c>
      <c r="B1129">
        <v>9</v>
      </c>
      <c r="C1129" t="s">
        <v>94</v>
      </c>
      <c r="D1129">
        <v>9</v>
      </c>
      <c r="E1129" s="2">
        <v>4</v>
      </c>
      <c r="F1129" s="2">
        <v>62.24</v>
      </c>
      <c r="G1129" s="2">
        <v>-54.57</v>
      </c>
      <c r="H1129" s="2">
        <v>-73.16</v>
      </c>
      <c r="I1129" s="2">
        <v>75.33</v>
      </c>
      <c r="J1129" s="2">
        <v>2.27</v>
      </c>
      <c r="K1129" s="2">
        <v>7.9</v>
      </c>
      <c r="L1129" s="2">
        <v>8.2200000000000006</v>
      </c>
      <c r="M1129" s="2">
        <v>1.72</v>
      </c>
      <c r="N1129" t="s">
        <v>230</v>
      </c>
      <c r="O1129">
        <v>22</v>
      </c>
    </row>
    <row r="1130" spans="1:15">
      <c r="A1130" s="1">
        <v>45993</v>
      </c>
      <c r="B1130">
        <v>9</v>
      </c>
      <c r="C1130" t="s">
        <v>94</v>
      </c>
      <c r="D1130">
        <v>9</v>
      </c>
      <c r="E1130" s="2">
        <v>4.5</v>
      </c>
      <c r="F1130" s="2">
        <v>69.44</v>
      </c>
      <c r="G1130" s="2">
        <v>-60.92</v>
      </c>
      <c r="H1130" s="2">
        <v>-42.7</v>
      </c>
      <c r="I1130" s="2">
        <v>48.84</v>
      </c>
      <c r="J1130" s="2">
        <v>2.35</v>
      </c>
      <c r="K1130" s="2">
        <v>7.79</v>
      </c>
      <c r="L1130" s="2">
        <v>8.14</v>
      </c>
      <c r="M1130" s="2">
        <v>1.68</v>
      </c>
      <c r="N1130" t="s">
        <v>230</v>
      </c>
      <c r="O1130">
        <v>22</v>
      </c>
    </row>
    <row r="1131" spans="1:15">
      <c r="A1131" s="1">
        <v>45993</v>
      </c>
      <c r="B1131">
        <v>9</v>
      </c>
      <c r="C1131" t="s">
        <v>94</v>
      </c>
      <c r="D1131">
        <v>9</v>
      </c>
      <c r="E1131" s="2">
        <v>5</v>
      </c>
      <c r="F1131" s="2">
        <v>11.1</v>
      </c>
      <c r="G1131" s="2">
        <v>-0.55000000000000004</v>
      </c>
      <c r="H1131" s="2">
        <v>20</v>
      </c>
      <c r="I1131" s="2">
        <v>-16.14</v>
      </c>
      <c r="J1131" s="2">
        <v>2.85</v>
      </c>
      <c r="K1131" s="2">
        <v>7.48</v>
      </c>
      <c r="L1131" s="2">
        <v>8</v>
      </c>
      <c r="M1131" s="2">
        <v>1.61</v>
      </c>
      <c r="N1131" t="s">
        <v>230</v>
      </c>
      <c r="O1131">
        <v>22</v>
      </c>
    </row>
    <row r="1132" spans="1:15">
      <c r="A1132" s="1">
        <v>45993</v>
      </c>
      <c r="B1132">
        <v>9</v>
      </c>
      <c r="C1132" t="s">
        <v>94</v>
      </c>
      <c r="D1132">
        <v>9</v>
      </c>
      <c r="E1132" s="2">
        <v>5.5</v>
      </c>
      <c r="F1132" s="2">
        <v>8.32</v>
      </c>
      <c r="G1132" s="2">
        <v>1.1200000000000001</v>
      </c>
      <c r="H1132" s="2">
        <v>10.52</v>
      </c>
      <c r="I1132" s="2">
        <v>-17.21</v>
      </c>
      <c r="J1132" s="2">
        <v>3.13</v>
      </c>
      <c r="K1132" s="2">
        <v>7.51</v>
      </c>
      <c r="L1132" s="2">
        <v>8.1300000000000008</v>
      </c>
      <c r="M1132" s="2">
        <v>1.68</v>
      </c>
      <c r="N1132" t="s">
        <v>230</v>
      </c>
      <c r="O1132">
        <v>22</v>
      </c>
    </row>
    <row r="1133" spans="1:15">
      <c r="A1133" s="1">
        <v>45993</v>
      </c>
      <c r="B1133">
        <v>9</v>
      </c>
      <c r="C1133" t="s">
        <v>94</v>
      </c>
      <c r="D1133">
        <v>9</v>
      </c>
      <c r="E1133" s="2">
        <v>6</v>
      </c>
      <c r="F1133" s="2">
        <v>24.51</v>
      </c>
      <c r="G1133" s="2">
        <v>-16.3</v>
      </c>
      <c r="H1133" s="2">
        <v>-44.06</v>
      </c>
      <c r="I1133" s="2">
        <v>46.83</v>
      </c>
      <c r="J1133" s="2">
        <v>3.38</v>
      </c>
      <c r="K1133" s="2">
        <v>7.62</v>
      </c>
      <c r="L1133" s="2">
        <v>8.33</v>
      </c>
      <c r="M1133" s="2">
        <v>1.68</v>
      </c>
      <c r="N1133" t="s">
        <v>230</v>
      </c>
      <c r="O1133">
        <v>22</v>
      </c>
    </row>
    <row r="1134" spans="1:15">
      <c r="A1134" s="1">
        <v>45993</v>
      </c>
      <c r="B1134">
        <v>9</v>
      </c>
      <c r="C1134" t="s">
        <v>94</v>
      </c>
      <c r="D1134">
        <v>9</v>
      </c>
      <c r="E1134" s="2">
        <v>6.5</v>
      </c>
      <c r="F1134" s="2">
        <v>29.8</v>
      </c>
      <c r="G1134" s="2">
        <v>-17.649999999999999</v>
      </c>
      <c r="H1134" s="2">
        <v>-69.540000000000006</v>
      </c>
      <c r="I1134" s="2">
        <v>80.709999999999994</v>
      </c>
      <c r="J1134" s="2">
        <v>3.63</v>
      </c>
      <c r="K1134" s="2">
        <v>7.44</v>
      </c>
      <c r="L1134" s="2">
        <v>8.27</v>
      </c>
      <c r="M1134" s="2">
        <v>1.65</v>
      </c>
      <c r="N1134" t="s">
        <v>230</v>
      </c>
      <c r="O1134">
        <v>22</v>
      </c>
    </row>
    <row r="1135" spans="1:15">
      <c r="A1135" s="1">
        <v>45993</v>
      </c>
      <c r="B1135">
        <v>9</v>
      </c>
      <c r="C1135" t="s">
        <v>94</v>
      </c>
      <c r="D1135">
        <v>9</v>
      </c>
      <c r="E1135" s="2">
        <v>7</v>
      </c>
      <c r="F1135" s="2">
        <v>109.78</v>
      </c>
      <c r="G1135" s="2">
        <v>-102.48</v>
      </c>
      <c r="H1135" s="2">
        <v>-52.72</v>
      </c>
      <c r="I1135" s="2">
        <v>60.17</v>
      </c>
      <c r="J1135" s="2">
        <v>3.47</v>
      </c>
      <c r="K1135" s="2">
        <v>7.1</v>
      </c>
      <c r="L1135" s="2">
        <v>7.9</v>
      </c>
      <c r="M1135" s="2">
        <v>1.66</v>
      </c>
      <c r="N1135" t="s">
        <v>230</v>
      </c>
      <c r="O1135">
        <v>22</v>
      </c>
    </row>
    <row r="1136" spans="1:15">
      <c r="A1136" s="1">
        <v>45993</v>
      </c>
      <c r="B1136">
        <v>9</v>
      </c>
      <c r="C1136" t="s">
        <v>94</v>
      </c>
      <c r="D1136">
        <v>9</v>
      </c>
      <c r="E1136" s="2">
        <v>7.5</v>
      </c>
      <c r="F1136" s="2">
        <v>65.55</v>
      </c>
      <c r="G1136" s="2">
        <v>-58.5</v>
      </c>
      <c r="H1136" s="2">
        <v>-60.73</v>
      </c>
      <c r="I1136" s="2">
        <v>70.39</v>
      </c>
      <c r="J1136" s="2">
        <v>3.59</v>
      </c>
      <c r="K1136" s="2">
        <v>6.98</v>
      </c>
      <c r="L1136" s="2">
        <v>7.85</v>
      </c>
      <c r="M1136" s="2">
        <v>1.64</v>
      </c>
      <c r="N1136" t="s">
        <v>230</v>
      </c>
      <c r="O1136">
        <v>22</v>
      </c>
    </row>
    <row r="1137" spans="1:15">
      <c r="A1137" s="1">
        <v>45993</v>
      </c>
      <c r="B1137">
        <v>9</v>
      </c>
      <c r="C1137" t="s">
        <v>94</v>
      </c>
      <c r="D1137">
        <v>9</v>
      </c>
      <c r="E1137" s="2">
        <v>8</v>
      </c>
      <c r="F1137" s="2">
        <v>44.57</v>
      </c>
      <c r="G1137" s="2">
        <v>-34.71</v>
      </c>
      <c r="H1137" s="2">
        <v>-56.6</v>
      </c>
      <c r="I1137" s="2">
        <v>68.91</v>
      </c>
      <c r="J1137" s="2">
        <v>3.47</v>
      </c>
      <c r="K1137" s="2">
        <v>6.51</v>
      </c>
      <c r="L1137" s="2">
        <v>7.38</v>
      </c>
      <c r="M1137" s="2">
        <v>1.42</v>
      </c>
      <c r="N1137" t="s">
        <v>230</v>
      </c>
      <c r="O1137">
        <v>22</v>
      </c>
    </row>
    <row r="1138" spans="1:15">
      <c r="A1138" s="1">
        <v>45993</v>
      </c>
      <c r="B1138">
        <v>9</v>
      </c>
      <c r="C1138" t="s">
        <v>94</v>
      </c>
      <c r="D1138">
        <v>9</v>
      </c>
      <c r="E1138" s="2">
        <v>8.5</v>
      </c>
      <c r="F1138" s="2">
        <v>7.93</v>
      </c>
      <c r="G1138" s="2">
        <v>0.12</v>
      </c>
      <c r="H1138" s="2">
        <v>-23.79</v>
      </c>
      <c r="I1138" s="2">
        <v>33.93</v>
      </c>
      <c r="J1138" s="2">
        <v>3.39</v>
      </c>
      <c r="K1138" s="2">
        <v>5.8</v>
      </c>
      <c r="L1138" s="2">
        <v>6.72</v>
      </c>
      <c r="M1138" s="2">
        <v>1.28</v>
      </c>
      <c r="N1138" t="s">
        <v>230</v>
      </c>
      <c r="O1138">
        <v>22</v>
      </c>
    </row>
    <row r="1139" spans="1:15">
      <c r="A1139" s="1">
        <v>45993</v>
      </c>
      <c r="B1139">
        <v>9</v>
      </c>
      <c r="C1139" t="s">
        <v>94</v>
      </c>
      <c r="D1139">
        <v>9</v>
      </c>
      <c r="E1139" s="2">
        <v>9</v>
      </c>
      <c r="F1139" s="2">
        <v>-39.89</v>
      </c>
      <c r="G1139" s="2">
        <v>48.07</v>
      </c>
      <c r="H1139" s="2">
        <v>-5.46</v>
      </c>
      <c r="I1139" s="2">
        <v>10.8</v>
      </c>
      <c r="J1139" s="2">
        <v>3.39</v>
      </c>
      <c r="K1139" s="2">
        <v>5.36</v>
      </c>
      <c r="L1139" s="2">
        <v>6.35</v>
      </c>
      <c r="M1139" s="2">
        <v>1.24</v>
      </c>
      <c r="N1139" t="s">
        <v>230</v>
      </c>
      <c r="O1139">
        <v>22</v>
      </c>
    </row>
    <row r="1140" spans="1:15">
      <c r="A1140" s="1">
        <v>45993</v>
      </c>
      <c r="B1140">
        <v>9</v>
      </c>
      <c r="C1140" t="s">
        <v>94</v>
      </c>
      <c r="D1140">
        <v>9</v>
      </c>
      <c r="E1140" s="2">
        <v>9.5</v>
      </c>
      <c r="F1140" s="2">
        <v>-113.89</v>
      </c>
      <c r="G1140" s="2">
        <v>119.04</v>
      </c>
      <c r="H1140" s="2">
        <v>12.42</v>
      </c>
      <c r="I1140" s="2">
        <v>-3.37</v>
      </c>
      <c r="J1140" s="2">
        <v>3.38</v>
      </c>
      <c r="K1140" s="2">
        <v>5.01</v>
      </c>
      <c r="L1140" s="2">
        <v>6.04</v>
      </c>
      <c r="M1140" s="2">
        <v>1.1399999999999999</v>
      </c>
      <c r="N1140" t="s">
        <v>230</v>
      </c>
      <c r="O1140">
        <v>22</v>
      </c>
    </row>
    <row r="1141" spans="1:15">
      <c r="A1141" s="1">
        <v>45993</v>
      </c>
      <c r="B1141">
        <v>9</v>
      </c>
      <c r="C1141" t="s">
        <v>94</v>
      </c>
      <c r="D1141">
        <v>9</v>
      </c>
      <c r="E1141" s="2">
        <v>10</v>
      </c>
      <c r="F1141" s="2">
        <v>-209.36</v>
      </c>
      <c r="G1141" s="2">
        <v>218.17</v>
      </c>
      <c r="H1141" s="2">
        <v>-66.83</v>
      </c>
      <c r="I1141" s="2">
        <v>73.680000000000007</v>
      </c>
      <c r="J1141" s="2">
        <v>3.11</v>
      </c>
      <c r="K1141" s="2">
        <v>4.6500000000000004</v>
      </c>
      <c r="L1141" s="2">
        <v>5.59</v>
      </c>
      <c r="M1141" s="2">
        <v>1.1200000000000001</v>
      </c>
      <c r="N1141" t="s">
        <v>230</v>
      </c>
      <c r="O1141">
        <v>22</v>
      </c>
    </row>
    <row r="1142" spans="1:15">
      <c r="A1142" s="1">
        <v>45993</v>
      </c>
      <c r="B1142">
        <v>9</v>
      </c>
      <c r="C1142" t="s">
        <v>94</v>
      </c>
      <c r="D1142">
        <v>9</v>
      </c>
      <c r="E1142" s="2">
        <v>10.5</v>
      </c>
      <c r="F1142" s="2">
        <v>-199.26</v>
      </c>
      <c r="G1142" s="2">
        <v>207.36</v>
      </c>
      <c r="H1142" s="2">
        <v>-44.84</v>
      </c>
      <c r="I1142" s="2">
        <v>54.65</v>
      </c>
      <c r="J1142" s="2">
        <v>2.66</v>
      </c>
      <c r="K1142" s="2">
        <v>4.05</v>
      </c>
      <c r="L1142" s="2">
        <v>4.84</v>
      </c>
      <c r="M1142" s="2">
        <v>1.06</v>
      </c>
      <c r="N1142" t="s">
        <v>230</v>
      </c>
      <c r="O1142">
        <v>22</v>
      </c>
    </row>
    <row r="1143" spans="1:15">
      <c r="A1143" s="1">
        <v>45993</v>
      </c>
      <c r="B1143">
        <v>9</v>
      </c>
      <c r="C1143" t="s">
        <v>94</v>
      </c>
      <c r="D1143">
        <v>9</v>
      </c>
      <c r="E1143" s="2">
        <v>11</v>
      </c>
      <c r="F1143" s="2">
        <v>-175.72</v>
      </c>
      <c r="G1143" s="2">
        <v>178.46</v>
      </c>
      <c r="H1143" s="2">
        <v>7.97</v>
      </c>
      <c r="I1143" s="2">
        <v>8.1999999999999993</v>
      </c>
      <c r="J1143" s="2">
        <v>2.4300000000000002</v>
      </c>
      <c r="K1143" s="2">
        <v>3.79</v>
      </c>
      <c r="L1143" s="2">
        <v>4.5</v>
      </c>
      <c r="M1143" s="2">
        <v>0.95</v>
      </c>
      <c r="N1143" t="s">
        <v>230</v>
      </c>
      <c r="O1143">
        <v>22</v>
      </c>
    </row>
    <row r="1144" spans="1:15">
      <c r="A1144" s="1">
        <v>45993</v>
      </c>
      <c r="B1144">
        <v>9</v>
      </c>
      <c r="C1144" t="s">
        <v>94</v>
      </c>
      <c r="D1144">
        <v>9</v>
      </c>
      <c r="E1144" s="2">
        <v>11.5</v>
      </c>
      <c r="F1144" s="2">
        <v>-79.67</v>
      </c>
      <c r="G1144" s="2">
        <v>83.44</v>
      </c>
      <c r="H1144" s="2">
        <v>6.78</v>
      </c>
      <c r="I1144" s="2">
        <v>-8.73</v>
      </c>
      <c r="J1144" s="2">
        <v>2.2400000000000002</v>
      </c>
      <c r="K1144" s="2">
        <v>3.66</v>
      </c>
      <c r="L1144" s="2">
        <v>4.29</v>
      </c>
      <c r="M1144" s="2">
        <v>0.9</v>
      </c>
      <c r="N1144" t="s">
        <v>230</v>
      </c>
      <c r="O1144">
        <v>22</v>
      </c>
    </row>
    <row r="1145" spans="1:15">
      <c r="A1145" s="1">
        <v>45993</v>
      </c>
      <c r="B1145">
        <v>9</v>
      </c>
      <c r="C1145" t="s">
        <v>94</v>
      </c>
      <c r="D1145">
        <v>9</v>
      </c>
      <c r="E1145" s="2">
        <v>12</v>
      </c>
      <c r="F1145" s="2">
        <v>-146.03</v>
      </c>
      <c r="G1145" s="2">
        <v>155.34</v>
      </c>
      <c r="H1145" s="2">
        <v>-10.61</v>
      </c>
      <c r="I1145" s="2">
        <v>11.25</v>
      </c>
      <c r="J1145" s="2">
        <v>2.11</v>
      </c>
      <c r="K1145" s="2">
        <v>3.58</v>
      </c>
      <c r="L1145" s="2">
        <v>4.1500000000000004</v>
      </c>
      <c r="M1145" s="2">
        <v>1.01</v>
      </c>
      <c r="N1145" t="s">
        <v>230</v>
      </c>
      <c r="O1145">
        <v>22</v>
      </c>
    </row>
    <row r="1146" spans="1:15">
      <c r="A1146" s="1">
        <v>45993</v>
      </c>
      <c r="B1146">
        <v>9</v>
      </c>
      <c r="C1146" t="s">
        <v>94</v>
      </c>
      <c r="D1146">
        <v>9</v>
      </c>
      <c r="E1146" s="2">
        <v>12.5</v>
      </c>
      <c r="F1146" s="2">
        <v>-137.04</v>
      </c>
      <c r="G1146" s="2">
        <v>139.47</v>
      </c>
      <c r="H1146" s="2">
        <v>50.08</v>
      </c>
      <c r="I1146" s="2">
        <v>-45.44</v>
      </c>
      <c r="J1146" s="2">
        <v>2.06</v>
      </c>
      <c r="K1146" s="2">
        <v>3.51</v>
      </c>
      <c r="L1146" s="2">
        <v>4.07</v>
      </c>
      <c r="M1146" s="2">
        <v>1.1100000000000001</v>
      </c>
      <c r="N1146" t="s">
        <v>230</v>
      </c>
      <c r="O1146">
        <v>22</v>
      </c>
    </row>
    <row r="1147" spans="1:15">
      <c r="A1147" s="1">
        <v>45993</v>
      </c>
      <c r="B1147">
        <v>9</v>
      </c>
      <c r="C1147" t="s">
        <v>94</v>
      </c>
      <c r="D1147">
        <v>9</v>
      </c>
      <c r="E1147" s="2">
        <v>13</v>
      </c>
      <c r="F1147" s="2">
        <v>-69.11</v>
      </c>
      <c r="G1147" s="2">
        <v>75.989999999999995</v>
      </c>
      <c r="H1147" s="2">
        <v>47.01</v>
      </c>
      <c r="I1147" s="2">
        <v>-36.14</v>
      </c>
      <c r="J1147" s="2">
        <v>1.96</v>
      </c>
      <c r="K1147" s="2">
        <v>3.48</v>
      </c>
      <c r="L1147" s="2">
        <v>4</v>
      </c>
      <c r="M1147" s="2">
        <v>1.01</v>
      </c>
      <c r="N1147" t="s">
        <v>230</v>
      </c>
      <c r="O1147">
        <v>22</v>
      </c>
    </row>
    <row r="1148" spans="1:15">
      <c r="A1148" s="1">
        <v>45993</v>
      </c>
      <c r="B1148">
        <v>9</v>
      </c>
      <c r="C1148" t="s">
        <v>94</v>
      </c>
      <c r="D1148">
        <v>9</v>
      </c>
      <c r="E1148" s="2">
        <v>13.5</v>
      </c>
      <c r="F1148" s="2">
        <v>-59.38</v>
      </c>
      <c r="G1148" s="2">
        <v>64.16</v>
      </c>
      <c r="H1148" s="2">
        <v>57.51</v>
      </c>
      <c r="I1148" s="2">
        <v>-52.86</v>
      </c>
      <c r="J1148" s="2">
        <v>1.61</v>
      </c>
      <c r="K1148" s="2">
        <v>3.4</v>
      </c>
      <c r="L1148" s="2">
        <v>3.77</v>
      </c>
      <c r="M1148" s="2">
        <v>0.94</v>
      </c>
      <c r="N1148" t="s">
        <v>230</v>
      </c>
      <c r="O1148">
        <v>22</v>
      </c>
    </row>
    <row r="1149" spans="1:15">
      <c r="A1149" s="1">
        <v>45993</v>
      </c>
      <c r="B1149">
        <v>9</v>
      </c>
      <c r="C1149" t="s">
        <v>94</v>
      </c>
      <c r="D1149">
        <v>9</v>
      </c>
      <c r="E1149" s="2">
        <v>14</v>
      </c>
      <c r="F1149" s="2">
        <v>-59.47</v>
      </c>
      <c r="G1149" s="2">
        <v>62.88</v>
      </c>
      <c r="H1149" s="2">
        <v>72.989999999999995</v>
      </c>
      <c r="I1149" s="2">
        <v>-58.32</v>
      </c>
      <c r="J1149" s="2">
        <v>1.1000000000000001</v>
      </c>
      <c r="K1149" s="2">
        <v>3.24</v>
      </c>
      <c r="L1149" s="2">
        <v>3.42</v>
      </c>
      <c r="M1149" s="2">
        <v>0.81</v>
      </c>
      <c r="N1149" t="s">
        <v>230</v>
      </c>
      <c r="O1149">
        <v>22</v>
      </c>
    </row>
    <row r="1150" spans="1:15">
      <c r="A1150" s="1">
        <v>45993</v>
      </c>
      <c r="B1150">
        <v>9</v>
      </c>
      <c r="C1150" t="s">
        <v>94</v>
      </c>
      <c r="D1150">
        <v>9</v>
      </c>
      <c r="E1150" s="2">
        <v>14.5</v>
      </c>
      <c r="F1150" s="2">
        <v>-48.82</v>
      </c>
      <c r="G1150" s="2">
        <v>52.88</v>
      </c>
      <c r="H1150" s="2">
        <v>99.08</v>
      </c>
      <c r="I1150" s="2">
        <v>-84.96</v>
      </c>
      <c r="J1150" s="2">
        <v>0.56000000000000005</v>
      </c>
      <c r="K1150" s="2">
        <v>2.72</v>
      </c>
      <c r="L1150" s="2">
        <v>2.78</v>
      </c>
      <c r="M1150" s="2">
        <v>0.57999999999999996</v>
      </c>
      <c r="N1150" t="s">
        <v>230</v>
      </c>
      <c r="O1150">
        <v>22</v>
      </c>
    </row>
    <row r="1151" spans="1:15">
      <c r="A1151" s="1">
        <v>45993</v>
      </c>
      <c r="B1151">
        <v>9</v>
      </c>
      <c r="C1151" t="s">
        <v>94</v>
      </c>
      <c r="D1151">
        <v>9</v>
      </c>
      <c r="E1151" s="2">
        <v>15</v>
      </c>
      <c r="F1151" s="2">
        <v>-14.82</v>
      </c>
      <c r="G1151" s="2">
        <v>20.149999999999999</v>
      </c>
      <c r="H1151" s="2">
        <v>114.64</v>
      </c>
      <c r="I1151" s="2">
        <v>-105.06</v>
      </c>
      <c r="J1151" s="2">
        <v>7.0000000000000007E-2</v>
      </c>
      <c r="K1151" s="2">
        <v>2.36</v>
      </c>
      <c r="L1151" s="2">
        <v>2.36</v>
      </c>
      <c r="M1151" s="2">
        <v>0.4</v>
      </c>
      <c r="N1151" t="s">
        <v>230</v>
      </c>
      <c r="O1151">
        <v>22</v>
      </c>
    </row>
    <row r="1152" spans="1:15">
      <c r="A1152" s="1">
        <v>45993</v>
      </c>
      <c r="B1152">
        <v>9</v>
      </c>
      <c r="C1152" t="s">
        <v>94</v>
      </c>
      <c r="D1152">
        <v>9</v>
      </c>
      <c r="E1152" s="2">
        <v>15.5</v>
      </c>
      <c r="F1152" s="2">
        <v>-50.61</v>
      </c>
      <c r="G1152" s="2">
        <v>51.36</v>
      </c>
      <c r="H1152" s="2">
        <v>90.57</v>
      </c>
      <c r="I1152" s="2">
        <v>-86.31</v>
      </c>
      <c r="J1152" s="2">
        <v>-0.27</v>
      </c>
      <c r="K1152" s="2">
        <v>2.09</v>
      </c>
      <c r="L1152" s="2">
        <v>2.11</v>
      </c>
      <c r="M1152" s="2">
        <v>0.44</v>
      </c>
      <c r="N1152" t="s">
        <v>230</v>
      </c>
      <c r="O1152">
        <v>22</v>
      </c>
    </row>
    <row r="1153" spans="1:15">
      <c r="A1153" s="1">
        <v>45993</v>
      </c>
      <c r="B1153">
        <v>9</v>
      </c>
      <c r="C1153" t="s">
        <v>94</v>
      </c>
      <c r="D1153">
        <v>9</v>
      </c>
      <c r="E1153" s="2">
        <v>16</v>
      </c>
      <c r="F1153" s="2">
        <v>-15.77</v>
      </c>
      <c r="G1153" s="2">
        <v>19.11</v>
      </c>
      <c r="H1153" s="2">
        <v>-31.3</v>
      </c>
      <c r="I1153" s="2">
        <v>33</v>
      </c>
      <c r="J1153" s="2">
        <v>-1.22</v>
      </c>
      <c r="K1153" s="2">
        <v>0.9</v>
      </c>
      <c r="L1153" s="2">
        <v>1.52</v>
      </c>
      <c r="M1153" s="2">
        <v>0.44</v>
      </c>
      <c r="N1153" t="s">
        <v>230</v>
      </c>
      <c r="O1153">
        <v>22</v>
      </c>
    </row>
    <row r="1154" spans="1:15">
      <c r="A1154" s="1">
        <v>45993</v>
      </c>
      <c r="B1154">
        <v>9</v>
      </c>
      <c r="C1154" t="s">
        <v>94</v>
      </c>
      <c r="D1154">
        <v>9</v>
      </c>
      <c r="E1154" s="2">
        <v>16.5</v>
      </c>
      <c r="F1154" s="2">
        <v>4.7699999999999996</v>
      </c>
      <c r="G1154" s="2">
        <v>-0.21</v>
      </c>
      <c r="H1154" s="2">
        <v>-10.31</v>
      </c>
      <c r="I1154" s="2">
        <v>18.95</v>
      </c>
      <c r="J1154" s="2">
        <v>-1.19</v>
      </c>
      <c r="K1154" s="2">
        <v>0.89</v>
      </c>
      <c r="L1154" s="2">
        <v>1.49</v>
      </c>
      <c r="M1154" s="2">
        <v>0.45</v>
      </c>
      <c r="N1154" t="s">
        <v>230</v>
      </c>
      <c r="O1154">
        <v>22</v>
      </c>
    </row>
    <row r="1155" spans="1:15">
      <c r="A1155" s="1">
        <v>45993</v>
      </c>
      <c r="B1155">
        <v>9</v>
      </c>
      <c r="C1155" t="s">
        <v>94</v>
      </c>
      <c r="D1155">
        <v>9</v>
      </c>
      <c r="E1155" s="2">
        <v>17</v>
      </c>
      <c r="F1155" s="2">
        <v>15.36</v>
      </c>
      <c r="G1155" s="2">
        <v>-12.66</v>
      </c>
      <c r="H1155" s="2">
        <v>4.6500000000000004</v>
      </c>
      <c r="I1155" s="2">
        <v>-1.37</v>
      </c>
      <c r="J1155" s="2">
        <v>-1.1599999999999999</v>
      </c>
      <c r="K1155" s="2">
        <v>0.94</v>
      </c>
      <c r="L1155" s="2">
        <v>1.49</v>
      </c>
      <c r="M1155" s="2">
        <v>0.46</v>
      </c>
      <c r="N1155" t="s">
        <v>230</v>
      </c>
      <c r="O1155">
        <v>22</v>
      </c>
    </row>
    <row r="1156" spans="1:15">
      <c r="A1156" s="1">
        <v>45993</v>
      </c>
      <c r="B1156">
        <v>9</v>
      </c>
      <c r="C1156" t="s">
        <v>94</v>
      </c>
      <c r="D1156">
        <v>9</v>
      </c>
      <c r="E1156" s="2">
        <v>17.5</v>
      </c>
      <c r="F1156" s="2">
        <v>-12.52</v>
      </c>
      <c r="G1156" s="2">
        <v>15.38</v>
      </c>
      <c r="H1156" s="2">
        <v>36.39</v>
      </c>
      <c r="I1156" s="2">
        <v>-28.73</v>
      </c>
      <c r="J1156" s="2">
        <v>-1.19</v>
      </c>
      <c r="K1156" s="2">
        <v>1.0900000000000001</v>
      </c>
      <c r="L1156" s="2">
        <v>1.62</v>
      </c>
      <c r="M1156" s="2">
        <v>0.5</v>
      </c>
      <c r="N1156" t="s">
        <v>230</v>
      </c>
      <c r="O1156">
        <v>22</v>
      </c>
    </row>
    <row r="1157" spans="1:15">
      <c r="A1157" s="1">
        <v>45993</v>
      </c>
      <c r="B1157">
        <v>9</v>
      </c>
      <c r="C1157" t="s">
        <v>94</v>
      </c>
      <c r="D1157">
        <v>9</v>
      </c>
      <c r="E1157" s="2">
        <v>18</v>
      </c>
      <c r="F1157" s="2">
        <v>-32.15</v>
      </c>
      <c r="G1157" s="2">
        <v>34.21</v>
      </c>
      <c r="H1157" s="2">
        <v>50.65</v>
      </c>
      <c r="I1157" s="2">
        <v>-40.909999999999997</v>
      </c>
      <c r="J1157" s="2">
        <v>-1.19</v>
      </c>
      <c r="K1157" s="2">
        <v>1.0900000000000001</v>
      </c>
      <c r="L1157" s="2">
        <v>1.62</v>
      </c>
      <c r="M1157" s="2">
        <v>0.48</v>
      </c>
      <c r="N1157" t="s">
        <v>230</v>
      </c>
      <c r="O1157">
        <v>22</v>
      </c>
    </row>
    <row r="1158" spans="1:15">
      <c r="A1158" s="1">
        <v>45993</v>
      </c>
      <c r="B1158">
        <v>9</v>
      </c>
      <c r="C1158" t="s">
        <v>94</v>
      </c>
      <c r="D1158">
        <v>9</v>
      </c>
      <c r="E1158" s="2">
        <v>18.5</v>
      </c>
      <c r="F1158" s="2">
        <v>-35.39</v>
      </c>
      <c r="G1158" s="2">
        <v>45.13</v>
      </c>
      <c r="H1158" s="2">
        <v>76.849999999999994</v>
      </c>
      <c r="I1158" s="2">
        <v>-48.81</v>
      </c>
      <c r="J1158" s="2">
        <v>-1.19</v>
      </c>
      <c r="K1158" s="2">
        <v>1.1100000000000001</v>
      </c>
      <c r="L1158" s="2">
        <v>1.63</v>
      </c>
      <c r="M1158" s="2">
        <v>0.49</v>
      </c>
      <c r="N1158" t="s">
        <v>230</v>
      </c>
      <c r="O1158">
        <v>22</v>
      </c>
    </row>
    <row r="1159" spans="1:15">
      <c r="A1159" s="1">
        <v>45993</v>
      </c>
      <c r="B1159">
        <v>9</v>
      </c>
      <c r="C1159" t="s">
        <v>94</v>
      </c>
      <c r="D1159">
        <v>9</v>
      </c>
      <c r="E1159" s="2">
        <v>19</v>
      </c>
      <c r="F1159" s="2">
        <v>-139.47999999999999</v>
      </c>
      <c r="G1159" s="2">
        <v>135.28</v>
      </c>
      <c r="H1159" s="2">
        <v>-29.62</v>
      </c>
      <c r="I1159" s="2">
        <v>44.41</v>
      </c>
      <c r="J1159" s="2">
        <v>-1.19</v>
      </c>
      <c r="K1159" s="2">
        <v>1.05</v>
      </c>
      <c r="L1159" s="2">
        <v>1.59</v>
      </c>
      <c r="M1159" s="2">
        <v>0.66</v>
      </c>
      <c r="N1159" t="s">
        <v>230</v>
      </c>
      <c r="O1159">
        <v>22</v>
      </c>
    </row>
    <row r="1160" spans="1:15">
      <c r="A1160" s="1">
        <v>45993</v>
      </c>
      <c r="B1160">
        <v>9</v>
      </c>
      <c r="C1160" t="s">
        <v>94</v>
      </c>
      <c r="D1160">
        <v>9</v>
      </c>
      <c r="E1160" s="2">
        <v>19.5</v>
      </c>
      <c r="F1160" s="2">
        <v>-133.13999999999999</v>
      </c>
      <c r="G1160" s="2">
        <v>135.99</v>
      </c>
      <c r="H1160" s="2">
        <v>-39.01</v>
      </c>
      <c r="I1160" s="2">
        <v>43.5</v>
      </c>
      <c r="J1160" s="2">
        <v>-1.22</v>
      </c>
      <c r="K1160" s="2">
        <v>1.08</v>
      </c>
      <c r="L1160" s="2">
        <v>1.63</v>
      </c>
      <c r="M1160" s="2">
        <v>0.72</v>
      </c>
      <c r="N1160" t="s">
        <v>230</v>
      </c>
      <c r="O1160">
        <v>22</v>
      </c>
    </row>
    <row r="1161" spans="1:15">
      <c r="A1161" s="1">
        <v>45993</v>
      </c>
      <c r="B1161">
        <v>9</v>
      </c>
      <c r="C1161" t="s">
        <v>94</v>
      </c>
      <c r="D1161">
        <v>9</v>
      </c>
      <c r="E1161" s="2">
        <v>20</v>
      </c>
      <c r="F1161" s="2">
        <v>-144.27000000000001</v>
      </c>
      <c r="G1161" s="2">
        <v>146.16999999999999</v>
      </c>
      <c r="H1161" s="2">
        <v>-42.8</v>
      </c>
      <c r="I1161" s="2">
        <v>46.83</v>
      </c>
      <c r="J1161" s="2">
        <v>-1.26</v>
      </c>
      <c r="K1161" s="2">
        <v>0.98</v>
      </c>
      <c r="L1161" s="2">
        <v>1.59</v>
      </c>
      <c r="M1161" s="2">
        <v>0.75</v>
      </c>
      <c r="N1161" t="s">
        <v>230</v>
      </c>
      <c r="O1161">
        <v>22</v>
      </c>
    </row>
    <row r="1162" spans="1:15">
      <c r="A1162" s="1">
        <v>45993</v>
      </c>
      <c r="B1162">
        <v>9</v>
      </c>
      <c r="C1162" t="s">
        <v>94</v>
      </c>
      <c r="D1162">
        <v>9</v>
      </c>
      <c r="E1162" s="2">
        <v>20.5</v>
      </c>
      <c r="F1162" s="2">
        <v>-167.55</v>
      </c>
      <c r="G1162" s="2">
        <v>170.03</v>
      </c>
      <c r="H1162" s="2">
        <v>-25.05</v>
      </c>
      <c r="I1162" s="2">
        <v>35.89</v>
      </c>
      <c r="J1162" s="2">
        <v>-1.29</v>
      </c>
      <c r="K1162" s="2">
        <v>0.8</v>
      </c>
      <c r="L1162" s="2">
        <v>1.52</v>
      </c>
      <c r="M1162" s="2">
        <v>0.69</v>
      </c>
      <c r="N1162" t="s">
        <v>230</v>
      </c>
      <c r="O1162">
        <v>22</v>
      </c>
    </row>
    <row r="1163" spans="1:15">
      <c r="A1163" s="1">
        <v>45993</v>
      </c>
      <c r="B1163">
        <v>9</v>
      </c>
      <c r="C1163" t="s">
        <v>94</v>
      </c>
      <c r="D1163">
        <v>9</v>
      </c>
      <c r="E1163" s="2">
        <v>21</v>
      </c>
      <c r="F1163" s="2">
        <v>-156.25</v>
      </c>
      <c r="G1163" s="2">
        <v>157.01</v>
      </c>
      <c r="H1163" s="2">
        <v>-16.7</v>
      </c>
      <c r="I1163" s="2">
        <v>29.85</v>
      </c>
      <c r="J1163" s="2">
        <v>-1.28</v>
      </c>
      <c r="K1163" s="2">
        <v>0.53</v>
      </c>
      <c r="L1163" s="2">
        <v>1.39</v>
      </c>
      <c r="M1163" s="2">
        <v>0.54</v>
      </c>
      <c r="N1163" t="s">
        <v>230</v>
      </c>
      <c r="O1163">
        <v>22</v>
      </c>
    </row>
    <row r="1164" spans="1:15">
      <c r="A1164" s="1">
        <v>45993</v>
      </c>
      <c r="B1164">
        <v>9</v>
      </c>
      <c r="C1164" t="s">
        <v>94</v>
      </c>
      <c r="D1164">
        <v>9</v>
      </c>
      <c r="E1164" s="2">
        <v>21.5</v>
      </c>
      <c r="F1164" s="2">
        <v>-75.91</v>
      </c>
      <c r="G1164" s="2">
        <v>79.27</v>
      </c>
      <c r="H1164" s="2">
        <v>-26.89</v>
      </c>
      <c r="I1164" s="2">
        <v>26.59</v>
      </c>
      <c r="J1164" s="2">
        <v>-1.27</v>
      </c>
      <c r="K1164" s="2">
        <v>0.41</v>
      </c>
      <c r="L1164" s="2">
        <v>1.34</v>
      </c>
      <c r="M1164" s="2">
        <v>0.48</v>
      </c>
      <c r="N1164" t="s">
        <v>230</v>
      </c>
      <c r="O1164">
        <v>22</v>
      </c>
    </row>
    <row r="1165" spans="1:15">
      <c r="A1165" s="1">
        <v>45993</v>
      </c>
      <c r="B1165">
        <v>9</v>
      </c>
      <c r="C1165" t="s">
        <v>94</v>
      </c>
      <c r="D1165">
        <v>9</v>
      </c>
      <c r="E1165" s="2">
        <v>22</v>
      </c>
      <c r="F1165" s="2">
        <v>-1.02</v>
      </c>
      <c r="G1165" s="2">
        <v>0.65</v>
      </c>
      <c r="H1165" s="2">
        <v>-90</v>
      </c>
      <c r="I1165" s="2">
        <v>101.77</v>
      </c>
      <c r="J1165" s="2">
        <v>-1.27</v>
      </c>
      <c r="K1165" s="2">
        <v>0.36</v>
      </c>
      <c r="L1165" s="2">
        <v>1.32</v>
      </c>
      <c r="M1165" s="2">
        <v>0.45</v>
      </c>
      <c r="N1165" t="s">
        <v>230</v>
      </c>
      <c r="O1165">
        <v>22</v>
      </c>
    </row>
    <row r="1166" spans="1:15">
      <c r="A1166" s="1">
        <v>45993</v>
      </c>
      <c r="B1166">
        <v>9</v>
      </c>
      <c r="C1166" t="s">
        <v>94</v>
      </c>
      <c r="D1166">
        <v>9</v>
      </c>
      <c r="E1166" s="2">
        <v>22.5</v>
      </c>
      <c r="F1166" s="2">
        <v>-36.99</v>
      </c>
      <c r="G1166" s="2">
        <v>38.15</v>
      </c>
      <c r="H1166" s="2">
        <v>-38.729999999999997</v>
      </c>
      <c r="I1166" s="2">
        <v>49.74</v>
      </c>
      <c r="J1166" s="2">
        <v>-1.47</v>
      </c>
      <c r="K1166" s="2">
        <v>0.51</v>
      </c>
      <c r="L1166" s="2">
        <v>1.55</v>
      </c>
      <c r="M1166" s="2">
        <v>0.66</v>
      </c>
      <c r="N1166" t="s">
        <v>230</v>
      </c>
      <c r="O1166">
        <v>22</v>
      </c>
    </row>
    <row r="1167" spans="1:15">
      <c r="A1167" s="1">
        <v>45993</v>
      </c>
      <c r="B1167">
        <v>9</v>
      </c>
      <c r="C1167" t="s">
        <v>94</v>
      </c>
      <c r="D1167">
        <v>9</v>
      </c>
      <c r="E1167" s="2">
        <v>23</v>
      </c>
      <c r="F1167" s="2">
        <v>-54.62</v>
      </c>
      <c r="G1167" s="2">
        <v>55.72</v>
      </c>
      <c r="H1167" s="2">
        <v>1.31</v>
      </c>
      <c r="I1167" s="2">
        <v>11.01</v>
      </c>
      <c r="J1167" s="2">
        <v>-1.78</v>
      </c>
      <c r="K1167" s="2">
        <v>0.4</v>
      </c>
      <c r="L1167" s="2">
        <v>1.82</v>
      </c>
      <c r="M1167" s="2">
        <v>0.87</v>
      </c>
      <c r="N1167" t="s">
        <v>230</v>
      </c>
      <c r="O1167">
        <v>22</v>
      </c>
    </row>
    <row r="1168" spans="1:15">
      <c r="A1168" s="1">
        <v>45993</v>
      </c>
      <c r="B1168">
        <v>9</v>
      </c>
      <c r="C1168" t="s">
        <v>94</v>
      </c>
      <c r="D1168">
        <v>9</v>
      </c>
      <c r="E1168" s="2">
        <v>23.5</v>
      </c>
      <c r="F1168" s="2">
        <v>-62.49</v>
      </c>
      <c r="G1168" s="2">
        <v>64.92</v>
      </c>
      <c r="H1168" s="2">
        <v>30.17</v>
      </c>
      <c r="I1168" s="2">
        <v>-20.149999999999999</v>
      </c>
      <c r="J1168" s="2">
        <v>-1.95</v>
      </c>
      <c r="K1168" s="2">
        <v>0.27</v>
      </c>
      <c r="L1168" s="2">
        <v>1.97</v>
      </c>
      <c r="M1168" s="2">
        <v>1</v>
      </c>
      <c r="N1168" t="s">
        <v>230</v>
      </c>
      <c r="O1168">
        <v>22</v>
      </c>
    </row>
    <row r="1169" spans="1:15">
      <c r="A1169" s="1">
        <v>45993</v>
      </c>
      <c r="B1169">
        <v>9</v>
      </c>
      <c r="C1169" t="s">
        <v>94</v>
      </c>
      <c r="D1169">
        <v>9</v>
      </c>
      <c r="E1169" s="2">
        <v>24</v>
      </c>
      <c r="F1169" s="2">
        <v>-75.849999999999994</v>
      </c>
      <c r="G1169" s="2">
        <v>78.569999999999993</v>
      </c>
      <c r="H1169" s="2">
        <v>31.37</v>
      </c>
      <c r="I1169" s="2">
        <v>-22.55</v>
      </c>
      <c r="J1169" s="2">
        <v>-1.84</v>
      </c>
      <c r="K1169" s="2">
        <v>0.36</v>
      </c>
      <c r="L1169" s="2">
        <v>1.88</v>
      </c>
      <c r="M1169" s="2">
        <v>0.95</v>
      </c>
      <c r="N1169" t="s">
        <v>230</v>
      </c>
      <c r="O1169">
        <v>22</v>
      </c>
    </row>
    <row r="1170" spans="1:15">
      <c r="A1170" s="1">
        <v>45993</v>
      </c>
      <c r="B1170">
        <v>9</v>
      </c>
      <c r="C1170" t="s">
        <v>94</v>
      </c>
      <c r="D1170">
        <v>9</v>
      </c>
      <c r="E1170" s="2">
        <v>24.5</v>
      </c>
      <c r="F1170" s="2">
        <v>-103.52</v>
      </c>
      <c r="G1170" s="2">
        <v>98.16</v>
      </c>
      <c r="H1170" s="2">
        <v>48.88</v>
      </c>
      <c r="I1170" s="2">
        <v>-23.2</v>
      </c>
      <c r="J1170" s="2">
        <v>-1.5</v>
      </c>
      <c r="K1170" s="2">
        <v>0.46</v>
      </c>
      <c r="L1170" s="2">
        <v>1.57</v>
      </c>
      <c r="M1170" s="2">
        <v>0.71</v>
      </c>
      <c r="N1170" t="s">
        <v>230</v>
      </c>
      <c r="O1170">
        <v>22</v>
      </c>
    </row>
    <row r="1171" spans="1:15">
      <c r="A1171" s="1">
        <v>45993</v>
      </c>
      <c r="B1171">
        <v>9</v>
      </c>
      <c r="C1171" t="s">
        <v>94</v>
      </c>
      <c r="D1171">
        <v>9</v>
      </c>
      <c r="E1171" s="2">
        <v>25</v>
      </c>
      <c r="F1171" s="2">
        <v>-107.47</v>
      </c>
      <c r="G1171" s="2">
        <v>111.72</v>
      </c>
      <c r="H1171" s="2">
        <v>-54.08</v>
      </c>
      <c r="I1171" s="2">
        <v>55.28</v>
      </c>
      <c r="J1171" s="2">
        <v>-1.02</v>
      </c>
      <c r="K1171" s="2">
        <v>1.07</v>
      </c>
      <c r="L1171" s="2">
        <v>1.48</v>
      </c>
      <c r="M1171" s="2">
        <v>0.4</v>
      </c>
      <c r="N1171" t="s">
        <v>230</v>
      </c>
      <c r="O1171">
        <v>22</v>
      </c>
    </row>
    <row r="1172" spans="1:15">
      <c r="A1172" s="1">
        <v>45993</v>
      </c>
      <c r="B1172">
        <v>9</v>
      </c>
      <c r="C1172" t="s">
        <v>94</v>
      </c>
      <c r="D1172">
        <v>9</v>
      </c>
      <c r="E1172" s="2">
        <v>25.5</v>
      </c>
      <c r="F1172" s="2">
        <v>-95.01</v>
      </c>
      <c r="G1172" s="2">
        <v>96.92</v>
      </c>
      <c r="H1172" s="2">
        <v>-44.84</v>
      </c>
      <c r="I1172" s="2">
        <v>38.06</v>
      </c>
      <c r="J1172" s="2">
        <v>-0.99</v>
      </c>
      <c r="K1172" s="2">
        <v>0.65</v>
      </c>
      <c r="L1172" s="2">
        <v>1.18</v>
      </c>
      <c r="M1172" s="2">
        <v>0.3</v>
      </c>
      <c r="N1172" t="s">
        <v>230</v>
      </c>
      <c r="O1172">
        <v>22</v>
      </c>
    </row>
    <row r="1173" spans="1:15">
      <c r="A1173" s="1">
        <v>45993</v>
      </c>
      <c r="B1173">
        <v>9</v>
      </c>
      <c r="C1173" t="s">
        <v>94</v>
      </c>
      <c r="D1173">
        <v>9</v>
      </c>
      <c r="E1173" s="2">
        <v>26</v>
      </c>
      <c r="F1173" s="2">
        <v>-55.06</v>
      </c>
      <c r="G1173" s="2">
        <v>57.5</v>
      </c>
      <c r="H1173" s="2">
        <v>-33.35</v>
      </c>
      <c r="I1173" s="2">
        <v>30.6</v>
      </c>
      <c r="J1173" s="2">
        <v>-1.04</v>
      </c>
      <c r="K1173" s="2">
        <v>0.48</v>
      </c>
      <c r="L1173" s="2">
        <v>1.1499999999999999</v>
      </c>
      <c r="M1173" s="2">
        <v>0.28000000000000003</v>
      </c>
      <c r="N1173" t="s">
        <v>230</v>
      </c>
      <c r="O1173">
        <v>22</v>
      </c>
    </row>
    <row r="1174" spans="1:15">
      <c r="A1174" s="1">
        <v>45993</v>
      </c>
      <c r="B1174">
        <v>9</v>
      </c>
      <c r="C1174" t="s">
        <v>94</v>
      </c>
      <c r="D1174">
        <v>9</v>
      </c>
      <c r="E1174" s="2">
        <v>26.5</v>
      </c>
      <c r="F1174" s="2">
        <v>-15.23</v>
      </c>
      <c r="G1174" s="2">
        <v>16.32</v>
      </c>
      <c r="H1174" s="2">
        <v>3.72</v>
      </c>
      <c r="I1174" s="2">
        <v>-8.19</v>
      </c>
      <c r="J1174" s="2">
        <v>-0.9</v>
      </c>
      <c r="K1174" s="2">
        <v>0.37</v>
      </c>
      <c r="L1174" s="2">
        <v>0.97</v>
      </c>
      <c r="M1174" s="2">
        <v>0.14000000000000001</v>
      </c>
      <c r="N1174" t="s">
        <v>230</v>
      </c>
      <c r="O1174">
        <v>22</v>
      </c>
    </row>
    <row r="1175" spans="1:15">
      <c r="A1175" s="1">
        <v>45993</v>
      </c>
      <c r="B1175">
        <v>9</v>
      </c>
      <c r="C1175" t="s">
        <v>94</v>
      </c>
      <c r="D1175">
        <v>9</v>
      </c>
      <c r="E1175" s="2">
        <v>27</v>
      </c>
      <c r="F1175" s="2">
        <v>36.58</v>
      </c>
      <c r="G1175" s="2">
        <v>-35.65</v>
      </c>
      <c r="H1175" s="2">
        <v>52.21</v>
      </c>
      <c r="I1175" s="2">
        <v>-41.81</v>
      </c>
      <c r="J1175" s="2">
        <v>-0.51</v>
      </c>
      <c r="K1175" s="2">
        <v>0.27</v>
      </c>
      <c r="L1175" s="2">
        <v>0.57999999999999996</v>
      </c>
      <c r="M1175" s="2">
        <v>0.05</v>
      </c>
      <c r="N1175" t="s">
        <v>230</v>
      </c>
      <c r="O1175">
        <v>22</v>
      </c>
    </row>
    <row r="1176" spans="1:15">
      <c r="A1176" s="1">
        <v>45993</v>
      </c>
      <c r="B1176">
        <v>9</v>
      </c>
      <c r="C1176" t="s">
        <v>99</v>
      </c>
      <c r="D1176">
        <v>9</v>
      </c>
      <c r="E1176" s="2">
        <v>0.5</v>
      </c>
      <c r="F1176" s="2">
        <v>-392.76</v>
      </c>
      <c r="G1176" s="2">
        <v>407.75</v>
      </c>
      <c r="H1176" s="2">
        <v>-122.45</v>
      </c>
      <c r="I1176" s="2">
        <v>137.05000000000001</v>
      </c>
      <c r="J1176" s="2">
        <v>1.74</v>
      </c>
      <c r="K1176" s="2">
        <v>-6.53</v>
      </c>
      <c r="L1176" s="2">
        <v>6.76</v>
      </c>
      <c r="M1176" s="2">
        <v>0.83</v>
      </c>
      <c r="N1176" t="s">
        <v>230</v>
      </c>
      <c r="O1176">
        <v>42</v>
      </c>
    </row>
    <row r="1177" spans="1:15">
      <c r="A1177" s="1">
        <v>45993</v>
      </c>
      <c r="B1177">
        <v>9</v>
      </c>
      <c r="C1177" t="s">
        <v>99</v>
      </c>
      <c r="D1177">
        <v>9</v>
      </c>
      <c r="E1177" s="2">
        <v>1</v>
      </c>
      <c r="F1177" s="2">
        <v>-395.07</v>
      </c>
      <c r="G1177" s="2">
        <v>405.24</v>
      </c>
      <c r="H1177" s="2">
        <v>-128.1</v>
      </c>
      <c r="I1177" s="2">
        <v>139.78</v>
      </c>
      <c r="J1177" s="2">
        <v>2.16</v>
      </c>
      <c r="K1177" s="2">
        <v>-5.43</v>
      </c>
      <c r="L1177" s="2">
        <v>5.84</v>
      </c>
      <c r="M1177" s="2">
        <v>0.94</v>
      </c>
      <c r="N1177" t="s">
        <v>230</v>
      </c>
      <c r="O1177">
        <v>42</v>
      </c>
    </row>
    <row r="1178" spans="1:15">
      <c r="A1178" s="1">
        <v>45993</v>
      </c>
      <c r="B1178">
        <v>9</v>
      </c>
      <c r="C1178" t="s">
        <v>99</v>
      </c>
      <c r="D1178">
        <v>9</v>
      </c>
      <c r="E1178" s="2">
        <v>1.5</v>
      </c>
      <c r="F1178" s="2">
        <v>-375.41</v>
      </c>
      <c r="G1178" s="2">
        <v>378.78</v>
      </c>
      <c r="H1178" s="2">
        <v>-153.63</v>
      </c>
      <c r="I1178" s="2">
        <v>157.43</v>
      </c>
      <c r="J1178" s="2">
        <v>2.64</v>
      </c>
      <c r="K1178" s="2">
        <v>-4.47</v>
      </c>
      <c r="L1178" s="2">
        <v>5.19</v>
      </c>
      <c r="M1178" s="2">
        <v>1.17</v>
      </c>
      <c r="N1178" t="s">
        <v>230</v>
      </c>
      <c r="O1178">
        <v>42</v>
      </c>
    </row>
    <row r="1179" spans="1:15">
      <c r="A1179" s="1">
        <v>45993</v>
      </c>
      <c r="B1179">
        <v>9</v>
      </c>
      <c r="C1179" t="s">
        <v>99</v>
      </c>
      <c r="D1179">
        <v>9</v>
      </c>
      <c r="E1179" s="2">
        <v>2</v>
      </c>
      <c r="F1179" s="2">
        <v>-331.2</v>
      </c>
      <c r="G1179" s="2">
        <v>339.75</v>
      </c>
      <c r="H1179" s="2">
        <v>-206.99</v>
      </c>
      <c r="I1179" s="2">
        <v>208.97</v>
      </c>
      <c r="J1179" s="2">
        <v>2.81</v>
      </c>
      <c r="K1179" s="2">
        <v>-4.3600000000000003</v>
      </c>
      <c r="L1179" s="2">
        <v>5.19</v>
      </c>
      <c r="M1179" s="2">
        <v>1.1000000000000001</v>
      </c>
      <c r="N1179" t="s">
        <v>230</v>
      </c>
      <c r="O1179">
        <v>42</v>
      </c>
    </row>
    <row r="1180" spans="1:15">
      <c r="A1180" s="1">
        <v>45993</v>
      </c>
      <c r="B1180">
        <v>9</v>
      </c>
      <c r="C1180" t="s">
        <v>99</v>
      </c>
      <c r="D1180">
        <v>9</v>
      </c>
      <c r="E1180" s="2">
        <v>2.5</v>
      </c>
      <c r="F1180" s="2">
        <v>-306.70999999999998</v>
      </c>
      <c r="G1180" s="2">
        <v>313.91000000000003</v>
      </c>
      <c r="H1180" s="2">
        <v>-194.29</v>
      </c>
      <c r="I1180" s="2">
        <v>199.01</v>
      </c>
      <c r="J1180" s="2">
        <v>2.9</v>
      </c>
      <c r="K1180" s="2">
        <v>-4.2300000000000004</v>
      </c>
      <c r="L1180" s="2">
        <v>5.13</v>
      </c>
      <c r="M1180" s="2">
        <v>1.08</v>
      </c>
      <c r="N1180" t="s">
        <v>230</v>
      </c>
      <c r="O1180">
        <v>42</v>
      </c>
    </row>
    <row r="1181" spans="1:15">
      <c r="A1181" s="1">
        <v>45993</v>
      </c>
      <c r="B1181">
        <v>9</v>
      </c>
      <c r="C1181" t="s">
        <v>99</v>
      </c>
      <c r="D1181">
        <v>9</v>
      </c>
      <c r="E1181" s="2">
        <v>3</v>
      </c>
      <c r="F1181" s="2">
        <v>-268.43</v>
      </c>
      <c r="G1181" s="2">
        <v>275.23</v>
      </c>
      <c r="H1181" s="2">
        <v>-135.46</v>
      </c>
      <c r="I1181" s="2">
        <v>129.37</v>
      </c>
      <c r="J1181" s="2">
        <v>2.91</v>
      </c>
      <c r="K1181" s="2">
        <v>-4.4000000000000004</v>
      </c>
      <c r="L1181" s="2">
        <v>5.27</v>
      </c>
      <c r="M1181" s="2">
        <v>1.1000000000000001</v>
      </c>
      <c r="N1181" t="s">
        <v>230</v>
      </c>
      <c r="O1181">
        <v>42</v>
      </c>
    </row>
    <row r="1182" spans="1:15">
      <c r="A1182" s="1">
        <v>45993</v>
      </c>
      <c r="B1182">
        <v>9</v>
      </c>
      <c r="C1182" t="s">
        <v>99</v>
      </c>
      <c r="D1182">
        <v>9</v>
      </c>
      <c r="E1182" s="2">
        <v>3.5</v>
      </c>
      <c r="F1182" s="2">
        <v>-205.27</v>
      </c>
      <c r="G1182" s="2">
        <v>212.31</v>
      </c>
      <c r="H1182" s="2">
        <v>-76.569999999999993</v>
      </c>
      <c r="I1182" s="2">
        <v>72.58</v>
      </c>
      <c r="J1182" s="2">
        <v>2.99</v>
      </c>
      <c r="K1182" s="2">
        <v>-4.26</v>
      </c>
      <c r="L1182" s="2">
        <v>5.2</v>
      </c>
      <c r="M1182" s="2">
        <v>1.1200000000000001</v>
      </c>
      <c r="N1182" t="s">
        <v>230</v>
      </c>
      <c r="O1182">
        <v>42</v>
      </c>
    </row>
    <row r="1183" spans="1:15">
      <c r="A1183" s="1">
        <v>45993</v>
      </c>
      <c r="B1183">
        <v>9</v>
      </c>
      <c r="C1183" t="s">
        <v>99</v>
      </c>
      <c r="D1183">
        <v>9</v>
      </c>
      <c r="E1183" s="2">
        <v>4</v>
      </c>
      <c r="F1183" s="2">
        <v>-148.63</v>
      </c>
      <c r="G1183" s="2">
        <v>157.88999999999999</v>
      </c>
      <c r="H1183" s="2">
        <v>-70.91</v>
      </c>
      <c r="I1183" s="2">
        <v>63.7</v>
      </c>
      <c r="J1183" s="2">
        <v>3.15</v>
      </c>
      <c r="K1183" s="2">
        <v>-3.96</v>
      </c>
      <c r="L1183" s="2">
        <v>5.0599999999999996</v>
      </c>
      <c r="M1183" s="2">
        <v>1.1299999999999999</v>
      </c>
      <c r="N1183" t="s">
        <v>230</v>
      </c>
      <c r="O1183">
        <v>42</v>
      </c>
    </row>
    <row r="1184" spans="1:15">
      <c r="A1184" s="1">
        <v>45993</v>
      </c>
      <c r="B1184">
        <v>9</v>
      </c>
      <c r="C1184" t="s">
        <v>99</v>
      </c>
      <c r="D1184">
        <v>9</v>
      </c>
      <c r="E1184" s="2">
        <v>4.5</v>
      </c>
      <c r="F1184" s="2">
        <v>-101.03</v>
      </c>
      <c r="G1184" s="2">
        <v>106.69</v>
      </c>
      <c r="H1184" s="2">
        <v>-122.74</v>
      </c>
      <c r="I1184" s="2">
        <v>119.86</v>
      </c>
      <c r="J1184" s="2">
        <v>3.3</v>
      </c>
      <c r="K1184" s="2">
        <v>-3.96</v>
      </c>
      <c r="L1184" s="2">
        <v>5.16</v>
      </c>
      <c r="M1184" s="2">
        <v>1.18</v>
      </c>
      <c r="N1184" t="s">
        <v>230</v>
      </c>
      <c r="O1184">
        <v>42</v>
      </c>
    </row>
    <row r="1185" spans="1:15">
      <c r="A1185" s="1">
        <v>45993</v>
      </c>
      <c r="B1185">
        <v>9</v>
      </c>
      <c r="C1185" t="s">
        <v>99</v>
      </c>
      <c r="D1185">
        <v>9</v>
      </c>
      <c r="E1185" s="2">
        <v>5</v>
      </c>
      <c r="F1185" s="2">
        <v>-25.69</v>
      </c>
      <c r="G1185" s="2">
        <v>33.130000000000003</v>
      </c>
      <c r="H1185" s="2">
        <v>-155.11000000000001</v>
      </c>
      <c r="I1185" s="2">
        <v>152.01</v>
      </c>
      <c r="J1185" s="2">
        <v>3.46</v>
      </c>
      <c r="K1185" s="2">
        <v>-4.08</v>
      </c>
      <c r="L1185" s="2">
        <v>5.35</v>
      </c>
      <c r="M1185" s="2">
        <v>1.27</v>
      </c>
      <c r="N1185" t="s">
        <v>230</v>
      </c>
      <c r="O1185">
        <v>42</v>
      </c>
    </row>
    <row r="1186" spans="1:15">
      <c r="A1186" s="1">
        <v>45993</v>
      </c>
      <c r="B1186">
        <v>9</v>
      </c>
      <c r="C1186" t="s">
        <v>99</v>
      </c>
      <c r="D1186">
        <v>9</v>
      </c>
      <c r="E1186" s="2">
        <v>5.5</v>
      </c>
      <c r="F1186" s="2">
        <v>40.31</v>
      </c>
      <c r="G1186" s="2">
        <v>-32.71</v>
      </c>
      <c r="H1186" s="2">
        <v>-149.33000000000001</v>
      </c>
      <c r="I1186" s="2">
        <v>151.24</v>
      </c>
      <c r="J1186" s="2">
        <v>3.7</v>
      </c>
      <c r="K1186" s="2">
        <v>-4.12</v>
      </c>
      <c r="L1186" s="2">
        <v>5.54</v>
      </c>
      <c r="M1186" s="2">
        <v>1.35</v>
      </c>
      <c r="N1186" t="s">
        <v>230</v>
      </c>
      <c r="O1186">
        <v>42</v>
      </c>
    </row>
    <row r="1187" spans="1:15">
      <c r="A1187" s="1">
        <v>45993</v>
      </c>
      <c r="B1187">
        <v>9</v>
      </c>
      <c r="C1187" t="s">
        <v>99</v>
      </c>
      <c r="D1187">
        <v>9</v>
      </c>
      <c r="E1187" s="2">
        <v>6</v>
      </c>
      <c r="F1187" s="2">
        <v>76.790000000000006</v>
      </c>
      <c r="G1187" s="2">
        <v>-68.900000000000006</v>
      </c>
      <c r="H1187" s="2">
        <v>-185.18</v>
      </c>
      <c r="I1187" s="2">
        <v>184.75</v>
      </c>
      <c r="J1187" s="2">
        <v>3.93</v>
      </c>
      <c r="K1187" s="2">
        <v>-4.18</v>
      </c>
      <c r="L1187" s="2">
        <v>5.74</v>
      </c>
      <c r="M1187" s="2">
        <v>1.36</v>
      </c>
      <c r="N1187" t="s">
        <v>230</v>
      </c>
      <c r="O1187">
        <v>42</v>
      </c>
    </row>
    <row r="1188" spans="1:15">
      <c r="A1188" s="1">
        <v>45993</v>
      </c>
      <c r="B1188">
        <v>9</v>
      </c>
      <c r="C1188" t="s">
        <v>99</v>
      </c>
      <c r="D1188">
        <v>9</v>
      </c>
      <c r="E1188" s="2">
        <v>6.5</v>
      </c>
      <c r="F1188" s="2">
        <v>180.1</v>
      </c>
      <c r="G1188" s="2">
        <v>-173</v>
      </c>
      <c r="H1188" s="2">
        <v>-175.66</v>
      </c>
      <c r="I1188" s="2">
        <v>172.8</v>
      </c>
      <c r="J1188" s="2">
        <v>4.1100000000000003</v>
      </c>
      <c r="K1188" s="2">
        <v>-4.12</v>
      </c>
      <c r="L1188" s="2">
        <v>5.82</v>
      </c>
      <c r="M1188" s="2">
        <v>1.43</v>
      </c>
      <c r="N1188" t="s">
        <v>230</v>
      </c>
      <c r="O1188">
        <v>42</v>
      </c>
    </row>
    <row r="1189" spans="1:15">
      <c r="A1189" s="1">
        <v>45993</v>
      </c>
      <c r="B1189">
        <v>9</v>
      </c>
      <c r="C1189" t="s">
        <v>99</v>
      </c>
      <c r="D1189">
        <v>9</v>
      </c>
      <c r="E1189" s="2">
        <v>7</v>
      </c>
      <c r="F1189" s="2">
        <v>282.86</v>
      </c>
      <c r="G1189" s="2">
        <v>-276.2</v>
      </c>
      <c r="H1189" s="2">
        <v>-189.61</v>
      </c>
      <c r="I1189" s="2">
        <v>176.27</v>
      </c>
      <c r="J1189" s="2">
        <v>4.3099999999999996</v>
      </c>
      <c r="K1189" s="2">
        <v>-3.91</v>
      </c>
      <c r="L1189" s="2">
        <v>5.82</v>
      </c>
      <c r="M1189" s="2">
        <v>1.54</v>
      </c>
      <c r="N1189" t="s">
        <v>230</v>
      </c>
      <c r="O1189">
        <v>42</v>
      </c>
    </row>
    <row r="1190" spans="1:15">
      <c r="A1190" s="1">
        <v>45993</v>
      </c>
      <c r="B1190">
        <v>9</v>
      </c>
      <c r="C1190" t="s">
        <v>99</v>
      </c>
      <c r="D1190">
        <v>9</v>
      </c>
      <c r="E1190" s="2">
        <v>7.5</v>
      </c>
      <c r="F1190" s="2">
        <v>307.55</v>
      </c>
      <c r="G1190" s="2">
        <v>-293.76</v>
      </c>
      <c r="H1190" s="2">
        <v>-164.09</v>
      </c>
      <c r="I1190" s="2">
        <v>190.42</v>
      </c>
      <c r="J1190" s="2">
        <v>4.43</v>
      </c>
      <c r="K1190" s="2">
        <v>-3.8</v>
      </c>
      <c r="L1190" s="2">
        <v>5.84</v>
      </c>
      <c r="M1190" s="2">
        <v>1.64</v>
      </c>
      <c r="N1190" t="s">
        <v>230</v>
      </c>
      <c r="O1190">
        <v>42</v>
      </c>
    </row>
    <row r="1191" spans="1:15">
      <c r="A1191" s="1">
        <v>45993</v>
      </c>
      <c r="B1191">
        <v>9</v>
      </c>
      <c r="C1191" t="s">
        <v>99</v>
      </c>
      <c r="D1191">
        <v>9</v>
      </c>
      <c r="E1191" s="2">
        <v>8</v>
      </c>
      <c r="F1191" s="2">
        <v>272.93</v>
      </c>
      <c r="G1191" s="2">
        <v>-270.04000000000002</v>
      </c>
      <c r="H1191" s="2">
        <v>-70.599999999999994</v>
      </c>
      <c r="I1191" s="2">
        <v>75.459999999999994</v>
      </c>
      <c r="J1191" s="2">
        <v>4.66</v>
      </c>
      <c r="K1191" s="2">
        <v>-4.13</v>
      </c>
      <c r="L1191" s="2">
        <v>6.22</v>
      </c>
      <c r="M1191" s="2">
        <v>1.98</v>
      </c>
      <c r="N1191" t="s">
        <v>230</v>
      </c>
      <c r="O1191">
        <v>42</v>
      </c>
    </row>
    <row r="1192" spans="1:15">
      <c r="A1192" s="1">
        <v>45993</v>
      </c>
      <c r="B1192">
        <v>9</v>
      </c>
      <c r="C1192" t="s">
        <v>99</v>
      </c>
      <c r="D1192">
        <v>9</v>
      </c>
      <c r="E1192" s="2">
        <v>8.5</v>
      </c>
      <c r="F1192" s="2">
        <v>337.49</v>
      </c>
      <c r="G1192" s="2">
        <v>-327.9</v>
      </c>
      <c r="H1192" s="2">
        <v>-14.29</v>
      </c>
      <c r="I1192" s="2">
        <v>13.01</v>
      </c>
      <c r="J1192" s="2">
        <v>4.82</v>
      </c>
      <c r="K1192" s="2">
        <v>-4.18</v>
      </c>
      <c r="L1192" s="2">
        <v>6.38</v>
      </c>
      <c r="M1192" s="2">
        <v>2.0099999999999998</v>
      </c>
      <c r="N1192" t="s">
        <v>230</v>
      </c>
      <c r="O1192">
        <v>42</v>
      </c>
    </row>
    <row r="1193" spans="1:15">
      <c r="A1193" s="1">
        <v>45993</v>
      </c>
      <c r="B1193">
        <v>9</v>
      </c>
      <c r="C1193" t="s">
        <v>99</v>
      </c>
      <c r="D1193">
        <v>9</v>
      </c>
      <c r="E1193" s="2">
        <v>9</v>
      </c>
      <c r="F1193" s="2">
        <v>325.45</v>
      </c>
      <c r="G1193" s="2">
        <v>-317.14</v>
      </c>
      <c r="H1193" s="2">
        <v>40.36</v>
      </c>
      <c r="I1193" s="2">
        <v>-41.92</v>
      </c>
      <c r="J1193" s="2">
        <v>4.87</v>
      </c>
      <c r="K1193" s="2">
        <v>-4.4000000000000004</v>
      </c>
      <c r="L1193" s="2">
        <v>6.57</v>
      </c>
      <c r="M1193" s="2">
        <v>2.16</v>
      </c>
      <c r="N1193" t="s">
        <v>230</v>
      </c>
      <c r="O1193">
        <v>42</v>
      </c>
    </row>
    <row r="1194" spans="1:15">
      <c r="A1194" s="1">
        <v>45993</v>
      </c>
      <c r="B1194">
        <v>9</v>
      </c>
      <c r="C1194" t="s">
        <v>99</v>
      </c>
      <c r="D1194">
        <v>9</v>
      </c>
      <c r="E1194" s="2">
        <v>9.5</v>
      </c>
      <c r="F1194" s="2">
        <v>212.62</v>
      </c>
      <c r="G1194" s="2">
        <v>-205.93</v>
      </c>
      <c r="H1194" s="2">
        <v>112.29</v>
      </c>
      <c r="I1194" s="2">
        <v>-126.15</v>
      </c>
      <c r="J1194" s="2">
        <v>5.12</v>
      </c>
      <c r="K1194" s="2">
        <v>-4.7699999999999996</v>
      </c>
      <c r="L1194" s="2">
        <v>6.99</v>
      </c>
      <c r="M1194" s="2">
        <v>2.56</v>
      </c>
      <c r="N1194" t="s">
        <v>230</v>
      </c>
      <c r="O1194">
        <v>42</v>
      </c>
    </row>
    <row r="1195" spans="1:15">
      <c r="A1195" s="1">
        <v>45993</v>
      </c>
      <c r="B1195">
        <v>9</v>
      </c>
      <c r="C1195" t="s">
        <v>99</v>
      </c>
      <c r="D1195">
        <v>9</v>
      </c>
      <c r="E1195" s="2">
        <v>10</v>
      </c>
      <c r="F1195" s="2">
        <v>70.05</v>
      </c>
      <c r="G1195" s="2">
        <v>-53.75</v>
      </c>
      <c r="H1195" s="2">
        <v>141.65</v>
      </c>
      <c r="I1195" s="2">
        <v>-146.9</v>
      </c>
      <c r="J1195" s="2">
        <v>5.42</v>
      </c>
      <c r="K1195" s="2">
        <v>-4.7300000000000004</v>
      </c>
      <c r="L1195" s="2">
        <v>7.2</v>
      </c>
      <c r="M1195" s="2">
        <v>2.76</v>
      </c>
      <c r="N1195" t="s">
        <v>230</v>
      </c>
      <c r="O1195">
        <v>42</v>
      </c>
    </row>
    <row r="1196" spans="1:15">
      <c r="A1196" s="1">
        <v>45993</v>
      </c>
      <c r="B1196">
        <v>9</v>
      </c>
      <c r="C1196" t="s">
        <v>99</v>
      </c>
      <c r="D1196">
        <v>9</v>
      </c>
      <c r="E1196" s="2">
        <v>10.5</v>
      </c>
      <c r="F1196" s="2">
        <v>86.23</v>
      </c>
      <c r="G1196" s="2">
        <v>-81.290000000000006</v>
      </c>
      <c r="H1196" s="2">
        <v>74.36</v>
      </c>
      <c r="I1196" s="2">
        <v>-77.489999999999995</v>
      </c>
      <c r="J1196" s="2">
        <v>5.61</v>
      </c>
      <c r="K1196" s="2">
        <v>-5.0199999999999996</v>
      </c>
      <c r="L1196" s="2">
        <v>7.53</v>
      </c>
      <c r="M1196" s="2">
        <v>2.97</v>
      </c>
      <c r="N1196" t="s">
        <v>230</v>
      </c>
      <c r="O1196">
        <v>42</v>
      </c>
    </row>
    <row r="1197" spans="1:15">
      <c r="A1197" s="1">
        <v>45993</v>
      </c>
      <c r="B1197">
        <v>9</v>
      </c>
      <c r="C1197" t="s">
        <v>99</v>
      </c>
      <c r="D1197">
        <v>9</v>
      </c>
      <c r="E1197" s="2">
        <v>11</v>
      </c>
      <c r="F1197" s="2">
        <v>17.579999999999998</v>
      </c>
      <c r="G1197" s="2">
        <v>-8.2200000000000006</v>
      </c>
      <c r="H1197" s="2">
        <v>32.99</v>
      </c>
      <c r="I1197" s="2">
        <v>-29.72</v>
      </c>
      <c r="J1197" s="2">
        <v>5.8</v>
      </c>
      <c r="K1197" s="2">
        <v>-5.08</v>
      </c>
      <c r="L1197" s="2">
        <v>7.71</v>
      </c>
      <c r="M1197" s="2">
        <v>3.14</v>
      </c>
      <c r="N1197" t="s">
        <v>230</v>
      </c>
      <c r="O1197">
        <v>42</v>
      </c>
    </row>
    <row r="1198" spans="1:15">
      <c r="A1198" s="1">
        <v>45993</v>
      </c>
      <c r="B1198">
        <v>9</v>
      </c>
      <c r="C1198" t="s">
        <v>99</v>
      </c>
      <c r="D1198">
        <v>9</v>
      </c>
      <c r="E1198" s="2">
        <v>11.5</v>
      </c>
      <c r="F1198" s="2">
        <v>-65.010000000000005</v>
      </c>
      <c r="G1198" s="2">
        <v>68.83</v>
      </c>
      <c r="H1198" s="2">
        <v>16.899999999999999</v>
      </c>
      <c r="I1198" s="2">
        <v>-13.1</v>
      </c>
      <c r="J1198" s="2">
        <v>5.9</v>
      </c>
      <c r="K1198" s="2">
        <v>-5.29</v>
      </c>
      <c r="L1198" s="2">
        <v>7.93</v>
      </c>
      <c r="M1198" s="2">
        <v>3.33</v>
      </c>
      <c r="N1198" t="s">
        <v>230</v>
      </c>
      <c r="O1198">
        <v>42</v>
      </c>
    </row>
    <row r="1199" spans="1:15">
      <c r="A1199" s="1">
        <v>45993</v>
      </c>
      <c r="B1199">
        <v>9</v>
      </c>
      <c r="C1199" t="s">
        <v>99</v>
      </c>
      <c r="D1199">
        <v>9</v>
      </c>
      <c r="E1199" s="2">
        <v>12</v>
      </c>
      <c r="F1199" s="2">
        <v>-80.84</v>
      </c>
      <c r="G1199" s="2">
        <v>91.78</v>
      </c>
      <c r="H1199" s="2">
        <v>23.69</v>
      </c>
      <c r="I1199" s="2">
        <v>-24.27</v>
      </c>
      <c r="J1199" s="2">
        <v>5.81</v>
      </c>
      <c r="K1199" s="2">
        <v>-5.0599999999999996</v>
      </c>
      <c r="L1199" s="2">
        <v>7.7</v>
      </c>
      <c r="M1199" s="2">
        <v>3.4</v>
      </c>
      <c r="N1199" t="s">
        <v>230</v>
      </c>
      <c r="O1199">
        <v>42</v>
      </c>
    </row>
    <row r="1200" spans="1:15">
      <c r="A1200" s="1">
        <v>45993</v>
      </c>
      <c r="B1200">
        <v>9</v>
      </c>
      <c r="C1200" t="s">
        <v>99</v>
      </c>
      <c r="D1200">
        <v>9</v>
      </c>
      <c r="E1200" s="2">
        <v>12.5</v>
      </c>
      <c r="F1200" s="2">
        <v>-49.82</v>
      </c>
      <c r="G1200" s="2">
        <v>58.9</v>
      </c>
      <c r="H1200" s="2">
        <v>15.72</v>
      </c>
      <c r="I1200" s="2">
        <v>-25.53</v>
      </c>
      <c r="J1200" s="2">
        <v>5.62</v>
      </c>
      <c r="K1200" s="2">
        <v>-4.8600000000000003</v>
      </c>
      <c r="L1200" s="2">
        <v>7.43</v>
      </c>
      <c r="M1200" s="2">
        <v>3.42</v>
      </c>
      <c r="N1200" t="s">
        <v>230</v>
      </c>
      <c r="O1200">
        <v>42</v>
      </c>
    </row>
    <row r="1201" spans="1:15">
      <c r="A1201" s="1">
        <v>45993</v>
      </c>
      <c r="B1201">
        <v>9</v>
      </c>
      <c r="C1201" t="s">
        <v>99</v>
      </c>
      <c r="D1201">
        <v>9</v>
      </c>
      <c r="E1201" s="2">
        <v>13</v>
      </c>
      <c r="F1201" s="2">
        <v>-104.77</v>
      </c>
      <c r="G1201" s="2">
        <v>110.86</v>
      </c>
      <c r="H1201" s="2">
        <v>-34.43</v>
      </c>
      <c r="I1201" s="2">
        <v>34.630000000000003</v>
      </c>
      <c r="J1201" s="2">
        <v>5.3</v>
      </c>
      <c r="K1201" s="2">
        <v>-4.6900000000000004</v>
      </c>
      <c r="L1201" s="2">
        <v>7.07</v>
      </c>
      <c r="M1201" s="2">
        <v>3.22</v>
      </c>
      <c r="N1201" t="s">
        <v>230</v>
      </c>
      <c r="O1201">
        <v>42</v>
      </c>
    </row>
    <row r="1202" spans="1:15">
      <c r="A1202" s="1">
        <v>45993</v>
      </c>
      <c r="B1202">
        <v>9</v>
      </c>
      <c r="C1202" t="s">
        <v>99</v>
      </c>
      <c r="D1202">
        <v>9</v>
      </c>
      <c r="E1202" s="2">
        <v>13.5</v>
      </c>
      <c r="F1202" s="2">
        <v>-268.73</v>
      </c>
      <c r="G1202" s="2">
        <v>278.18</v>
      </c>
      <c r="H1202" s="2">
        <v>-168.97</v>
      </c>
      <c r="I1202" s="2">
        <v>177.33</v>
      </c>
      <c r="J1202" s="2">
        <v>5.09</v>
      </c>
      <c r="K1202" s="2">
        <v>-4.59</v>
      </c>
      <c r="L1202" s="2">
        <v>6.86</v>
      </c>
      <c r="M1202" s="2">
        <v>2.94</v>
      </c>
      <c r="N1202" t="s">
        <v>230</v>
      </c>
      <c r="O1202">
        <v>42</v>
      </c>
    </row>
    <row r="1203" spans="1:15">
      <c r="A1203" s="1">
        <v>45993</v>
      </c>
      <c r="B1203">
        <v>9</v>
      </c>
      <c r="C1203" t="s">
        <v>99</v>
      </c>
      <c r="D1203">
        <v>9</v>
      </c>
      <c r="E1203" s="2">
        <v>14</v>
      </c>
      <c r="F1203" s="2">
        <v>-297.3</v>
      </c>
      <c r="G1203" s="2">
        <v>305.70999999999998</v>
      </c>
      <c r="H1203" s="2">
        <v>-298.24</v>
      </c>
      <c r="I1203" s="2">
        <v>300.64999999999998</v>
      </c>
      <c r="J1203" s="2">
        <v>4.95</v>
      </c>
      <c r="K1203" s="2">
        <v>-4.43</v>
      </c>
      <c r="L1203" s="2">
        <v>6.64</v>
      </c>
      <c r="M1203" s="2">
        <v>2.71</v>
      </c>
      <c r="N1203" t="s">
        <v>230</v>
      </c>
      <c r="O1203">
        <v>42</v>
      </c>
    </row>
    <row r="1204" spans="1:15">
      <c r="A1204" s="1">
        <v>45993</v>
      </c>
      <c r="B1204">
        <v>9</v>
      </c>
      <c r="C1204" t="s">
        <v>99</v>
      </c>
      <c r="D1204">
        <v>9</v>
      </c>
      <c r="E1204" s="2">
        <v>14.5</v>
      </c>
      <c r="F1204" s="2">
        <v>-270.86</v>
      </c>
      <c r="G1204" s="2">
        <v>279.99</v>
      </c>
      <c r="H1204" s="2">
        <v>-251.55</v>
      </c>
      <c r="I1204" s="2">
        <v>256.95999999999998</v>
      </c>
      <c r="J1204" s="2">
        <v>4.8600000000000003</v>
      </c>
      <c r="K1204" s="2">
        <v>-4.3099999999999996</v>
      </c>
      <c r="L1204" s="2">
        <v>6.5</v>
      </c>
      <c r="M1204" s="2">
        <v>2.57</v>
      </c>
      <c r="N1204" t="s">
        <v>230</v>
      </c>
      <c r="O1204">
        <v>42</v>
      </c>
    </row>
    <row r="1205" spans="1:15">
      <c r="A1205" s="1">
        <v>45993</v>
      </c>
      <c r="B1205">
        <v>9</v>
      </c>
      <c r="C1205" t="s">
        <v>99</v>
      </c>
      <c r="D1205">
        <v>9</v>
      </c>
      <c r="E1205" s="2">
        <v>15</v>
      </c>
      <c r="F1205" s="2">
        <v>-235.99</v>
      </c>
      <c r="G1205" s="2">
        <v>246.03</v>
      </c>
      <c r="H1205" s="2">
        <v>-193.72</v>
      </c>
      <c r="I1205" s="2">
        <v>189.19</v>
      </c>
      <c r="J1205" s="2">
        <v>4.54</v>
      </c>
      <c r="K1205" s="2">
        <v>-4.2300000000000004</v>
      </c>
      <c r="L1205" s="2">
        <v>6.21</v>
      </c>
      <c r="M1205" s="2">
        <v>2.36</v>
      </c>
      <c r="N1205" t="s">
        <v>230</v>
      </c>
      <c r="O1205">
        <v>42</v>
      </c>
    </row>
    <row r="1206" spans="1:15">
      <c r="A1206" s="1">
        <v>45993</v>
      </c>
      <c r="B1206">
        <v>9</v>
      </c>
      <c r="C1206" t="s">
        <v>99</v>
      </c>
      <c r="D1206">
        <v>9</v>
      </c>
      <c r="E1206" s="2">
        <v>15.5</v>
      </c>
      <c r="F1206" s="2">
        <v>-166.45</v>
      </c>
      <c r="G1206" s="2">
        <v>171.29</v>
      </c>
      <c r="H1206" s="2">
        <v>-182.1</v>
      </c>
      <c r="I1206" s="2">
        <v>179.06</v>
      </c>
      <c r="J1206" s="2">
        <v>4.2</v>
      </c>
      <c r="K1206" s="2">
        <v>-3.97</v>
      </c>
      <c r="L1206" s="2">
        <v>5.78</v>
      </c>
      <c r="M1206" s="2">
        <v>2.11</v>
      </c>
      <c r="N1206" t="s">
        <v>230</v>
      </c>
      <c r="O1206">
        <v>42</v>
      </c>
    </row>
    <row r="1207" spans="1:15">
      <c r="A1207" s="1">
        <v>45993</v>
      </c>
      <c r="B1207">
        <v>9</v>
      </c>
      <c r="C1207" t="s">
        <v>99</v>
      </c>
      <c r="D1207">
        <v>9</v>
      </c>
      <c r="E1207" s="2">
        <v>16</v>
      </c>
      <c r="F1207" s="2">
        <v>-79.099999999999994</v>
      </c>
      <c r="G1207" s="2">
        <v>86.38</v>
      </c>
      <c r="H1207" s="2">
        <v>-164.73</v>
      </c>
      <c r="I1207" s="2">
        <v>170.12</v>
      </c>
      <c r="J1207" s="2">
        <v>4</v>
      </c>
      <c r="K1207" s="2">
        <v>-3.79</v>
      </c>
      <c r="L1207" s="2">
        <v>5.51</v>
      </c>
      <c r="M1207" s="2">
        <v>1.94</v>
      </c>
      <c r="N1207" t="s">
        <v>230</v>
      </c>
      <c r="O1207">
        <v>42</v>
      </c>
    </row>
    <row r="1208" spans="1:15">
      <c r="A1208" s="1">
        <v>45993</v>
      </c>
      <c r="B1208">
        <v>9</v>
      </c>
      <c r="C1208" t="s">
        <v>99</v>
      </c>
      <c r="D1208">
        <v>9</v>
      </c>
      <c r="E1208" s="2">
        <v>16.5</v>
      </c>
      <c r="F1208" s="2">
        <v>104.16</v>
      </c>
      <c r="G1208" s="2">
        <v>-98.55</v>
      </c>
      <c r="H1208" s="2">
        <v>-109.13</v>
      </c>
      <c r="I1208" s="2">
        <v>112.89</v>
      </c>
      <c r="J1208" s="2">
        <v>3.82</v>
      </c>
      <c r="K1208" s="2">
        <v>-3.7</v>
      </c>
      <c r="L1208" s="2">
        <v>5.31</v>
      </c>
      <c r="M1208" s="2">
        <v>1.83</v>
      </c>
      <c r="N1208" t="s">
        <v>230</v>
      </c>
      <c r="O1208">
        <v>42</v>
      </c>
    </row>
    <row r="1209" spans="1:15">
      <c r="A1209" s="1">
        <v>45993</v>
      </c>
      <c r="B1209">
        <v>9</v>
      </c>
      <c r="C1209" t="s">
        <v>99</v>
      </c>
      <c r="D1209">
        <v>9</v>
      </c>
      <c r="E1209" s="2">
        <v>17</v>
      </c>
      <c r="F1209" s="2">
        <v>262.54000000000002</v>
      </c>
      <c r="G1209" s="2">
        <v>-255.09</v>
      </c>
      <c r="H1209" s="2">
        <v>-61.23</v>
      </c>
      <c r="I1209" s="2">
        <v>60.62</v>
      </c>
      <c r="J1209" s="2">
        <v>3.64</v>
      </c>
      <c r="K1209" s="2">
        <v>-3.71</v>
      </c>
      <c r="L1209" s="2">
        <v>5.2</v>
      </c>
      <c r="M1209" s="2">
        <v>1.73</v>
      </c>
      <c r="N1209" t="s">
        <v>230</v>
      </c>
      <c r="O1209">
        <v>42</v>
      </c>
    </row>
    <row r="1210" spans="1:15">
      <c r="A1210" s="1">
        <v>45993</v>
      </c>
      <c r="B1210">
        <v>9</v>
      </c>
      <c r="C1210" t="s">
        <v>99</v>
      </c>
      <c r="D1210">
        <v>9</v>
      </c>
      <c r="E1210" s="2">
        <v>17.5</v>
      </c>
      <c r="F1210" s="2">
        <v>315.2</v>
      </c>
      <c r="G1210" s="2">
        <v>-310.83999999999997</v>
      </c>
      <c r="H1210" s="2">
        <v>-68.11</v>
      </c>
      <c r="I1210" s="2">
        <v>61.24</v>
      </c>
      <c r="J1210" s="2">
        <v>3.36</v>
      </c>
      <c r="K1210" s="2">
        <v>-3.54</v>
      </c>
      <c r="L1210" s="2">
        <v>4.88</v>
      </c>
      <c r="M1210" s="2">
        <v>1.71</v>
      </c>
      <c r="N1210" t="s">
        <v>230</v>
      </c>
      <c r="O1210">
        <v>42</v>
      </c>
    </row>
    <row r="1211" spans="1:15">
      <c r="A1211" s="1">
        <v>45993</v>
      </c>
      <c r="B1211">
        <v>9</v>
      </c>
      <c r="C1211" t="s">
        <v>99</v>
      </c>
      <c r="D1211">
        <v>9</v>
      </c>
      <c r="E1211" s="2">
        <v>18</v>
      </c>
      <c r="F1211" s="2">
        <v>389.45</v>
      </c>
      <c r="G1211" s="2">
        <v>-381.97</v>
      </c>
      <c r="H1211" s="2">
        <v>-93.02</v>
      </c>
      <c r="I1211" s="2">
        <v>96.44</v>
      </c>
      <c r="J1211" s="2">
        <v>3.11</v>
      </c>
      <c r="K1211" s="2">
        <v>-3.31</v>
      </c>
      <c r="L1211" s="2">
        <v>4.54</v>
      </c>
      <c r="M1211" s="2">
        <v>1.59</v>
      </c>
      <c r="N1211" t="s">
        <v>230</v>
      </c>
      <c r="O1211">
        <v>42</v>
      </c>
    </row>
    <row r="1212" spans="1:15">
      <c r="A1212" s="1">
        <v>45993</v>
      </c>
      <c r="B1212">
        <v>9</v>
      </c>
      <c r="C1212" t="s">
        <v>99</v>
      </c>
      <c r="D1212">
        <v>9</v>
      </c>
      <c r="E1212" s="2">
        <v>18.5</v>
      </c>
      <c r="F1212" s="2">
        <v>435.63</v>
      </c>
      <c r="G1212" s="2">
        <v>-428.75</v>
      </c>
      <c r="H1212" s="2">
        <v>-100.29</v>
      </c>
      <c r="I1212" s="2">
        <v>114.65</v>
      </c>
      <c r="J1212" s="2">
        <v>2.97</v>
      </c>
      <c r="K1212" s="2">
        <v>-3.1</v>
      </c>
      <c r="L1212" s="2">
        <v>4.3</v>
      </c>
      <c r="M1212" s="2">
        <v>1.52</v>
      </c>
      <c r="N1212" t="s">
        <v>230</v>
      </c>
      <c r="O1212">
        <v>42</v>
      </c>
    </row>
    <row r="1213" spans="1:15">
      <c r="A1213" s="1">
        <v>45993</v>
      </c>
      <c r="B1213">
        <v>9</v>
      </c>
      <c r="C1213" t="s">
        <v>99</v>
      </c>
      <c r="D1213">
        <v>9</v>
      </c>
      <c r="E1213" s="2">
        <v>19</v>
      </c>
      <c r="F1213" s="2">
        <v>436.57</v>
      </c>
      <c r="G1213" s="2">
        <v>-431.93</v>
      </c>
      <c r="H1213" s="2">
        <v>-105.05</v>
      </c>
      <c r="I1213" s="2">
        <v>106.87</v>
      </c>
      <c r="J1213" s="2">
        <v>2.89</v>
      </c>
      <c r="K1213" s="2">
        <v>-2.88</v>
      </c>
      <c r="L1213" s="2">
        <v>4.08</v>
      </c>
      <c r="M1213" s="2">
        <v>1.47</v>
      </c>
      <c r="N1213" t="s">
        <v>230</v>
      </c>
      <c r="O1213">
        <v>42</v>
      </c>
    </row>
    <row r="1214" spans="1:15">
      <c r="A1214" s="1">
        <v>45993</v>
      </c>
      <c r="B1214">
        <v>9</v>
      </c>
      <c r="C1214" t="s">
        <v>99</v>
      </c>
      <c r="D1214">
        <v>9</v>
      </c>
      <c r="E1214" s="2">
        <v>19.5</v>
      </c>
      <c r="F1214" s="2">
        <v>321.64999999999998</v>
      </c>
      <c r="G1214" s="2">
        <v>-316.68</v>
      </c>
      <c r="H1214" s="2">
        <v>-40.47</v>
      </c>
      <c r="I1214" s="2">
        <v>49.22</v>
      </c>
      <c r="J1214" s="2">
        <v>2.62</v>
      </c>
      <c r="K1214" s="2">
        <v>-2.54</v>
      </c>
      <c r="L1214" s="2">
        <v>3.65</v>
      </c>
      <c r="M1214" s="2">
        <v>1.4</v>
      </c>
      <c r="N1214" t="s">
        <v>230</v>
      </c>
      <c r="O1214">
        <v>42</v>
      </c>
    </row>
    <row r="1215" spans="1:15">
      <c r="A1215" s="1">
        <v>45993</v>
      </c>
      <c r="B1215">
        <v>9</v>
      </c>
      <c r="C1215" t="s">
        <v>99</v>
      </c>
      <c r="D1215">
        <v>9</v>
      </c>
      <c r="E1215" s="2">
        <v>20</v>
      </c>
      <c r="F1215" s="2">
        <v>185.78</v>
      </c>
      <c r="G1215" s="2">
        <v>-178.9</v>
      </c>
      <c r="H1215" s="2">
        <v>3.04</v>
      </c>
      <c r="I1215" s="2">
        <v>11.29</v>
      </c>
      <c r="J1215" s="2">
        <v>2.4300000000000002</v>
      </c>
      <c r="K1215" s="2">
        <v>-2.4300000000000002</v>
      </c>
      <c r="L1215" s="2">
        <v>3.44</v>
      </c>
      <c r="M1215" s="2">
        <v>1.33</v>
      </c>
      <c r="N1215" t="s">
        <v>230</v>
      </c>
      <c r="O1215">
        <v>42</v>
      </c>
    </row>
    <row r="1216" spans="1:15">
      <c r="A1216" s="1">
        <v>45993</v>
      </c>
      <c r="B1216">
        <v>9</v>
      </c>
      <c r="C1216" t="s">
        <v>99</v>
      </c>
      <c r="D1216">
        <v>9</v>
      </c>
      <c r="E1216" s="2">
        <v>20.5</v>
      </c>
      <c r="F1216" s="2">
        <v>150.19</v>
      </c>
      <c r="G1216" s="2">
        <v>-145.19999999999999</v>
      </c>
      <c r="H1216" s="2">
        <v>-2.79</v>
      </c>
      <c r="I1216" s="2">
        <v>16.36</v>
      </c>
      <c r="J1216" s="2">
        <v>2.17</v>
      </c>
      <c r="K1216" s="2">
        <v>-2.2200000000000002</v>
      </c>
      <c r="L1216" s="2">
        <v>3.1</v>
      </c>
      <c r="M1216" s="2">
        <v>1.24</v>
      </c>
      <c r="N1216" t="s">
        <v>230</v>
      </c>
      <c r="O1216">
        <v>42</v>
      </c>
    </row>
    <row r="1217" spans="1:15">
      <c r="A1217" s="1">
        <v>45993</v>
      </c>
      <c r="B1217">
        <v>9</v>
      </c>
      <c r="C1217" t="s">
        <v>99</v>
      </c>
      <c r="D1217">
        <v>9</v>
      </c>
      <c r="E1217" s="2">
        <v>21</v>
      </c>
      <c r="F1217" s="2">
        <v>109.83</v>
      </c>
      <c r="G1217" s="2">
        <v>-102.58</v>
      </c>
      <c r="H1217" s="2">
        <v>-1.08</v>
      </c>
      <c r="I1217" s="2">
        <v>16.760000000000002</v>
      </c>
      <c r="J1217" s="2">
        <v>1.95</v>
      </c>
      <c r="K1217" s="2">
        <v>-2.0699999999999998</v>
      </c>
      <c r="L1217" s="2">
        <v>2.84</v>
      </c>
      <c r="M1217" s="2">
        <v>1.05</v>
      </c>
      <c r="N1217" t="s">
        <v>230</v>
      </c>
      <c r="O1217">
        <v>42</v>
      </c>
    </row>
    <row r="1218" spans="1:15">
      <c r="A1218" s="1">
        <v>45993</v>
      </c>
      <c r="B1218">
        <v>9</v>
      </c>
      <c r="C1218" t="s">
        <v>99</v>
      </c>
      <c r="D1218">
        <v>9</v>
      </c>
      <c r="E1218" s="2">
        <v>21.5</v>
      </c>
      <c r="F1218" s="2">
        <v>-17.260000000000002</v>
      </c>
      <c r="G1218" s="2">
        <v>25.31</v>
      </c>
      <c r="H1218" s="2">
        <v>-16.09</v>
      </c>
      <c r="I1218" s="2">
        <v>19.899999999999999</v>
      </c>
      <c r="J1218" s="2">
        <v>1.61</v>
      </c>
      <c r="K1218" s="2">
        <v>-2.09</v>
      </c>
      <c r="L1218" s="2">
        <v>2.64</v>
      </c>
      <c r="M1218" s="2">
        <v>0.89</v>
      </c>
      <c r="N1218" t="s">
        <v>230</v>
      </c>
      <c r="O1218">
        <v>42</v>
      </c>
    </row>
    <row r="1219" spans="1:15">
      <c r="A1219" s="1">
        <v>45993</v>
      </c>
      <c r="B1219">
        <v>9</v>
      </c>
      <c r="C1219" t="s">
        <v>99</v>
      </c>
      <c r="D1219">
        <v>9</v>
      </c>
      <c r="E1219" s="2">
        <v>22</v>
      </c>
      <c r="F1219" s="2">
        <v>-63.46</v>
      </c>
      <c r="G1219" s="2">
        <v>68.62</v>
      </c>
      <c r="H1219" s="2">
        <v>-4.54</v>
      </c>
      <c r="I1219" s="2">
        <v>23.73</v>
      </c>
      <c r="J1219" s="2">
        <v>1.46</v>
      </c>
      <c r="K1219" s="2">
        <v>-1.82</v>
      </c>
      <c r="L1219" s="2">
        <v>2.33</v>
      </c>
      <c r="M1219" s="2">
        <v>0.83</v>
      </c>
      <c r="N1219" t="s">
        <v>230</v>
      </c>
      <c r="O1219">
        <v>42</v>
      </c>
    </row>
    <row r="1220" spans="1:15">
      <c r="A1220" s="1">
        <v>45993</v>
      </c>
      <c r="B1220">
        <v>9</v>
      </c>
      <c r="C1220" t="s">
        <v>99</v>
      </c>
      <c r="D1220">
        <v>9</v>
      </c>
      <c r="E1220" s="2">
        <v>22.5</v>
      </c>
      <c r="F1220" s="2">
        <v>-50.63</v>
      </c>
      <c r="G1220" s="2">
        <v>58.32</v>
      </c>
      <c r="H1220" s="2">
        <v>-108.26</v>
      </c>
      <c r="I1220" s="2">
        <v>119.43</v>
      </c>
      <c r="J1220" s="2">
        <v>1.31</v>
      </c>
      <c r="K1220" s="2">
        <v>-1.7</v>
      </c>
      <c r="L1220" s="2">
        <v>2.14</v>
      </c>
      <c r="M1220" s="2">
        <v>0.73</v>
      </c>
      <c r="N1220" t="s">
        <v>230</v>
      </c>
      <c r="O1220">
        <v>42</v>
      </c>
    </row>
    <row r="1221" spans="1:15">
      <c r="A1221" s="1">
        <v>45993</v>
      </c>
      <c r="B1221">
        <v>9</v>
      </c>
      <c r="C1221" t="s">
        <v>99</v>
      </c>
      <c r="D1221">
        <v>9</v>
      </c>
      <c r="E1221" s="2">
        <v>23</v>
      </c>
      <c r="F1221" s="2">
        <v>-63.99</v>
      </c>
      <c r="G1221" s="2">
        <v>66.510000000000005</v>
      </c>
      <c r="H1221" s="2">
        <v>-163.25</v>
      </c>
      <c r="I1221" s="2">
        <v>159.27000000000001</v>
      </c>
      <c r="J1221" s="2">
        <v>1.1399999999999999</v>
      </c>
      <c r="K1221" s="2">
        <v>-1.49</v>
      </c>
      <c r="L1221" s="2">
        <v>1.88</v>
      </c>
      <c r="M1221" s="2">
        <v>0.71</v>
      </c>
      <c r="N1221" t="s">
        <v>230</v>
      </c>
      <c r="O1221">
        <v>42</v>
      </c>
    </row>
    <row r="1222" spans="1:15">
      <c r="A1222" s="1">
        <v>45993</v>
      </c>
      <c r="B1222">
        <v>9</v>
      </c>
      <c r="C1222" t="s">
        <v>99</v>
      </c>
      <c r="D1222">
        <v>9</v>
      </c>
      <c r="E1222" s="2">
        <v>23.5</v>
      </c>
      <c r="F1222" s="2">
        <v>-127.56</v>
      </c>
      <c r="G1222" s="2">
        <v>137.13999999999999</v>
      </c>
      <c r="H1222" s="2">
        <v>-190.34</v>
      </c>
      <c r="I1222" s="2">
        <v>208.99</v>
      </c>
      <c r="J1222" s="2">
        <v>0.97</v>
      </c>
      <c r="K1222" s="2">
        <v>-1.41</v>
      </c>
      <c r="L1222" s="2">
        <v>1.71</v>
      </c>
      <c r="M1222" s="2">
        <v>0.76</v>
      </c>
      <c r="N1222" t="s">
        <v>230</v>
      </c>
      <c r="O1222">
        <v>42</v>
      </c>
    </row>
    <row r="1223" spans="1:15">
      <c r="A1223" s="1">
        <v>45993</v>
      </c>
      <c r="B1223">
        <v>9</v>
      </c>
      <c r="C1223" t="s">
        <v>99</v>
      </c>
      <c r="D1223">
        <v>9</v>
      </c>
      <c r="E1223" s="2">
        <v>24</v>
      </c>
      <c r="F1223" s="2">
        <v>-160.85</v>
      </c>
      <c r="G1223" s="2">
        <v>167.52</v>
      </c>
      <c r="H1223" s="2">
        <v>-240.67</v>
      </c>
      <c r="I1223" s="2">
        <v>258.79000000000002</v>
      </c>
      <c r="J1223" s="2">
        <v>0.87</v>
      </c>
      <c r="K1223" s="2">
        <v>-1.31</v>
      </c>
      <c r="L1223" s="2">
        <v>1.57</v>
      </c>
      <c r="M1223" s="2">
        <v>0.64</v>
      </c>
      <c r="N1223" t="s">
        <v>230</v>
      </c>
      <c r="O1223">
        <v>42</v>
      </c>
    </row>
    <row r="1224" spans="1:15">
      <c r="A1224" s="1">
        <v>45993</v>
      </c>
      <c r="B1224">
        <v>9</v>
      </c>
      <c r="C1224" t="s">
        <v>99</v>
      </c>
      <c r="D1224">
        <v>9</v>
      </c>
      <c r="E1224" s="2">
        <v>24.5</v>
      </c>
      <c r="F1224" s="2">
        <v>-57.68</v>
      </c>
      <c r="G1224" s="2">
        <v>59.23</v>
      </c>
      <c r="H1224" s="2">
        <v>-247.06</v>
      </c>
      <c r="I1224" s="2">
        <v>236.75</v>
      </c>
      <c r="J1224" s="2">
        <v>0.75</v>
      </c>
      <c r="K1224" s="2">
        <v>-1.07</v>
      </c>
      <c r="L1224" s="2">
        <v>1.31</v>
      </c>
      <c r="M1224" s="2">
        <v>0.54</v>
      </c>
      <c r="N1224" t="s">
        <v>230</v>
      </c>
      <c r="O1224">
        <v>42</v>
      </c>
    </row>
    <row r="1225" spans="1:15">
      <c r="A1225" s="1">
        <v>45993</v>
      </c>
      <c r="B1225">
        <v>9</v>
      </c>
      <c r="C1225" t="s">
        <v>99</v>
      </c>
      <c r="D1225">
        <v>9</v>
      </c>
      <c r="E1225" s="2">
        <v>25</v>
      </c>
      <c r="F1225" s="2">
        <v>38.869999999999997</v>
      </c>
      <c r="G1225" s="2">
        <v>-32.020000000000003</v>
      </c>
      <c r="H1225" s="2">
        <v>-223.03</v>
      </c>
      <c r="I1225" s="2">
        <v>221.3</v>
      </c>
      <c r="J1225" s="2">
        <v>0.59</v>
      </c>
      <c r="K1225" s="2">
        <v>-1.08</v>
      </c>
      <c r="L1225" s="2">
        <v>1.23</v>
      </c>
      <c r="M1225" s="2">
        <v>0.48</v>
      </c>
      <c r="N1225" t="s">
        <v>230</v>
      </c>
      <c r="O1225">
        <v>42</v>
      </c>
    </row>
    <row r="1226" spans="1:15">
      <c r="A1226" s="1">
        <v>45993</v>
      </c>
      <c r="B1226">
        <v>9</v>
      </c>
      <c r="C1226" t="s">
        <v>99</v>
      </c>
      <c r="D1226">
        <v>9</v>
      </c>
      <c r="E1226" s="2">
        <v>25.5</v>
      </c>
      <c r="F1226" s="2">
        <v>96.05</v>
      </c>
      <c r="G1226" s="2">
        <v>-92.31</v>
      </c>
      <c r="H1226" s="2">
        <v>-185.12</v>
      </c>
      <c r="I1226" s="2">
        <v>192.92</v>
      </c>
      <c r="J1226" s="2">
        <v>0.43</v>
      </c>
      <c r="K1226" s="2">
        <v>-0.82</v>
      </c>
      <c r="L1226" s="2">
        <v>0.93</v>
      </c>
      <c r="M1226" s="2">
        <v>0.36</v>
      </c>
      <c r="N1226" t="s">
        <v>230</v>
      </c>
      <c r="O1226">
        <v>42</v>
      </c>
    </row>
    <row r="1227" spans="1:15">
      <c r="A1227" s="1">
        <v>45993</v>
      </c>
      <c r="B1227">
        <v>9</v>
      </c>
      <c r="C1227" t="s">
        <v>99</v>
      </c>
      <c r="D1227">
        <v>9</v>
      </c>
      <c r="E1227" s="2">
        <v>26</v>
      </c>
      <c r="F1227" s="2">
        <v>141.99</v>
      </c>
      <c r="G1227" s="2">
        <v>-134.87</v>
      </c>
      <c r="H1227" s="2">
        <v>-225.12</v>
      </c>
      <c r="I1227" s="2">
        <v>245.68</v>
      </c>
      <c r="J1227" s="2">
        <v>0.31</v>
      </c>
      <c r="K1227" s="2">
        <v>-0.36</v>
      </c>
      <c r="L1227" s="2">
        <v>0.48</v>
      </c>
      <c r="M1227" s="2">
        <v>0.28999999999999998</v>
      </c>
      <c r="N1227" t="s">
        <v>230</v>
      </c>
      <c r="O1227">
        <v>42</v>
      </c>
    </row>
    <row r="1228" spans="1:15">
      <c r="A1228" s="1">
        <v>45993</v>
      </c>
      <c r="B1228">
        <v>9</v>
      </c>
      <c r="C1228" t="s">
        <v>99</v>
      </c>
      <c r="D1228">
        <v>9</v>
      </c>
      <c r="E1228" s="2">
        <v>26.5</v>
      </c>
      <c r="F1228" s="2">
        <v>145.72999999999999</v>
      </c>
      <c r="G1228" s="2">
        <v>-142.05000000000001</v>
      </c>
      <c r="H1228" s="2">
        <v>-242.56</v>
      </c>
      <c r="I1228" s="2">
        <v>259.57</v>
      </c>
      <c r="J1228" s="2">
        <v>0.17</v>
      </c>
      <c r="K1228" s="2">
        <v>-0.12</v>
      </c>
      <c r="L1228" s="2">
        <v>0.21</v>
      </c>
      <c r="M1228" s="2">
        <v>0.09</v>
      </c>
      <c r="N1228" t="s">
        <v>230</v>
      </c>
      <c r="O1228">
        <v>42</v>
      </c>
    </row>
    <row r="1229" spans="1:15">
      <c r="A1229" s="1">
        <v>45993</v>
      </c>
      <c r="B1229">
        <v>8</v>
      </c>
      <c r="C1229" t="s">
        <v>100</v>
      </c>
      <c r="D1229">
        <v>8</v>
      </c>
      <c r="E1229" s="2">
        <v>0.5</v>
      </c>
      <c r="F1229" s="2">
        <v>412.13</v>
      </c>
      <c r="G1229" s="2">
        <v>-401.73</v>
      </c>
      <c r="H1229" s="2">
        <v>477.83</v>
      </c>
      <c r="I1229" s="2">
        <v>-479.45</v>
      </c>
      <c r="J1229" s="2">
        <v>1.24</v>
      </c>
      <c r="K1229" s="2">
        <v>-0.56000000000000005</v>
      </c>
      <c r="L1229" s="2">
        <v>1.36</v>
      </c>
      <c r="M1229" s="2">
        <v>0.33</v>
      </c>
      <c r="N1229" t="s">
        <v>230</v>
      </c>
      <c r="O1229">
        <v>60</v>
      </c>
    </row>
    <row r="1230" spans="1:15">
      <c r="A1230" s="1">
        <v>45993</v>
      </c>
      <c r="B1230">
        <v>8</v>
      </c>
      <c r="C1230" t="s">
        <v>100</v>
      </c>
      <c r="D1230">
        <v>8</v>
      </c>
      <c r="E1230" s="2">
        <v>1</v>
      </c>
      <c r="F1230" s="2">
        <v>412.39</v>
      </c>
      <c r="G1230" s="2">
        <v>-401.73</v>
      </c>
      <c r="H1230" s="2">
        <v>478.11</v>
      </c>
      <c r="I1230" s="2">
        <v>-479.52</v>
      </c>
      <c r="J1230" s="2">
        <v>1.33</v>
      </c>
      <c r="K1230" s="2">
        <v>-0.72</v>
      </c>
      <c r="L1230" s="2">
        <v>1.51</v>
      </c>
      <c r="M1230" s="2">
        <v>0.4</v>
      </c>
      <c r="N1230" t="s">
        <v>230</v>
      </c>
      <c r="O1230">
        <v>60</v>
      </c>
    </row>
    <row r="1231" spans="1:15">
      <c r="A1231" s="1">
        <v>45993</v>
      </c>
      <c r="B1231">
        <v>8</v>
      </c>
      <c r="C1231" t="s">
        <v>100</v>
      </c>
      <c r="D1231">
        <v>8</v>
      </c>
      <c r="E1231" s="2">
        <v>1.5</v>
      </c>
      <c r="F1231" s="2">
        <v>441.55</v>
      </c>
      <c r="G1231" s="2">
        <v>-437.32</v>
      </c>
      <c r="H1231" s="2">
        <v>407.57</v>
      </c>
      <c r="I1231" s="2">
        <v>-401.8</v>
      </c>
      <c r="J1231" s="2">
        <v>1.43</v>
      </c>
      <c r="K1231" s="2">
        <v>-0.88</v>
      </c>
      <c r="L1231" s="2">
        <v>1.68</v>
      </c>
      <c r="M1231" s="2">
        <v>0.49</v>
      </c>
      <c r="N1231" t="s">
        <v>230</v>
      </c>
      <c r="O1231">
        <v>60</v>
      </c>
    </row>
    <row r="1232" spans="1:15">
      <c r="A1232" s="1">
        <v>45993</v>
      </c>
      <c r="B1232">
        <v>8</v>
      </c>
      <c r="C1232" t="s">
        <v>100</v>
      </c>
      <c r="D1232">
        <v>8</v>
      </c>
      <c r="E1232" s="2">
        <v>2</v>
      </c>
      <c r="F1232" s="2">
        <v>502.45</v>
      </c>
      <c r="G1232" s="2">
        <v>-495.65</v>
      </c>
      <c r="H1232" s="2">
        <v>218.68</v>
      </c>
      <c r="I1232" s="2">
        <v>-218.72</v>
      </c>
      <c r="J1232" s="2">
        <v>1.53</v>
      </c>
      <c r="K1232" s="2">
        <v>-1.01</v>
      </c>
      <c r="L1232" s="2">
        <v>1.84</v>
      </c>
      <c r="M1232" s="2">
        <v>0.5</v>
      </c>
      <c r="N1232" t="s">
        <v>230</v>
      </c>
      <c r="O1232">
        <v>60</v>
      </c>
    </row>
    <row r="1233" spans="1:15">
      <c r="A1233" s="1">
        <v>45993</v>
      </c>
      <c r="B1233">
        <v>8</v>
      </c>
      <c r="C1233" t="s">
        <v>100</v>
      </c>
      <c r="D1233">
        <v>8</v>
      </c>
      <c r="E1233" s="2">
        <v>2.5</v>
      </c>
      <c r="F1233" s="2">
        <v>455.15</v>
      </c>
      <c r="G1233" s="2">
        <v>-449.38</v>
      </c>
      <c r="H1233" s="2">
        <v>127.07</v>
      </c>
      <c r="I1233" s="2">
        <v>-108.16</v>
      </c>
      <c r="J1233" s="2">
        <v>1.7</v>
      </c>
      <c r="K1233" s="2">
        <v>-1.54</v>
      </c>
      <c r="L1233" s="2">
        <v>2.29</v>
      </c>
      <c r="M1233" s="2">
        <v>0.74</v>
      </c>
      <c r="N1233" t="s">
        <v>230</v>
      </c>
      <c r="O1233">
        <v>60</v>
      </c>
    </row>
    <row r="1234" spans="1:15">
      <c r="A1234" s="1">
        <v>45993</v>
      </c>
      <c r="B1234">
        <v>8</v>
      </c>
      <c r="C1234" t="s">
        <v>100</v>
      </c>
      <c r="D1234">
        <v>8</v>
      </c>
      <c r="E1234" s="2">
        <v>3</v>
      </c>
      <c r="F1234" s="2">
        <v>403.35</v>
      </c>
      <c r="G1234" s="2">
        <v>-395.91</v>
      </c>
      <c r="H1234" s="2">
        <v>-7.85</v>
      </c>
      <c r="I1234" s="2">
        <v>18.68</v>
      </c>
      <c r="J1234" s="2">
        <v>1.86</v>
      </c>
      <c r="K1234" s="2">
        <v>-1.73</v>
      </c>
      <c r="L1234" s="2">
        <v>2.54</v>
      </c>
      <c r="M1234" s="2">
        <v>0.94</v>
      </c>
      <c r="N1234" t="s">
        <v>230</v>
      </c>
      <c r="O1234">
        <v>60</v>
      </c>
    </row>
    <row r="1235" spans="1:15">
      <c r="A1235" s="1">
        <v>45993</v>
      </c>
      <c r="B1235">
        <v>8</v>
      </c>
      <c r="C1235" t="s">
        <v>100</v>
      </c>
      <c r="D1235">
        <v>8</v>
      </c>
      <c r="E1235" s="2">
        <v>3.5</v>
      </c>
      <c r="F1235" s="2">
        <v>360.06</v>
      </c>
      <c r="G1235" s="2">
        <v>-354.69</v>
      </c>
      <c r="H1235" s="2">
        <v>-82.34</v>
      </c>
      <c r="I1235" s="2">
        <v>94.54</v>
      </c>
      <c r="J1235" s="2">
        <v>2.02</v>
      </c>
      <c r="K1235" s="2">
        <v>-1.94</v>
      </c>
      <c r="L1235" s="2">
        <v>2.8</v>
      </c>
      <c r="M1235" s="2">
        <v>0.95</v>
      </c>
      <c r="N1235" t="s">
        <v>230</v>
      </c>
      <c r="O1235">
        <v>60</v>
      </c>
    </row>
    <row r="1236" spans="1:15">
      <c r="A1236" s="1">
        <v>45993</v>
      </c>
      <c r="B1236">
        <v>8</v>
      </c>
      <c r="C1236" t="s">
        <v>100</v>
      </c>
      <c r="D1236">
        <v>8</v>
      </c>
      <c r="E1236" s="2">
        <v>4</v>
      </c>
      <c r="F1236" s="2">
        <v>349.58</v>
      </c>
      <c r="G1236" s="2">
        <v>-343.67</v>
      </c>
      <c r="H1236" s="2">
        <v>-101.24</v>
      </c>
      <c r="I1236" s="2">
        <v>115.93</v>
      </c>
      <c r="J1236" s="2">
        <v>2.11</v>
      </c>
      <c r="K1236" s="2">
        <v>-1.76</v>
      </c>
      <c r="L1236" s="2">
        <v>2.75</v>
      </c>
      <c r="M1236" s="2">
        <v>0.91</v>
      </c>
      <c r="N1236" t="s">
        <v>230</v>
      </c>
      <c r="O1236">
        <v>60</v>
      </c>
    </row>
    <row r="1237" spans="1:15">
      <c r="A1237" s="1">
        <v>45993</v>
      </c>
      <c r="B1237">
        <v>8</v>
      </c>
      <c r="C1237" t="s">
        <v>100</v>
      </c>
      <c r="D1237">
        <v>8</v>
      </c>
      <c r="E1237" s="2">
        <v>4.5</v>
      </c>
      <c r="F1237" s="2">
        <v>353.69</v>
      </c>
      <c r="G1237" s="2">
        <v>-345.73</v>
      </c>
      <c r="H1237" s="2">
        <v>-102.81</v>
      </c>
      <c r="I1237" s="2">
        <v>116.22</v>
      </c>
      <c r="J1237" s="2">
        <v>2.2400000000000002</v>
      </c>
      <c r="K1237" s="2">
        <v>-1.65</v>
      </c>
      <c r="L1237" s="2">
        <v>2.78</v>
      </c>
      <c r="M1237" s="2">
        <v>0.86</v>
      </c>
      <c r="N1237" t="s">
        <v>230</v>
      </c>
      <c r="O1237">
        <v>60</v>
      </c>
    </row>
    <row r="1238" spans="1:15">
      <c r="A1238" s="1">
        <v>45993</v>
      </c>
      <c r="B1238">
        <v>8</v>
      </c>
      <c r="C1238" t="s">
        <v>100</v>
      </c>
      <c r="D1238">
        <v>8</v>
      </c>
      <c r="E1238" s="2">
        <v>5</v>
      </c>
      <c r="F1238" s="2">
        <v>284.57</v>
      </c>
      <c r="G1238" s="2">
        <v>-278.64999999999998</v>
      </c>
      <c r="H1238" s="2">
        <v>-65.87</v>
      </c>
      <c r="I1238" s="2">
        <v>83.22</v>
      </c>
      <c r="J1238" s="2">
        <v>2.37</v>
      </c>
      <c r="K1238" s="2">
        <v>-1.59</v>
      </c>
      <c r="L1238" s="2">
        <v>2.85</v>
      </c>
      <c r="M1238" s="2">
        <v>0.83</v>
      </c>
      <c r="N1238" t="s">
        <v>230</v>
      </c>
      <c r="O1238">
        <v>60</v>
      </c>
    </row>
    <row r="1239" spans="1:15">
      <c r="A1239" s="1">
        <v>45993</v>
      </c>
      <c r="B1239">
        <v>8</v>
      </c>
      <c r="C1239" t="s">
        <v>100</v>
      </c>
      <c r="D1239">
        <v>8</v>
      </c>
      <c r="E1239" s="2">
        <v>5.5</v>
      </c>
      <c r="F1239" s="2">
        <v>202.08</v>
      </c>
      <c r="G1239" s="2">
        <v>-194</v>
      </c>
      <c r="H1239" s="2">
        <v>-16.79</v>
      </c>
      <c r="I1239" s="2">
        <v>35.67</v>
      </c>
      <c r="J1239" s="2">
        <v>2.35</v>
      </c>
      <c r="K1239" s="2">
        <v>-1.7</v>
      </c>
      <c r="L1239" s="2">
        <v>2.9</v>
      </c>
      <c r="M1239" s="2">
        <v>0.82</v>
      </c>
      <c r="N1239" t="s">
        <v>230</v>
      </c>
      <c r="O1239">
        <v>60</v>
      </c>
    </row>
    <row r="1240" spans="1:15">
      <c r="A1240" s="1">
        <v>45993</v>
      </c>
      <c r="B1240">
        <v>8</v>
      </c>
      <c r="C1240" t="s">
        <v>100</v>
      </c>
      <c r="D1240">
        <v>8</v>
      </c>
      <c r="E1240" s="2">
        <v>6</v>
      </c>
      <c r="F1240" s="2">
        <v>165.22</v>
      </c>
      <c r="G1240" s="2">
        <v>-158.72</v>
      </c>
      <c r="H1240" s="2">
        <v>22.15</v>
      </c>
      <c r="I1240" s="2">
        <v>-4.71</v>
      </c>
      <c r="J1240" s="2">
        <v>2.33</v>
      </c>
      <c r="K1240" s="2">
        <v>-1.71</v>
      </c>
      <c r="L1240" s="2">
        <v>2.89</v>
      </c>
      <c r="M1240" s="2">
        <v>0.84</v>
      </c>
      <c r="N1240" t="s">
        <v>230</v>
      </c>
      <c r="O1240">
        <v>60</v>
      </c>
    </row>
    <row r="1241" spans="1:15">
      <c r="A1241" s="1">
        <v>45993</v>
      </c>
      <c r="B1241">
        <v>8</v>
      </c>
      <c r="C1241" t="s">
        <v>100</v>
      </c>
      <c r="D1241">
        <v>8</v>
      </c>
      <c r="E1241" s="2">
        <v>6.5</v>
      </c>
      <c r="F1241" s="2">
        <v>168.88</v>
      </c>
      <c r="G1241" s="2">
        <v>-160.81</v>
      </c>
      <c r="H1241" s="2">
        <v>78.14</v>
      </c>
      <c r="I1241" s="2">
        <v>-66.42</v>
      </c>
      <c r="J1241" s="2">
        <v>2.2599999999999998</v>
      </c>
      <c r="K1241" s="2">
        <v>-1.95</v>
      </c>
      <c r="L1241" s="2">
        <v>2.98</v>
      </c>
      <c r="M1241" s="2">
        <v>0.91</v>
      </c>
      <c r="N1241" t="s">
        <v>230</v>
      </c>
      <c r="O1241">
        <v>60</v>
      </c>
    </row>
    <row r="1242" spans="1:15">
      <c r="A1242" s="1">
        <v>45993</v>
      </c>
      <c r="B1242">
        <v>8</v>
      </c>
      <c r="C1242" t="s">
        <v>100</v>
      </c>
      <c r="D1242">
        <v>8</v>
      </c>
      <c r="E1242" s="2">
        <v>7</v>
      </c>
      <c r="F1242" s="2">
        <v>130.83000000000001</v>
      </c>
      <c r="G1242" s="2">
        <v>-124.18</v>
      </c>
      <c r="H1242" s="2">
        <v>137.9</v>
      </c>
      <c r="I1242" s="2">
        <v>-131.33000000000001</v>
      </c>
      <c r="J1242" s="2">
        <v>2.16</v>
      </c>
      <c r="K1242" s="2">
        <v>-1.94</v>
      </c>
      <c r="L1242" s="2">
        <v>2.91</v>
      </c>
      <c r="M1242" s="2">
        <v>0.92</v>
      </c>
      <c r="N1242" t="s">
        <v>230</v>
      </c>
      <c r="O1242">
        <v>60</v>
      </c>
    </row>
    <row r="1243" spans="1:15">
      <c r="A1243" s="1">
        <v>45993</v>
      </c>
      <c r="B1243">
        <v>8</v>
      </c>
      <c r="C1243" t="s">
        <v>100</v>
      </c>
      <c r="D1243">
        <v>8</v>
      </c>
      <c r="E1243" s="2">
        <v>7.5</v>
      </c>
      <c r="F1243" s="2">
        <v>91.46</v>
      </c>
      <c r="G1243" s="2">
        <v>-84.32</v>
      </c>
      <c r="H1243" s="2">
        <v>211.15</v>
      </c>
      <c r="I1243" s="2">
        <v>-202.68</v>
      </c>
      <c r="J1243" s="2">
        <v>2.0699999999999998</v>
      </c>
      <c r="K1243" s="2">
        <v>-1.94</v>
      </c>
      <c r="L1243" s="2">
        <v>2.84</v>
      </c>
      <c r="M1243" s="2">
        <v>0.88</v>
      </c>
      <c r="N1243" t="s">
        <v>230</v>
      </c>
      <c r="O1243">
        <v>60</v>
      </c>
    </row>
    <row r="1244" spans="1:15">
      <c r="A1244" s="1">
        <v>45993</v>
      </c>
      <c r="B1244">
        <v>8</v>
      </c>
      <c r="C1244" t="s">
        <v>100</v>
      </c>
      <c r="D1244">
        <v>8</v>
      </c>
      <c r="E1244" s="2">
        <v>8</v>
      </c>
      <c r="F1244" s="2">
        <v>95.99</v>
      </c>
      <c r="G1244" s="2">
        <v>-91.94</v>
      </c>
      <c r="H1244" s="2">
        <v>239.24</v>
      </c>
      <c r="I1244" s="2">
        <v>-235.78</v>
      </c>
      <c r="J1244" s="2">
        <v>1.99</v>
      </c>
      <c r="K1244" s="2">
        <v>-1.79</v>
      </c>
      <c r="L1244" s="2">
        <v>2.68</v>
      </c>
      <c r="M1244" s="2">
        <v>0.83</v>
      </c>
      <c r="N1244" t="s">
        <v>230</v>
      </c>
      <c r="O1244">
        <v>60</v>
      </c>
    </row>
    <row r="1245" spans="1:15">
      <c r="A1245" s="1">
        <v>45993</v>
      </c>
      <c r="B1245">
        <v>8</v>
      </c>
      <c r="C1245" t="s">
        <v>100</v>
      </c>
      <c r="D1245">
        <v>8</v>
      </c>
      <c r="E1245" s="2">
        <v>8.5</v>
      </c>
      <c r="F1245" s="2">
        <v>126.98</v>
      </c>
      <c r="G1245" s="2">
        <v>-121.34</v>
      </c>
      <c r="H1245" s="2">
        <v>323.31</v>
      </c>
      <c r="I1245" s="2">
        <v>-323.2</v>
      </c>
      <c r="J1245" s="2">
        <v>1.99</v>
      </c>
      <c r="K1245" s="2">
        <v>-1.84</v>
      </c>
      <c r="L1245" s="2">
        <v>2.71</v>
      </c>
      <c r="M1245" s="2">
        <v>0.84</v>
      </c>
      <c r="N1245" t="s">
        <v>230</v>
      </c>
      <c r="O1245">
        <v>60</v>
      </c>
    </row>
    <row r="1246" spans="1:15">
      <c r="A1246" s="1">
        <v>45993</v>
      </c>
      <c r="B1246">
        <v>8</v>
      </c>
      <c r="C1246" t="s">
        <v>100</v>
      </c>
      <c r="D1246">
        <v>8</v>
      </c>
      <c r="E1246" s="2">
        <v>9</v>
      </c>
      <c r="F1246" s="2">
        <v>178.53</v>
      </c>
      <c r="G1246" s="2">
        <v>-170.77</v>
      </c>
      <c r="H1246" s="2">
        <v>374.33</v>
      </c>
      <c r="I1246" s="2">
        <v>-370.06</v>
      </c>
      <c r="J1246" s="2">
        <v>1.99</v>
      </c>
      <c r="K1246" s="2">
        <v>-1.57</v>
      </c>
      <c r="L1246" s="2">
        <v>2.54</v>
      </c>
      <c r="M1246" s="2">
        <v>0.74</v>
      </c>
      <c r="N1246" t="s">
        <v>230</v>
      </c>
      <c r="O1246">
        <v>60</v>
      </c>
    </row>
    <row r="1247" spans="1:15">
      <c r="A1247" s="1">
        <v>45993</v>
      </c>
      <c r="B1247">
        <v>8</v>
      </c>
      <c r="C1247" t="s">
        <v>100</v>
      </c>
      <c r="D1247">
        <v>8</v>
      </c>
      <c r="E1247" s="2">
        <v>9.5</v>
      </c>
      <c r="F1247" s="2">
        <v>163.53</v>
      </c>
      <c r="G1247" s="2">
        <v>-160.1</v>
      </c>
      <c r="H1247" s="2">
        <v>431.02</v>
      </c>
      <c r="I1247" s="2">
        <v>-414.21</v>
      </c>
      <c r="J1247" s="2">
        <v>2</v>
      </c>
      <c r="K1247" s="2">
        <v>-1.37</v>
      </c>
      <c r="L1247" s="2">
        <v>2.42</v>
      </c>
      <c r="M1247" s="2">
        <v>0.68</v>
      </c>
      <c r="N1247" t="s">
        <v>230</v>
      </c>
      <c r="O1247">
        <v>60</v>
      </c>
    </row>
    <row r="1248" spans="1:15">
      <c r="A1248" s="1">
        <v>45993</v>
      </c>
      <c r="B1248">
        <v>8</v>
      </c>
      <c r="C1248" t="s">
        <v>100</v>
      </c>
      <c r="D1248">
        <v>8</v>
      </c>
      <c r="E1248" s="2">
        <v>10</v>
      </c>
      <c r="F1248" s="2">
        <v>147.33000000000001</v>
      </c>
      <c r="G1248" s="2">
        <v>-140.52000000000001</v>
      </c>
      <c r="H1248" s="2">
        <v>468.88</v>
      </c>
      <c r="I1248" s="2">
        <v>-433.74</v>
      </c>
      <c r="J1248" s="2">
        <v>2</v>
      </c>
      <c r="K1248" s="2">
        <v>-1.18</v>
      </c>
      <c r="L1248" s="2">
        <v>2.3199999999999998</v>
      </c>
      <c r="M1248" s="2">
        <v>0.69</v>
      </c>
      <c r="N1248" t="s">
        <v>230</v>
      </c>
      <c r="O1248">
        <v>60</v>
      </c>
    </row>
    <row r="1249" spans="1:15">
      <c r="A1249" s="1">
        <v>45993</v>
      </c>
      <c r="B1249">
        <v>8</v>
      </c>
      <c r="C1249" t="s">
        <v>100</v>
      </c>
      <c r="D1249">
        <v>8</v>
      </c>
      <c r="E1249" s="2">
        <v>10.5</v>
      </c>
      <c r="F1249" s="2">
        <v>332.86</v>
      </c>
      <c r="G1249" s="2">
        <v>-325.64999999999998</v>
      </c>
      <c r="H1249" s="2">
        <v>463.24</v>
      </c>
      <c r="I1249" s="2">
        <v>-460.15</v>
      </c>
      <c r="J1249" s="2">
        <v>2.04</v>
      </c>
      <c r="K1249" s="2">
        <v>-0.95</v>
      </c>
      <c r="L1249" s="2">
        <v>2.25</v>
      </c>
      <c r="M1249" s="2">
        <v>0.62</v>
      </c>
      <c r="N1249" t="s">
        <v>230</v>
      </c>
      <c r="O1249">
        <v>60</v>
      </c>
    </row>
    <row r="1250" spans="1:15">
      <c r="A1250" s="1">
        <v>45993</v>
      </c>
      <c r="B1250">
        <v>8</v>
      </c>
      <c r="C1250" t="s">
        <v>100</v>
      </c>
      <c r="D1250">
        <v>8</v>
      </c>
      <c r="E1250" s="2">
        <v>11</v>
      </c>
      <c r="F1250" s="2">
        <v>344.17</v>
      </c>
      <c r="G1250" s="2">
        <v>-337.49</v>
      </c>
      <c r="H1250" s="2">
        <v>450.2</v>
      </c>
      <c r="I1250" s="2">
        <v>-448.32</v>
      </c>
      <c r="J1250" s="2">
        <v>2.11</v>
      </c>
      <c r="K1250" s="2">
        <v>-0.93</v>
      </c>
      <c r="L1250" s="2">
        <v>2.2999999999999998</v>
      </c>
      <c r="M1250" s="2">
        <v>0.63</v>
      </c>
      <c r="N1250" t="s">
        <v>230</v>
      </c>
      <c r="O1250">
        <v>60</v>
      </c>
    </row>
    <row r="1251" spans="1:15">
      <c r="A1251" s="1">
        <v>45993</v>
      </c>
      <c r="B1251">
        <v>8</v>
      </c>
      <c r="C1251" t="s">
        <v>100</v>
      </c>
      <c r="D1251">
        <v>8</v>
      </c>
      <c r="E1251" s="2">
        <v>11.5</v>
      </c>
      <c r="F1251" s="2">
        <v>318.39999999999998</v>
      </c>
      <c r="G1251" s="2">
        <v>-306.25</v>
      </c>
      <c r="H1251" s="2">
        <v>369.62</v>
      </c>
      <c r="I1251" s="2">
        <v>-365.5</v>
      </c>
      <c r="J1251" s="2">
        <v>2.09</v>
      </c>
      <c r="K1251" s="2">
        <v>-1.01</v>
      </c>
      <c r="L1251" s="2">
        <v>2.3199999999999998</v>
      </c>
      <c r="M1251" s="2">
        <v>0.66</v>
      </c>
      <c r="N1251" t="s">
        <v>230</v>
      </c>
      <c r="O1251">
        <v>60</v>
      </c>
    </row>
    <row r="1252" spans="1:15">
      <c r="A1252" s="1">
        <v>45993</v>
      </c>
      <c r="B1252">
        <v>8</v>
      </c>
      <c r="C1252" t="s">
        <v>100</v>
      </c>
      <c r="D1252">
        <v>8</v>
      </c>
      <c r="E1252" s="2">
        <v>12</v>
      </c>
      <c r="F1252" s="2">
        <v>293.33</v>
      </c>
      <c r="G1252" s="2">
        <v>-284.83</v>
      </c>
      <c r="H1252" s="2">
        <v>287.64</v>
      </c>
      <c r="I1252" s="2">
        <v>-268.58</v>
      </c>
      <c r="J1252" s="2">
        <v>2.0499999999999998</v>
      </c>
      <c r="K1252" s="2">
        <v>-1.03</v>
      </c>
      <c r="L1252" s="2">
        <v>2.29</v>
      </c>
      <c r="M1252" s="2">
        <v>0.74</v>
      </c>
      <c r="N1252" t="s">
        <v>230</v>
      </c>
      <c r="O1252">
        <v>60</v>
      </c>
    </row>
    <row r="1253" spans="1:15">
      <c r="A1253" s="1">
        <v>45993</v>
      </c>
      <c r="B1253">
        <v>8</v>
      </c>
      <c r="C1253" t="s">
        <v>100</v>
      </c>
      <c r="D1253">
        <v>8</v>
      </c>
      <c r="E1253" s="2">
        <v>12.5</v>
      </c>
      <c r="F1253" s="2">
        <v>247.49</v>
      </c>
      <c r="G1253" s="2">
        <v>-240.32</v>
      </c>
      <c r="H1253" s="2">
        <v>194.13</v>
      </c>
      <c r="I1253" s="2">
        <v>-176.66</v>
      </c>
      <c r="J1253" s="2">
        <v>1.99</v>
      </c>
      <c r="K1253" s="2">
        <v>-1.1599999999999999</v>
      </c>
      <c r="L1253" s="2">
        <v>2.2999999999999998</v>
      </c>
      <c r="M1253" s="2">
        <v>0.74</v>
      </c>
      <c r="N1253" t="s">
        <v>230</v>
      </c>
      <c r="O1253">
        <v>60</v>
      </c>
    </row>
    <row r="1254" spans="1:15">
      <c r="A1254" s="1">
        <v>45993</v>
      </c>
      <c r="B1254">
        <v>8</v>
      </c>
      <c r="C1254" t="s">
        <v>100</v>
      </c>
      <c r="D1254">
        <v>8</v>
      </c>
      <c r="E1254" s="2">
        <v>13</v>
      </c>
      <c r="F1254" s="2">
        <v>214.66</v>
      </c>
      <c r="G1254" s="2">
        <v>-206.61</v>
      </c>
      <c r="H1254" s="2">
        <v>134.88999999999999</v>
      </c>
      <c r="I1254" s="2">
        <v>-119.97</v>
      </c>
      <c r="J1254" s="2">
        <v>1.95</v>
      </c>
      <c r="K1254" s="2">
        <v>-1.3</v>
      </c>
      <c r="L1254" s="2">
        <v>2.34</v>
      </c>
      <c r="M1254" s="2">
        <v>0.75</v>
      </c>
      <c r="N1254" t="s">
        <v>230</v>
      </c>
      <c r="O1254">
        <v>60</v>
      </c>
    </row>
    <row r="1255" spans="1:15">
      <c r="A1255" s="1">
        <v>45993</v>
      </c>
      <c r="B1255">
        <v>8</v>
      </c>
      <c r="C1255" t="s">
        <v>100</v>
      </c>
      <c r="D1255">
        <v>8</v>
      </c>
      <c r="E1255" s="2">
        <v>13.5</v>
      </c>
      <c r="F1255" s="2">
        <v>184.08</v>
      </c>
      <c r="G1255" s="2">
        <v>-177.96</v>
      </c>
      <c r="H1255" s="2">
        <v>147.97</v>
      </c>
      <c r="I1255" s="2">
        <v>-137.4</v>
      </c>
      <c r="J1255" s="2">
        <v>1.8</v>
      </c>
      <c r="K1255" s="2">
        <v>-1.28</v>
      </c>
      <c r="L1255" s="2">
        <v>2.21</v>
      </c>
      <c r="M1255" s="2">
        <v>0.74</v>
      </c>
      <c r="N1255" t="s">
        <v>230</v>
      </c>
      <c r="O1255">
        <v>60</v>
      </c>
    </row>
    <row r="1256" spans="1:15">
      <c r="A1256" s="1">
        <v>45993</v>
      </c>
      <c r="B1256">
        <v>8</v>
      </c>
      <c r="C1256" t="s">
        <v>100</v>
      </c>
      <c r="D1256">
        <v>8</v>
      </c>
      <c r="E1256" s="2">
        <v>14</v>
      </c>
      <c r="F1256" s="2">
        <v>141.88999999999999</v>
      </c>
      <c r="G1256" s="2">
        <v>-136.11000000000001</v>
      </c>
      <c r="H1256" s="2">
        <v>160.74</v>
      </c>
      <c r="I1256" s="2">
        <v>-158.25</v>
      </c>
      <c r="J1256" s="2">
        <v>1.58</v>
      </c>
      <c r="K1256" s="2">
        <v>-0.92</v>
      </c>
      <c r="L1256" s="2">
        <v>1.83</v>
      </c>
      <c r="M1256" s="2">
        <v>0.65</v>
      </c>
      <c r="N1256" t="s">
        <v>230</v>
      </c>
      <c r="O1256">
        <v>60</v>
      </c>
    </row>
    <row r="1257" spans="1:15">
      <c r="A1257" s="1">
        <v>45993</v>
      </c>
      <c r="B1257">
        <v>8</v>
      </c>
      <c r="C1257" t="s">
        <v>100</v>
      </c>
      <c r="D1257">
        <v>8</v>
      </c>
      <c r="E1257" s="2">
        <v>14.5</v>
      </c>
      <c r="F1257" s="2">
        <v>136.51</v>
      </c>
      <c r="G1257" s="2">
        <v>-128.85</v>
      </c>
      <c r="H1257" s="2">
        <v>186.75</v>
      </c>
      <c r="I1257" s="2">
        <v>-185.58</v>
      </c>
      <c r="J1257" s="2">
        <v>1.46</v>
      </c>
      <c r="K1257" s="2">
        <v>-1.37</v>
      </c>
      <c r="L1257" s="2">
        <v>2</v>
      </c>
      <c r="M1257" s="2">
        <v>0.75</v>
      </c>
      <c r="N1257" t="s">
        <v>230</v>
      </c>
      <c r="O1257">
        <v>60</v>
      </c>
    </row>
    <row r="1258" spans="1:15">
      <c r="A1258" s="1">
        <v>45993</v>
      </c>
      <c r="B1258">
        <v>8</v>
      </c>
      <c r="C1258" t="s">
        <v>100</v>
      </c>
      <c r="D1258">
        <v>8</v>
      </c>
      <c r="E1258" s="2">
        <v>15</v>
      </c>
      <c r="F1258" s="2">
        <v>141.9</v>
      </c>
      <c r="G1258" s="2">
        <v>-134.91</v>
      </c>
      <c r="H1258" s="2">
        <v>266.81</v>
      </c>
      <c r="I1258" s="2">
        <v>-255.12</v>
      </c>
      <c r="J1258" s="2">
        <v>1.26</v>
      </c>
      <c r="K1258" s="2">
        <v>-1.44</v>
      </c>
      <c r="L1258" s="2">
        <v>1.92</v>
      </c>
      <c r="M1258" s="2">
        <v>0.64</v>
      </c>
      <c r="N1258" t="s">
        <v>230</v>
      </c>
      <c r="O1258">
        <v>60</v>
      </c>
    </row>
    <row r="1259" spans="1:15">
      <c r="A1259" s="1">
        <v>45993</v>
      </c>
      <c r="B1259">
        <v>8</v>
      </c>
      <c r="C1259" t="s">
        <v>100</v>
      </c>
      <c r="D1259">
        <v>8</v>
      </c>
      <c r="E1259" s="2">
        <v>15.5</v>
      </c>
      <c r="F1259" s="2">
        <v>56.75</v>
      </c>
      <c r="G1259" s="2">
        <v>-55.37</v>
      </c>
      <c r="H1259" s="2">
        <v>345.58</v>
      </c>
      <c r="I1259" s="2">
        <v>-335.21</v>
      </c>
      <c r="J1259" s="2">
        <v>1.0900000000000001</v>
      </c>
      <c r="K1259" s="2">
        <v>-1.44</v>
      </c>
      <c r="L1259" s="2">
        <v>1.8</v>
      </c>
      <c r="M1259" s="2">
        <v>0.64</v>
      </c>
      <c r="N1259" t="s">
        <v>230</v>
      </c>
      <c r="O1259">
        <v>60</v>
      </c>
    </row>
    <row r="1260" spans="1:15">
      <c r="A1260" s="1">
        <v>45993</v>
      </c>
      <c r="B1260">
        <v>8</v>
      </c>
      <c r="C1260" t="s">
        <v>100</v>
      </c>
      <c r="D1260">
        <v>8</v>
      </c>
      <c r="E1260" s="2">
        <v>16</v>
      </c>
      <c r="F1260" s="2">
        <v>200.21</v>
      </c>
      <c r="G1260" s="2">
        <v>-186.64</v>
      </c>
      <c r="H1260" s="2">
        <v>187.77</v>
      </c>
      <c r="I1260" s="2">
        <v>-170.04</v>
      </c>
      <c r="J1260" s="2">
        <v>1.01</v>
      </c>
      <c r="K1260" s="2">
        <v>-1.47</v>
      </c>
      <c r="L1260" s="2">
        <v>1.78</v>
      </c>
      <c r="M1260" s="2">
        <v>0.65</v>
      </c>
      <c r="N1260" t="s">
        <v>230</v>
      </c>
      <c r="O1260">
        <v>60</v>
      </c>
    </row>
    <row r="1261" spans="1:15">
      <c r="A1261" s="1">
        <v>45993</v>
      </c>
      <c r="B1261">
        <v>8</v>
      </c>
      <c r="C1261" t="s">
        <v>100</v>
      </c>
      <c r="D1261">
        <v>8</v>
      </c>
      <c r="E1261" s="2">
        <v>16.5</v>
      </c>
      <c r="F1261" s="2">
        <v>323.66000000000003</v>
      </c>
      <c r="G1261" s="2">
        <v>-319.39999999999998</v>
      </c>
      <c r="H1261" s="2">
        <v>212.41</v>
      </c>
      <c r="I1261" s="2">
        <v>-201</v>
      </c>
      <c r="J1261" s="2">
        <v>1.02</v>
      </c>
      <c r="K1261" s="2">
        <v>-1.77</v>
      </c>
      <c r="L1261" s="2">
        <v>2.04</v>
      </c>
      <c r="M1261" s="2">
        <v>0.8</v>
      </c>
      <c r="N1261" t="s">
        <v>230</v>
      </c>
      <c r="O1261">
        <v>60</v>
      </c>
    </row>
    <row r="1262" spans="1:15">
      <c r="A1262" s="1">
        <v>45993</v>
      </c>
      <c r="B1262">
        <v>8</v>
      </c>
      <c r="C1262" t="s">
        <v>100</v>
      </c>
      <c r="D1262">
        <v>8</v>
      </c>
      <c r="E1262" s="2">
        <v>17</v>
      </c>
      <c r="F1262" s="2">
        <v>383.61</v>
      </c>
      <c r="G1262" s="2">
        <v>-374.13</v>
      </c>
      <c r="H1262" s="2">
        <v>244.62</v>
      </c>
      <c r="I1262" s="2">
        <v>-236.97</v>
      </c>
      <c r="J1262" s="2">
        <v>1.02</v>
      </c>
      <c r="K1262" s="2">
        <v>-1.4</v>
      </c>
      <c r="L1262" s="2">
        <v>1.73</v>
      </c>
      <c r="M1262" s="2">
        <v>0.61</v>
      </c>
      <c r="N1262" t="s">
        <v>230</v>
      </c>
      <c r="O1262">
        <v>60</v>
      </c>
    </row>
    <row r="1263" spans="1:15">
      <c r="A1263" s="1">
        <v>45993</v>
      </c>
      <c r="B1263">
        <v>8</v>
      </c>
      <c r="C1263" t="s">
        <v>100</v>
      </c>
      <c r="D1263">
        <v>8</v>
      </c>
      <c r="E1263" s="2">
        <v>17.5</v>
      </c>
      <c r="F1263" s="2">
        <v>378.65</v>
      </c>
      <c r="G1263" s="2">
        <v>-373.15</v>
      </c>
      <c r="H1263" s="2">
        <v>157.28</v>
      </c>
      <c r="I1263" s="2">
        <v>-145.22</v>
      </c>
      <c r="J1263" s="2">
        <v>0.96</v>
      </c>
      <c r="K1263" s="2">
        <v>-1.32</v>
      </c>
      <c r="L1263" s="2">
        <v>1.63</v>
      </c>
      <c r="M1263" s="2">
        <v>0.22</v>
      </c>
      <c r="N1263" t="s">
        <v>230</v>
      </c>
      <c r="O1263">
        <v>60</v>
      </c>
    </row>
    <row r="1264" spans="1:15">
      <c r="A1264" s="1">
        <v>45993</v>
      </c>
      <c r="B1264">
        <v>8</v>
      </c>
      <c r="C1264" t="s">
        <v>100</v>
      </c>
      <c r="D1264">
        <v>8</v>
      </c>
      <c r="E1264" s="2">
        <v>18</v>
      </c>
      <c r="F1264" s="2">
        <v>347.03</v>
      </c>
      <c r="G1264" s="2">
        <v>-339.88</v>
      </c>
      <c r="H1264" s="2">
        <v>93.96</v>
      </c>
      <c r="I1264" s="2">
        <v>-96.67</v>
      </c>
      <c r="J1264" s="2">
        <v>0.9</v>
      </c>
      <c r="K1264" s="2">
        <v>-1.18</v>
      </c>
      <c r="L1264" s="2">
        <v>1.48</v>
      </c>
      <c r="M1264" s="2">
        <v>0.19</v>
      </c>
      <c r="N1264" t="s">
        <v>230</v>
      </c>
      <c r="O1264">
        <v>60</v>
      </c>
    </row>
    <row r="1265" spans="1:15">
      <c r="A1265" s="1">
        <v>45993</v>
      </c>
      <c r="B1265">
        <v>8</v>
      </c>
      <c r="C1265" t="s">
        <v>100</v>
      </c>
      <c r="D1265">
        <v>8</v>
      </c>
      <c r="E1265" s="2">
        <v>18.5</v>
      </c>
      <c r="F1265" s="2">
        <v>316.41000000000003</v>
      </c>
      <c r="G1265" s="2">
        <v>-311.02</v>
      </c>
      <c r="H1265" s="2">
        <v>72.790000000000006</v>
      </c>
      <c r="I1265" s="2">
        <v>-61.06</v>
      </c>
      <c r="J1265" s="2">
        <v>0.85</v>
      </c>
      <c r="K1265" s="2">
        <v>-1.18</v>
      </c>
      <c r="L1265" s="2">
        <v>1.46</v>
      </c>
      <c r="M1265" s="2">
        <v>0.23</v>
      </c>
      <c r="N1265" t="s">
        <v>230</v>
      </c>
      <c r="O1265">
        <v>60</v>
      </c>
    </row>
    <row r="1266" spans="1:15">
      <c r="A1266" s="1">
        <v>45993</v>
      </c>
      <c r="B1266">
        <v>8</v>
      </c>
      <c r="C1266" t="s">
        <v>100</v>
      </c>
      <c r="D1266">
        <v>8</v>
      </c>
      <c r="E1266" s="2">
        <v>19</v>
      </c>
      <c r="F1266" s="2">
        <v>302.32</v>
      </c>
      <c r="G1266" s="2">
        <v>-298.5</v>
      </c>
      <c r="H1266" s="2">
        <v>53.26</v>
      </c>
      <c r="I1266" s="2">
        <v>-47.69</v>
      </c>
      <c r="J1266" s="2">
        <v>0.72</v>
      </c>
      <c r="K1266" s="2">
        <v>-1.18</v>
      </c>
      <c r="L1266" s="2">
        <v>1.38</v>
      </c>
      <c r="M1266" s="2">
        <v>0.22</v>
      </c>
      <c r="N1266" t="s">
        <v>230</v>
      </c>
      <c r="O1266">
        <v>60</v>
      </c>
    </row>
    <row r="1267" spans="1:15">
      <c r="A1267" s="1">
        <v>45993</v>
      </c>
      <c r="B1267">
        <v>8</v>
      </c>
      <c r="C1267" t="s">
        <v>100</v>
      </c>
      <c r="D1267">
        <v>8</v>
      </c>
      <c r="E1267" s="2">
        <v>19.5</v>
      </c>
      <c r="F1267" s="2">
        <v>208.4</v>
      </c>
      <c r="G1267" s="2">
        <v>-204.32</v>
      </c>
      <c r="H1267" s="2">
        <v>98.59</v>
      </c>
      <c r="I1267" s="2">
        <v>-92.32</v>
      </c>
      <c r="J1267" s="2">
        <v>0.64</v>
      </c>
      <c r="K1267" s="2">
        <v>-1.28</v>
      </c>
      <c r="L1267" s="2">
        <v>1.43</v>
      </c>
      <c r="M1267" s="2">
        <v>0.21</v>
      </c>
      <c r="N1267" t="s">
        <v>230</v>
      </c>
      <c r="O1267">
        <v>60</v>
      </c>
    </row>
    <row r="1268" spans="1:15">
      <c r="A1268" s="1">
        <v>45993</v>
      </c>
      <c r="B1268">
        <v>8</v>
      </c>
      <c r="C1268" t="s">
        <v>100</v>
      </c>
      <c r="D1268">
        <v>8</v>
      </c>
      <c r="E1268" s="2">
        <v>20</v>
      </c>
      <c r="F1268" s="2">
        <v>142.13999999999999</v>
      </c>
      <c r="G1268" s="2">
        <v>-137.38999999999999</v>
      </c>
      <c r="H1268" s="2">
        <v>148.77000000000001</v>
      </c>
      <c r="I1268" s="2">
        <v>-145.77000000000001</v>
      </c>
      <c r="J1268" s="2">
        <v>0.47</v>
      </c>
      <c r="K1268" s="2">
        <v>-0.93</v>
      </c>
      <c r="L1268" s="2">
        <v>1.05</v>
      </c>
      <c r="M1268" s="2">
        <v>0.14000000000000001</v>
      </c>
      <c r="N1268" t="s">
        <v>230</v>
      </c>
      <c r="O1268">
        <v>60</v>
      </c>
    </row>
    <row r="1269" spans="1:15">
      <c r="A1269" s="1">
        <v>45993</v>
      </c>
      <c r="B1269">
        <v>8</v>
      </c>
      <c r="C1269" t="s">
        <v>100</v>
      </c>
      <c r="D1269">
        <v>8</v>
      </c>
      <c r="E1269" s="2">
        <v>20.5</v>
      </c>
      <c r="F1269" s="2">
        <v>150.85</v>
      </c>
      <c r="G1269" s="2">
        <v>-146.75</v>
      </c>
      <c r="H1269" s="2">
        <v>164.21</v>
      </c>
      <c r="I1269" s="2">
        <v>-156.97</v>
      </c>
      <c r="J1269" s="2">
        <v>0.39</v>
      </c>
      <c r="K1269" s="2">
        <v>-0.69</v>
      </c>
      <c r="L1269" s="2">
        <v>0.79</v>
      </c>
      <c r="M1269" s="2">
        <v>7.0000000000000007E-2</v>
      </c>
      <c r="N1269" t="s">
        <v>230</v>
      </c>
      <c r="O1269">
        <v>60</v>
      </c>
    </row>
    <row r="1270" spans="1:15">
      <c r="A1270" s="1">
        <v>45993</v>
      </c>
      <c r="B1270">
        <v>8</v>
      </c>
      <c r="C1270" t="s">
        <v>100</v>
      </c>
      <c r="D1270">
        <v>8</v>
      </c>
      <c r="E1270" s="2">
        <v>21</v>
      </c>
      <c r="F1270" s="2">
        <v>159.69</v>
      </c>
      <c r="G1270" s="2">
        <v>-154.83000000000001</v>
      </c>
      <c r="H1270" s="2">
        <v>182.06</v>
      </c>
      <c r="I1270" s="2">
        <v>-171.74</v>
      </c>
      <c r="J1270" s="2">
        <v>0.28000000000000003</v>
      </c>
      <c r="K1270" s="2">
        <v>-0.22</v>
      </c>
      <c r="L1270" s="2">
        <v>0.36</v>
      </c>
      <c r="M1270" s="2">
        <v>-7.0000000000000007E-2</v>
      </c>
      <c r="N1270" t="s">
        <v>230</v>
      </c>
      <c r="O1270">
        <v>60</v>
      </c>
    </row>
    <row r="1271" spans="1:15">
      <c r="A1271" s="1">
        <v>45993</v>
      </c>
      <c r="B1271">
        <v>8</v>
      </c>
      <c r="C1271" t="s">
        <v>100</v>
      </c>
      <c r="D1271">
        <v>8</v>
      </c>
      <c r="E1271" s="2">
        <v>21.5</v>
      </c>
      <c r="F1271" s="2">
        <v>176.92</v>
      </c>
      <c r="G1271" s="2">
        <v>-173.07</v>
      </c>
      <c r="H1271" s="2">
        <v>174.33</v>
      </c>
      <c r="I1271" s="2">
        <v>-170.95</v>
      </c>
      <c r="J1271" s="2">
        <v>0.15</v>
      </c>
      <c r="K1271" s="2">
        <v>0.12</v>
      </c>
      <c r="L1271" s="2">
        <v>0.19</v>
      </c>
      <c r="M1271" s="2">
        <v>0</v>
      </c>
      <c r="N1271" t="s">
        <v>230</v>
      </c>
      <c r="O1271">
        <v>60</v>
      </c>
    </row>
    <row r="1272" spans="1:15">
      <c r="A1272" s="1">
        <v>45993</v>
      </c>
      <c r="B1272">
        <v>8</v>
      </c>
      <c r="C1272" t="s">
        <v>100</v>
      </c>
      <c r="D1272">
        <v>8</v>
      </c>
      <c r="E1272" s="2">
        <v>22</v>
      </c>
      <c r="F1272" s="2">
        <v>188.79</v>
      </c>
      <c r="G1272" s="2">
        <v>-183.53</v>
      </c>
      <c r="H1272" s="2">
        <v>185.4</v>
      </c>
      <c r="I1272" s="2">
        <v>-177</v>
      </c>
      <c r="J1272" s="2">
        <v>0.04</v>
      </c>
      <c r="K1272" s="2">
        <v>0.23</v>
      </c>
      <c r="L1272" s="2">
        <v>0.24</v>
      </c>
      <c r="M1272" s="2">
        <v>0.14000000000000001</v>
      </c>
      <c r="N1272" t="s">
        <v>230</v>
      </c>
      <c r="O1272">
        <v>60</v>
      </c>
    </row>
    <row r="1273" spans="1:15">
      <c r="A1273" s="1">
        <v>46000</v>
      </c>
      <c r="B1273">
        <v>10</v>
      </c>
      <c r="C1273" t="s">
        <v>94</v>
      </c>
      <c r="D1273">
        <v>10</v>
      </c>
      <c r="E1273" s="2">
        <v>0.5</v>
      </c>
      <c r="F1273" s="2">
        <v>-352.6</v>
      </c>
      <c r="G1273" s="2">
        <v>345.51</v>
      </c>
      <c r="H1273" s="2">
        <v>-790.88</v>
      </c>
      <c r="I1273" s="2">
        <v>861</v>
      </c>
      <c r="J1273" s="2">
        <v>-0.77</v>
      </c>
      <c r="K1273" s="2">
        <v>6.75</v>
      </c>
      <c r="L1273" s="2">
        <v>6.8</v>
      </c>
      <c r="M1273" s="2">
        <v>1.49</v>
      </c>
      <c r="N1273" t="s">
        <v>230</v>
      </c>
      <c r="O1273">
        <v>24</v>
      </c>
    </row>
    <row r="1274" spans="1:15">
      <c r="A1274" s="1">
        <v>46000</v>
      </c>
      <c r="B1274">
        <v>10</v>
      </c>
      <c r="C1274" t="s">
        <v>94</v>
      </c>
      <c r="D1274">
        <v>10</v>
      </c>
      <c r="E1274" s="2">
        <v>1</v>
      </c>
      <c r="F1274" s="2">
        <v>-352.85</v>
      </c>
      <c r="G1274" s="2">
        <v>345.83</v>
      </c>
      <c r="H1274" s="2">
        <v>-790.94</v>
      </c>
      <c r="I1274" s="2">
        <v>861.09</v>
      </c>
      <c r="J1274" s="2">
        <v>0.59</v>
      </c>
      <c r="K1274" s="2">
        <v>8.1199999999999992</v>
      </c>
      <c r="L1274" s="2">
        <v>8.14</v>
      </c>
      <c r="M1274" s="2">
        <v>1.29</v>
      </c>
      <c r="N1274" t="s">
        <v>230</v>
      </c>
      <c r="O1274">
        <v>24</v>
      </c>
    </row>
    <row r="1275" spans="1:15">
      <c r="A1275" s="1">
        <v>46000</v>
      </c>
      <c r="B1275">
        <v>10</v>
      </c>
      <c r="C1275" t="s">
        <v>94</v>
      </c>
      <c r="D1275">
        <v>10</v>
      </c>
      <c r="E1275" s="2">
        <v>1.5</v>
      </c>
      <c r="F1275" s="2">
        <v>-10.55</v>
      </c>
      <c r="G1275" s="2">
        <v>22.74</v>
      </c>
      <c r="H1275" s="2">
        <v>-278.19</v>
      </c>
      <c r="I1275" s="2">
        <v>298.83999999999997</v>
      </c>
      <c r="J1275" s="2">
        <v>1.99</v>
      </c>
      <c r="K1275" s="2">
        <v>9.08</v>
      </c>
      <c r="L1275" s="2">
        <v>9.3000000000000007</v>
      </c>
      <c r="M1275" s="2">
        <v>1.01</v>
      </c>
      <c r="N1275" t="s">
        <v>230</v>
      </c>
      <c r="O1275">
        <v>24</v>
      </c>
    </row>
    <row r="1276" spans="1:15">
      <c r="A1276" s="1">
        <v>46000</v>
      </c>
      <c r="B1276">
        <v>10</v>
      </c>
      <c r="C1276" t="s">
        <v>94</v>
      </c>
      <c r="D1276">
        <v>10</v>
      </c>
      <c r="E1276" s="2">
        <v>2</v>
      </c>
      <c r="F1276" s="2">
        <v>28.76</v>
      </c>
      <c r="G1276" s="2">
        <v>-21.73</v>
      </c>
      <c r="H1276" s="2">
        <v>-238.47</v>
      </c>
      <c r="I1276" s="2">
        <v>238.89</v>
      </c>
      <c r="J1276" s="2">
        <v>1.75</v>
      </c>
      <c r="K1276" s="2">
        <v>8.84</v>
      </c>
      <c r="L1276" s="2">
        <v>9.01</v>
      </c>
      <c r="M1276" s="2">
        <v>0.92</v>
      </c>
      <c r="N1276" t="s">
        <v>230</v>
      </c>
      <c r="O1276">
        <v>24</v>
      </c>
    </row>
    <row r="1277" spans="1:15">
      <c r="A1277" s="1">
        <v>46000</v>
      </c>
      <c r="B1277">
        <v>10</v>
      </c>
      <c r="C1277" t="s">
        <v>94</v>
      </c>
      <c r="D1277">
        <v>10</v>
      </c>
      <c r="E1277" s="2">
        <v>2.5</v>
      </c>
      <c r="F1277" s="2">
        <v>44.34</v>
      </c>
      <c r="G1277" s="2">
        <v>-37.200000000000003</v>
      </c>
      <c r="H1277" s="2">
        <v>-209.71</v>
      </c>
      <c r="I1277" s="2">
        <v>219.83</v>
      </c>
      <c r="J1277" s="2">
        <v>2.65</v>
      </c>
      <c r="K1277" s="2">
        <v>8.83</v>
      </c>
      <c r="L1277" s="2">
        <v>9.2200000000000006</v>
      </c>
      <c r="M1277" s="2">
        <v>1.1299999999999999</v>
      </c>
      <c r="N1277" t="s">
        <v>230</v>
      </c>
      <c r="O1277">
        <v>24</v>
      </c>
    </row>
    <row r="1278" spans="1:15">
      <c r="A1278" s="1">
        <v>46000</v>
      </c>
      <c r="B1278">
        <v>10</v>
      </c>
      <c r="C1278" t="s">
        <v>94</v>
      </c>
      <c r="D1278">
        <v>10</v>
      </c>
      <c r="E1278" s="2">
        <v>3</v>
      </c>
      <c r="F1278" s="2">
        <v>16.78</v>
      </c>
      <c r="G1278" s="2">
        <v>-7.95</v>
      </c>
      <c r="H1278" s="2">
        <v>-150.37</v>
      </c>
      <c r="I1278" s="2">
        <v>166.15</v>
      </c>
      <c r="J1278" s="2">
        <v>3.22</v>
      </c>
      <c r="K1278" s="2">
        <v>8.73</v>
      </c>
      <c r="L1278" s="2">
        <v>9.31</v>
      </c>
      <c r="M1278" s="2">
        <v>1.17</v>
      </c>
      <c r="N1278" t="s">
        <v>230</v>
      </c>
      <c r="O1278">
        <v>24</v>
      </c>
    </row>
    <row r="1279" spans="1:15">
      <c r="A1279" s="1">
        <v>46000</v>
      </c>
      <c r="B1279">
        <v>10</v>
      </c>
      <c r="C1279" t="s">
        <v>94</v>
      </c>
      <c r="D1279">
        <v>10</v>
      </c>
      <c r="E1279" s="2">
        <v>3.5</v>
      </c>
      <c r="F1279" s="2">
        <v>-6.83</v>
      </c>
      <c r="G1279" s="2">
        <v>14.35</v>
      </c>
      <c r="H1279" s="2">
        <v>-105.61</v>
      </c>
      <c r="I1279" s="2">
        <v>102.6</v>
      </c>
      <c r="J1279" s="2">
        <v>3.45</v>
      </c>
      <c r="K1279" s="2">
        <v>8.66</v>
      </c>
      <c r="L1279" s="2">
        <v>9.33</v>
      </c>
      <c r="M1279" s="2">
        <v>1.3</v>
      </c>
      <c r="N1279" t="s">
        <v>230</v>
      </c>
      <c r="O1279">
        <v>24</v>
      </c>
    </row>
    <row r="1280" spans="1:15">
      <c r="A1280" s="1">
        <v>46000</v>
      </c>
      <c r="B1280">
        <v>10</v>
      </c>
      <c r="C1280" t="s">
        <v>94</v>
      </c>
      <c r="D1280">
        <v>10</v>
      </c>
      <c r="E1280" s="2">
        <v>4</v>
      </c>
      <c r="F1280" s="2">
        <v>61.62</v>
      </c>
      <c r="G1280" s="2">
        <v>-54.91</v>
      </c>
      <c r="H1280" s="2">
        <v>-81.180000000000007</v>
      </c>
      <c r="I1280" s="2">
        <v>62.31</v>
      </c>
      <c r="J1280" s="2">
        <v>3.53</v>
      </c>
      <c r="K1280" s="2">
        <v>8.68</v>
      </c>
      <c r="L1280" s="2">
        <v>9.3699999999999992</v>
      </c>
      <c r="M1280" s="2">
        <v>1.1499999999999999</v>
      </c>
      <c r="N1280" t="s">
        <v>230</v>
      </c>
      <c r="O1280">
        <v>24</v>
      </c>
    </row>
    <row r="1281" spans="1:15">
      <c r="A1281" s="1">
        <v>46000</v>
      </c>
      <c r="B1281">
        <v>10</v>
      </c>
      <c r="C1281" t="s">
        <v>94</v>
      </c>
      <c r="D1281">
        <v>10</v>
      </c>
      <c r="E1281" s="2">
        <v>4.5</v>
      </c>
      <c r="F1281" s="2">
        <v>68.81</v>
      </c>
      <c r="G1281" s="2">
        <v>-60.95</v>
      </c>
      <c r="H1281" s="2">
        <v>-48.69</v>
      </c>
      <c r="I1281" s="2">
        <v>50.5</v>
      </c>
      <c r="J1281" s="2">
        <v>3.61</v>
      </c>
      <c r="K1281" s="2">
        <v>8.64</v>
      </c>
      <c r="L1281" s="2">
        <v>9.36</v>
      </c>
      <c r="M1281" s="2">
        <v>1.22</v>
      </c>
      <c r="N1281" t="s">
        <v>230</v>
      </c>
      <c r="O1281">
        <v>24</v>
      </c>
    </row>
    <row r="1282" spans="1:15">
      <c r="A1282" s="1">
        <v>46000</v>
      </c>
      <c r="B1282">
        <v>10</v>
      </c>
      <c r="C1282" t="s">
        <v>94</v>
      </c>
      <c r="D1282">
        <v>10</v>
      </c>
      <c r="E1282" s="2">
        <v>5</v>
      </c>
      <c r="F1282" s="2">
        <v>10.99</v>
      </c>
      <c r="G1282" s="2">
        <v>-2.4900000000000002</v>
      </c>
      <c r="H1282" s="2">
        <v>19.739999999999998</v>
      </c>
      <c r="I1282" s="2">
        <v>-24.52</v>
      </c>
      <c r="J1282" s="2">
        <v>4.0999999999999996</v>
      </c>
      <c r="K1282" s="2">
        <v>8.2200000000000006</v>
      </c>
      <c r="L1282" s="2">
        <v>9.19</v>
      </c>
      <c r="M1282" s="2">
        <v>1.19</v>
      </c>
      <c r="N1282" t="s">
        <v>230</v>
      </c>
      <c r="O1282">
        <v>24</v>
      </c>
    </row>
    <row r="1283" spans="1:15">
      <c r="A1283" s="1">
        <v>46000</v>
      </c>
      <c r="B1283">
        <v>10</v>
      </c>
      <c r="C1283" t="s">
        <v>94</v>
      </c>
      <c r="D1283">
        <v>10</v>
      </c>
      <c r="E1283" s="2">
        <v>5.5</v>
      </c>
      <c r="F1283" s="2">
        <v>8.8699999999999992</v>
      </c>
      <c r="G1283" s="2">
        <v>-0.32</v>
      </c>
      <c r="H1283" s="2">
        <v>16.36</v>
      </c>
      <c r="I1283" s="2">
        <v>-15.62</v>
      </c>
      <c r="J1283" s="2">
        <v>4.4000000000000004</v>
      </c>
      <c r="K1283" s="2">
        <v>8.36</v>
      </c>
      <c r="L1283" s="2">
        <v>9.44</v>
      </c>
      <c r="M1283" s="2">
        <v>1.31</v>
      </c>
      <c r="N1283" t="s">
        <v>230</v>
      </c>
      <c r="O1283">
        <v>24</v>
      </c>
    </row>
    <row r="1284" spans="1:15">
      <c r="A1284" s="1">
        <v>46000</v>
      </c>
      <c r="B1284">
        <v>10</v>
      </c>
      <c r="C1284" t="s">
        <v>94</v>
      </c>
      <c r="D1284">
        <v>10</v>
      </c>
      <c r="E1284" s="2">
        <v>6</v>
      </c>
      <c r="F1284" s="2">
        <v>24.12</v>
      </c>
      <c r="G1284" s="2">
        <v>-17.13</v>
      </c>
      <c r="H1284" s="2">
        <v>-46.66</v>
      </c>
      <c r="I1284" s="2">
        <v>43.96</v>
      </c>
      <c r="J1284" s="2">
        <v>4.67</v>
      </c>
      <c r="K1284" s="2">
        <v>8.52</v>
      </c>
      <c r="L1284" s="2">
        <v>9.7200000000000006</v>
      </c>
      <c r="M1284" s="2">
        <v>1.39</v>
      </c>
      <c r="N1284" t="s">
        <v>230</v>
      </c>
      <c r="O1284">
        <v>24</v>
      </c>
    </row>
    <row r="1285" spans="1:15">
      <c r="A1285" s="1">
        <v>46000</v>
      </c>
      <c r="B1285">
        <v>10</v>
      </c>
      <c r="C1285" t="s">
        <v>94</v>
      </c>
      <c r="D1285">
        <v>10</v>
      </c>
      <c r="E1285" s="2">
        <v>6.5</v>
      </c>
      <c r="F1285" s="2">
        <v>27</v>
      </c>
      <c r="G1285" s="2">
        <v>-17.43</v>
      </c>
      <c r="H1285" s="2">
        <v>-79.48</v>
      </c>
      <c r="I1285" s="2">
        <v>71.59</v>
      </c>
      <c r="J1285" s="2">
        <v>4.93</v>
      </c>
      <c r="K1285" s="2">
        <v>8.34</v>
      </c>
      <c r="L1285" s="2">
        <v>9.69</v>
      </c>
      <c r="M1285" s="2">
        <v>1.42</v>
      </c>
      <c r="N1285" t="s">
        <v>230</v>
      </c>
      <c r="O1285">
        <v>24</v>
      </c>
    </row>
    <row r="1286" spans="1:15">
      <c r="A1286" s="1">
        <v>46000</v>
      </c>
      <c r="B1286">
        <v>10</v>
      </c>
      <c r="C1286" t="s">
        <v>94</v>
      </c>
      <c r="D1286">
        <v>10</v>
      </c>
      <c r="E1286" s="2">
        <v>7</v>
      </c>
      <c r="F1286" s="2">
        <v>107.7</v>
      </c>
      <c r="G1286" s="2">
        <v>-102.55</v>
      </c>
      <c r="H1286" s="2">
        <v>-63.51</v>
      </c>
      <c r="I1286" s="2">
        <v>49.48</v>
      </c>
      <c r="J1286" s="2">
        <v>4.74</v>
      </c>
      <c r="K1286" s="2">
        <v>7.99</v>
      </c>
      <c r="L1286" s="2">
        <v>9.2899999999999991</v>
      </c>
      <c r="M1286" s="2">
        <v>1.39</v>
      </c>
      <c r="N1286" t="s">
        <v>230</v>
      </c>
      <c r="O1286">
        <v>24</v>
      </c>
    </row>
    <row r="1287" spans="1:15">
      <c r="A1287" s="1">
        <v>46000</v>
      </c>
      <c r="B1287">
        <v>10</v>
      </c>
      <c r="C1287" t="s">
        <v>94</v>
      </c>
      <c r="D1287">
        <v>10</v>
      </c>
      <c r="E1287" s="2">
        <v>7.5</v>
      </c>
      <c r="F1287" s="2">
        <v>63.4</v>
      </c>
      <c r="G1287" s="2">
        <v>-56.67</v>
      </c>
      <c r="H1287" s="2">
        <v>-72.48</v>
      </c>
      <c r="I1287" s="2">
        <v>61.18</v>
      </c>
      <c r="J1287" s="2">
        <v>4.83</v>
      </c>
      <c r="K1287" s="2">
        <v>7.88</v>
      </c>
      <c r="L1287" s="2">
        <v>9.24</v>
      </c>
      <c r="M1287" s="2">
        <v>1.39</v>
      </c>
      <c r="N1287" t="s">
        <v>230</v>
      </c>
      <c r="O1287">
        <v>24</v>
      </c>
    </row>
    <row r="1288" spans="1:15">
      <c r="A1288" s="1">
        <v>46000</v>
      </c>
      <c r="B1288">
        <v>10</v>
      </c>
      <c r="C1288" t="s">
        <v>94</v>
      </c>
      <c r="D1288">
        <v>10</v>
      </c>
      <c r="E1288" s="2">
        <v>8</v>
      </c>
      <c r="F1288" s="2">
        <v>42.84</v>
      </c>
      <c r="G1288" s="2">
        <v>-33.22</v>
      </c>
      <c r="H1288" s="2">
        <v>-65.91</v>
      </c>
      <c r="I1288" s="2">
        <v>68.349999999999994</v>
      </c>
      <c r="J1288" s="2">
        <v>4.66</v>
      </c>
      <c r="K1288" s="2">
        <v>7.38</v>
      </c>
      <c r="L1288" s="2">
        <v>8.7200000000000006</v>
      </c>
      <c r="M1288" s="2">
        <v>1.34</v>
      </c>
      <c r="N1288" t="s">
        <v>230</v>
      </c>
      <c r="O1288">
        <v>24</v>
      </c>
    </row>
    <row r="1289" spans="1:15">
      <c r="A1289" s="1">
        <v>46000</v>
      </c>
      <c r="B1289">
        <v>10</v>
      </c>
      <c r="C1289" t="s">
        <v>94</v>
      </c>
      <c r="D1289">
        <v>10</v>
      </c>
      <c r="E1289" s="2">
        <v>8.5</v>
      </c>
      <c r="F1289" s="2">
        <v>7.31</v>
      </c>
      <c r="G1289" s="2">
        <v>1.02</v>
      </c>
      <c r="H1289" s="2">
        <v>-31.75</v>
      </c>
      <c r="I1289" s="2">
        <v>34.840000000000003</v>
      </c>
      <c r="J1289" s="2">
        <v>4.54</v>
      </c>
      <c r="K1289" s="2">
        <v>6.55</v>
      </c>
      <c r="L1289" s="2">
        <v>7.97</v>
      </c>
      <c r="M1289" s="2">
        <v>1.25</v>
      </c>
      <c r="N1289" t="s">
        <v>230</v>
      </c>
      <c r="O1289">
        <v>24</v>
      </c>
    </row>
    <row r="1290" spans="1:15">
      <c r="A1290" s="1">
        <v>46000</v>
      </c>
      <c r="B1290">
        <v>10</v>
      </c>
      <c r="C1290" t="s">
        <v>94</v>
      </c>
      <c r="D1290">
        <v>10</v>
      </c>
      <c r="E1290" s="2">
        <v>9</v>
      </c>
      <c r="F1290" s="2">
        <v>-40.26</v>
      </c>
      <c r="G1290" s="2">
        <v>48.79</v>
      </c>
      <c r="H1290" s="2">
        <v>-16.61</v>
      </c>
      <c r="I1290" s="2">
        <v>12.34</v>
      </c>
      <c r="J1290" s="2">
        <v>4.5199999999999996</v>
      </c>
      <c r="K1290" s="2">
        <v>6.01</v>
      </c>
      <c r="L1290" s="2">
        <v>7.52</v>
      </c>
      <c r="M1290" s="2">
        <v>1.17</v>
      </c>
      <c r="N1290" t="s">
        <v>230</v>
      </c>
      <c r="O1290">
        <v>24</v>
      </c>
    </row>
    <row r="1291" spans="1:15">
      <c r="A1291" s="1">
        <v>46000</v>
      </c>
      <c r="B1291">
        <v>10</v>
      </c>
      <c r="C1291" t="s">
        <v>94</v>
      </c>
      <c r="D1291">
        <v>10</v>
      </c>
      <c r="E1291" s="2">
        <v>9.5</v>
      </c>
      <c r="F1291" s="2">
        <v>-115.1</v>
      </c>
      <c r="G1291" s="2">
        <v>120.15</v>
      </c>
      <c r="H1291" s="2">
        <v>-0.74</v>
      </c>
      <c r="I1291" s="2">
        <v>-7.51</v>
      </c>
      <c r="J1291" s="2">
        <v>4.5</v>
      </c>
      <c r="K1291" s="2">
        <v>5.5</v>
      </c>
      <c r="L1291" s="2">
        <v>7.1</v>
      </c>
      <c r="M1291" s="2">
        <v>1.06</v>
      </c>
      <c r="N1291" t="s">
        <v>230</v>
      </c>
      <c r="O1291">
        <v>24</v>
      </c>
    </row>
    <row r="1292" spans="1:15">
      <c r="A1292" s="1">
        <v>46000</v>
      </c>
      <c r="B1292">
        <v>10</v>
      </c>
      <c r="C1292" t="s">
        <v>94</v>
      </c>
      <c r="D1292">
        <v>10</v>
      </c>
      <c r="E1292" s="2">
        <v>10</v>
      </c>
      <c r="F1292" s="2">
        <v>-211.17</v>
      </c>
      <c r="G1292" s="2">
        <v>221.53</v>
      </c>
      <c r="H1292" s="2">
        <v>-75.81</v>
      </c>
      <c r="I1292" s="2">
        <v>77.040000000000006</v>
      </c>
      <c r="J1292" s="2">
        <v>4.2</v>
      </c>
      <c r="K1292" s="2">
        <v>5.0199999999999996</v>
      </c>
      <c r="L1292" s="2">
        <v>6.54</v>
      </c>
      <c r="M1292" s="2">
        <v>0.95</v>
      </c>
      <c r="N1292" t="s">
        <v>230</v>
      </c>
      <c r="O1292">
        <v>24</v>
      </c>
    </row>
    <row r="1293" spans="1:15">
      <c r="A1293" s="1">
        <v>46000</v>
      </c>
      <c r="B1293">
        <v>10</v>
      </c>
      <c r="C1293" t="s">
        <v>94</v>
      </c>
      <c r="D1293">
        <v>10</v>
      </c>
      <c r="E1293" s="2">
        <v>10.5</v>
      </c>
      <c r="F1293" s="2">
        <v>-200.07</v>
      </c>
      <c r="G1293" s="2">
        <v>209.47</v>
      </c>
      <c r="H1293" s="2">
        <v>-44.01</v>
      </c>
      <c r="I1293" s="2">
        <v>52.63</v>
      </c>
      <c r="J1293" s="2">
        <v>3.69</v>
      </c>
      <c r="K1293" s="2">
        <v>4.26</v>
      </c>
      <c r="L1293" s="2">
        <v>5.64</v>
      </c>
      <c r="M1293" s="2">
        <v>0.79</v>
      </c>
      <c r="N1293" t="s">
        <v>230</v>
      </c>
      <c r="O1293">
        <v>24</v>
      </c>
    </row>
    <row r="1294" spans="1:15">
      <c r="A1294" s="1">
        <v>46000</v>
      </c>
      <c r="B1294">
        <v>10</v>
      </c>
      <c r="C1294" t="s">
        <v>94</v>
      </c>
      <c r="D1294">
        <v>10</v>
      </c>
      <c r="E1294" s="2">
        <v>11</v>
      </c>
      <c r="F1294" s="2">
        <v>-177.17</v>
      </c>
      <c r="G1294" s="2">
        <v>180.33</v>
      </c>
      <c r="H1294" s="2">
        <v>4.71</v>
      </c>
      <c r="I1294" s="2">
        <v>2.5</v>
      </c>
      <c r="J1294" s="2">
        <v>3.42</v>
      </c>
      <c r="K1294" s="2">
        <v>4.04</v>
      </c>
      <c r="L1294" s="2">
        <v>5.29</v>
      </c>
      <c r="M1294" s="2">
        <v>0.79</v>
      </c>
      <c r="N1294" t="s">
        <v>230</v>
      </c>
      <c r="O1294">
        <v>24</v>
      </c>
    </row>
    <row r="1295" spans="1:15">
      <c r="A1295" s="1">
        <v>46000</v>
      </c>
      <c r="B1295">
        <v>10</v>
      </c>
      <c r="C1295" t="s">
        <v>94</v>
      </c>
      <c r="D1295">
        <v>10</v>
      </c>
      <c r="E1295" s="2">
        <v>11.5</v>
      </c>
      <c r="F1295" s="2">
        <v>-80.209999999999994</v>
      </c>
      <c r="G1295" s="2">
        <v>86.4</v>
      </c>
      <c r="H1295" s="2">
        <v>7.65</v>
      </c>
      <c r="I1295" s="2">
        <v>-11.12</v>
      </c>
      <c r="J1295" s="2">
        <v>3.19</v>
      </c>
      <c r="K1295" s="2">
        <v>3.94</v>
      </c>
      <c r="L1295" s="2">
        <v>5.07</v>
      </c>
      <c r="M1295" s="2">
        <v>0.78</v>
      </c>
      <c r="N1295" t="s">
        <v>230</v>
      </c>
      <c r="O1295">
        <v>24</v>
      </c>
    </row>
    <row r="1296" spans="1:15">
      <c r="A1296" s="1">
        <v>46000</v>
      </c>
      <c r="B1296">
        <v>10</v>
      </c>
      <c r="C1296" t="s">
        <v>94</v>
      </c>
      <c r="D1296">
        <v>10</v>
      </c>
      <c r="E1296" s="2">
        <v>12</v>
      </c>
      <c r="F1296" s="2">
        <v>-146.68</v>
      </c>
      <c r="G1296" s="2">
        <v>156.07</v>
      </c>
      <c r="H1296" s="2">
        <v>-19.79</v>
      </c>
      <c r="I1296" s="2">
        <v>10.92</v>
      </c>
      <c r="J1296" s="2">
        <v>3.01</v>
      </c>
      <c r="K1296" s="2">
        <v>3.9</v>
      </c>
      <c r="L1296" s="2">
        <v>4.93</v>
      </c>
      <c r="M1296" s="2">
        <v>0.78</v>
      </c>
      <c r="N1296" t="s">
        <v>230</v>
      </c>
      <c r="O1296">
        <v>24</v>
      </c>
    </row>
    <row r="1297" spans="1:15">
      <c r="A1297" s="1">
        <v>46000</v>
      </c>
      <c r="B1297">
        <v>10</v>
      </c>
      <c r="C1297" t="s">
        <v>94</v>
      </c>
      <c r="D1297">
        <v>10</v>
      </c>
      <c r="E1297" s="2">
        <v>12.5</v>
      </c>
      <c r="F1297" s="2">
        <v>-136.99</v>
      </c>
      <c r="G1297" s="2">
        <v>141.58000000000001</v>
      </c>
      <c r="H1297" s="2">
        <v>45.11</v>
      </c>
      <c r="I1297" s="2">
        <v>-49.85</v>
      </c>
      <c r="J1297" s="2">
        <v>2.94</v>
      </c>
      <c r="K1297" s="2">
        <v>3.73</v>
      </c>
      <c r="L1297" s="2">
        <v>4.75</v>
      </c>
      <c r="M1297" s="2">
        <v>0.68</v>
      </c>
      <c r="N1297" t="s">
        <v>230</v>
      </c>
      <c r="O1297">
        <v>24</v>
      </c>
    </row>
    <row r="1298" spans="1:15">
      <c r="A1298" s="1">
        <v>46000</v>
      </c>
      <c r="B1298">
        <v>10</v>
      </c>
      <c r="C1298" t="s">
        <v>94</v>
      </c>
      <c r="D1298">
        <v>10</v>
      </c>
      <c r="E1298" s="2">
        <v>13</v>
      </c>
      <c r="F1298" s="2">
        <v>-70.86</v>
      </c>
      <c r="G1298" s="2">
        <v>79.16</v>
      </c>
      <c r="H1298" s="2">
        <v>45.82</v>
      </c>
      <c r="I1298" s="2">
        <v>-34.86</v>
      </c>
      <c r="J1298" s="2">
        <v>2.82</v>
      </c>
      <c r="K1298" s="2">
        <v>3.69</v>
      </c>
      <c r="L1298" s="2">
        <v>4.6399999999999997</v>
      </c>
      <c r="M1298" s="2">
        <v>0.65</v>
      </c>
      <c r="N1298" t="s">
        <v>230</v>
      </c>
      <c r="O1298">
        <v>24</v>
      </c>
    </row>
    <row r="1299" spans="1:15">
      <c r="A1299" s="1">
        <v>46000</v>
      </c>
      <c r="B1299">
        <v>10</v>
      </c>
      <c r="C1299" t="s">
        <v>94</v>
      </c>
      <c r="D1299">
        <v>10</v>
      </c>
      <c r="E1299" s="2">
        <v>13.5</v>
      </c>
      <c r="F1299" s="2">
        <v>-61.15</v>
      </c>
      <c r="G1299" s="2">
        <v>67.989999999999995</v>
      </c>
      <c r="H1299" s="2">
        <v>55.07</v>
      </c>
      <c r="I1299" s="2">
        <v>-53</v>
      </c>
      <c r="J1299" s="2">
        <v>2.41</v>
      </c>
      <c r="K1299" s="2">
        <v>3.58</v>
      </c>
      <c r="L1299" s="2">
        <v>4.3099999999999996</v>
      </c>
      <c r="M1299" s="2">
        <v>0.55000000000000004</v>
      </c>
      <c r="N1299" t="s">
        <v>230</v>
      </c>
      <c r="O1299">
        <v>24</v>
      </c>
    </row>
    <row r="1300" spans="1:15">
      <c r="A1300" s="1">
        <v>46000</v>
      </c>
      <c r="B1300">
        <v>10</v>
      </c>
      <c r="C1300" t="s">
        <v>94</v>
      </c>
      <c r="D1300">
        <v>10</v>
      </c>
      <c r="E1300" s="2">
        <v>14</v>
      </c>
      <c r="F1300" s="2">
        <v>-62.22</v>
      </c>
      <c r="G1300" s="2">
        <v>67.37</v>
      </c>
      <c r="H1300" s="2">
        <v>68.459999999999994</v>
      </c>
      <c r="I1300" s="2">
        <v>-64.819999999999993</v>
      </c>
      <c r="J1300" s="2">
        <v>1.83</v>
      </c>
      <c r="K1300" s="2">
        <v>3.38</v>
      </c>
      <c r="L1300" s="2">
        <v>3.85</v>
      </c>
      <c r="M1300" s="2">
        <v>0.43</v>
      </c>
      <c r="N1300" t="s">
        <v>230</v>
      </c>
      <c r="O1300">
        <v>24</v>
      </c>
    </row>
    <row r="1301" spans="1:15">
      <c r="A1301" s="1">
        <v>46000</v>
      </c>
      <c r="B1301">
        <v>10</v>
      </c>
      <c r="C1301" t="s">
        <v>94</v>
      </c>
      <c r="D1301">
        <v>10</v>
      </c>
      <c r="E1301" s="2">
        <v>14.5</v>
      </c>
      <c r="F1301" s="2">
        <v>-50.83</v>
      </c>
      <c r="G1301" s="2">
        <v>56.49</v>
      </c>
      <c r="H1301" s="2">
        <v>98.1</v>
      </c>
      <c r="I1301" s="2">
        <v>-89.06</v>
      </c>
      <c r="J1301" s="2">
        <v>1.19</v>
      </c>
      <c r="K1301" s="2">
        <v>2.89</v>
      </c>
      <c r="L1301" s="2">
        <v>3.13</v>
      </c>
      <c r="M1301" s="2">
        <v>0.35</v>
      </c>
      <c r="N1301" t="s">
        <v>230</v>
      </c>
      <c r="O1301">
        <v>24</v>
      </c>
    </row>
    <row r="1302" spans="1:15">
      <c r="A1302" s="1">
        <v>46000</v>
      </c>
      <c r="B1302">
        <v>10</v>
      </c>
      <c r="C1302" t="s">
        <v>94</v>
      </c>
      <c r="D1302">
        <v>10</v>
      </c>
      <c r="E1302" s="2">
        <v>15</v>
      </c>
      <c r="F1302" s="2">
        <v>-15.08</v>
      </c>
      <c r="G1302" s="2">
        <v>22.32</v>
      </c>
      <c r="H1302" s="2">
        <v>109.85</v>
      </c>
      <c r="I1302" s="2">
        <v>-111.42</v>
      </c>
      <c r="J1302" s="2">
        <v>0.63</v>
      </c>
      <c r="K1302" s="2">
        <v>2.57</v>
      </c>
      <c r="L1302" s="2">
        <v>2.64</v>
      </c>
      <c r="M1302" s="2">
        <v>0.28999999999999998</v>
      </c>
      <c r="N1302" t="s">
        <v>230</v>
      </c>
      <c r="O1302">
        <v>24</v>
      </c>
    </row>
    <row r="1303" spans="1:15">
      <c r="A1303" s="1">
        <v>46000</v>
      </c>
      <c r="B1303">
        <v>10</v>
      </c>
      <c r="C1303" t="s">
        <v>94</v>
      </c>
      <c r="D1303">
        <v>10</v>
      </c>
      <c r="E1303" s="2">
        <v>15.5</v>
      </c>
      <c r="F1303" s="2">
        <v>-54.94</v>
      </c>
      <c r="G1303" s="2">
        <v>57.84</v>
      </c>
      <c r="H1303" s="2">
        <v>91.86</v>
      </c>
      <c r="I1303" s="2">
        <v>-71.680000000000007</v>
      </c>
      <c r="J1303" s="2">
        <v>0.27</v>
      </c>
      <c r="K1303" s="2">
        <v>2.3199999999999998</v>
      </c>
      <c r="L1303" s="2">
        <v>2.34</v>
      </c>
      <c r="M1303" s="2">
        <v>0.23</v>
      </c>
      <c r="N1303" t="s">
        <v>230</v>
      </c>
      <c r="O1303">
        <v>24</v>
      </c>
    </row>
    <row r="1304" spans="1:15">
      <c r="A1304" s="1">
        <v>46000</v>
      </c>
      <c r="B1304">
        <v>10</v>
      </c>
      <c r="C1304" t="s">
        <v>94</v>
      </c>
      <c r="D1304">
        <v>10</v>
      </c>
      <c r="E1304" s="2">
        <v>16</v>
      </c>
      <c r="F1304" s="2">
        <v>-14.38</v>
      </c>
      <c r="G1304" s="2">
        <v>18.850000000000001</v>
      </c>
      <c r="H1304" s="2">
        <v>-26.81</v>
      </c>
      <c r="I1304" s="2">
        <v>32.44</v>
      </c>
      <c r="J1304" s="2">
        <v>-0.82</v>
      </c>
      <c r="K1304" s="2">
        <v>0.96</v>
      </c>
      <c r="L1304" s="2">
        <v>1.26</v>
      </c>
      <c r="M1304" s="2">
        <v>-0.25</v>
      </c>
      <c r="N1304" t="s">
        <v>230</v>
      </c>
      <c r="O1304">
        <v>24</v>
      </c>
    </row>
    <row r="1305" spans="1:15">
      <c r="A1305" s="1">
        <v>46000</v>
      </c>
      <c r="B1305">
        <v>10</v>
      </c>
      <c r="C1305" t="s">
        <v>94</v>
      </c>
      <c r="D1305">
        <v>10</v>
      </c>
      <c r="E1305" s="2">
        <v>16.5</v>
      </c>
      <c r="F1305" s="2">
        <v>5.74</v>
      </c>
      <c r="G1305" s="2">
        <v>0.23</v>
      </c>
      <c r="H1305" s="2">
        <v>-10.73</v>
      </c>
      <c r="I1305" s="2">
        <v>18.29</v>
      </c>
      <c r="J1305" s="2">
        <v>-0.76</v>
      </c>
      <c r="K1305" s="2">
        <v>1.02</v>
      </c>
      <c r="L1305" s="2">
        <v>1.27</v>
      </c>
      <c r="M1305" s="2">
        <v>-0.21</v>
      </c>
      <c r="N1305" t="s">
        <v>230</v>
      </c>
      <c r="O1305">
        <v>24</v>
      </c>
    </row>
    <row r="1306" spans="1:15">
      <c r="A1306" s="1">
        <v>46000</v>
      </c>
      <c r="B1306">
        <v>10</v>
      </c>
      <c r="C1306" t="s">
        <v>94</v>
      </c>
      <c r="D1306">
        <v>10</v>
      </c>
      <c r="E1306" s="2">
        <v>17</v>
      </c>
      <c r="F1306" s="2">
        <v>15.85</v>
      </c>
      <c r="G1306" s="2">
        <v>-11.85</v>
      </c>
      <c r="H1306" s="2">
        <v>3.26</v>
      </c>
      <c r="I1306" s="2">
        <v>2.2200000000000002</v>
      </c>
      <c r="J1306" s="2">
        <v>-0.73</v>
      </c>
      <c r="K1306" s="2">
        <v>1.07</v>
      </c>
      <c r="L1306" s="2">
        <v>1.29</v>
      </c>
      <c r="M1306" s="2">
        <v>-0.2</v>
      </c>
      <c r="N1306" t="s">
        <v>230</v>
      </c>
      <c r="O1306">
        <v>24</v>
      </c>
    </row>
    <row r="1307" spans="1:15">
      <c r="A1307" s="1">
        <v>46000</v>
      </c>
      <c r="B1307">
        <v>10</v>
      </c>
      <c r="C1307" t="s">
        <v>94</v>
      </c>
      <c r="D1307">
        <v>10</v>
      </c>
      <c r="E1307" s="2">
        <v>17.5</v>
      </c>
      <c r="F1307" s="2">
        <v>-11.13</v>
      </c>
      <c r="G1307" s="2">
        <v>16.37</v>
      </c>
      <c r="H1307" s="2">
        <v>34.85</v>
      </c>
      <c r="I1307" s="2">
        <v>-32.76</v>
      </c>
      <c r="J1307" s="2">
        <v>-0.77</v>
      </c>
      <c r="K1307" s="2">
        <v>1.1599999999999999</v>
      </c>
      <c r="L1307" s="2">
        <v>1.39</v>
      </c>
      <c r="M1307" s="2">
        <v>-0.23</v>
      </c>
      <c r="N1307" t="s">
        <v>230</v>
      </c>
      <c r="O1307">
        <v>24</v>
      </c>
    </row>
    <row r="1308" spans="1:15">
      <c r="A1308" s="1">
        <v>46000</v>
      </c>
      <c r="B1308">
        <v>10</v>
      </c>
      <c r="C1308" t="s">
        <v>94</v>
      </c>
      <c r="D1308">
        <v>10</v>
      </c>
      <c r="E1308" s="2">
        <v>18</v>
      </c>
      <c r="F1308" s="2">
        <v>-31.2</v>
      </c>
      <c r="G1308" s="2">
        <v>35.83</v>
      </c>
      <c r="H1308" s="2">
        <v>51.07</v>
      </c>
      <c r="I1308" s="2">
        <v>-43.2</v>
      </c>
      <c r="J1308" s="2">
        <v>-0.76</v>
      </c>
      <c r="K1308" s="2">
        <v>1.19</v>
      </c>
      <c r="L1308" s="2">
        <v>1.41</v>
      </c>
      <c r="M1308" s="2">
        <v>-0.2</v>
      </c>
      <c r="N1308" t="s">
        <v>230</v>
      </c>
      <c r="O1308">
        <v>24</v>
      </c>
    </row>
    <row r="1309" spans="1:15">
      <c r="A1309" s="1">
        <v>46000</v>
      </c>
      <c r="B1309">
        <v>10</v>
      </c>
      <c r="C1309" t="s">
        <v>94</v>
      </c>
      <c r="D1309">
        <v>10</v>
      </c>
      <c r="E1309" s="2">
        <v>18.5</v>
      </c>
      <c r="F1309" s="2">
        <v>-34.04</v>
      </c>
      <c r="G1309" s="2">
        <v>46.2</v>
      </c>
      <c r="H1309" s="2">
        <v>73.98</v>
      </c>
      <c r="I1309" s="2">
        <v>-55.04</v>
      </c>
      <c r="J1309" s="2">
        <v>-0.77</v>
      </c>
      <c r="K1309" s="2">
        <v>1.25</v>
      </c>
      <c r="L1309" s="2">
        <v>1.47</v>
      </c>
      <c r="M1309" s="2">
        <v>-0.17</v>
      </c>
      <c r="N1309" t="s">
        <v>230</v>
      </c>
      <c r="O1309">
        <v>24</v>
      </c>
    </row>
    <row r="1310" spans="1:15">
      <c r="A1310" s="1">
        <v>46000</v>
      </c>
      <c r="B1310">
        <v>10</v>
      </c>
      <c r="C1310" t="s">
        <v>94</v>
      </c>
      <c r="D1310">
        <v>10</v>
      </c>
      <c r="E1310" s="2">
        <v>19</v>
      </c>
      <c r="F1310" s="2">
        <v>-138.9</v>
      </c>
      <c r="G1310" s="2">
        <v>136.41</v>
      </c>
      <c r="H1310" s="2">
        <v>-33.5</v>
      </c>
      <c r="I1310" s="2">
        <v>40.24</v>
      </c>
      <c r="J1310" s="2">
        <v>-0.76</v>
      </c>
      <c r="K1310" s="2">
        <v>1.23</v>
      </c>
      <c r="L1310" s="2">
        <v>1.44</v>
      </c>
      <c r="M1310" s="2">
        <v>-0.14000000000000001</v>
      </c>
      <c r="N1310" t="s">
        <v>230</v>
      </c>
      <c r="O1310">
        <v>24</v>
      </c>
    </row>
    <row r="1311" spans="1:15">
      <c r="A1311" s="1">
        <v>46000</v>
      </c>
      <c r="B1311">
        <v>10</v>
      </c>
      <c r="C1311" t="s">
        <v>94</v>
      </c>
      <c r="D1311">
        <v>10</v>
      </c>
      <c r="E1311" s="2">
        <v>19.5</v>
      </c>
      <c r="F1311" s="2">
        <v>-133.63999999999999</v>
      </c>
      <c r="G1311" s="2">
        <v>137.02000000000001</v>
      </c>
      <c r="H1311" s="2">
        <v>-49.87</v>
      </c>
      <c r="I1311" s="2">
        <v>36.58</v>
      </c>
      <c r="J1311" s="2">
        <v>-0.8</v>
      </c>
      <c r="K1311" s="2">
        <v>1.26</v>
      </c>
      <c r="L1311" s="2">
        <v>1.49</v>
      </c>
      <c r="M1311" s="2">
        <v>-0.14000000000000001</v>
      </c>
      <c r="N1311" t="s">
        <v>230</v>
      </c>
      <c r="O1311">
        <v>24</v>
      </c>
    </row>
    <row r="1312" spans="1:15">
      <c r="A1312" s="1">
        <v>46000</v>
      </c>
      <c r="B1312">
        <v>10</v>
      </c>
      <c r="C1312" t="s">
        <v>94</v>
      </c>
      <c r="D1312">
        <v>10</v>
      </c>
      <c r="E1312" s="2">
        <v>20</v>
      </c>
      <c r="F1312" s="2">
        <v>-142.63999999999999</v>
      </c>
      <c r="G1312" s="2">
        <v>147.69999999999999</v>
      </c>
      <c r="H1312" s="2">
        <v>-46.7</v>
      </c>
      <c r="I1312" s="2">
        <v>43.52</v>
      </c>
      <c r="J1312" s="2">
        <v>-0.86</v>
      </c>
      <c r="K1312" s="2">
        <v>1.1100000000000001</v>
      </c>
      <c r="L1312" s="2">
        <v>1.4</v>
      </c>
      <c r="M1312" s="2">
        <v>-0.19</v>
      </c>
      <c r="N1312" t="s">
        <v>230</v>
      </c>
      <c r="O1312">
        <v>24</v>
      </c>
    </row>
    <row r="1313" spans="1:15">
      <c r="A1313" s="1">
        <v>46000</v>
      </c>
      <c r="B1313">
        <v>10</v>
      </c>
      <c r="C1313" t="s">
        <v>94</v>
      </c>
      <c r="D1313">
        <v>10</v>
      </c>
      <c r="E1313" s="2">
        <v>20.5</v>
      </c>
      <c r="F1313" s="2">
        <v>-167.33</v>
      </c>
      <c r="G1313" s="2">
        <v>170.6</v>
      </c>
      <c r="H1313" s="2">
        <v>-28.69</v>
      </c>
      <c r="I1313" s="2">
        <v>16.940000000000001</v>
      </c>
      <c r="J1313" s="2">
        <v>-0.89</v>
      </c>
      <c r="K1313" s="2">
        <v>0.92</v>
      </c>
      <c r="L1313" s="2">
        <v>1.28</v>
      </c>
      <c r="M1313" s="2">
        <v>-0.24</v>
      </c>
      <c r="N1313" t="s">
        <v>230</v>
      </c>
      <c r="O1313">
        <v>24</v>
      </c>
    </row>
    <row r="1314" spans="1:15">
      <c r="A1314" s="1">
        <v>46000</v>
      </c>
      <c r="B1314">
        <v>10</v>
      </c>
      <c r="C1314" t="s">
        <v>94</v>
      </c>
      <c r="D1314">
        <v>10</v>
      </c>
      <c r="E1314" s="2">
        <v>21</v>
      </c>
      <c r="F1314" s="2">
        <v>-154.51</v>
      </c>
      <c r="G1314" s="2">
        <v>158.36000000000001</v>
      </c>
      <c r="H1314" s="2">
        <v>-23.11</v>
      </c>
      <c r="I1314" s="2">
        <v>15.36</v>
      </c>
      <c r="J1314" s="2">
        <v>-0.89</v>
      </c>
      <c r="K1314" s="2">
        <v>0.85</v>
      </c>
      <c r="L1314" s="2">
        <v>1.22</v>
      </c>
      <c r="M1314" s="2">
        <v>-0.17</v>
      </c>
      <c r="N1314" t="s">
        <v>230</v>
      </c>
      <c r="O1314">
        <v>24</v>
      </c>
    </row>
    <row r="1315" spans="1:15">
      <c r="A1315" s="1">
        <v>46000</v>
      </c>
      <c r="B1315">
        <v>10</v>
      </c>
      <c r="C1315" t="s">
        <v>94</v>
      </c>
      <c r="D1315">
        <v>10</v>
      </c>
      <c r="E1315" s="2">
        <v>21.5</v>
      </c>
      <c r="F1315" s="2">
        <v>-77.05</v>
      </c>
      <c r="G1315" s="2">
        <v>82.88</v>
      </c>
      <c r="H1315" s="2">
        <v>-23.99</v>
      </c>
      <c r="I1315" s="2">
        <v>32.54</v>
      </c>
      <c r="J1315" s="2">
        <v>-0.87</v>
      </c>
      <c r="K1315" s="2">
        <v>0.82</v>
      </c>
      <c r="L1315" s="2">
        <v>1.2</v>
      </c>
      <c r="M1315" s="2">
        <v>-0.14000000000000001</v>
      </c>
      <c r="N1315" t="s">
        <v>230</v>
      </c>
      <c r="O1315">
        <v>24</v>
      </c>
    </row>
    <row r="1316" spans="1:15">
      <c r="A1316" s="1">
        <v>46000</v>
      </c>
      <c r="B1316">
        <v>10</v>
      </c>
      <c r="C1316" t="s">
        <v>94</v>
      </c>
      <c r="D1316">
        <v>10</v>
      </c>
      <c r="E1316" s="2">
        <v>22</v>
      </c>
      <c r="F1316" s="2">
        <v>-2.48</v>
      </c>
      <c r="G1316" s="2">
        <v>2.61</v>
      </c>
      <c r="H1316" s="2">
        <v>-109.55</v>
      </c>
      <c r="I1316" s="2">
        <v>100.61</v>
      </c>
      <c r="J1316" s="2">
        <v>-0.92</v>
      </c>
      <c r="K1316" s="2">
        <v>0.73</v>
      </c>
      <c r="L1316" s="2">
        <v>1.18</v>
      </c>
      <c r="M1316" s="2">
        <v>-0.14000000000000001</v>
      </c>
      <c r="N1316" t="s">
        <v>230</v>
      </c>
      <c r="O1316">
        <v>24</v>
      </c>
    </row>
    <row r="1317" spans="1:15">
      <c r="A1317" s="1">
        <v>46000</v>
      </c>
      <c r="B1317">
        <v>10</v>
      </c>
      <c r="C1317" t="s">
        <v>94</v>
      </c>
      <c r="D1317">
        <v>10</v>
      </c>
      <c r="E1317" s="2">
        <v>22.5</v>
      </c>
      <c r="F1317" s="2">
        <v>-38.21</v>
      </c>
      <c r="G1317" s="2">
        <v>40.74</v>
      </c>
      <c r="H1317" s="2">
        <v>-61.19</v>
      </c>
      <c r="I1317" s="2">
        <v>48.04</v>
      </c>
      <c r="J1317" s="2">
        <v>-1.17</v>
      </c>
      <c r="K1317" s="2">
        <v>0.66</v>
      </c>
      <c r="L1317" s="2">
        <v>1.34</v>
      </c>
      <c r="M1317" s="2">
        <v>-0.21</v>
      </c>
      <c r="N1317" t="s">
        <v>230</v>
      </c>
      <c r="O1317">
        <v>24</v>
      </c>
    </row>
    <row r="1318" spans="1:15">
      <c r="A1318" s="1">
        <v>46000</v>
      </c>
      <c r="B1318">
        <v>10</v>
      </c>
      <c r="C1318" t="s">
        <v>94</v>
      </c>
      <c r="D1318">
        <v>10</v>
      </c>
      <c r="E1318" s="2">
        <v>23</v>
      </c>
      <c r="F1318" s="2">
        <v>-54.84</v>
      </c>
      <c r="G1318" s="2">
        <v>56.67</v>
      </c>
      <c r="H1318" s="2">
        <v>-17.39</v>
      </c>
      <c r="I1318" s="2">
        <v>7.95</v>
      </c>
      <c r="J1318" s="2">
        <v>-1.53</v>
      </c>
      <c r="K1318" s="2">
        <v>0.28000000000000003</v>
      </c>
      <c r="L1318" s="2">
        <v>1.55</v>
      </c>
      <c r="M1318" s="2">
        <v>-0.27</v>
      </c>
      <c r="N1318" t="s">
        <v>230</v>
      </c>
      <c r="O1318">
        <v>24</v>
      </c>
    </row>
    <row r="1319" spans="1:15">
      <c r="A1319" s="1">
        <v>46000</v>
      </c>
      <c r="B1319">
        <v>10</v>
      </c>
      <c r="C1319" t="s">
        <v>94</v>
      </c>
      <c r="D1319">
        <v>10</v>
      </c>
      <c r="E1319" s="2">
        <v>23.5</v>
      </c>
      <c r="F1319" s="2">
        <v>-62.78</v>
      </c>
      <c r="G1319" s="2">
        <v>65.8</v>
      </c>
      <c r="H1319" s="2">
        <v>7.25</v>
      </c>
      <c r="I1319" s="2">
        <v>-18.62</v>
      </c>
      <c r="J1319" s="2">
        <v>-1.71</v>
      </c>
      <c r="K1319" s="2">
        <v>-0.04</v>
      </c>
      <c r="L1319" s="2">
        <v>1.71</v>
      </c>
      <c r="M1319" s="2">
        <v>-0.26</v>
      </c>
      <c r="N1319" t="s">
        <v>230</v>
      </c>
      <c r="O1319">
        <v>24</v>
      </c>
    </row>
    <row r="1320" spans="1:15">
      <c r="A1320" s="1">
        <v>46000</v>
      </c>
      <c r="B1320">
        <v>10</v>
      </c>
      <c r="C1320" t="s">
        <v>94</v>
      </c>
      <c r="D1320">
        <v>10</v>
      </c>
      <c r="E1320" s="2">
        <v>24</v>
      </c>
      <c r="F1320" s="2">
        <v>-74.930000000000007</v>
      </c>
      <c r="G1320" s="2">
        <v>80.760000000000005</v>
      </c>
      <c r="H1320" s="2">
        <v>15.88</v>
      </c>
      <c r="I1320" s="2">
        <v>-19.899999999999999</v>
      </c>
      <c r="J1320" s="2">
        <v>-1.62</v>
      </c>
      <c r="K1320" s="2">
        <v>-0.25</v>
      </c>
      <c r="L1320" s="2">
        <v>1.64</v>
      </c>
      <c r="M1320" s="2">
        <v>-0.24</v>
      </c>
      <c r="N1320" t="s">
        <v>230</v>
      </c>
      <c r="O1320">
        <v>24</v>
      </c>
    </row>
    <row r="1321" spans="1:15">
      <c r="A1321" s="1">
        <v>46000</v>
      </c>
      <c r="B1321">
        <v>10</v>
      </c>
      <c r="C1321" t="s">
        <v>94</v>
      </c>
      <c r="D1321">
        <v>10</v>
      </c>
      <c r="E1321" s="2">
        <v>24.5</v>
      </c>
      <c r="F1321" s="2">
        <v>-103.68</v>
      </c>
      <c r="G1321" s="2">
        <v>98.3</v>
      </c>
      <c r="H1321" s="2">
        <v>51.25</v>
      </c>
      <c r="I1321" s="2">
        <v>-25.65</v>
      </c>
      <c r="J1321" s="2">
        <v>-1.3</v>
      </c>
      <c r="K1321" s="2">
        <v>-0.38</v>
      </c>
      <c r="L1321" s="2">
        <v>1.35</v>
      </c>
      <c r="M1321" s="2">
        <v>-0.22</v>
      </c>
      <c r="N1321" t="s">
        <v>230</v>
      </c>
      <c r="O1321">
        <v>24</v>
      </c>
    </row>
    <row r="1322" spans="1:15">
      <c r="A1322" s="1">
        <v>46000</v>
      </c>
      <c r="B1322">
        <v>10</v>
      </c>
      <c r="C1322" t="s">
        <v>94</v>
      </c>
      <c r="D1322">
        <v>10</v>
      </c>
      <c r="E1322" s="2">
        <v>25</v>
      </c>
      <c r="F1322" s="2">
        <v>-106.03</v>
      </c>
      <c r="G1322" s="2">
        <v>115.6</v>
      </c>
      <c r="H1322" s="2">
        <v>-14.73</v>
      </c>
      <c r="I1322" s="2">
        <v>53.77</v>
      </c>
      <c r="J1322" s="2">
        <v>-0.82</v>
      </c>
      <c r="K1322" s="2">
        <v>0.28999999999999998</v>
      </c>
      <c r="L1322" s="2">
        <v>0.87</v>
      </c>
      <c r="M1322" s="2">
        <v>-0.61</v>
      </c>
      <c r="N1322" t="s">
        <v>230</v>
      </c>
      <c r="O1322">
        <v>24</v>
      </c>
    </row>
    <row r="1323" spans="1:15">
      <c r="A1323" s="1">
        <v>46000</v>
      </c>
      <c r="B1323">
        <v>10</v>
      </c>
      <c r="C1323" t="s">
        <v>94</v>
      </c>
      <c r="D1323">
        <v>10</v>
      </c>
      <c r="E1323" s="2">
        <v>25.5</v>
      </c>
      <c r="F1323" s="2">
        <v>-98.13</v>
      </c>
      <c r="G1323" s="2">
        <v>101.33</v>
      </c>
      <c r="H1323" s="2">
        <v>-37.909999999999997</v>
      </c>
      <c r="I1323" s="2">
        <v>41.99</v>
      </c>
      <c r="J1323" s="2">
        <v>-0.82</v>
      </c>
      <c r="K1323" s="2">
        <v>0.37</v>
      </c>
      <c r="L1323" s="2">
        <v>0.9</v>
      </c>
      <c r="M1323" s="2">
        <v>-0.28000000000000003</v>
      </c>
      <c r="N1323" t="s">
        <v>230</v>
      </c>
      <c r="O1323">
        <v>24</v>
      </c>
    </row>
    <row r="1324" spans="1:15">
      <c r="A1324" s="1">
        <v>46000</v>
      </c>
      <c r="B1324">
        <v>10</v>
      </c>
      <c r="C1324" t="s">
        <v>94</v>
      </c>
      <c r="D1324">
        <v>10</v>
      </c>
      <c r="E1324" s="2">
        <v>26</v>
      </c>
      <c r="F1324" s="2">
        <v>-61.49</v>
      </c>
      <c r="G1324" s="2">
        <v>64.13</v>
      </c>
      <c r="H1324" s="2">
        <v>-31.84</v>
      </c>
      <c r="I1324" s="2">
        <v>29.77</v>
      </c>
      <c r="J1324" s="2">
        <v>-0.96</v>
      </c>
      <c r="K1324" s="2">
        <v>0.25</v>
      </c>
      <c r="L1324" s="2">
        <v>0.99</v>
      </c>
      <c r="M1324" s="2">
        <v>-0.15</v>
      </c>
      <c r="N1324" t="s">
        <v>230</v>
      </c>
      <c r="O1324">
        <v>24</v>
      </c>
    </row>
    <row r="1325" spans="1:15">
      <c r="A1325" s="1">
        <v>46000</v>
      </c>
      <c r="B1325">
        <v>10</v>
      </c>
      <c r="C1325" t="s">
        <v>94</v>
      </c>
      <c r="D1325">
        <v>10</v>
      </c>
      <c r="E1325" s="2">
        <v>26.5</v>
      </c>
      <c r="F1325" s="2">
        <v>-13.99</v>
      </c>
      <c r="G1325" s="2">
        <v>16.809999999999999</v>
      </c>
      <c r="H1325" s="2">
        <v>6.4</v>
      </c>
      <c r="I1325" s="2">
        <v>-4.24</v>
      </c>
      <c r="J1325" s="2">
        <v>-0.98</v>
      </c>
      <c r="K1325" s="2">
        <v>0.16</v>
      </c>
      <c r="L1325" s="2">
        <v>1</v>
      </c>
      <c r="M1325" s="2">
        <v>0.03</v>
      </c>
      <c r="N1325" t="s">
        <v>230</v>
      </c>
      <c r="O1325">
        <v>24</v>
      </c>
    </row>
    <row r="1326" spans="1:15">
      <c r="A1326" s="1">
        <v>46000</v>
      </c>
      <c r="B1326">
        <v>10</v>
      </c>
      <c r="C1326" t="s">
        <v>94</v>
      </c>
      <c r="D1326">
        <v>10</v>
      </c>
      <c r="E1326" s="2">
        <v>27</v>
      </c>
      <c r="F1326" s="2">
        <v>40.549999999999997</v>
      </c>
      <c r="G1326" s="2">
        <v>-37.68</v>
      </c>
      <c r="H1326" s="2">
        <v>53.05</v>
      </c>
      <c r="I1326" s="2">
        <v>-58.65</v>
      </c>
      <c r="J1326" s="2">
        <v>-0.57999999999999996</v>
      </c>
      <c r="K1326" s="2">
        <v>0.05</v>
      </c>
      <c r="L1326" s="2">
        <v>0.59</v>
      </c>
      <c r="M1326" s="2">
        <v>0.01</v>
      </c>
      <c r="N1326" t="s">
        <v>230</v>
      </c>
      <c r="O1326">
        <v>24</v>
      </c>
    </row>
    <row r="1327" spans="1:15">
      <c r="A1327" s="1">
        <v>46000</v>
      </c>
      <c r="B1327">
        <v>10</v>
      </c>
      <c r="C1327" t="s">
        <v>99</v>
      </c>
      <c r="D1327">
        <v>10</v>
      </c>
      <c r="E1327" s="2">
        <v>0.5</v>
      </c>
      <c r="F1327" s="2">
        <v>-415.46</v>
      </c>
      <c r="G1327" s="2">
        <v>413.47</v>
      </c>
      <c r="H1327" s="2">
        <v>-169.61</v>
      </c>
      <c r="I1327" s="2">
        <v>175.23</v>
      </c>
      <c r="J1327" s="2">
        <v>2.84</v>
      </c>
      <c r="K1327" s="2">
        <v>-4.3499999999999996</v>
      </c>
      <c r="L1327" s="2">
        <v>5.2</v>
      </c>
      <c r="M1327" s="2">
        <v>-1.56</v>
      </c>
      <c r="N1327" t="s">
        <v>230</v>
      </c>
      <c r="O1327">
        <v>44</v>
      </c>
    </row>
    <row r="1328" spans="1:15">
      <c r="A1328" s="1">
        <v>46000</v>
      </c>
      <c r="B1328">
        <v>10</v>
      </c>
      <c r="C1328" t="s">
        <v>99</v>
      </c>
      <c r="D1328">
        <v>10</v>
      </c>
      <c r="E1328" s="2">
        <v>1</v>
      </c>
      <c r="F1328" s="2">
        <v>-414.95</v>
      </c>
      <c r="G1328" s="2">
        <v>414.55</v>
      </c>
      <c r="H1328" s="2">
        <v>-171.79</v>
      </c>
      <c r="I1328" s="2">
        <v>167.92</v>
      </c>
      <c r="J1328" s="2">
        <v>2.9</v>
      </c>
      <c r="K1328" s="2">
        <v>-4.32</v>
      </c>
      <c r="L1328" s="2">
        <v>5.2</v>
      </c>
      <c r="M1328" s="2">
        <v>-0.64</v>
      </c>
      <c r="N1328" t="s">
        <v>230</v>
      </c>
      <c r="O1328">
        <v>44</v>
      </c>
    </row>
    <row r="1329" spans="1:15">
      <c r="A1329" s="1">
        <v>46000</v>
      </c>
      <c r="B1329">
        <v>10</v>
      </c>
      <c r="C1329" t="s">
        <v>99</v>
      </c>
      <c r="D1329">
        <v>10</v>
      </c>
      <c r="E1329" s="2">
        <v>1.5</v>
      </c>
      <c r="F1329" s="2">
        <v>-376.21</v>
      </c>
      <c r="G1329" s="2">
        <v>379.16</v>
      </c>
      <c r="H1329" s="2">
        <v>-179.1</v>
      </c>
      <c r="I1329" s="2">
        <v>161.79</v>
      </c>
      <c r="J1329" s="2">
        <v>3.03</v>
      </c>
      <c r="K1329" s="2">
        <v>-4.26</v>
      </c>
      <c r="L1329" s="2">
        <v>5.22</v>
      </c>
      <c r="M1329" s="2">
        <v>0.03</v>
      </c>
      <c r="N1329" t="s">
        <v>230</v>
      </c>
      <c r="O1329">
        <v>44</v>
      </c>
    </row>
    <row r="1330" spans="1:15">
      <c r="A1330" s="1">
        <v>46000</v>
      </c>
      <c r="B1330">
        <v>10</v>
      </c>
      <c r="C1330" t="s">
        <v>99</v>
      </c>
      <c r="D1330">
        <v>10</v>
      </c>
      <c r="E1330" s="2">
        <v>2</v>
      </c>
      <c r="F1330" s="2">
        <v>-331.52</v>
      </c>
      <c r="G1330" s="2">
        <v>338.97</v>
      </c>
      <c r="H1330" s="2">
        <v>-209.83</v>
      </c>
      <c r="I1330" s="2">
        <v>204.48</v>
      </c>
      <c r="J1330" s="2">
        <v>3.18</v>
      </c>
      <c r="K1330" s="2">
        <v>-4.5199999999999996</v>
      </c>
      <c r="L1330" s="2">
        <v>5.53</v>
      </c>
      <c r="M1330" s="2">
        <v>0.34</v>
      </c>
      <c r="N1330" t="s">
        <v>230</v>
      </c>
      <c r="O1330">
        <v>44</v>
      </c>
    </row>
    <row r="1331" spans="1:15">
      <c r="A1331" s="1">
        <v>46000</v>
      </c>
      <c r="B1331">
        <v>10</v>
      </c>
      <c r="C1331" t="s">
        <v>99</v>
      </c>
      <c r="D1331">
        <v>10</v>
      </c>
      <c r="E1331" s="2">
        <v>2.5</v>
      </c>
      <c r="F1331" s="2">
        <v>-306.47000000000003</v>
      </c>
      <c r="G1331" s="2">
        <v>312.14</v>
      </c>
      <c r="H1331" s="2">
        <v>-193.56</v>
      </c>
      <c r="I1331" s="2">
        <v>194.85</v>
      </c>
      <c r="J1331" s="2">
        <v>3.27</v>
      </c>
      <c r="K1331" s="2">
        <v>-4.37</v>
      </c>
      <c r="L1331" s="2">
        <v>5.46</v>
      </c>
      <c r="M1331" s="2">
        <v>0.33</v>
      </c>
      <c r="N1331" t="s">
        <v>230</v>
      </c>
      <c r="O1331">
        <v>44</v>
      </c>
    </row>
    <row r="1332" spans="1:15">
      <c r="A1332" s="1">
        <v>46000</v>
      </c>
      <c r="B1332">
        <v>10</v>
      </c>
      <c r="C1332" t="s">
        <v>99</v>
      </c>
      <c r="D1332">
        <v>10</v>
      </c>
      <c r="E1332" s="2">
        <v>3</v>
      </c>
      <c r="F1332" s="2">
        <v>-268.5</v>
      </c>
      <c r="G1332" s="2">
        <v>275.01</v>
      </c>
      <c r="H1332" s="2">
        <v>-140.31</v>
      </c>
      <c r="I1332" s="2">
        <v>130.32</v>
      </c>
      <c r="J1332" s="2">
        <v>3.31</v>
      </c>
      <c r="K1332" s="2">
        <v>-4.47</v>
      </c>
      <c r="L1332" s="2">
        <v>5.57</v>
      </c>
      <c r="M1332" s="2">
        <v>0.28999999999999998</v>
      </c>
      <c r="N1332" t="s">
        <v>230</v>
      </c>
      <c r="O1332">
        <v>44</v>
      </c>
    </row>
    <row r="1333" spans="1:15">
      <c r="A1333" s="1">
        <v>46000</v>
      </c>
      <c r="B1333">
        <v>10</v>
      </c>
      <c r="C1333" t="s">
        <v>99</v>
      </c>
      <c r="D1333">
        <v>10</v>
      </c>
      <c r="E1333" s="2">
        <v>3.5</v>
      </c>
      <c r="F1333" s="2">
        <v>-205.34</v>
      </c>
      <c r="G1333" s="2">
        <v>214.37</v>
      </c>
      <c r="H1333" s="2">
        <v>-81.430000000000007</v>
      </c>
      <c r="I1333" s="2">
        <v>78.239999999999995</v>
      </c>
      <c r="J1333" s="2">
        <v>3.39</v>
      </c>
      <c r="K1333" s="2">
        <v>-4.41</v>
      </c>
      <c r="L1333" s="2">
        <v>5.56</v>
      </c>
      <c r="M1333" s="2">
        <v>0.36</v>
      </c>
      <c r="N1333" t="s">
        <v>230</v>
      </c>
      <c r="O1333">
        <v>44</v>
      </c>
    </row>
    <row r="1334" spans="1:15">
      <c r="A1334" s="1">
        <v>46000</v>
      </c>
      <c r="B1334">
        <v>10</v>
      </c>
      <c r="C1334" t="s">
        <v>99</v>
      </c>
      <c r="D1334">
        <v>10</v>
      </c>
      <c r="E1334" s="2">
        <v>4</v>
      </c>
      <c r="F1334" s="2">
        <v>-148.52000000000001</v>
      </c>
      <c r="G1334" s="2">
        <v>156.91999999999999</v>
      </c>
      <c r="H1334" s="2">
        <v>-68.099999999999994</v>
      </c>
      <c r="I1334" s="2">
        <v>68.72</v>
      </c>
      <c r="J1334" s="2">
        <v>3.52</v>
      </c>
      <c r="K1334" s="2">
        <v>-4.24</v>
      </c>
      <c r="L1334" s="2">
        <v>5.51</v>
      </c>
      <c r="M1334" s="2">
        <v>0.45</v>
      </c>
      <c r="N1334" t="s">
        <v>230</v>
      </c>
      <c r="O1334">
        <v>44</v>
      </c>
    </row>
    <row r="1335" spans="1:15">
      <c r="A1335" s="1">
        <v>46000</v>
      </c>
      <c r="B1335">
        <v>10</v>
      </c>
      <c r="C1335" t="s">
        <v>99</v>
      </c>
      <c r="D1335">
        <v>10</v>
      </c>
      <c r="E1335" s="2">
        <v>4.5</v>
      </c>
      <c r="F1335" s="2">
        <v>-100.44</v>
      </c>
      <c r="G1335" s="2">
        <v>105.5</v>
      </c>
      <c r="H1335" s="2">
        <v>-120.84</v>
      </c>
      <c r="I1335" s="2">
        <v>129.68</v>
      </c>
      <c r="J1335" s="2">
        <v>3.69</v>
      </c>
      <c r="K1335" s="2">
        <v>-4.2699999999999996</v>
      </c>
      <c r="L1335" s="2">
        <v>5.65</v>
      </c>
      <c r="M1335" s="2">
        <v>0.49</v>
      </c>
      <c r="N1335" t="s">
        <v>230</v>
      </c>
      <c r="O1335">
        <v>44</v>
      </c>
    </row>
    <row r="1336" spans="1:15">
      <c r="A1336" s="1">
        <v>46000</v>
      </c>
      <c r="B1336">
        <v>10</v>
      </c>
      <c r="C1336" t="s">
        <v>99</v>
      </c>
      <c r="D1336">
        <v>10</v>
      </c>
      <c r="E1336" s="2">
        <v>5</v>
      </c>
      <c r="F1336" s="2">
        <v>-26.04</v>
      </c>
      <c r="G1336" s="2">
        <v>32.76</v>
      </c>
      <c r="H1336" s="2">
        <v>-158.86000000000001</v>
      </c>
      <c r="I1336" s="2">
        <v>171.85</v>
      </c>
      <c r="J1336" s="2">
        <v>3.87</v>
      </c>
      <c r="K1336" s="2">
        <v>-4.49</v>
      </c>
      <c r="L1336" s="2">
        <v>5.92</v>
      </c>
      <c r="M1336" s="2">
        <v>0.57999999999999996</v>
      </c>
      <c r="N1336" t="s">
        <v>230</v>
      </c>
      <c r="O1336">
        <v>44</v>
      </c>
    </row>
    <row r="1337" spans="1:15">
      <c r="A1337" s="1">
        <v>46000</v>
      </c>
      <c r="B1337">
        <v>10</v>
      </c>
      <c r="C1337" t="s">
        <v>99</v>
      </c>
      <c r="D1337">
        <v>10</v>
      </c>
      <c r="E1337" s="2">
        <v>5.5</v>
      </c>
      <c r="F1337" s="2">
        <v>41.15</v>
      </c>
      <c r="G1337" s="2">
        <v>-33.14</v>
      </c>
      <c r="H1337" s="2">
        <v>-151.36000000000001</v>
      </c>
      <c r="I1337" s="2">
        <v>151.46</v>
      </c>
      <c r="J1337" s="2">
        <v>4.1100000000000003</v>
      </c>
      <c r="K1337" s="2">
        <v>-4.82</v>
      </c>
      <c r="L1337" s="2">
        <v>6.34</v>
      </c>
      <c r="M1337" s="2">
        <v>0.8</v>
      </c>
      <c r="N1337" t="s">
        <v>230</v>
      </c>
      <c r="O1337">
        <v>44</v>
      </c>
    </row>
    <row r="1338" spans="1:15">
      <c r="A1338" s="1">
        <v>46000</v>
      </c>
      <c r="B1338">
        <v>10</v>
      </c>
      <c r="C1338" t="s">
        <v>99</v>
      </c>
      <c r="D1338">
        <v>10</v>
      </c>
      <c r="E1338" s="2">
        <v>6</v>
      </c>
      <c r="F1338" s="2">
        <v>75.78</v>
      </c>
      <c r="G1338" s="2">
        <v>-69.3</v>
      </c>
      <c r="H1338" s="2">
        <v>-183.07</v>
      </c>
      <c r="I1338" s="2">
        <v>181.57</v>
      </c>
      <c r="J1338" s="2">
        <v>4.3600000000000003</v>
      </c>
      <c r="K1338" s="2">
        <v>-4.91</v>
      </c>
      <c r="L1338" s="2">
        <v>6.57</v>
      </c>
      <c r="M1338" s="2">
        <v>0.83</v>
      </c>
      <c r="N1338" t="s">
        <v>230</v>
      </c>
      <c r="O1338">
        <v>44</v>
      </c>
    </row>
    <row r="1339" spans="1:15">
      <c r="A1339" s="1">
        <v>46000</v>
      </c>
      <c r="B1339">
        <v>10</v>
      </c>
      <c r="C1339" t="s">
        <v>99</v>
      </c>
      <c r="D1339">
        <v>10</v>
      </c>
      <c r="E1339" s="2">
        <v>6.5</v>
      </c>
      <c r="F1339" s="2">
        <v>180.4</v>
      </c>
      <c r="G1339" s="2">
        <v>-172.96</v>
      </c>
      <c r="H1339" s="2">
        <v>-177.95</v>
      </c>
      <c r="I1339" s="2">
        <v>170.24</v>
      </c>
      <c r="J1339" s="2">
        <v>4.5199999999999996</v>
      </c>
      <c r="K1339" s="2">
        <v>-4.78</v>
      </c>
      <c r="L1339" s="2">
        <v>6.59</v>
      </c>
      <c r="M1339" s="2">
        <v>0.77</v>
      </c>
      <c r="N1339" t="s">
        <v>230</v>
      </c>
      <c r="O1339">
        <v>44</v>
      </c>
    </row>
    <row r="1340" spans="1:15">
      <c r="A1340" s="1">
        <v>46000</v>
      </c>
      <c r="B1340">
        <v>10</v>
      </c>
      <c r="C1340" t="s">
        <v>99</v>
      </c>
      <c r="D1340">
        <v>10</v>
      </c>
      <c r="E1340" s="2">
        <v>7</v>
      </c>
      <c r="F1340" s="2">
        <v>283.45</v>
      </c>
      <c r="G1340" s="2">
        <v>-276.89999999999998</v>
      </c>
      <c r="H1340" s="2">
        <v>-182.77</v>
      </c>
      <c r="I1340" s="2">
        <v>171.66</v>
      </c>
      <c r="J1340" s="2">
        <v>4.7300000000000004</v>
      </c>
      <c r="K1340" s="2">
        <v>-4.57</v>
      </c>
      <c r="L1340" s="2">
        <v>6.58</v>
      </c>
      <c r="M1340" s="2">
        <v>0.76</v>
      </c>
      <c r="N1340" t="s">
        <v>230</v>
      </c>
      <c r="O1340">
        <v>44</v>
      </c>
    </row>
    <row r="1341" spans="1:15">
      <c r="A1341" s="1">
        <v>46000</v>
      </c>
      <c r="B1341">
        <v>10</v>
      </c>
      <c r="C1341" t="s">
        <v>99</v>
      </c>
      <c r="D1341">
        <v>10</v>
      </c>
      <c r="E1341" s="2">
        <v>7.5</v>
      </c>
      <c r="F1341" s="2">
        <v>308.52</v>
      </c>
      <c r="G1341" s="2">
        <v>-293.48</v>
      </c>
      <c r="H1341" s="2">
        <v>-168.33</v>
      </c>
      <c r="I1341" s="2">
        <v>169.71</v>
      </c>
      <c r="J1341" s="2">
        <v>4.87</v>
      </c>
      <c r="K1341" s="2">
        <v>-4.32</v>
      </c>
      <c r="L1341" s="2">
        <v>6.51</v>
      </c>
      <c r="M1341" s="2">
        <v>0.67</v>
      </c>
      <c r="N1341" t="s">
        <v>230</v>
      </c>
      <c r="O1341">
        <v>44</v>
      </c>
    </row>
    <row r="1342" spans="1:15">
      <c r="A1342" s="1">
        <v>46000</v>
      </c>
      <c r="B1342">
        <v>10</v>
      </c>
      <c r="C1342" t="s">
        <v>99</v>
      </c>
      <c r="D1342">
        <v>10</v>
      </c>
      <c r="E1342" s="2">
        <v>8</v>
      </c>
      <c r="F1342" s="2">
        <v>272.81</v>
      </c>
      <c r="G1342" s="2">
        <v>-271.10000000000002</v>
      </c>
      <c r="H1342" s="2">
        <v>-70.709999999999994</v>
      </c>
      <c r="I1342" s="2">
        <v>73.72</v>
      </c>
      <c r="J1342" s="2">
        <v>5.0999999999999996</v>
      </c>
      <c r="K1342" s="2">
        <v>-4.4400000000000004</v>
      </c>
      <c r="L1342" s="2">
        <v>6.76</v>
      </c>
      <c r="M1342" s="2">
        <v>0.54</v>
      </c>
      <c r="N1342" t="s">
        <v>230</v>
      </c>
      <c r="O1342">
        <v>44</v>
      </c>
    </row>
    <row r="1343" spans="1:15">
      <c r="A1343" s="1">
        <v>46000</v>
      </c>
      <c r="B1343">
        <v>10</v>
      </c>
      <c r="C1343" t="s">
        <v>99</v>
      </c>
      <c r="D1343">
        <v>10</v>
      </c>
      <c r="E1343" s="2">
        <v>8.5</v>
      </c>
      <c r="F1343" s="2">
        <v>338.41</v>
      </c>
      <c r="G1343" s="2">
        <v>-328.81</v>
      </c>
      <c r="H1343" s="2">
        <v>-9.99</v>
      </c>
      <c r="I1343" s="2">
        <v>20.059999999999999</v>
      </c>
      <c r="J1343" s="2">
        <v>5.28</v>
      </c>
      <c r="K1343" s="2">
        <v>-4.47</v>
      </c>
      <c r="L1343" s="2">
        <v>6.92</v>
      </c>
      <c r="M1343" s="2">
        <v>0.54</v>
      </c>
      <c r="N1343" t="s">
        <v>230</v>
      </c>
      <c r="O1343">
        <v>44</v>
      </c>
    </row>
    <row r="1344" spans="1:15">
      <c r="A1344" s="1">
        <v>46000</v>
      </c>
      <c r="B1344">
        <v>10</v>
      </c>
      <c r="C1344" t="s">
        <v>99</v>
      </c>
      <c r="D1344">
        <v>10</v>
      </c>
      <c r="E1344" s="2">
        <v>9</v>
      </c>
      <c r="F1344" s="2">
        <v>325.37</v>
      </c>
      <c r="G1344" s="2">
        <v>-318.16000000000003</v>
      </c>
      <c r="H1344" s="2">
        <v>42.99</v>
      </c>
      <c r="I1344" s="2">
        <v>-33.81</v>
      </c>
      <c r="J1344" s="2">
        <v>5.35</v>
      </c>
      <c r="K1344" s="2">
        <v>-4.7300000000000004</v>
      </c>
      <c r="L1344" s="2">
        <v>7.14</v>
      </c>
      <c r="M1344" s="2">
        <v>0.57999999999999996</v>
      </c>
      <c r="N1344" t="s">
        <v>230</v>
      </c>
      <c r="O1344">
        <v>44</v>
      </c>
    </row>
    <row r="1345" spans="1:15">
      <c r="A1345" s="1">
        <v>46000</v>
      </c>
      <c r="B1345">
        <v>10</v>
      </c>
      <c r="C1345" t="s">
        <v>99</v>
      </c>
      <c r="D1345">
        <v>10</v>
      </c>
      <c r="E1345" s="2">
        <v>9.5</v>
      </c>
      <c r="F1345" s="2">
        <v>214.23</v>
      </c>
      <c r="G1345" s="2">
        <v>-206.19</v>
      </c>
      <c r="H1345" s="2">
        <v>105.82</v>
      </c>
      <c r="I1345" s="2">
        <v>-125.95</v>
      </c>
      <c r="J1345" s="2">
        <v>5.61</v>
      </c>
      <c r="K1345" s="2">
        <v>-5.16</v>
      </c>
      <c r="L1345" s="2">
        <v>7.62</v>
      </c>
      <c r="M1345" s="2">
        <v>0.63</v>
      </c>
      <c r="N1345" t="s">
        <v>230</v>
      </c>
      <c r="O1345">
        <v>44</v>
      </c>
    </row>
    <row r="1346" spans="1:15">
      <c r="A1346" s="1">
        <v>46000</v>
      </c>
      <c r="B1346">
        <v>10</v>
      </c>
      <c r="C1346" t="s">
        <v>99</v>
      </c>
      <c r="D1346">
        <v>10</v>
      </c>
      <c r="E1346" s="2">
        <v>10</v>
      </c>
      <c r="F1346" s="2">
        <v>71.2</v>
      </c>
      <c r="G1346" s="2">
        <v>-54.74</v>
      </c>
      <c r="H1346" s="2">
        <v>146.06</v>
      </c>
      <c r="I1346" s="2">
        <v>-146.03</v>
      </c>
      <c r="J1346" s="2">
        <v>5.94</v>
      </c>
      <c r="K1346" s="2">
        <v>-5.21</v>
      </c>
      <c r="L1346" s="2">
        <v>7.9</v>
      </c>
      <c r="M1346" s="2">
        <v>0.7</v>
      </c>
      <c r="N1346" t="s">
        <v>230</v>
      </c>
      <c r="O1346">
        <v>44</v>
      </c>
    </row>
    <row r="1347" spans="1:15">
      <c r="A1347" s="1">
        <v>46000</v>
      </c>
      <c r="B1347">
        <v>10</v>
      </c>
      <c r="C1347" t="s">
        <v>99</v>
      </c>
      <c r="D1347">
        <v>10</v>
      </c>
      <c r="E1347" s="2">
        <v>10.5</v>
      </c>
      <c r="F1347" s="2">
        <v>87.95</v>
      </c>
      <c r="G1347" s="2">
        <v>-82.05</v>
      </c>
      <c r="H1347" s="2">
        <v>75.099999999999994</v>
      </c>
      <c r="I1347" s="2">
        <v>-74.59</v>
      </c>
      <c r="J1347" s="2">
        <v>6.15</v>
      </c>
      <c r="K1347" s="2">
        <v>-5.45</v>
      </c>
      <c r="L1347" s="2">
        <v>8.2200000000000006</v>
      </c>
      <c r="M1347" s="2">
        <v>0.69</v>
      </c>
      <c r="N1347" t="s">
        <v>230</v>
      </c>
      <c r="O1347">
        <v>44</v>
      </c>
    </row>
    <row r="1348" spans="1:15">
      <c r="A1348" s="1">
        <v>46000</v>
      </c>
      <c r="B1348">
        <v>10</v>
      </c>
      <c r="C1348" t="s">
        <v>99</v>
      </c>
      <c r="D1348">
        <v>10</v>
      </c>
      <c r="E1348" s="2">
        <v>11</v>
      </c>
      <c r="F1348" s="2">
        <v>19.79</v>
      </c>
      <c r="G1348" s="2">
        <v>-10.24</v>
      </c>
      <c r="H1348" s="2">
        <v>31.85</v>
      </c>
      <c r="I1348" s="2">
        <v>-40.5</v>
      </c>
      <c r="J1348" s="2">
        <v>6.37</v>
      </c>
      <c r="K1348" s="2">
        <v>-5.54</v>
      </c>
      <c r="L1348" s="2">
        <v>8.44</v>
      </c>
      <c r="M1348" s="2">
        <v>0.74</v>
      </c>
      <c r="N1348" t="s">
        <v>230</v>
      </c>
      <c r="O1348">
        <v>44</v>
      </c>
    </row>
    <row r="1349" spans="1:15">
      <c r="A1349" s="1">
        <v>46000</v>
      </c>
      <c r="B1349">
        <v>10</v>
      </c>
      <c r="C1349" t="s">
        <v>99</v>
      </c>
      <c r="D1349">
        <v>10</v>
      </c>
      <c r="E1349" s="2">
        <v>11.5</v>
      </c>
      <c r="F1349" s="2">
        <v>-63.04</v>
      </c>
      <c r="G1349" s="2">
        <v>66.64</v>
      </c>
      <c r="H1349" s="2">
        <v>9.82</v>
      </c>
      <c r="I1349" s="2">
        <v>-16.239999999999998</v>
      </c>
      <c r="J1349" s="2">
        <v>6.53</v>
      </c>
      <c r="K1349" s="2">
        <v>-5.63</v>
      </c>
      <c r="L1349" s="2">
        <v>8.6199999999999992</v>
      </c>
      <c r="M1349" s="2">
        <v>0.7</v>
      </c>
      <c r="N1349" t="s">
        <v>230</v>
      </c>
      <c r="O1349">
        <v>44</v>
      </c>
    </row>
    <row r="1350" spans="1:15">
      <c r="A1350" s="1">
        <v>46000</v>
      </c>
      <c r="B1350">
        <v>10</v>
      </c>
      <c r="C1350" t="s">
        <v>99</v>
      </c>
      <c r="D1350">
        <v>10</v>
      </c>
      <c r="E1350" s="2">
        <v>12</v>
      </c>
      <c r="F1350" s="2">
        <v>-78.94</v>
      </c>
      <c r="G1350" s="2">
        <v>89.99</v>
      </c>
      <c r="H1350" s="2">
        <v>24.49</v>
      </c>
      <c r="I1350" s="2">
        <v>-28.06</v>
      </c>
      <c r="J1350" s="2">
        <v>6.49</v>
      </c>
      <c r="K1350" s="2">
        <v>-5.45</v>
      </c>
      <c r="L1350" s="2">
        <v>8.4700000000000006</v>
      </c>
      <c r="M1350" s="2">
        <v>0.77</v>
      </c>
      <c r="N1350" t="s">
        <v>230</v>
      </c>
      <c r="O1350">
        <v>44</v>
      </c>
    </row>
    <row r="1351" spans="1:15">
      <c r="A1351" s="1">
        <v>46000</v>
      </c>
      <c r="B1351">
        <v>10</v>
      </c>
      <c r="C1351" t="s">
        <v>99</v>
      </c>
      <c r="D1351">
        <v>10</v>
      </c>
      <c r="E1351" s="2">
        <v>12.5</v>
      </c>
      <c r="F1351" s="2">
        <v>-48.26</v>
      </c>
      <c r="G1351" s="2">
        <v>57.69</v>
      </c>
      <c r="H1351" s="2">
        <v>21.1</v>
      </c>
      <c r="I1351" s="2">
        <v>-23.95</v>
      </c>
      <c r="J1351" s="2">
        <v>6.35</v>
      </c>
      <c r="K1351" s="2">
        <v>-5.19</v>
      </c>
      <c r="L1351" s="2">
        <v>8.1999999999999993</v>
      </c>
      <c r="M1351" s="2">
        <v>0.77</v>
      </c>
      <c r="N1351" t="s">
        <v>230</v>
      </c>
      <c r="O1351">
        <v>44</v>
      </c>
    </row>
    <row r="1352" spans="1:15">
      <c r="A1352" s="1">
        <v>46000</v>
      </c>
      <c r="B1352">
        <v>10</v>
      </c>
      <c r="C1352" t="s">
        <v>99</v>
      </c>
      <c r="D1352">
        <v>10</v>
      </c>
      <c r="E1352" s="2">
        <v>13</v>
      </c>
      <c r="F1352" s="2">
        <v>-102.99</v>
      </c>
      <c r="G1352" s="2">
        <v>110.31</v>
      </c>
      <c r="H1352" s="2">
        <v>-22.52</v>
      </c>
      <c r="I1352" s="2">
        <v>33.96</v>
      </c>
      <c r="J1352" s="2">
        <v>6.06</v>
      </c>
      <c r="K1352" s="2">
        <v>-4.97</v>
      </c>
      <c r="L1352" s="2">
        <v>7.84</v>
      </c>
      <c r="M1352" s="2">
        <v>0.76</v>
      </c>
      <c r="N1352" t="s">
        <v>230</v>
      </c>
      <c r="O1352">
        <v>44</v>
      </c>
    </row>
    <row r="1353" spans="1:15">
      <c r="A1353" s="1">
        <v>46000</v>
      </c>
      <c r="B1353">
        <v>10</v>
      </c>
      <c r="C1353" t="s">
        <v>99</v>
      </c>
      <c r="D1353">
        <v>10</v>
      </c>
      <c r="E1353" s="2">
        <v>13.5</v>
      </c>
      <c r="F1353" s="2">
        <v>-267.97000000000003</v>
      </c>
      <c r="G1353" s="2">
        <v>277.72000000000003</v>
      </c>
      <c r="H1353" s="2">
        <v>-179.14</v>
      </c>
      <c r="I1353" s="2">
        <v>174.48</v>
      </c>
      <c r="J1353" s="2">
        <v>5.88</v>
      </c>
      <c r="K1353" s="2">
        <v>-4.72</v>
      </c>
      <c r="L1353" s="2">
        <v>7.54</v>
      </c>
      <c r="M1353" s="2">
        <v>0.68</v>
      </c>
      <c r="N1353" t="s">
        <v>230</v>
      </c>
      <c r="O1353">
        <v>44</v>
      </c>
    </row>
    <row r="1354" spans="1:15">
      <c r="A1354" s="1">
        <v>46000</v>
      </c>
      <c r="B1354">
        <v>10</v>
      </c>
      <c r="C1354" t="s">
        <v>99</v>
      </c>
      <c r="D1354">
        <v>10</v>
      </c>
      <c r="E1354" s="2">
        <v>14</v>
      </c>
      <c r="F1354" s="2">
        <v>-294.92</v>
      </c>
      <c r="G1354" s="2">
        <v>304.54000000000002</v>
      </c>
      <c r="H1354" s="2">
        <v>-296.81</v>
      </c>
      <c r="I1354" s="2">
        <v>292.32</v>
      </c>
      <c r="J1354" s="2">
        <v>5.75</v>
      </c>
      <c r="K1354" s="2">
        <v>-4.6500000000000004</v>
      </c>
      <c r="L1354" s="2">
        <v>7.39</v>
      </c>
      <c r="M1354" s="2">
        <v>0.75</v>
      </c>
      <c r="N1354" t="s">
        <v>230</v>
      </c>
      <c r="O1354">
        <v>44</v>
      </c>
    </row>
    <row r="1355" spans="1:15">
      <c r="A1355" s="1">
        <v>46000</v>
      </c>
      <c r="B1355">
        <v>10</v>
      </c>
      <c r="C1355" t="s">
        <v>99</v>
      </c>
      <c r="D1355">
        <v>10</v>
      </c>
      <c r="E1355" s="2">
        <v>14.5</v>
      </c>
      <c r="F1355" s="2">
        <v>-269.27999999999997</v>
      </c>
      <c r="G1355" s="2">
        <v>278.85000000000002</v>
      </c>
      <c r="H1355" s="2">
        <v>-254.36</v>
      </c>
      <c r="I1355" s="2">
        <v>250.86</v>
      </c>
      <c r="J1355" s="2">
        <v>5.7</v>
      </c>
      <c r="K1355" s="2">
        <v>-4.41</v>
      </c>
      <c r="L1355" s="2">
        <v>7.21</v>
      </c>
      <c r="M1355" s="2">
        <v>0.72</v>
      </c>
      <c r="N1355" t="s">
        <v>230</v>
      </c>
      <c r="O1355">
        <v>44</v>
      </c>
    </row>
    <row r="1356" spans="1:15">
      <c r="A1356" s="1">
        <v>46000</v>
      </c>
      <c r="B1356">
        <v>10</v>
      </c>
      <c r="C1356" t="s">
        <v>99</v>
      </c>
      <c r="D1356">
        <v>10</v>
      </c>
      <c r="E1356" s="2">
        <v>15</v>
      </c>
      <c r="F1356" s="2">
        <v>-234.91</v>
      </c>
      <c r="G1356" s="2">
        <v>246.49</v>
      </c>
      <c r="H1356" s="2">
        <v>-195.57</v>
      </c>
      <c r="I1356" s="2">
        <v>188.08</v>
      </c>
      <c r="J1356" s="2">
        <v>5.42</v>
      </c>
      <c r="K1356" s="2">
        <v>-4.29</v>
      </c>
      <c r="L1356" s="2">
        <v>6.91</v>
      </c>
      <c r="M1356" s="2">
        <v>0.71</v>
      </c>
      <c r="N1356" t="s">
        <v>230</v>
      </c>
      <c r="O1356">
        <v>44</v>
      </c>
    </row>
    <row r="1357" spans="1:15">
      <c r="A1357" s="1">
        <v>46000</v>
      </c>
      <c r="B1357">
        <v>10</v>
      </c>
      <c r="C1357" t="s">
        <v>99</v>
      </c>
      <c r="D1357">
        <v>10</v>
      </c>
      <c r="E1357" s="2">
        <v>15.5</v>
      </c>
      <c r="F1357" s="2">
        <v>-165.86</v>
      </c>
      <c r="G1357" s="2">
        <v>171.06</v>
      </c>
      <c r="H1357" s="2">
        <v>-186.57</v>
      </c>
      <c r="I1357" s="2">
        <v>174.24</v>
      </c>
      <c r="J1357" s="2">
        <v>5.09</v>
      </c>
      <c r="K1357" s="2">
        <v>-4.04</v>
      </c>
      <c r="L1357" s="2">
        <v>6.5</v>
      </c>
      <c r="M1357" s="2">
        <v>0.72</v>
      </c>
      <c r="N1357" t="s">
        <v>230</v>
      </c>
      <c r="O1357">
        <v>44</v>
      </c>
    </row>
    <row r="1358" spans="1:15">
      <c r="A1358" s="1">
        <v>46000</v>
      </c>
      <c r="B1358">
        <v>10</v>
      </c>
      <c r="C1358" t="s">
        <v>99</v>
      </c>
      <c r="D1358">
        <v>10</v>
      </c>
      <c r="E1358" s="2">
        <v>16</v>
      </c>
      <c r="F1358" s="2">
        <v>-79.099999999999994</v>
      </c>
      <c r="G1358" s="2">
        <v>86.55</v>
      </c>
      <c r="H1358" s="2">
        <v>-166.17</v>
      </c>
      <c r="I1358" s="2">
        <v>168.32</v>
      </c>
      <c r="J1358" s="2">
        <v>4.9000000000000004</v>
      </c>
      <c r="K1358" s="2">
        <v>-3.85</v>
      </c>
      <c r="L1358" s="2">
        <v>6.23</v>
      </c>
      <c r="M1358" s="2">
        <v>0.72</v>
      </c>
      <c r="N1358" t="s">
        <v>230</v>
      </c>
      <c r="O1358">
        <v>44</v>
      </c>
    </row>
    <row r="1359" spans="1:15">
      <c r="A1359" s="1">
        <v>46000</v>
      </c>
      <c r="B1359">
        <v>10</v>
      </c>
      <c r="C1359" t="s">
        <v>99</v>
      </c>
      <c r="D1359">
        <v>10</v>
      </c>
      <c r="E1359" s="2">
        <v>16.5</v>
      </c>
      <c r="F1359" s="2">
        <v>104.7</v>
      </c>
      <c r="G1359" s="2">
        <v>-97.82</v>
      </c>
      <c r="H1359" s="2">
        <v>-109.06</v>
      </c>
      <c r="I1359" s="2">
        <v>124.08</v>
      </c>
      <c r="J1359" s="2">
        <v>4.72</v>
      </c>
      <c r="K1359" s="2">
        <v>-3.75</v>
      </c>
      <c r="L1359" s="2">
        <v>6.03</v>
      </c>
      <c r="M1359" s="2">
        <v>0.71</v>
      </c>
      <c r="N1359" t="s">
        <v>230</v>
      </c>
      <c r="O1359">
        <v>44</v>
      </c>
    </row>
    <row r="1360" spans="1:15">
      <c r="A1360" s="1">
        <v>46000</v>
      </c>
      <c r="B1360">
        <v>10</v>
      </c>
      <c r="C1360" t="s">
        <v>99</v>
      </c>
      <c r="D1360">
        <v>10</v>
      </c>
      <c r="E1360" s="2">
        <v>17</v>
      </c>
      <c r="F1360" s="2">
        <v>261.95999999999998</v>
      </c>
      <c r="G1360" s="2">
        <v>-254.22</v>
      </c>
      <c r="H1360" s="2">
        <v>-60.57</v>
      </c>
      <c r="I1360" s="2">
        <v>51.64</v>
      </c>
      <c r="J1360" s="2">
        <v>4.53</v>
      </c>
      <c r="K1360" s="2">
        <v>-3.91</v>
      </c>
      <c r="L1360" s="2">
        <v>5.98</v>
      </c>
      <c r="M1360" s="2">
        <v>0.79</v>
      </c>
      <c r="N1360" t="s">
        <v>230</v>
      </c>
      <c r="O1360">
        <v>44</v>
      </c>
    </row>
    <row r="1361" spans="1:15">
      <c r="A1361" s="1">
        <v>46000</v>
      </c>
      <c r="B1361">
        <v>10</v>
      </c>
      <c r="C1361" t="s">
        <v>99</v>
      </c>
      <c r="D1361">
        <v>10</v>
      </c>
      <c r="E1361" s="2">
        <v>17.5</v>
      </c>
      <c r="F1361" s="2">
        <v>314.83999999999997</v>
      </c>
      <c r="G1361" s="2">
        <v>-308.89999999999998</v>
      </c>
      <c r="H1361" s="2">
        <v>-61.91</v>
      </c>
      <c r="I1361" s="2">
        <v>59.1</v>
      </c>
      <c r="J1361" s="2">
        <v>4.24</v>
      </c>
      <c r="K1361" s="2">
        <v>-3.61</v>
      </c>
      <c r="L1361" s="2">
        <v>5.57</v>
      </c>
      <c r="M1361" s="2">
        <v>0.69</v>
      </c>
      <c r="N1361" t="s">
        <v>230</v>
      </c>
      <c r="O1361">
        <v>44</v>
      </c>
    </row>
    <row r="1362" spans="1:15">
      <c r="A1362" s="1">
        <v>46000</v>
      </c>
      <c r="B1362">
        <v>10</v>
      </c>
      <c r="C1362" t="s">
        <v>99</v>
      </c>
      <c r="D1362">
        <v>10</v>
      </c>
      <c r="E1362" s="2">
        <v>18</v>
      </c>
      <c r="F1362" s="2">
        <v>389.79</v>
      </c>
      <c r="G1362" s="2">
        <v>-381.55</v>
      </c>
      <c r="H1362" s="2">
        <v>-100.24</v>
      </c>
      <c r="I1362" s="2">
        <v>97.69</v>
      </c>
      <c r="J1362" s="2">
        <v>3.96</v>
      </c>
      <c r="K1362" s="2">
        <v>-3.28</v>
      </c>
      <c r="L1362" s="2">
        <v>5.14</v>
      </c>
      <c r="M1362" s="2">
        <v>0.6</v>
      </c>
      <c r="N1362" t="s">
        <v>230</v>
      </c>
      <c r="O1362">
        <v>44</v>
      </c>
    </row>
    <row r="1363" spans="1:15">
      <c r="A1363" s="1">
        <v>46000</v>
      </c>
      <c r="B1363">
        <v>10</v>
      </c>
      <c r="C1363" t="s">
        <v>99</v>
      </c>
      <c r="D1363">
        <v>10</v>
      </c>
      <c r="E1363" s="2">
        <v>18.5</v>
      </c>
      <c r="F1363" s="2">
        <v>433.93</v>
      </c>
      <c r="G1363" s="2">
        <v>-426.57</v>
      </c>
      <c r="H1363" s="2">
        <v>-106.61</v>
      </c>
      <c r="I1363" s="2">
        <v>113.73</v>
      </c>
      <c r="J1363" s="2">
        <v>3.82</v>
      </c>
      <c r="K1363" s="2">
        <v>-3.18</v>
      </c>
      <c r="L1363" s="2">
        <v>4.97</v>
      </c>
      <c r="M1363" s="2">
        <v>0.67</v>
      </c>
      <c r="N1363" t="s">
        <v>230</v>
      </c>
      <c r="O1363">
        <v>44</v>
      </c>
    </row>
    <row r="1364" spans="1:15">
      <c r="A1364" s="1">
        <v>46000</v>
      </c>
      <c r="B1364">
        <v>10</v>
      </c>
      <c r="C1364" t="s">
        <v>99</v>
      </c>
      <c r="D1364">
        <v>10</v>
      </c>
      <c r="E1364" s="2">
        <v>19</v>
      </c>
      <c r="F1364" s="2">
        <v>432.99</v>
      </c>
      <c r="G1364" s="2">
        <v>-428.06</v>
      </c>
      <c r="H1364" s="2">
        <v>-104.81</v>
      </c>
      <c r="I1364" s="2">
        <v>105.3</v>
      </c>
      <c r="J1364" s="2">
        <v>3.69</v>
      </c>
      <c r="K1364" s="2">
        <v>-3.02</v>
      </c>
      <c r="L1364" s="2">
        <v>4.7699999999999996</v>
      </c>
      <c r="M1364" s="2">
        <v>0.69</v>
      </c>
      <c r="N1364" t="s">
        <v>230</v>
      </c>
      <c r="O1364">
        <v>44</v>
      </c>
    </row>
    <row r="1365" spans="1:15">
      <c r="A1365" s="1">
        <v>46000</v>
      </c>
      <c r="B1365">
        <v>10</v>
      </c>
      <c r="C1365" t="s">
        <v>99</v>
      </c>
      <c r="D1365">
        <v>10</v>
      </c>
      <c r="E1365" s="2">
        <v>19.5</v>
      </c>
      <c r="F1365" s="2">
        <v>319.14</v>
      </c>
      <c r="G1365" s="2">
        <v>-318.92</v>
      </c>
      <c r="H1365" s="2">
        <v>-44.03</v>
      </c>
      <c r="I1365" s="2">
        <v>51.81</v>
      </c>
      <c r="J1365" s="2">
        <v>3.32</v>
      </c>
      <c r="K1365" s="2">
        <v>-2.66</v>
      </c>
      <c r="L1365" s="2">
        <v>4.26</v>
      </c>
      <c r="M1365" s="2">
        <v>0.61</v>
      </c>
      <c r="N1365" t="s">
        <v>230</v>
      </c>
      <c r="O1365">
        <v>44</v>
      </c>
    </row>
    <row r="1366" spans="1:15">
      <c r="A1366" s="1">
        <v>46000</v>
      </c>
      <c r="B1366">
        <v>10</v>
      </c>
      <c r="C1366" t="s">
        <v>99</v>
      </c>
      <c r="D1366">
        <v>10</v>
      </c>
      <c r="E1366" s="2">
        <v>20</v>
      </c>
      <c r="F1366" s="2">
        <v>183.33</v>
      </c>
      <c r="G1366" s="2">
        <v>-176.24</v>
      </c>
      <c r="H1366" s="2">
        <v>2.46</v>
      </c>
      <c r="I1366" s="2">
        <v>6.27</v>
      </c>
      <c r="J1366" s="2">
        <v>3.14</v>
      </c>
      <c r="K1366" s="2">
        <v>-2.63</v>
      </c>
      <c r="L1366" s="2">
        <v>4.09</v>
      </c>
      <c r="M1366" s="2">
        <v>0.65</v>
      </c>
      <c r="N1366" t="s">
        <v>230</v>
      </c>
      <c r="O1366">
        <v>44</v>
      </c>
    </row>
    <row r="1367" spans="1:15">
      <c r="A1367" s="1">
        <v>46000</v>
      </c>
      <c r="B1367">
        <v>10</v>
      </c>
      <c r="C1367" t="s">
        <v>99</v>
      </c>
      <c r="D1367">
        <v>10</v>
      </c>
      <c r="E1367" s="2">
        <v>20.5</v>
      </c>
      <c r="F1367" s="2">
        <v>148.69999999999999</v>
      </c>
      <c r="G1367" s="2">
        <v>-143.16999999999999</v>
      </c>
      <c r="H1367" s="2">
        <v>-3.07</v>
      </c>
      <c r="I1367" s="2">
        <v>11.64</v>
      </c>
      <c r="J1367" s="2">
        <v>2.8</v>
      </c>
      <c r="K1367" s="2">
        <v>-2.36</v>
      </c>
      <c r="L1367" s="2">
        <v>3.67</v>
      </c>
      <c r="M1367" s="2">
        <v>0.56999999999999995</v>
      </c>
      <c r="N1367" t="s">
        <v>230</v>
      </c>
      <c r="O1367">
        <v>44</v>
      </c>
    </row>
    <row r="1368" spans="1:15">
      <c r="A1368" s="1">
        <v>46000</v>
      </c>
      <c r="B1368">
        <v>10</v>
      </c>
      <c r="C1368" t="s">
        <v>99</v>
      </c>
      <c r="D1368">
        <v>10</v>
      </c>
      <c r="E1368" s="2">
        <v>21</v>
      </c>
      <c r="F1368" s="2">
        <v>107.99</v>
      </c>
      <c r="G1368" s="2">
        <v>-100.59</v>
      </c>
      <c r="H1368" s="2">
        <v>-3.22</v>
      </c>
      <c r="I1368" s="2">
        <v>12.39</v>
      </c>
      <c r="J1368" s="2">
        <v>2.5499999999999998</v>
      </c>
      <c r="K1368" s="2">
        <v>-2.15</v>
      </c>
      <c r="L1368" s="2">
        <v>3.34</v>
      </c>
      <c r="M1368" s="2">
        <v>0.49</v>
      </c>
      <c r="N1368" t="s">
        <v>230</v>
      </c>
      <c r="O1368">
        <v>44</v>
      </c>
    </row>
    <row r="1369" spans="1:15">
      <c r="A1369" s="1">
        <v>46000</v>
      </c>
      <c r="B1369">
        <v>10</v>
      </c>
      <c r="C1369" t="s">
        <v>99</v>
      </c>
      <c r="D1369">
        <v>10</v>
      </c>
      <c r="E1369" s="2">
        <v>21.5</v>
      </c>
      <c r="F1369" s="2">
        <v>-18.47</v>
      </c>
      <c r="G1369" s="2">
        <v>26.81</v>
      </c>
      <c r="H1369" s="2">
        <v>-14.67</v>
      </c>
      <c r="I1369" s="2">
        <v>16.87</v>
      </c>
      <c r="J1369" s="2">
        <v>2.16</v>
      </c>
      <c r="K1369" s="2">
        <v>-2.14</v>
      </c>
      <c r="L1369" s="2">
        <v>3.04</v>
      </c>
      <c r="M1369" s="2">
        <v>0.41</v>
      </c>
      <c r="N1369" t="s">
        <v>230</v>
      </c>
      <c r="O1369">
        <v>44</v>
      </c>
    </row>
    <row r="1370" spans="1:15">
      <c r="A1370" s="1">
        <v>46000</v>
      </c>
      <c r="B1370">
        <v>10</v>
      </c>
      <c r="C1370" t="s">
        <v>99</v>
      </c>
      <c r="D1370">
        <v>10</v>
      </c>
      <c r="E1370" s="2">
        <v>22</v>
      </c>
      <c r="F1370" s="2">
        <v>-64.650000000000006</v>
      </c>
      <c r="G1370" s="2">
        <v>70.66</v>
      </c>
      <c r="H1370" s="2">
        <v>-3.6</v>
      </c>
      <c r="I1370" s="2">
        <v>21.99</v>
      </c>
      <c r="J1370" s="2">
        <v>1.97</v>
      </c>
      <c r="K1370" s="2">
        <v>-1.82</v>
      </c>
      <c r="L1370" s="2">
        <v>2.69</v>
      </c>
      <c r="M1370" s="2">
        <v>0.35</v>
      </c>
      <c r="N1370" t="s">
        <v>230</v>
      </c>
      <c r="O1370">
        <v>44</v>
      </c>
    </row>
    <row r="1371" spans="1:15">
      <c r="A1371" s="1">
        <v>46000</v>
      </c>
      <c r="B1371">
        <v>10</v>
      </c>
      <c r="C1371" t="s">
        <v>99</v>
      </c>
      <c r="D1371">
        <v>10</v>
      </c>
      <c r="E1371" s="2">
        <v>22.5</v>
      </c>
      <c r="F1371" s="2">
        <v>-51.97</v>
      </c>
      <c r="G1371" s="2">
        <v>60.32</v>
      </c>
      <c r="H1371" s="2">
        <v>-96.69</v>
      </c>
      <c r="I1371" s="2">
        <v>119.64</v>
      </c>
      <c r="J1371" s="2">
        <v>1.78</v>
      </c>
      <c r="K1371" s="2">
        <v>-1.67</v>
      </c>
      <c r="L1371" s="2">
        <v>2.44</v>
      </c>
      <c r="M1371" s="2">
        <v>0.3</v>
      </c>
      <c r="N1371" t="s">
        <v>230</v>
      </c>
      <c r="O1371">
        <v>44</v>
      </c>
    </row>
    <row r="1372" spans="1:15">
      <c r="A1372" s="1">
        <v>46000</v>
      </c>
      <c r="B1372">
        <v>10</v>
      </c>
      <c r="C1372" t="s">
        <v>99</v>
      </c>
      <c r="D1372">
        <v>10</v>
      </c>
      <c r="E1372" s="2">
        <v>23</v>
      </c>
      <c r="F1372" s="2">
        <v>-64.98</v>
      </c>
      <c r="G1372" s="2">
        <v>68.3</v>
      </c>
      <c r="H1372" s="2">
        <v>-161.91</v>
      </c>
      <c r="I1372" s="2">
        <v>157.80000000000001</v>
      </c>
      <c r="J1372" s="2">
        <v>1.57</v>
      </c>
      <c r="K1372" s="2">
        <v>-1.32</v>
      </c>
      <c r="L1372" s="2">
        <v>2.0499999999999998</v>
      </c>
      <c r="M1372" s="2">
        <v>0.17</v>
      </c>
      <c r="N1372" t="s">
        <v>230</v>
      </c>
      <c r="O1372">
        <v>44</v>
      </c>
    </row>
    <row r="1373" spans="1:15">
      <c r="A1373" s="1">
        <v>46000</v>
      </c>
      <c r="B1373">
        <v>10</v>
      </c>
      <c r="C1373" t="s">
        <v>99</v>
      </c>
      <c r="D1373">
        <v>10</v>
      </c>
      <c r="E1373" s="2">
        <v>23.5</v>
      </c>
      <c r="F1373" s="2">
        <v>-128.87</v>
      </c>
      <c r="G1373" s="2">
        <v>138.55000000000001</v>
      </c>
      <c r="H1373" s="2">
        <v>-196.55</v>
      </c>
      <c r="I1373" s="2">
        <v>209.44</v>
      </c>
      <c r="J1373" s="2">
        <v>1.37</v>
      </c>
      <c r="K1373" s="2">
        <v>-1.2</v>
      </c>
      <c r="L1373" s="2">
        <v>1.82</v>
      </c>
      <c r="M1373" s="2">
        <v>0.11</v>
      </c>
      <c r="N1373" t="s">
        <v>230</v>
      </c>
      <c r="O1373">
        <v>44</v>
      </c>
    </row>
    <row r="1374" spans="1:15">
      <c r="A1374" s="1">
        <v>46000</v>
      </c>
      <c r="B1374">
        <v>10</v>
      </c>
      <c r="C1374" t="s">
        <v>99</v>
      </c>
      <c r="D1374">
        <v>10</v>
      </c>
      <c r="E1374" s="2">
        <v>24</v>
      </c>
      <c r="F1374" s="2">
        <v>-162.47</v>
      </c>
      <c r="G1374" s="2">
        <v>169.64</v>
      </c>
      <c r="H1374" s="2">
        <v>-239.9</v>
      </c>
      <c r="I1374" s="2">
        <v>254.45</v>
      </c>
      <c r="J1374" s="2">
        <v>1.23</v>
      </c>
      <c r="K1374" s="2">
        <v>-1.19</v>
      </c>
      <c r="L1374" s="2">
        <v>1.71</v>
      </c>
      <c r="M1374" s="2">
        <v>0.14000000000000001</v>
      </c>
      <c r="N1374" t="s">
        <v>230</v>
      </c>
      <c r="O1374">
        <v>44</v>
      </c>
    </row>
    <row r="1375" spans="1:15">
      <c r="A1375" s="1">
        <v>46000</v>
      </c>
      <c r="B1375">
        <v>10</v>
      </c>
      <c r="C1375" t="s">
        <v>99</v>
      </c>
      <c r="D1375">
        <v>10</v>
      </c>
      <c r="E1375" s="2">
        <v>24.5</v>
      </c>
      <c r="F1375" s="2">
        <v>-59.38</v>
      </c>
      <c r="G1375" s="2">
        <v>61.72</v>
      </c>
      <c r="H1375" s="2">
        <v>-245.85</v>
      </c>
      <c r="I1375" s="2">
        <v>236.16</v>
      </c>
      <c r="J1375" s="2">
        <v>1.07</v>
      </c>
      <c r="K1375" s="2">
        <v>-0.88</v>
      </c>
      <c r="L1375" s="2">
        <v>1.38</v>
      </c>
      <c r="M1375" s="2">
        <v>0.08</v>
      </c>
      <c r="N1375" t="s">
        <v>230</v>
      </c>
      <c r="O1375">
        <v>44</v>
      </c>
    </row>
    <row r="1376" spans="1:15">
      <c r="A1376" s="1">
        <v>46000</v>
      </c>
      <c r="B1376">
        <v>10</v>
      </c>
      <c r="C1376" t="s">
        <v>99</v>
      </c>
      <c r="D1376">
        <v>10</v>
      </c>
      <c r="E1376" s="2">
        <v>25</v>
      </c>
      <c r="F1376" s="2">
        <v>36.68</v>
      </c>
      <c r="G1376" s="2">
        <v>-29.35</v>
      </c>
      <c r="H1376" s="2">
        <v>-229.56</v>
      </c>
      <c r="I1376" s="2">
        <v>218.23</v>
      </c>
      <c r="J1376" s="2">
        <v>0.85</v>
      </c>
      <c r="K1376" s="2">
        <v>-0.87</v>
      </c>
      <c r="L1376" s="2">
        <v>1.22</v>
      </c>
      <c r="M1376" s="2">
        <v>-0.01</v>
      </c>
      <c r="N1376" t="s">
        <v>230</v>
      </c>
      <c r="O1376">
        <v>44</v>
      </c>
    </row>
    <row r="1377" spans="1:15">
      <c r="A1377" s="1">
        <v>46000</v>
      </c>
      <c r="B1377">
        <v>10</v>
      </c>
      <c r="C1377" t="s">
        <v>99</v>
      </c>
      <c r="D1377">
        <v>10</v>
      </c>
      <c r="E1377" s="2">
        <v>25.5</v>
      </c>
      <c r="F1377" s="2">
        <v>93.62</v>
      </c>
      <c r="G1377" s="2">
        <v>-88.38</v>
      </c>
      <c r="H1377" s="2">
        <v>-189.78</v>
      </c>
      <c r="I1377" s="2">
        <v>188.39</v>
      </c>
      <c r="J1377" s="2">
        <v>0.63</v>
      </c>
      <c r="K1377" s="2">
        <v>-0.66</v>
      </c>
      <c r="L1377" s="2">
        <v>0.91</v>
      </c>
      <c r="M1377" s="2">
        <v>-0.02</v>
      </c>
      <c r="N1377" t="s">
        <v>230</v>
      </c>
      <c r="O1377">
        <v>44</v>
      </c>
    </row>
    <row r="1378" spans="1:15">
      <c r="A1378" s="1">
        <v>46000</v>
      </c>
      <c r="B1378">
        <v>10</v>
      </c>
      <c r="C1378" t="s">
        <v>99</v>
      </c>
      <c r="D1378">
        <v>10</v>
      </c>
      <c r="E1378" s="2">
        <v>26</v>
      </c>
      <c r="F1378" s="2">
        <v>139.91</v>
      </c>
      <c r="G1378" s="2">
        <v>-132.32</v>
      </c>
      <c r="H1378" s="2">
        <v>-228.72</v>
      </c>
      <c r="I1378" s="2">
        <v>241.88</v>
      </c>
      <c r="J1378" s="2">
        <v>0.43</v>
      </c>
      <c r="K1378" s="2">
        <v>-0.2</v>
      </c>
      <c r="L1378" s="2">
        <v>0.48</v>
      </c>
      <c r="M1378" s="2">
        <v>0</v>
      </c>
      <c r="N1378" t="s">
        <v>230</v>
      </c>
      <c r="O1378">
        <v>44</v>
      </c>
    </row>
    <row r="1379" spans="1:15">
      <c r="A1379" s="1">
        <v>46000</v>
      </c>
      <c r="B1379">
        <v>10</v>
      </c>
      <c r="C1379" t="s">
        <v>99</v>
      </c>
      <c r="D1379">
        <v>10</v>
      </c>
      <c r="E1379" s="2">
        <v>26.5</v>
      </c>
      <c r="F1379" s="2">
        <v>143.59</v>
      </c>
      <c r="G1379" s="2">
        <v>-139.01</v>
      </c>
      <c r="H1379" s="2">
        <v>-257.89999999999998</v>
      </c>
      <c r="I1379" s="2">
        <v>257.63</v>
      </c>
      <c r="J1379" s="2">
        <v>0.23</v>
      </c>
      <c r="K1379" s="2">
        <v>0.05</v>
      </c>
      <c r="L1379" s="2">
        <v>0.24</v>
      </c>
      <c r="M1379" s="2">
        <v>0.03</v>
      </c>
      <c r="N1379" t="s">
        <v>230</v>
      </c>
      <c r="O1379">
        <v>44</v>
      </c>
    </row>
    <row r="1380" spans="1:15">
      <c r="A1380" s="1">
        <v>46000</v>
      </c>
      <c r="B1380">
        <v>9</v>
      </c>
      <c r="C1380" t="s">
        <v>100</v>
      </c>
      <c r="D1380">
        <v>9</v>
      </c>
      <c r="E1380" s="2">
        <v>0.5</v>
      </c>
      <c r="F1380" s="2">
        <v>421.23</v>
      </c>
      <c r="G1380" s="2">
        <v>-412.47</v>
      </c>
      <c r="H1380" s="2">
        <v>481.07</v>
      </c>
      <c r="I1380" s="2">
        <v>-467.26</v>
      </c>
      <c r="J1380" s="2">
        <v>2.04</v>
      </c>
      <c r="K1380" s="2">
        <v>-0.22</v>
      </c>
      <c r="L1380" s="2">
        <v>2.06</v>
      </c>
      <c r="M1380" s="2">
        <v>0.7</v>
      </c>
      <c r="N1380" t="s">
        <v>230</v>
      </c>
      <c r="O1380">
        <v>62</v>
      </c>
    </row>
    <row r="1381" spans="1:15">
      <c r="A1381" s="1">
        <v>46000</v>
      </c>
      <c r="B1381">
        <v>9</v>
      </c>
      <c r="C1381" t="s">
        <v>100</v>
      </c>
      <c r="D1381">
        <v>9</v>
      </c>
      <c r="E1381" s="2">
        <v>1</v>
      </c>
      <c r="F1381" s="2">
        <v>421.38</v>
      </c>
      <c r="G1381" s="2">
        <v>-412.28</v>
      </c>
      <c r="H1381" s="2">
        <v>476.25</v>
      </c>
      <c r="I1381" s="2">
        <v>-467.77</v>
      </c>
      <c r="J1381" s="2">
        <v>2.38</v>
      </c>
      <c r="K1381" s="2">
        <v>-0.49</v>
      </c>
      <c r="L1381" s="2">
        <v>2.4300000000000002</v>
      </c>
      <c r="M1381" s="2">
        <v>0.92</v>
      </c>
      <c r="N1381" t="s">
        <v>230</v>
      </c>
      <c r="O1381">
        <v>62</v>
      </c>
    </row>
    <row r="1382" spans="1:15">
      <c r="A1382" s="1">
        <v>46000</v>
      </c>
      <c r="B1382">
        <v>9</v>
      </c>
      <c r="C1382" t="s">
        <v>100</v>
      </c>
      <c r="D1382">
        <v>9</v>
      </c>
      <c r="E1382" s="2">
        <v>1.5</v>
      </c>
      <c r="F1382" s="2">
        <v>452.36</v>
      </c>
      <c r="G1382" s="2">
        <v>-447</v>
      </c>
      <c r="H1382" s="2">
        <v>408.45</v>
      </c>
      <c r="I1382" s="2">
        <v>-401.95</v>
      </c>
      <c r="J1382" s="2">
        <v>2.73</v>
      </c>
      <c r="K1382" s="2">
        <v>-0.82</v>
      </c>
      <c r="L1382" s="2">
        <v>2.85</v>
      </c>
      <c r="M1382" s="2">
        <v>1.17</v>
      </c>
      <c r="N1382" t="s">
        <v>230</v>
      </c>
      <c r="O1382">
        <v>62</v>
      </c>
    </row>
    <row r="1383" spans="1:15">
      <c r="A1383" s="1">
        <v>46000</v>
      </c>
      <c r="B1383">
        <v>9</v>
      </c>
      <c r="C1383" t="s">
        <v>100</v>
      </c>
      <c r="D1383">
        <v>9</v>
      </c>
      <c r="E1383" s="2">
        <v>2</v>
      </c>
      <c r="F1383" s="2">
        <v>512.80999999999995</v>
      </c>
      <c r="G1383" s="2">
        <v>-506.47</v>
      </c>
      <c r="H1383" s="2">
        <v>249.3</v>
      </c>
      <c r="I1383" s="2">
        <v>-229.61</v>
      </c>
      <c r="J1383" s="2">
        <v>3.08</v>
      </c>
      <c r="K1383" s="2">
        <v>-0.94</v>
      </c>
      <c r="L1383" s="2">
        <v>3.22</v>
      </c>
      <c r="M1383" s="2">
        <v>1.39</v>
      </c>
      <c r="N1383" t="s">
        <v>230</v>
      </c>
      <c r="O1383">
        <v>62</v>
      </c>
    </row>
    <row r="1384" spans="1:15">
      <c r="A1384" s="1">
        <v>46000</v>
      </c>
      <c r="B1384">
        <v>9</v>
      </c>
      <c r="C1384" t="s">
        <v>100</v>
      </c>
      <c r="D1384">
        <v>9</v>
      </c>
      <c r="E1384" s="2">
        <v>2.5</v>
      </c>
      <c r="F1384" s="2">
        <v>465.09</v>
      </c>
      <c r="G1384" s="2">
        <v>-459.44</v>
      </c>
      <c r="H1384" s="2">
        <v>127.61</v>
      </c>
      <c r="I1384" s="2">
        <v>-120</v>
      </c>
      <c r="J1384" s="2">
        <v>3.52</v>
      </c>
      <c r="K1384" s="2">
        <v>-0.95</v>
      </c>
      <c r="L1384" s="2">
        <v>3.64</v>
      </c>
      <c r="M1384" s="2">
        <v>1.35</v>
      </c>
      <c r="N1384" t="s">
        <v>230</v>
      </c>
      <c r="O1384">
        <v>62</v>
      </c>
    </row>
    <row r="1385" spans="1:15">
      <c r="A1385" s="1">
        <v>46000</v>
      </c>
      <c r="B1385">
        <v>9</v>
      </c>
      <c r="C1385" t="s">
        <v>100</v>
      </c>
      <c r="D1385">
        <v>9</v>
      </c>
      <c r="E1385" s="2">
        <v>3</v>
      </c>
      <c r="F1385" s="2">
        <v>415.51</v>
      </c>
      <c r="G1385" s="2">
        <v>-408.18</v>
      </c>
      <c r="H1385" s="2">
        <v>-8.16</v>
      </c>
      <c r="I1385" s="2">
        <v>7.19</v>
      </c>
      <c r="J1385" s="2">
        <v>3.93</v>
      </c>
      <c r="K1385" s="2">
        <v>-0.99</v>
      </c>
      <c r="L1385" s="2">
        <v>4.05</v>
      </c>
      <c r="M1385" s="2">
        <v>1.51</v>
      </c>
      <c r="N1385" t="s">
        <v>230</v>
      </c>
      <c r="O1385">
        <v>62</v>
      </c>
    </row>
    <row r="1386" spans="1:15">
      <c r="A1386" s="1">
        <v>46000</v>
      </c>
      <c r="B1386">
        <v>9</v>
      </c>
      <c r="C1386" t="s">
        <v>100</v>
      </c>
      <c r="D1386">
        <v>9</v>
      </c>
      <c r="E1386" s="2">
        <v>3.5</v>
      </c>
      <c r="F1386" s="2">
        <v>370.86</v>
      </c>
      <c r="G1386" s="2">
        <v>-365.61</v>
      </c>
      <c r="H1386" s="2">
        <v>-83.58</v>
      </c>
      <c r="I1386" s="2">
        <v>95.22</v>
      </c>
      <c r="J1386" s="2">
        <v>4.3899999999999997</v>
      </c>
      <c r="K1386" s="2">
        <v>-1.06</v>
      </c>
      <c r="L1386" s="2">
        <v>4.51</v>
      </c>
      <c r="M1386" s="2">
        <v>1.72</v>
      </c>
      <c r="N1386" t="s">
        <v>230</v>
      </c>
      <c r="O1386">
        <v>62</v>
      </c>
    </row>
    <row r="1387" spans="1:15">
      <c r="A1387" s="1">
        <v>46000</v>
      </c>
      <c r="B1387">
        <v>9</v>
      </c>
      <c r="C1387" t="s">
        <v>100</v>
      </c>
      <c r="D1387">
        <v>9</v>
      </c>
      <c r="E1387" s="2">
        <v>4</v>
      </c>
      <c r="F1387" s="2">
        <v>364.11</v>
      </c>
      <c r="G1387" s="2">
        <v>-357.84</v>
      </c>
      <c r="H1387" s="2">
        <v>-102.9</v>
      </c>
      <c r="I1387" s="2">
        <v>119.29</v>
      </c>
      <c r="J1387" s="2">
        <v>4.75</v>
      </c>
      <c r="K1387" s="2">
        <v>-0.9</v>
      </c>
      <c r="L1387" s="2">
        <v>4.84</v>
      </c>
      <c r="M1387" s="2">
        <v>2.09</v>
      </c>
      <c r="N1387" t="s">
        <v>230</v>
      </c>
      <c r="O1387">
        <v>62</v>
      </c>
    </row>
    <row r="1388" spans="1:15">
      <c r="A1388" s="1">
        <v>46000</v>
      </c>
      <c r="B1388">
        <v>9</v>
      </c>
      <c r="C1388" t="s">
        <v>100</v>
      </c>
      <c r="D1388">
        <v>9</v>
      </c>
      <c r="E1388" s="2">
        <v>4.5</v>
      </c>
      <c r="F1388" s="2">
        <v>369.11</v>
      </c>
      <c r="G1388" s="2">
        <v>-360.25</v>
      </c>
      <c r="H1388" s="2">
        <v>-104.49</v>
      </c>
      <c r="I1388" s="2">
        <v>123.32</v>
      </c>
      <c r="J1388" s="2">
        <v>5.24</v>
      </c>
      <c r="K1388" s="2">
        <v>-0.85</v>
      </c>
      <c r="L1388" s="2">
        <v>5.31</v>
      </c>
      <c r="M1388" s="2">
        <v>2.5299999999999998</v>
      </c>
      <c r="N1388" t="s">
        <v>230</v>
      </c>
      <c r="O1388">
        <v>62</v>
      </c>
    </row>
    <row r="1389" spans="1:15">
      <c r="A1389" s="1">
        <v>46000</v>
      </c>
      <c r="B1389">
        <v>9</v>
      </c>
      <c r="C1389" t="s">
        <v>100</v>
      </c>
      <c r="D1389">
        <v>9</v>
      </c>
      <c r="E1389" s="2">
        <v>5</v>
      </c>
      <c r="F1389" s="2">
        <v>287.45999999999998</v>
      </c>
      <c r="G1389" s="2">
        <v>-280.82</v>
      </c>
      <c r="H1389" s="2">
        <v>-68.63</v>
      </c>
      <c r="I1389" s="2">
        <v>90.97</v>
      </c>
      <c r="J1389" s="2">
        <v>5.75</v>
      </c>
      <c r="K1389" s="2">
        <v>-0.9</v>
      </c>
      <c r="L1389" s="2">
        <v>5.82</v>
      </c>
      <c r="M1389" s="2">
        <v>2.96</v>
      </c>
      <c r="N1389" t="s">
        <v>230</v>
      </c>
      <c r="O1389">
        <v>62</v>
      </c>
    </row>
    <row r="1390" spans="1:15">
      <c r="A1390" s="1">
        <v>46000</v>
      </c>
      <c r="B1390">
        <v>9</v>
      </c>
      <c r="C1390" t="s">
        <v>100</v>
      </c>
      <c r="D1390">
        <v>9</v>
      </c>
      <c r="E1390" s="2">
        <v>5.5</v>
      </c>
      <c r="F1390" s="2">
        <v>205.3</v>
      </c>
      <c r="G1390" s="2">
        <v>-197.29</v>
      </c>
      <c r="H1390" s="2">
        <v>-18.5</v>
      </c>
      <c r="I1390" s="2">
        <v>47.46</v>
      </c>
      <c r="J1390" s="2">
        <v>5.79</v>
      </c>
      <c r="K1390" s="2">
        <v>-1.1399999999999999</v>
      </c>
      <c r="L1390" s="2">
        <v>5.9</v>
      </c>
      <c r="M1390" s="2">
        <v>3</v>
      </c>
      <c r="N1390" t="s">
        <v>230</v>
      </c>
      <c r="O1390">
        <v>62</v>
      </c>
    </row>
    <row r="1391" spans="1:15">
      <c r="A1391" s="1">
        <v>46000</v>
      </c>
      <c r="B1391">
        <v>9</v>
      </c>
      <c r="C1391" t="s">
        <v>100</v>
      </c>
      <c r="D1391">
        <v>9</v>
      </c>
      <c r="E1391" s="2">
        <v>6</v>
      </c>
      <c r="F1391" s="2">
        <v>174.14</v>
      </c>
      <c r="G1391" s="2">
        <v>-166.96</v>
      </c>
      <c r="H1391" s="2">
        <v>10.97</v>
      </c>
      <c r="I1391" s="2">
        <v>8.0299999999999994</v>
      </c>
      <c r="J1391" s="2">
        <v>5.85</v>
      </c>
      <c r="K1391" s="2">
        <v>-1.32</v>
      </c>
      <c r="L1391" s="2">
        <v>5.99</v>
      </c>
      <c r="M1391" s="2">
        <v>3.11</v>
      </c>
      <c r="N1391" t="s">
        <v>230</v>
      </c>
      <c r="O1391">
        <v>62</v>
      </c>
    </row>
    <row r="1392" spans="1:15">
      <c r="A1392" s="1">
        <v>46000</v>
      </c>
      <c r="B1392">
        <v>9</v>
      </c>
      <c r="C1392" t="s">
        <v>100</v>
      </c>
      <c r="D1392">
        <v>9</v>
      </c>
      <c r="E1392" s="2">
        <v>6.5</v>
      </c>
      <c r="F1392" s="2">
        <v>170.64</v>
      </c>
      <c r="G1392" s="2">
        <v>-162.31</v>
      </c>
      <c r="H1392" s="2">
        <v>74.48</v>
      </c>
      <c r="I1392" s="2">
        <v>-63.12</v>
      </c>
      <c r="J1392" s="2">
        <v>5.99</v>
      </c>
      <c r="K1392" s="2">
        <v>-1.86</v>
      </c>
      <c r="L1392" s="2">
        <v>6.27</v>
      </c>
      <c r="M1392" s="2">
        <v>3.29</v>
      </c>
      <c r="N1392" t="s">
        <v>230</v>
      </c>
      <c r="O1392">
        <v>62</v>
      </c>
    </row>
    <row r="1393" spans="1:15">
      <c r="A1393" s="1">
        <v>46000</v>
      </c>
      <c r="B1393">
        <v>9</v>
      </c>
      <c r="C1393" t="s">
        <v>100</v>
      </c>
      <c r="D1393">
        <v>9</v>
      </c>
      <c r="E1393" s="2">
        <v>7</v>
      </c>
      <c r="F1393" s="2">
        <v>131.13</v>
      </c>
      <c r="G1393" s="2">
        <v>-122.77</v>
      </c>
      <c r="H1393" s="2">
        <v>138.46</v>
      </c>
      <c r="I1393" s="2">
        <v>-125.02</v>
      </c>
      <c r="J1393" s="2">
        <v>5.94</v>
      </c>
      <c r="K1393" s="2">
        <v>-1.94</v>
      </c>
      <c r="L1393" s="2">
        <v>6.25</v>
      </c>
      <c r="M1393" s="2">
        <v>3.34</v>
      </c>
      <c r="N1393" t="s">
        <v>230</v>
      </c>
      <c r="O1393">
        <v>62</v>
      </c>
    </row>
    <row r="1394" spans="1:15">
      <c r="A1394" s="1">
        <v>46000</v>
      </c>
      <c r="B1394">
        <v>9</v>
      </c>
      <c r="C1394" t="s">
        <v>100</v>
      </c>
      <c r="D1394">
        <v>9</v>
      </c>
      <c r="E1394" s="2">
        <v>7.5</v>
      </c>
      <c r="F1394" s="2">
        <v>80.540000000000006</v>
      </c>
      <c r="G1394" s="2">
        <v>-72.78</v>
      </c>
      <c r="H1394" s="2">
        <v>207.77</v>
      </c>
      <c r="I1394" s="2">
        <v>-202.97</v>
      </c>
      <c r="J1394" s="2">
        <v>5.83</v>
      </c>
      <c r="K1394" s="2">
        <v>-2.02</v>
      </c>
      <c r="L1394" s="2">
        <v>6.17</v>
      </c>
      <c r="M1394" s="2">
        <v>3.33</v>
      </c>
      <c r="N1394" t="s">
        <v>230</v>
      </c>
      <c r="O1394">
        <v>62</v>
      </c>
    </row>
    <row r="1395" spans="1:15">
      <c r="A1395" s="1">
        <v>46000</v>
      </c>
      <c r="B1395">
        <v>9</v>
      </c>
      <c r="C1395" t="s">
        <v>100</v>
      </c>
      <c r="D1395">
        <v>9</v>
      </c>
      <c r="E1395" s="2">
        <v>8</v>
      </c>
      <c r="F1395" s="2">
        <v>79.42</v>
      </c>
      <c r="G1395" s="2">
        <v>-72.680000000000007</v>
      </c>
      <c r="H1395" s="2">
        <v>230.48</v>
      </c>
      <c r="I1395" s="2">
        <v>-232.44</v>
      </c>
      <c r="J1395" s="2">
        <v>5.47</v>
      </c>
      <c r="K1395" s="2">
        <v>-1.91</v>
      </c>
      <c r="L1395" s="2">
        <v>5.79</v>
      </c>
      <c r="M1395" s="2">
        <v>3.11</v>
      </c>
      <c r="N1395" t="s">
        <v>230</v>
      </c>
      <c r="O1395">
        <v>62</v>
      </c>
    </row>
    <row r="1396" spans="1:15">
      <c r="A1396" s="1">
        <v>46000</v>
      </c>
      <c r="B1396">
        <v>9</v>
      </c>
      <c r="C1396" t="s">
        <v>100</v>
      </c>
      <c r="D1396">
        <v>9</v>
      </c>
      <c r="E1396" s="2">
        <v>8.5</v>
      </c>
      <c r="F1396" s="2">
        <v>111.03</v>
      </c>
      <c r="G1396" s="2">
        <v>-104.21</v>
      </c>
      <c r="H1396" s="2">
        <v>323.82</v>
      </c>
      <c r="I1396" s="2">
        <v>-322.24</v>
      </c>
      <c r="J1396" s="2">
        <v>5.0199999999999996</v>
      </c>
      <c r="K1396" s="2">
        <v>-2.1</v>
      </c>
      <c r="L1396" s="2">
        <v>5.45</v>
      </c>
      <c r="M1396" s="2">
        <v>2.74</v>
      </c>
      <c r="N1396" t="s">
        <v>230</v>
      </c>
      <c r="O1396">
        <v>62</v>
      </c>
    </row>
    <row r="1397" spans="1:15">
      <c r="A1397" s="1">
        <v>46000</v>
      </c>
      <c r="B1397">
        <v>9</v>
      </c>
      <c r="C1397" t="s">
        <v>100</v>
      </c>
      <c r="D1397">
        <v>9</v>
      </c>
      <c r="E1397" s="2">
        <v>9</v>
      </c>
      <c r="F1397" s="2">
        <v>165.18</v>
      </c>
      <c r="G1397" s="2">
        <v>-155.88</v>
      </c>
      <c r="H1397" s="2">
        <v>380.34</v>
      </c>
      <c r="I1397" s="2">
        <v>-377.64</v>
      </c>
      <c r="J1397" s="2">
        <v>4.6100000000000003</v>
      </c>
      <c r="K1397" s="2">
        <v>-1.84</v>
      </c>
      <c r="L1397" s="2">
        <v>4.97</v>
      </c>
      <c r="M1397" s="2">
        <v>2.4300000000000002</v>
      </c>
      <c r="N1397" t="s">
        <v>230</v>
      </c>
      <c r="O1397">
        <v>62</v>
      </c>
    </row>
    <row r="1398" spans="1:15">
      <c r="A1398" s="1">
        <v>46000</v>
      </c>
      <c r="B1398">
        <v>9</v>
      </c>
      <c r="C1398" t="s">
        <v>100</v>
      </c>
      <c r="D1398">
        <v>9</v>
      </c>
      <c r="E1398" s="2">
        <v>9.5</v>
      </c>
      <c r="F1398" s="2">
        <v>143.30000000000001</v>
      </c>
      <c r="G1398" s="2">
        <v>-139.36000000000001</v>
      </c>
      <c r="H1398" s="2">
        <v>440.38</v>
      </c>
      <c r="I1398" s="2">
        <v>-428.21</v>
      </c>
      <c r="J1398" s="2">
        <v>4.26</v>
      </c>
      <c r="K1398" s="2">
        <v>-1.47</v>
      </c>
      <c r="L1398" s="2">
        <v>4.51</v>
      </c>
      <c r="M1398" s="2">
        <v>2.09</v>
      </c>
      <c r="N1398" t="s">
        <v>230</v>
      </c>
      <c r="O1398">
        <v>62</v>
      </c>
    </row>
    <row r="1399" spans="1:15">
      <c r="A1399" s="1">
        <v>46000</v>
      </c>
      <c r="B1399">
        <v>9</v>
      </c>
      <c r="C1399" t="s">
        <v>100</v>
      </c>
      <c r="D1399">
        <v>9</v>
      </c>
      <c r="E1399" s="2">
        <v>10</v>
      </c>
      <c r="F1399" s="2">
        <v>137.76</v>
      </c>
      <c r="G1399" s="2">
        <v>-133.02000000000001</v>
      </c>
      <c r="H1399" s="2">
        <v>446.22</v>
      </c>
      <c r="I1399" s="2">
        <v>-436.23</v>
      </c>
      <c r="J1399" s="2">
        <v>3.75</v>
      </c>
      <c r="K1399" s="2">
        <v>-0.99</v>
      </c>
      <c r="L1399" s="2">
        <v>3.88</v>
      </c>
      <c r="M1399" s="2">
        <v>1.56</v>
      </c>
      <c r="N1399" t="s">
        <v>230</v>
      </c>
      <c r="O1399">
        <v>62</v>
      </c>
    </row>
    <row r="1400" spans="1:15">
      <c r="A1400" s="1">
        <v>46000</v>
      </c>
      <c r="B1400">
        <v>9</v>
      </c>
      <c r="C1400" t="s">
        <v>100</v>
      </c>
      <c r="D1400">
        <v>9</v>
      </c>
      <c r="E1400" s="2">
        <v>10.5</v>
      </c>
      <c r="F1400" s="2">
        <v>324.02</v>
      </c>
      <c r="G1400" s="2">
        <v>-319.31</v>
      </c>
      <c r="H1400" s="2">
        <v>463.15</v>
      </c>
      <c r="I1400" s="2">
        <v>-457.27</v>
      </c>
      <c r="J1400" s="2">
        <v>3.58</v>
      </c>
      <c r="K1400" s="2">
        <v>-1.01</v>
      </c>
      <c r="L1400" s="2">
        <v>3.72</v>
      </c>
      <c r="M1400" s="2">
        <v>1.47</v>
      </c>
      <c r="N1400" t="s">
        <v>230</v>
      </c>
      <c r="O1400">
        <v>62</v>
      </c>
    </row>
    <row r="1401" spans="1:15">
      <c r="A1401" s="1">
        <v>46000</v>
      </c>
      <c r="B1401">
        <v>9</v>
      </c>
      <c r="C1401" t="s">
        <v>100</v>
      </c>
      <c r="D1401">
        <v>9</v>
      </c>
      <c r="E1401" s="2">
        <v>11</v>
      </c>
      <c r="F1401" s="2">
        <v>336.78</v>
      </c>
      <c r="G1401" s="2">
        <v>-330.01</v>
      </c>
      <c r="H1401" s="2">
        <v>473.23</v>
      </c>
      <c r="I1401" s="2">
        <v>-447.46</v>
      </c>
      <c r="J1401" s="2">
        <v>3.46</v>
      </c>
      <c r="K1401" s="2">
        <v>-1.02</v>
      </c>
      <c r="L1401" s="2">
        <v>3.61</v>
      </c>
      <c r="M1401" s="2">
        <v>1.31</v>
      </c>
      <c r="N1401" t="s">
        <v>230</v>
      </c>
      <c r="O1401">
        <v>62</v>
      </c>
    </row>
    <row r="1402" spans="1:15">
      <c r="A1402" s="1">
        <v>46000</v>
      </c>
      <c r="B1402">
        <v>9</v>
      </c>
      <c r="C1402" t="s">
        <v>100</v>
      </c>
      <c r="D1402">
        <v>9</v>
      </c>
      <c r="E1402" s="2">
        <v>11.5</v>
      </c>
      <c r="F1402" s="2">
        <v>309.44</v>
      </c>
      <c r="G1402" s="2">
        <v>-298.10000000000002</v>
      </c>
      <c r="H1402" s="2">
        <v>367.22</v>
      </c>
      <c r="I1402" s="2">
        <v>-363.06</v>
      </c>
      <c r="J1402" s="2">
        <v>3.25</v>
      </c>
      <c r="K1402" s="2">
        <v>-0.83</v>
      </c>
      <c r="L1402" s="2">
        <v>3.36</v>
      </c>
      <c r="M1402" s="2">
        <v>1.04</v>
      </c>
      <c r="N1402" t="s">
        <v>230</v>
      </c>
      <c r="O1402">
        <v>62</v>
      </c>
    </row>
    <row r="1403" spans="1:15">
      <c r="A1403" s="1">
        <v>46000</v>
      </c>
      <c r="B1403">
        <v>9</v>
      </c>
      <c r="C1403" t="s">
        <v>100</v>
      </c>
      <c r="D1403">
        <v>9</v>
      </c>
      <c r="E1403" s="2">
        <v>12</v>
      </c>
      <c r="F1403" s="2">
        <v>286.86</v>
      </c>
      <c r="G1403" s="2">
        <v>-278.26</v>
      </c>
      <c r="H1403" s="2">
        <v>290.7</v>
      </c>
      <c r="I1403" s="2">
        <v>-267.67</v>
      </c>
      <c r="J1403" s="2">
        <v>3</v>
      </c>
      <c r="K1403" s="2">
        <v>-0.91</v>
      </c>
      <c r="L1403" s="2">
        <v>3.13</v>
      </c>
      <c r="M1403" s="2">
        <v>0.84</v>
      </c>
      <c r="N1403" t="s">
        <v>230</v>
      </c>
      <c r="O1403">
        <v>62</v>
      </c>
    </row>
    <row r="1404" spans="1:15">
      <c r="A1404" s="1">
        <v>46000</v>
      </c>
      <c r="B1404">
        <v>9</v>
      </c>
      <c r="C1404" t="s">
        <v>100</v>
      </c>
      <c r="D1404">
        <v>9</v>
      </c>
      <c r="E1404" s="2">
        <v>12.5</v>
      </c>
      <c r="F1404" s="2">
        <v>245.42</v>
      </c>
      <c r="G1404" s="2">
        <v>-238.38</v>
      </c>
      <c r="H1404" s="2">
        <v>187.9</v>
      </c>
      <c r="I1404" s="2">
        <v>-184.08</v>
      </c>
      <c r="J1404" s="2">
        <v>2.78</v>
      </c>
      <c r="K1404" s="2">
        <v>-1.01</v>
      </c>
      <c r="L1404" s="2">
        <v>2.95</v>
      </c>
      <c r="M1404" s="2">
        <v>0.65</v>
      </c>
      <c r="N1404" t="s">
        <v>230</v>
      </c>
      <c r="O1404">
        <v>62</v>
      </c>
    </row>
    <row r="1405" spans="1:15">
      <c r="A1405" s="1">
        <v>46000</v>
      </c>
      <c r="B1405">
        <v>9</v>
      </c>
      <c r="C1405" t="s">
        <v>100</v>
      </c>
      <c r="D1405">
        <v>9</v>
      </c>
      <c r="E1405" s="2">
        <v>13</v>
      </c>
      <c r="F1405" s="2">
        <v>210.05</v>
      </c>
      <c r="G1405" s="2">
        <v>-202.39</v>
      </c>
      <c r="H1405" s="2">
        <v>131.4</v>
      </c>
      <c r="I1405" s="2">
        <v>-123.11</v>
      </c>
      <c r="J1405" s="2">
        <v>2.69</v>
      </c>
      <c r="K1405" s="2">
        <v>-1.1299999999999999</v>
      </c>
      <c r="L1405" s="2">
        <v>2.92</v>
      </c>
      <c r="M1405" s="2">
        <v>0.57999999999999996</v>
      </c>
      <c r="N1405" t="s">
        <v>230</v>
      </c>
      <c r="O1405">
        <v>62</v>
      </c>
    </row>
    <row r="1406" spans="1:15">
      <c r="A1406" s="1">
        <v>46000</v>
      </c>
      <c r="B1406">
        <v>9</v>
      </c>
      <c r="C1406" t="s">
        <v>100</v>
      </c>
      <c r="D1406">
        <v>9</v>
      </c>
      <c r="E1406" s="2">
        <v>13.5</v>
      </c>
      <c r="F1406" s="2">
        <v>179.52</v>
      </c>
      <c r="G1406" s="2">
        <v>-173.98</v>
      </c>
      <c r="H1406" s="2">
        <v>143.56</v>
      </c>
      <c r="I1406" s="2">
        <v>-143.31</v>
      </c>
      <c r="J1406" s="2">
        <v>2.4300000000000002</v>
      </c>
      <c r="K1406" s="2">
        <v>-1.1200000000000001</v>
      </c>
      <c r="L1406" s="2">
        <v>2.68</v>
      </c>
      <c r="M1406" s="2">
        <v>0.47</v>
      </c>
      <c r="N1406" t="s">
        <v>230</v>
      </c>
      <c r="O1406">
        <v>62</v>
      </c>
    </row>
    <row r="1407" spans="1:15">
      <c r="A1407" s="1">
        <v>46000</v>
      </c>
      <c r="B1407">
        <v>9</v>
      </c>
      <c r="C1407" t="s">
        <v>100</v>
      </c>
      <c r="D1407">
        <v>9</v>
      </c>
      <c r="E1407" s="2">
        <v>14</v>
      </c>
      <c r="F1407" s="2">
        <v>137.93</v>
      </c>
      <c r="G1407" s="2">
        <v>-132.52000000000001</v>
      </c>
      <c r="H1407" s="2">
        <v>159.71</v>
      </c>
      <c r="I1407" s="2">
        <v>-163.41</v>
      </c>
      <c r="J1407" s="2">
        <v>2.1</v>
      </c>
      <c r="K1407" s="2">
        <v>-0.74</v>
      </c>
      <c r="L1407" s="2">
        <v>2.23</v>
      </c>
      <c r="M1407" s="2">
        <v>0.4</v>
      </c>
      <c r="N1407" t="s">
        <v>230</v>
      </c>
      <c r="O1407">
        <v>62</v>
      </c>
    </row>
    <row r="1408" spans="1:15">
      <c r="A1408" s="1">
        <v>46000</v>
      </c>
      <c r="B1408">
        <v>9</v>
      </c>
      <c r="C1408" t="s">
        <v>100</v>
      </c>
      <c r="D1408">
        <v>9</v>
      </c>
      <c r="E1408" s="2">
        <v>14.5</v>
      </c>
      <c r="F1408" s="2">
        <v>133.19999999999999</v>
      </c>
      <c r="G1408" s="2">
        <v>-125.95</v>
      </c>
      <c r="H1408" s="2">
        <v>184.57</v>
      </c>
      <c r="I1408" s="2">
        <v>-184.12</v>
      </c>
      <c r="J1408" s="2">
        <v>1.89</v>
      </c>
      <c r="K1408" s="2">
        <v>-1.1399999999999999</v>
      </c>
      <c r="L1408" s="2">
        <v>2.21</v>
      </c>
      <c r="M1408" s="2">
        <v>0.2</v>
      </c>
      <c r="N1408" t="s">
        <v>230</v>
      </c>
      <c r="O1408">
        <v>62</v>
      </c>
    </row>
    <row r="1409" spans="1:15">
      <c r="A1409" s="1">
        <v>46000</v>
      </c>
      <c r="B1409">
        <v>9</v>
      </c>
      <c r="C1409" t="s">
        <v>100</v>
      </c>
      <c r="D1409">
        <v>9</v>
      </c>
      <c r="E1409" s="2">
        <v>15</v>
      </c>
      <c r="F1409" s="2">
        <v>139.25</v>
      </c>
      <c r="G1409" s="2">
        <v>-132.04</v>
      </c>
      <c r="H1409" s="2">
        <v>269.35000000000002</v>
      </c>
      <c r="I1409" s="2">
        <v>-273.68</v>
      </c>
      <c r="J1409" s="2">
        <v>1.61</v>
      </c>
      <c r="K1409" s="2">
        <v>-1.26</v>
      </c>
      <c r="L1409" s="2">
        <v>2.0499999999999998</v>
      </c>
      <c r="M1409" s="2">
        <v>0.13</v>
      </c>
      <c r="N1409" t="s">
        <v>230</v>
      </c>
      <c r="O1409">
        <v>62</v>
      </c>
    </row>
    <row r="1410" spans="1:15">
      <c r="A1410" s="1">
        <v>46000</v>
      </c>
      <c r="B1410">
        <v>9</v>
      </c>
      <c r="C1410" t="s">
        <v>100</v>
      </c>
      <c r="D1410">
        <v>9</v>
      </c>
      <c r="E1410" s="2">
        <v>15.5</v>
      </c>
      <c r="F1410" s="2">
        <v>54.86</v>
      </c>
      <c r="G1410" s="2">
        <v>-53.77</v>
      </c>
      <c r="H1410" s="2">
        <v>348.34</v>
      </c>
      <c r="I1410" s="2">
        <v>-339</v>
      </c>
      <c r="J1410" s="2">
        <v>1.37</v>
      </c>
      <c r="K1410" s="2">
        <v>-0.99</v>
      </c>
      <c r="L1410" s="2">
        <v>1.69</v>
      </c>
      <c r="M1410" s="2">
        <v>-0.11</v>
      </c>
      <c r="N1410" t="s">
        <v>230</v>
      </c>
      <c r="O1410">
        <v>62</v>
      </c>
    </row>
    <row r="1411" spans="1:15">
      <c r="A1411" s="1">
        <v>46000</v>
      </c>
      <c r="B1411">
        <v>9</v>
      </c>
      <c r="C1411" t="s">
        <v>100</v>
      </c>
      <c r="D1411">
        <v>9</v>
      </c>
      <c r="E1411" s="2">
        <v>16</v>
      </c>
      <c r="F1411" s="2">
        <v>199.28</v>
      </c>
      <c r="G1411" s="2">
        <v>-186.36</v>
      </c>
      <c r="H1411" s="2">
        <v>192.62</v>
      </c>
      <c r="I1411" s="2">
        <v>-188.53</v>
      </c>
      <c r="J1411" s="2">
        <v>1.25</v>
      </c>
      <c r="K1411" s="2">
        <v>-0.94</v>
      </c>
      <c r="L1411" s="2">
        <v>1.56</v>
      </c>
      <c r="M1411" s="2">
        <v>-0.22</v>
      </c>
      <c r="N1411" t="s">
        <v>230</v>
      </c>
      <c r="O1411">
        <v>62</v>
      </c>
    </row>
    <row r="1412" spans="1:15">
      <c r="A1412" s="1">
        <v>46000</v>
      </c>
      <c r="B1412">
        <v>9</v>
      </c>
      <c r="C1412" t="s">
        <v>100</v>
      </c>
      <c r="D1412">
        <v>9</v>
      </c>
      <c r="E1412" s="2">
        <v>16.5</v>
      </c>
      <c r="F1412" s="2">
        <v>321.24</v>
      </c>
      <c r="G1412" s="2">
        <v>-318.79000000000002</v>
      </c>
      <c r="H1412" s="2">
        <v>209.06</v>
      </c>
      <c r="I1412" s="2">
        <v>-202.8</v>
      </c>
      <c r="J1412" s="2">
        <v>1.24</v>
      </c>
      <c r="K1412" s="2">
        <v>-0.95</v>
      </c>
      <c r="L1412" s="2">
        <v>1.56</v>
      </c>
      <c r="M1412" s="2">
        <v>-0.48</v>
      </c>
      <c r="N1412" t="s">
        <v>230</v>
      </c>
      <c r="O1412">
        <v>62</v>
      </c>
    </row>
    <row r="1413" spans="1:15">
      <c r="A1413" s="1">
        <v>46000</v>
      </c>
      <c r="B1413">
        <v>9</v>
      </c>
      <c r="C1413" t="s">
        <v>100</v>
      </c>
      <c r="D1413">
        <v>9</v>
      </c>
      <c r="E1413" s="2">
        <v>17</v>
      </c>
      <c r="F1413" s="2">
        <v>382.41</v>
      </c>
      <c r="G1413" s="2">
        <v>-374.55</v>
      </c>
      <c r="H1413" s="2">
        <v>241.68</v>
      </c>
      <c r="I1413" s="2">
        <v>-252.73</v>
      </c>
      <c r="J1413" s="2">
        <v>1.2</v>
      </c>
      <c r="K1413" s="2">
        <v>-0.6</v>
      </c>
      <c r="L1413" s="2">
        <v>1.34</v>
      </c>
      <c r="M1413" s="2">
        <v>-0.39</v>
      </c>
      <c r="N1413" t="s">
        <v>230</v>
      </c>
      <c r="O1413">
        <v>62</v>
      </c>
    </row>
    <row r="1414" spans="1:15">
      <c r="A1414" s="1">
        <v>46000</v>
      </c>
      <c r="B1414">
        <v>9</v>
      </c>
      <c r="C1414" t="s">
        <v>100</v>
      </c>
      <c r="D1414">
        <v>9</v>
      </c>
      <c r="E1414" s="2">
        <v>17.5</v>
      </c>
      <c r="F1414" s="2">
        <v>376.13</v>
      </c>
      <c r="G1414" s="2">
        <v>-373.77</v>
      </c>
      <c r="H1414" s="2">
        <v>142.53</v>
      </c>
      <c r="I1414" s="2">
        <v>-155.1</v>
      </c>
      <c r="J1414" s="2">
        <v>1.1299999999999999</v>
      </c>
      <c r="K1414" s="2">
        <v>-0.36</v>
      </c>
      <c r="L1414" s="2">
        <v>1.19</v>
      </c>
      <c r="M1414" s="2">
        <v>-0.44</v>
      </c>
      <c r="N1414" t="s">
        <v>230</v>
      </c>
      <c r="O1414">
        <v>62</v>
      </c>
    </row>
    <row r="1415" spans="1:15">
      <c r="A1415" s="1">
        <v>46000</v>
      </c>
      <c r="B1415">
        <v>9</v>
      </c>
      <c r="C1415" t="s">
        <v>100</v>
      </c>
      <c r="D1415">
        <v>9</v>
      </c>
      <c r="E1415" s="2">
        <v>18</v>
      </c>
      <c r="F1415" s="2">
        <v>345.96</v>
      </c>
      <c r="G1415" s="2">
        <v>-339.44</v>
      </c>
      <c r="H1415" s="2">
        <v>94.8</v>
      </c>
      <c r="I1415" s="2">
        <v>-96.45</v>
      </c>
      <c r="J1415" s="2">
        <v>1.05</v>
      </c>
      <c r="K1415" s="2">
        <v>-0.28000000000000003</v>
      </c>
      <c r="L1415" s="2">
        <v>1.08</v>
      </c>
      <c r="M1415" s="2">
        <v>-0.4</v>
      </c>
      <c r="N1415" t="s">
        <v>230</v>
      </c>
      <c r="O1415">
        <v>62</v>
      </c>
    </row>
    <row r="1416" spans="1:15">
      <c r="A1416" s="1">
        <v>46000</v>
      </c>
      <c r="B1416">
        <v>9</v>
      </c>
      <c r="C1416" t="s">
        <v>100</v>
      </c>
      <c r="D1416">
        <v>9</v>
      </c>
      <c r="E1416" s="2">
        <v>18.5</v>
      </c>
      <c r="F1416" s="2">
        <v>314.73</v>
      </c>
      <c r="G1416" s="2">
        <v>-310.52</v>
      </c>
      <c r="H1416" s="2">
        <v>56.71</v>
      </c>
      <c r="I1416" s="2">
        <v>-61.56</v>
      </c>
      <c r="J1416" s="2">
        <v>0.98</v>
      </c>
      <c r="K1416" s="2">
        <v>-0.28000000000000003</v>
      </c>
      <c r="L1416" s="2">
        <v>1.02</v>
      </c>
      <c r="M1416" s="2">
        <v>-0.44</v>
      </c>
      <c r="N1416" t="s">
        <v>230</v>
      </c>
      <c r="O1416">
        <v>62</v>
      </c>
    </row>
    <row r="1417" spans="1:15">
      <c r="A1417" s="1">
        <v>46000</v>
      </c>
      <c r="B1417">
        <v>9</v>
      </c>
      <c r="C1417" t="s">
        <v>100</v>
      </c>
      <c r="D1417">
        <v>9</v>
      </c>
      <c r="E1417" s="2">
        <v>19</v>
      </c>
      <c r="F1417" s="2">
        <v>300.54000000000002</v>
      </c>
      <c r="G1417" s="2">
        <v>-297.42</v>
      </c>
      <c r="H1417" s="2">
        <v>47.86</v>
      </c>
      <c r="I1417" s="2">
        <v>-50.01</v>
      </c>
      <c r="J1417" s="2">
        <v>0.82</v>
      </c>
      <c r="K1417" s="2">
        <v>-0.46</v>
      </c>
      <c r="L1417" s="2">
        <v>0.94</v>
      </c>
      <c r="M1417" s="2">
        <v>-0.43</v>
      </c>
      <c r="N1417" t="s">
        <v>230</v>
      </c>
      <c r="O1417">
        <v>62</v>
      </c>
    </row>
    <row r="1418" spans="1:15">
      <c r="A1418" s="1">
        <v>46000</v>
      </c>
      <c r="B1418">
        <v>9</v>
      </c>
      <c r="C1418" t="s">
        <v>100</v>
      </c>
      <c r="D1418">
        <v>9</v>
      </c>
      <c r="E1418" s="2">
        <v>19.5</v>
      </c>
      <c r="F1418" s="2">
        <v>207.62</v>
      </c>
      <c r="G1418" s="2">
        <v>-202.64</v>
      </c>
      <c r="H1418" s="2">
        <v>100.55</v>
      </c>
      <c r="I1418" s="2">
        <v>-98.21</v>
      </c>
      <c r="J1418" s="2">
        <v>0.71</v>
      </c>
      <c r="K1418" s="2">
        <v>-0.6</v>
      </c>
      <c r="L1418" s="2">
        <v>0.93</v>
      </c>
      <c r="M1418" s="2">
        <v>-0.5</v>
      </c>
      <c r="N1418" t="s">
        <v>230</v>
      </c>
      <c r="O1418">
        <v>62</v>
      </c>
    </row>
    <row r="1419" spans="1:15">
      <c r="A1419" s="1">
        <v>46000</v>
      </c>
      <c r="B1419">
        <v>9</v>
      </c>
      <c r="C1419" t="s">
        <v>100</v>
      </c>
      <c r="D1419">
        <v>9</v>
      </c>
      <c r="E1419" s="2">
        <v>20</v>
      </c>
      <c r="F1419" s="2">
        <v>141.33000000000001</v>
      </c>
      <c r="G1419" s="2">
        <v>-137.21</v>
      </c>
      <c r="H1419" s="2">
        <v>142.11000000000001</v>
      </c>
      <c r="I1419" s="2">
        <v>-143.18</v>
      </c>
      <c r="J1419" s="2">
        <v>0.51</v>
      </c>
      <c r="K1419" s="2">
        <v>-0.16</v>
      </c>
      <c r="L1419" s="2">
        <v>0.54</v>
      </c>
      <c r="M1419" s="2">
        <v>-0.51</v>
      </c>
      <c r="N1419" t="s">
        <v>230</v>
      </c>
      <c r="O1419">
        <v>62</v>
      </c>
    </row>
    <row r="1420" spans="1:15">
      <c r="A1420" s="1">
        <v>46000</v>
      </c>
      <c r="B1420">
        <v>9</v>
      </c>
      <c r="C1420" t="s">
        <v>100</v>
      </c>
      <c r="D1420">
        <v>9</v>
      </c>
      <c r="E1420" s="2">
        <v>20.5</v>
      </c>
      <c r="F1420" s="2">
        <v>148.41999999999999</v>
      </c>
      <c r="G1420" s="2">
        <v>-146.69999999999999</v>
      </c>
      <c r="H1420" s="2">
        <v>147.31</v>
      </c>
      <c r="I1420" s="2">
        <v>-159.44999999999999</v>
      </c>
      <c r="J1420" s="2">
        <v>0.41</v>
      </c>
      <c r="K1420" s="2">
        <v>-0.03</v>
      </c>
      <c r="L1420" s="2">
        <v>0.41</v>
      </c>
      <c r="M1420" s="2">
        <v>-0.38</v>
      </c>
      <c r="N1420" t="s">
        <v>230</v>
      </c>
      <c r="O1420">
        <v>62</v>
      </c>
    </row>
    <row r="1421" spans="1:15">
      <c r="A1421" s="1">
        <v>46000</v>
      </c>
      <c r="B1421">
        <v>9</v>
      </c>
      <c r="C1421" t="s">
        <v>100</v>
      </c>
      <c r="D1421">
        <v>9</v>
      </c>
      <c r="E1421" s="2">
        <v>21</v>
      </c>
      <c r="F1421" s="2">
        <v>159.19</v>
      </c>
      <c r="G1421" s="2">
        <v>-155.72</v>
      </c>
      <c r="H1421" s="2">
        <v>166.87</v>
      </c>
      <c r="I1421" s="2">
        <v>-165.56</v>
      </c>
      <c r="J1421" s="2">
        <v>0.27</v>
      </c>
      <c r="K1421" s="2">
        <v>0.25</v>
      </c>
      <c r="L1421" s="2">
        <v>0.37</v>
      </c>
      <c r="M1421" s="2">
        <v>0.01</v>
      </c>
      <c r="N1421" t="s">
        <v>230</v>
      </c>
      <c r="O1421">
        <v>62</v>
      </c>
    </row>
    <row r="1422" spans="1:15">
      <c r="A1422" s="1">
        <v>46000</v>
      </c>
      <c r="B1422">
        <v>9</v>
      </c>
      <c r="C1422" t="s">
        <v>100</v>
      </c>
      <c r="D1422">
        <v>9</v>
      </c>
      <c r="E1422" s="2">
        <v>21.5</v>
      </c>
      <c r="F1422" s="2">
        <v>176.38</v>
      </c>
      <c r="G1422" s="2">
        <v>-173.66</v>
      </c>
      <c r="H1422" s="2">
        <v>157.24</v>
      </c>
      <c r="I1422" s="2">
        <v>-171.26</v>
      </c>
      <c r="J1422" s="2">
        <v>0.15</v>
      </c>
      <c r="K1422" s="2">
        <v>0.32</v>
      </c>
      <c r="L1422" s="2">
        <v>0.36</v>
      </c>
      <c r="M1422" s="2">
        <v>0.17</v>
      </c>
      <c r="N1422" t="s">
        <v>230</v>
      </c>
      <c r="O1422">
        <v>62</v>
      </c>
    </row>
    <row r="1423" spans="1:15">
      <c r="A1423" s="1">
        <v>46000</v>
      </c>
      <c r="B1423">
        <v>9</v>
      </c>
      <c r="C1423" t="s">
        <v>100</v>
      </c>
      <c r="D1423">
        <v>9</v>
      </c>
      <c r="E1423" s="2">
        <v>22</v>
      </c>
      <c r="F1423" s="2">
        <v>188.06</v>
      </c>
      <c r="G1423" s="2">
        <v>-184.26</v>
      </c>
      <c r="H1423" s="2">
        <v>185.68</v>
      </c>
      <c r="I1423" s="2">
        <v>-176.72</v>
      </c>
      <c r="J1423" s="2">
        <v>0.04</v>
      </c>
      <c r="K1423" s="2">
        <v>0.23</v>
      </c>
      <c r="L1423" s="2">
        <v>0.24</v>
      </c>
      <c r="M1423" s="2">
        <v>0</v>
      </c>
      <c r="N1423" t="s">
        <v>230</v>
      </c>
      <c r="O1423">
        <v>62</v>
      </c>
    </row>
    <row r="1424" spans="1:15">
      <c r="A1424" s="1">
        <v>46006</v>
      </c>
      <c r="B1424">
        <v>11</v>
      </c>
      <c r="C1424" t="s">
        <v>94</v>
      </c>
      <c r="D1424">
        <v>11</v>
      </c>
      <c r="E1424" s="2">
        <v>0.5</v>
      </c>
      <c r="F1424" s="2">
        <v>-288.07</v>
      </c>
      <c r="G1424" s="2">
        <v>287.48</v>
      </c>
      <c r="H1424" s="2">
        <v>-745.79</v>
      </c>
      <c r="I1424" s="2">
        <v>755.3</v>
      </c>
      <c r="J1424" s="2">
        <v>-1.21</v>
      </c>
      <c r="K1424" s="2">
        <v>9.99</v>
      </c>
      <c r="L1424" s="2">
        <v>10.06</v>
      </c>
      <c r="M1424" s="2">
        <v>3.26</v>
      </c>
      <c r="N1424" t="s">
        <v>250</v>
      </c>
      <c r="O1424">
        <v>26</v>
      </c>
    </row>
    <row r="1425" spans="1:15">
      <c r="A1425" s="1">
        <v>46006</v>
      </c>
      <c r="B1425">
        <v>11</v>
      </c>
      <c r="C1425" t="s">
        <v>94</v>
      </c>
      <c r="D1425">
        <v>11</v>
      </c>
      <c r="E1425" s="2">
        <v>1</v>
      </c>
      <c r="F1425" s="2">
        <v>-288.27999999999997</v>
      </c>
      <c r="G1425" s="2">
        <v>287.86</v>
      </c>
      <c r="H1425" s="2">
        <v>-745.73</v>
      </c>
      <c r="I1425" s="2">
        <v>755.22</v>
      </c>
      <c r="J1425" s="2">
        <v>1.69</v>
      </c>
      <c r="K1425" s="2">
        <v>13.24</v>
      </c>
      <c r="L1425" s="2">
        <v>13.34</v>
      </c>
      <c r="M1425" s="2">
        <v>5.2</v>
      </c>
      <c r="N1425" t="s">
        <v>250</v>
      </c>
      <c r="O1425">
        <v>26</v>
      </c>
    </row>
    <row r="1426" spans="1:15">
      <c r="A1426" s="1">
        <v>46006</v>
      </c>
      <c r="B1426">
        <v>11</v>
      </c>
      <c r="C1426" t="s">
        <v>94</v>
      </c>
      <c r="D1426">
        <v>11</v>
      </c>
      <c r="E1426" s="2">
        <v>1.5</v>
      </c>
      <c r="F1426" s="2">
        <v>-14.83</v>
      </c>
      <c r="G1426" s="2">
        <v>25.35</v>
      </c>
      <c r="H1426" s="2">
        <v>-286.49</v>
      </c>
      <c r="I1426" s="2">
        <v>288.93</v>
      </c>
      <c r="J1426" s="2">
        <v>4.62</v>
      </c>
      <c r="K1426" s="2">
        <v>16.09</v>
      </c>
      <c r="L1426" s="2">
        <v>16.739999999999998</v>
      </c>
      <c r="M1426" s="2">
        <v>7.44</v>
      </c>
      <c r="N1426" t="s">
        <v>250</v>
      </c>
      <c r="O1426">
        <v>26</v>
      </c>
    </row>
    <row r="1427" spans="1:15">
      <c r="A1427" s="1">
        <v>46006</v>
      </c>
      <c r="B1427">
        <v>11</v>
      </c>
      <c r="C1427" t="s">
        <v>94</v>
      </c>
      <c r="D1427">
        <v>11</v>
      </c>
      <c r="E1427" s="2">
        <v>2</v>
      </c>
      <c r="F1427" s="2">
        <v>43.85</v>
      </c>
      <c r="G1427" s="2">
        <v>-38.07</v>
      </c>
      <c r="H1427" s="2">
        <v>-237.12</v>
      </c>
      <c r="I1427" s="2">
        <v>234.22</v>
      </c>
      <c r="J1427" s="2">
        <v>4.29</v>
      </c>
      <c r="K1427" s="2">
        <v>15.86</v>
      </c>
      <c r="L1427" s="2">
        <v>16.440000000000001</v>
      </c>
      <c r="M1427" s="2">
        <v>7.42</v>
      </c>
      <c r="N1427" t="s">
        <v>250</v>
      </c>
      <c r="O1427">
        <v>26</v>
      </c>
    </row>
    <row r="1428" spans="1:15">
      <c r="A1428" s="1">
        <v>46006</v>
      </c>
      <c r="B1428">
        <v>11</v>
      </c>
      <c r="C1428" t="s">
        <v>94</v>
      </c>
      <c r="D1428">
        <v>11</v>
      </c>
      <c r="E1428" s="2">
        <v>2.5</v>
      </c>
      <c r="F1428" s="2">
        <v>52.72</v>
      </c>
      <c r="G1428" s="2">
        <v>-46.37</v>
      </c>
      <c r="H1428" s="2">
        <v>-210.07</v>
      </c>
      <c r="I1428" s="2">
        <v>212.08</v>
      </c>
      <c r="J1428" s="2">
        <v>5.59</v>
      </c>
      <c r="K1428" s="2">
        <v>15.93</v>
      </c>
      <c r="L1428" s="2">
        <v>16.88</v>
      </c>
      <c r="M1428" s="2">
        <v>7.66</v>
      </c>
      <c r="N1428" t="s">
        <v>250</v>
      </c>
      <c r="O1428">
        <v>26</v>
      </c>
    </row>
    <row r="1429" spans="1:15">
      <c r="A1429" s="1">
        <v>46006</v>
      </c>
      <c r="B1429">
        <v>11</v>
      </c>
      <c r="C1429" t="s">
        <v>94</v>
      </c>
      <c r="D1429">
        <v>11</v>
      </c>
      <c r="E1429" s="2">
        <v>3</v>
      </c>
      <c r="F1429" s="2">
        <v>21.93</v>
      </c>
      <c r="G1429" s="2">
        <v>-12.55</v>
      </c>
      <c r="H1429" s="2">
        <v>-150.15</v>
      </c>
      <c r="I1429" s="2">
        <v>156.04</v>
      </c>
      <c r="J1429" s="2">
        <v>6.37</v>
      </c>
      <c r="K1429" s="2">
        <v>15.93</v>
      </c>
      <c r="L1429" s="2">
        <v>17.149999999999999</v>
      </c>
      <c r="M1429" s="2">
        <v>7.85</v>
      </c>
      <c r="N1429" t="s">
        <v>250</v>
      </c>
      <c r="O1429">
        <v>26</v>
      </c>
    </row>
    <row r="1430" spans="1:15">
      <c r="A1430" s="1">
        <v>46006</v>
      </c>
      <c r="B1430">
        <v>11</v>
      </c>
      <c r="C1430" t="s">
        <v>94</v>
      </c>
      <c r="D1430">
        <v>11</v>
      </c>
      <c r="E1430" s="2">
        <v>3.5</v>
      </c>
      <c r="F1430" s="2">
        <v>-9.6</v>
      </c>
      <c r="G1430" s="2">
        <v>15.21</v>
      </c>
      <c r="H1430" s="2">
        <v>-99.61</v>
      </c>
      <c r="I1430" s="2">
        <v>98.21</v>
      </c>
      <c r="J1430" s="2">
        <v>6.73</v>
      </c>
      <c r="K1430" s="2">
        <v>15.99</v>
      </c>
      <c r="L1430" s="2">
        <v>17.350000000000001</v>
      </c>
      <c r="M1430" s="2">
        <v>8.02</v>
      </c>
      <c r="N1430" t="s">
        <v>250</v>
      </c>
      <c r="O1430">
        <v>26</v>
      </c>
    </row>
    <row r="1431" spans="1:15">
      <c r="A1431" s="1">
        <v>46006</v>
      </c>
      <c r="B1431">
        <v>11</v>
      </c>
      <c r="C1431" t="s">
        <v>94</v>
      </c>
      <c r="D1431">
        <v>11</v>
      </c>
      <c r="E1431" s="2">
        <v>4</v>
      </c>
      <c r="F1431" s="2">
        <v>56</v>
      </c>
      <c r="G1431" s="2">
        <v>-48.54</v>
      </c>
      <c r="H1431" s="2">
        <v>-84.09</v>
      </c>
      <c r="I1431" s="2">
        <v>70.569999999999993</v>
      </c>
      <c r="J1431" s="2">
        <v>6.76</v>
      </c>
      <c r="K1431" s="2">
        <v>16.14</v>
      </c>
      <c r="L1431" s="2">
        <v>17.489999999999998</v>
      </c>
      <c r="M1431" s="2">
        <v>8.1199999999999992</v>
      </c>
      <c r="N1431" t="s">
        <v>250</v>
      </c>
      <c r="O1431">
        <v>26</v>
      </c>
    </row>
    <row r="1432" spans="1:15">
      <c r="A1432" s="1">
        <v>46006</v>
      </c>
      <c r="B1432">
        <v>11</v>
      </c>
      <c r="C1432" t="s">
        <v>94</v>
      </c>
      <c r="D1432">
        <v>11</v>
      </c>
      <c r="E1432" s="2">
        <v>4.5</v>
      </c>
      <c r="F1432" s="2">
        <v>71.44</v>
      </c>
      <c r="G1432" s="2">
        <v>-63.55</v>
      </c>
      <c r="H1432" s="2">
        <v>-54.15</v>
      </c>
      <c r="I1432" s="2">
        <v>61.43</v>
      </c>
      <c r="J1432" s="2">
        <v>6.69</v>
      </c>
      <c r="K1432" s="2">
        <v>15.95</v>
      </c>
      <c r="L1432" s="2">
        <v>17.3</v>
      </c>
      <c r="M1432" s="2">
        <v>7.93</v>
      </c>
      <c r="N1432" t="s">
        <v>250</v>
      </c>
      <c r="O1432">
        <v>26</v>
      </c>
    </row>
    <row r="1433" spans="1:15">
      <c r="A1433" s="1">
        <v>46006</v>
      </c>
      <c r="B1433">
        <v>11</v>
      </c>
      <c r="C1433" t="s">
        <v>94</v>
      </c>
      <c r="D1433">
        <v>11</v>
      </c>
      <c r="E1433" s="2">
        <v>5</v>
      </c>
      <c r="F1433" s="2">
        <v>16.46</v>
      </c>
      <c r="G1433" s="2">
        <v>-7.43</v>
      </c>
      <c r="H1433" s="2">
        <v>14.63</v>
      </c>
      <c r="I1433" s="2">
        <v>-10.01</v>
      </c>
      <c r="J1433" s="2">
        <v>7.25</v>
      </c>
      <c r="K1433" s="2">
        <v>15.33</v>
      </c>
      <c r="L1433" s="2">
        <v>16.96</v>
      </c>
      <c r="M1433" s="2">
        <v>7.77</v>
      </c>
      <c r="N1433" t="s">
        <v>250</v>
      </c>
      <c r="O1433">
        <v>26</v>
      </c>
    </row>
    <row r="1434" spans="1:15">
      <c r="A1434" s="1">
        <v>46006</v>
      </c>
      <c r="B1434">
        <v>11</v>
      </c>
      <c r="C1434" t="s">
        <v>94</v>
      </c>
      <c r="D1434">
        <v>11</v>
      </c>
      <c r="E1434" s="2">
        <v>5.5</v>
      </c>
      <c r="F1434" s="2">
        <v>9.6199999999999992</v>
      </c>
      <c r="G1434" s="2">
        <v>-0.94</v>
      </c>
      <c r="H1434" s="2">
        <v>30.82</v>
      </c>
      <c r="I1434" s="2">
        <v>-22.34</v>
      </c>
      <c r="J1434" s="2">
        <v>7.68</v>
      </c>
      <c r="K1434" s="2">
        <v>15.22</v>
      </c>
      <c r="L1434" s="2">
        <v>17.05</v>
      </c>
      <c r="M1434" s="2">
        <v>7.6</v>
      </c>
      <c r="N1434" t="s">
        <v>250</v>
      </c>
      <c r="O1434">
        <v>26</v>
      </c>
    </row>
    <row r="1435" spans="1:15">
      <c r="A1435" s="1">
        <v>46006</v>
      </c>
      <c r="B1435">
        <v>11</v>
      </c>
      <c r="C1435" t="s">
        <v>94</v>
      </c>
      <c r="D1435">
        <v>11</v>
      </c>
      <c r="E1435" s="2">
        <v>6</v>
      </c>
      <c r="F1435" s="2">
        <v>20.27</v>
      </c>
      <c r="G1435" s="2">
        <v>-12.92</v>
      </c>
      <c r="H1435" s="2">
        <v>-38.159999999999997</v>
      </c>
      <c r="I1435" s="2">
        <v>38.380000000000003</v>
      </c>
      <c r="J1435" s="2">
        <v>7.97</v>
      </c>
      <c r="K1435" s="2">
        <v>15.65</v>
      </c>
      <c r="L1435" s="2">
        <v>17.559999999999999</v>
      </c>
      <c r="M1435" s="2">
        <v>7.84</v>
      </c>
      <c r="N1435" t="s">
        <v>250</v>
      </c>
      <c r="O1435">
        <v>26</v>
      </c>
    </row>
    <row r="1436" spans="1:15">
      <c r="A1436" s="1">
        <v>46006</v>
      </c>
      <c r="B1436">
        <v>11</v>
      </c>
      <c r="C1436" t="s">
        <v>94</v>
      </c>
      <c r="D1436">
        <v>11</v>
      </c>
      <c r="E1436" s="2">
        <v>6.5</v>
      </c>
      <c r="F1436" s="2">
        <v>16.86</v>
      </c>
      <c r="G1436" s="2">
        <v>-7.55</v>
      </c>
      <c r="H1436" s="2">
        <v>-84.42</v>
      </c>
      <c r="I1436" s="2">
        <v>72.73</v>
      </c>
      <c r="J1436" s="2">
        <v>8.1199999999999992</v>
      </c>
      <c r="K1436" s="2">
        <v>15.65</v>
      </c>
      <c r="L1436" s="2">
        <v>17.63</v>
      </c>
      <c r="M1436" s="2">
        <v>7.94</v>
      </c>
      <c r="N1436" t="s">
        <v>250</v>
      </c>
      <c r="O1436">
        <v>26</v>
      </c>
    </row>
    <row r="1437" spans="1:15">
      <c r="A1437" s="1">
        <v>46006</v>
      </c>
      <c r="B1437">
        <v>11</v>
      </c>
      <c r="C1437" t="s">
        <v>94</v>
      </c>
      <c r="D1437">
        <v>11</v>
      </c>
      <c r="E1437" s="2">
        <v>7</v>
      </c>
      <c r="F1437" s="2">
        <v>100.91</v>
      </c>
      <c r="G1437" s="2">
        <v>-94.86</v>
      </c>
      <c r="H1437" s="2">
        <v>-64.62</v>
      </c>
      <c r="I1437" s="2">
        <v>57.39</v>
      </c>
      <c r="J1437" s="2">
        <v>7.68</v>
      </c>
      <c r="K1437" s="2">
        <v>15.22</v>
      </c>
      <c r="L1437" s="2">
        <v>17.05</v>
      </c>
      <c r="M1437" s="2">
        <v>7.76</v>
      </c>
      <c r="N1437" t="s">
        <v>250</v>
      </c>
      <c r="O1437">
        <v>26</v>
      </c>
    </row>
    <row r="1438" spans="1:15">
      <c r="A1438" s="1">
        <v>46006</v>
      </c>
      <c r="B1438">
        <v>11</v>
      </c>
      <c r="C1438" t="s">
        <v>94</v>
      </c>
      <c r="D1438">
        <v>11</v>
      </c>
      <c r="E1438" s="2">
        <v>7.5</v>
      </c>
      <c r="F1438" s="2">
        <v>59.23</v>
      </c>
      <c r="G1438" s="2">
        <v>-52.57</v>
      </c>
      <c r="H1438" s="2">
        <v>-83.12</v>
      </c>
      <c r="I1438" s="2">
        <v>73.98</v>
      </c>
      <c r="J1438" s="2">
        <v>7.59</v>
      </c>
      <c r="K1438" s="2">
        <v>14.99</v>
      </c>
      <c r="L1438" s="2">
        <v>16.8</v>
      </c>
      <c r="M1438" s="2">
        <v>7.56</v>
      </c>
      <c r="N1438" t="s">
        <v>250</v>
      </c>
      <c r="O1438">
        <v>26</v>
      </c>
    </row>
    <row r="1439" spans="1:15">
      <c r="A1439" s="1">
        <v>46006</v>
      </c>
      <c r="B1439">
        <v>11</v>
      </c>
      <c r="C1439" t="s">
        <v>94</v>
      </c>
      <c r="D1439">
        <v>11</v>
      </c>
      <c r="E1439" s="2">
        <v>8</v>
      </c>
      <c r="F1439" s="2">
        <v>37.71</v>
      </c>
      <c r="G1439" s="2">
        <v>-28.72</v>
      </c>
      <c r="H1439" s="2">
        <v>-88.65</v>
      </c>
      <c r="I1439" s="2">
        <v>84.86</v>
      </c>
      <c r="J1439" s="2">
        <v>7.32</v>
      </c>
      <c r="K1439" s="2">
        <v>14.2</v>
      </c>
      <c r="L1439" s="2">
        <v>15.97</v>
      </c>
      <c r="M1439" s="2">
        <v>7.25</v>
      </c>
      <c r="N1439" t="s">
        <v>250</v>
      </c>
      <c r="O1439">
        <v>26</v>
      </c>
    </row>
    <row r="1440" spans="1:15">
      <c r="A1440" s="1">
        <v>46006</v>
      </c>
      <c r="B1440">
        <v>11</v>
      </c>
      <c r="C1440" t="s">
        <v>94</v>
      </c>
      <c r="D1440">
        <v>11</v>
      </c>
      <c r="E1440" s="2">
        <v>8.5</v>
      </c>
      <c r="F1440" s="2">
        <v>4.6900000000000004</v>
      </c>
      <c r="G1440" s="2">
        <v>3.06</v>
      </c>
      <c r="H1440" s="2">
        <v>-62.32</v>
      </c>
      <c r="I1440" s="2">
        <v>51.41</v>
      </c>
      <c r="J1440" s="2">
        <v>7.08</v>
      </c>
      <c r="K1440" s="2">
        <v>12.88</v>
      </c>
      <c r="L1440" s="2">
        <v>14.7</v>
      </c>
      <c r="M1440" s="2">
        <v>6.73</v>
      </c>
      <c r="N1440" t="s">
        <v>250</v>
      </c>
      <c r="O1440">
        <v>26</v>
      </c>
    </row>
    <row r="1441" spans="1:15">
      <c r="A1441" s="1">
        <v>46006</v>
      </c>
      <c r="B1441">
        <v>11</v>
      </c>
      <c r="C1441" t="s">
        <v>94</v>
      </c>
      <c r="D1441">
        <v>11</v>
      </c>
      <c r="E1441" s="2">
        <v>9</v>
      </c>
      <c r="F1441" s="2">
        <v>-40.619999999999997</v>
      </c>
      <c r="G1441" s="2">
        <v>50.43</v>
      </c>
      <c r="H1441" s="2">
        <v>-48.31</v>
      </c>
      <c r="I1441" s="2">
        <v>45.53</v>
      </c>
      <c r="J1441" s="2">
        <v>7</v>
      </c>
      <c r="K1441" s="2">
        <v>11.75</v>
      </c>
      <c r="L1441" s="2">
        <v>13.68</v>
      </c>
      <c r="M1441" s="2">
        <v>6.16</v>
      </c>
      <c r="N1441" t="s">
        <v>250</v>
      </c>
      <c r="O1441">
        <v>26</v>
      </c>
    </row>
    <row r="1442" spans="1:15">
      <c r="A1442" s="1">
        <v>46006</v>
      </c>
      <c r="B1442">
        <v>11</v>
      </c>
      <c r="C1442" t="s">
        <v>94</v>
      </c>
      <c r="D1442">
        <v>11</v>
      </c>
      <c r="E1442" s="2">
        <v>9.5</v>
      </c>
      <c r="F1442" s="2">
        <v>-121.22</v>
      </c>
      <c r="G1442" s="2">
        <v>127.5</v>
      </c>
      <c r="H1442" s="2">
        <v>-20.93</v>
      </c>
      <c r="I1442" s="2">
        <v>23.33</v>
      </c>
      <c r="J1442" s="2">
        <v>6.95</v>
      </c>
      <c r="K1442" s="2">
        <v>10.43</v>
      </c>
      <c r="L1442" s="2">
        <v>12.53</v>
      </c>
      <c r="M1442" s="2">
        <v>5.43</v>
      </c>
      <c r="N1442" t="s">
        <v>250</v>
      </c>
      <c r="O1442">
        <v>26</v>
      </c>
    </row>
    <row r="1443" spans="1:15">
      <c r="A1443" s="1">
        <v>46006</v>
      </c>
      <c r="B1443">
        <v>11</v>
      </c>
      <c r="C1443" t="s">
        <v>94</v>
      </c>
      <c r="D1443">
        <v>11</v>
      </c>
      <c r="E1443" s="2">
        <v>10</v>
      </c>
      <c r="F1443" s="2">
        <v>-224.97</v>
      </c>
      <c r="G1443" s="2">
        <v>235.95</v>
      </c>
      <c r="H1443" s="2">
        <v>-102.82</v>
      </c>
      <c r="I1443" s="2">
        <v>105.24</v>
      </c>
      <c r="J1443" s="2">
        <v>6.48</v>
      </c>
      <c r="K1443" s="2">
        <v>9.31</v>
      </c>
      <c r="L1443" s="2">
        <v>11.34</v>
      </c>
      <c r="M1443" s="2">
        <v>4.8</v>
      </c>
      <c r="N1443" t="s">
        <v>250</v>
      </c>
      <c r="O1443">
        <v>26</v>
      </c>
    </row>
    <row r="1444" spans="1:15">
      <c r="A1444" s="1">
        <v>46006</v>
      </c>
      <c r="B1444">
        <v>11</v>
      </c>
      <c r="C1444" t="s">
        <v>94</v>
      </c>
      <c r="D1444">
        <v>11</v>
      </c>
      <c r="E1444" s="2">
        <v>10.5</v>
      </c>
      <c r="F1444" s="2">
        <v>-207.04</v>
      </c>
      <c r="G1444" s="2">
        <v>217.59</v>
      </c>
      <c r="H1444" s="2">
        <v>-67.16</v>
      </c>
      <c r="I1444" s="2">
        <v>72.599999999999994</v>
      </c>
      <c r="J1444" s="2">
        <v>5.62</v>
      </c>
      <c r="K1444" s="2">
        <v>7.87</v>
      </c>
      <c r="L1444" s="2">
        <v>9.67</v>
      </c>
      <c r="M1444" s="2">
        <v>4.03</v>
      </c>
      <c r="N1444" t="s">
        <v>250</v>
      </c>
      <c r="O1444">
        <v>26</v>
      </c>
    </row>
    <row r="1445" spans="1:15">
      <c r="A1445" s="1">
        <v>46006</v>
      </c>
      <c r="B1445">
        <v>11</v>
      </c>
      <c r="C1445" t="s">
        <v>94</v>
      </c>
      <c r="D1445">
        <v>11</v>
      </c>
      <c r="E1445" s="2">
        <v>11</v>
      </c>
      <c r="F1445" s="2">
        <v>-181.97</v>
      </c>
      <c r="G1445" s="2">
        <v>185.27</v>
      </c>
      <c r="H1445" s="2">
        <v>-8.56</v>
      </c>
      <c r="I1445" s="2">
        <v>16.559999999999999</v>
      </c>
      <c r="J1445" s="2">
        <v>5.16</v>
      </c>
      <c r="K1445" s="2">
        <v>7.1</v>
      </c>
      <c r="L1445" s="2">
        <v>8.7799999999999994</v>
      </c>
      <c r="M1445" s="2">
        <v>3.49</v>
      </c>
      <c r="N1445" t="s">
        <v>250</v>
      </c>
      <c r="O1445">
        <v>26</v>
      </c>
    </row>
    <row r="1446" spans="1:15">
      <c r="A1446" s="1">
        <v>46006</v>
      </c>
      <c r="B1446">
        <v>11</v>
      </c>
      <c r="C1446" t="s">
        <v>94</v>
      </c>
      <c r="D1446">
        <v>11</v>
      </c>
      <c r="E1446" s="2">
        <v>11.5</v>
      </c>
      <c r="F1446" s="2">
        <v>-81.510000000000005</v>
      </c>
      <c r="G1446" s="2">
        <v>87.97</v>
      </c>
      <c r="H1446" s="2">
        <v>3.85</v>
      </c>
      <c r="I1446" s="2">
        <v>1.65</v>
      </c>
      <c r="J1446" s="2">
        <v>4.8099999999999996</v>
      </c>
      <c r="K1446" s="2">
        <v>6.66</v>
      </c>
      <c r="L1446" s="2">
        <v>8.2200000000000006</v>
      </c>
      <c r="M1446" s="2">
        <v>3.15</v>
      </c>
      <c r="N1446" t="s">
        <v>250</v>
      </c>
      <c r="O1446">
        <v>26</v>
      </c>
    </row>
    <row r="1447" spans="1:15">
      <c r="A1447" s="1">
        <v>46006</v>
      </c>
      <c r="B1447">
        <v>11</v>
      </c>
      <c r="C1447" t="s">
        <v>94</v>
      </c>
      <c r="D1447">
        <v>11</v>
      </c>
      <c r="E1447" s="2">
        <v>12</v>
      </c>
      <c r="F1447" s="2">
        <v>-147.04</v>
      </c>
      <c r="G1447" s="2">
        <v>158.01</v>
      </c>
      <c r="H1447" s="2">
        <v>-24.26</v>
      </c>
      <c r="I1447" s="2">
        <v>29.71</v>
      </c>
      <c r="J1447" s="2">
        <v>4.5999999999999996</v>
      </c>
      <c r="K1447" s="2">
        <v>6.41</v>
      </c>
      <c r="L1447" s="2">
        <v>7.89</v>
      </c>
      <c r="M1447" s="2">
        <v>2.96</v>
      </c>
      <c r="N1447" t="s">
        <v>250</v>
      </c>
      <c r="O1447">
        <v>26</v>
      </c>
    </row>
    <row r="1448" spans="1:15">
      <c r="A1448" s="1">
        <v>46006</v>
      </c>
      <c r="B1448">
        <v>11</v>
      </c>
      <c r="C1448" t="s">
        <v>94</v>
      </c>
      <c r="D1448">
        <v>11</v>
      </c>
      <c r="E1448" s="2">
        <v>12.5</v>
      </c>
      <c r="F1448" s="2">
        <v>-141.6</v>
      </c>
      <c r="G1448" s="2">
        <v>146.99</v>
      </c>
      <c r="H1448" s="2">
        <v>39.29</v>
      </c>
      <c r="I1448" s="2">
        <v>-35.25</v>
      </c>
      <c r="J1448" s="2">
        <v>4.5</v>
      </c>
      <c r="K1448" s="2">
        <v>5.95</v>
      </c>
      <c r="L1448" s="2">
        <v>7.46</v>
      </c>
      <c r="M1448" s="2">
        <v>2.71</v>
      </c>
      <c r="N1448" t="s">
        <v>250</v>
      </c>
      <c r="O1448">
        <v>26</v>
      </c>
    </row>
    <row r="1449" spans="1:15">
      <c r="A1449" s="1">
        <v>46006</v>
      </c>
      <c r="B1449">
        <v>11</v>
      </c>
      <c r="C1449" t="s">
        <v>94</v>
      </c>
      <c r="D1449">
        <v>11</v>
      </c>
      <c r="E1449" s="2">
        <v>13</v>
      </c>
      <c r="F1449" s="2">
        <v>-77.2</v>
      </c>
      <c r="G1449" s="2">
        <v>85.14</v>
      </c>
      <c r="H1449" s="2">
        <v>38.94</v>
      </c>
      <c r="I1449" s="2">
        <v>-27.3</v>
      </c>
      <c r="J1449" s="2">
        <v>4.25</v>
      </c>
      <c r="K1449" s="2">
        <v>5.66</v>
      </c>
      <c r="L1449" s="2">
        <v>7.08</v>
      </c>
      <c r="M1449" s="2">
        <v>2.4300000000000002</v>
      </c>
      <c r="N1449" t="s">
        <v>250</v>
      </c>
      <c r="O1449">
        <v>26</v>
      </c>
    </row>
    <row r="1450" spans="1:15">
      <c r="A1450" s="1">
        <v>46006</v>
      </c>
      <c r="B1450">
        <v>11</v>
      </c>
      <c r="C1450" t="s">
        <v>94</v>
      </c>
      <c r="D1450">
        <v>11</v>
      </c>
      <c r="E1450" s="2">
        <v>13.5</v>
      </c>
      <c r="F1450" s="2">
        <v>-70.38</v>
      </c>
      <c r="G1450" s="2">
        <v>77.16</v>
      </c>
      <c r="H1450" s="2">
        <v>38.869999999999997</v>
      </c>
      <c r="I1450" s="2">
        <v>-42.56</v>
      </c>
      <c r="J1450" s="2">
        <v>3.69</v>
      </c>
      <c r="K1450" s="2">
        <v>5.37</v>
      </c>
      <c r="L1450" s="2">
        <v>6.51</v>
      </c>
      <c r="M1450" s="2">
        <v>2.2000000000000002</v>
      </c>
      <c r="N1450" t="s">
        <v>250</v>
      </c>
      <c r="O1450">
        <v>26</v>
      </c>
    </row>
    <row r="1451" spans="1:15">
      <c r="A1451" s="1">
        <v>46006</v>
      </c>
      <c r="B1451">
        <v>11</v>
      </c>
      <c r="C1451" t="s">
        <v>94</v>
      </c>
      <c r="D1451">
        <v>11</v>
      </c>
      <c r="E1451" s="2">
        <v>14</v>
      </c>
      <c r="F1451" s="2">
        <v>-72.650000000000006</v>
      </c>
      <c r="G1451" s="2">
        <v>77.540000000000006</v>
      </c>
      <c r="H1451" s="2">
        <v>51.17</v>
      </c>
      <c r="I1451" s="2">
        <v>-53.48</v>
      </c>
      <c r="J1451" s="2">
        <v>2.88</v>
      </c>
      <c r="K1451" s="2">
        <v>4.84</v>
      </c>
      <c r="L1451" s="2">
        <v>5.63</v>
      </c>
      <c r="M1451" s="2">
        <v>1.78</v>
      </c>
      <c r="N1451" t="s">
        <v>250</v>
      </c>
      <c r="O1451">
        <v>26</v>
      </c>
    </row>
    <row r="1452" spans="1:15">
      <c r="A1452" s="1">
        <v>46006</v>
      </c>
      <c r="B1452">
        <v>11</v>
      </c>
      <c r="C1452" t="s">
        <v>94</v>
      </c>
      <c r="D1452">
        <v>11</v>
      </c>
      <c r="E1452" s="2">
        <v>14.5</v>
      </c>
      <c r="F1452" s="2">
        <v>-62.08</v>
      </c>
      <c r="G1452" s="2">
        <v>66.98</v>
      </c>
      <c r="H1452" s="2">
        <v>82.4</v>
      </c>
      <c r="I1452" s="2">
        <v>-79.92</v>
      </c>
      <c r="J1452" s="2">
        <v>1.98</v>
      </c>
      <c r="K1452" s="2">
        <v>3.99</v>
      </c>
      <c r="L1452" s="2">
        <v>4.46</v>
      </c>
      <c r="M1452" s="2">
        <v>1.33</v>
      </c>
      <c r="N1452" t="s">
        <v>250</v>
      </c>
      <c r="O1452">
        <v>26</v>
      </c>
    </row>
    <row r="1453" spans="1:15">
      <c r="A1453" s="1">
        <v>46006</v>
      </c>
      <c r="B1453">
        <v>11</v>
      </c>
      <c r="C1453" t="s">
        <v>94</v>
      </c>
      <c r="D1453">
        <v>11</v>
      </c>
      <c r="E1453" s="2">
        <v>15</v>
      </c>
      <c r="F1453" s="2">
        <v>-22.44</v>
      </c>
      <c r="G1453" s="2">
        <v>29.66</v>
      </c>
      <c r="H1453" s="2">
        <v>101.14</v>
      </c>
      <c r="I1453" s="2">
        <v>-93.42</v>
      </c>
      <c r="J1453" s="2">
        <v>1.1499999999999999</v>
      </c>
      <c r="K1453" s="2">
        <v>3.35</v>
      </c>
      <c r="L1453" s="2">
        <v>3.55</v>
      </c>
      <c r="M1453" s="2">
        <v>0.9</v>
      </c>
      <c r="N1453" t="s">
        <v>250</v>
      </c>
      <c r="O1453">
        <v>26</v>
      </c>
    </row>
    <row r="1454" spans="1:15">
      <c r="A1454" s="1">
        <v>46006</v>
      </c>
      <c r="B1454">
        <v>11</v>
      </c>
      <c r="C1454" t="s">
        <v>94</v>
      </c>
      <c r="D1454">
        <v>11</v>
      </c>
      <c r="E1454" s="2">
        <v>15.5</v>
      </c>
      <c r="F1454" s="2">
        <v>-77.28</v>
      </c>
      <c r="G1454" s="2">
        <v>78.16</v>
      </c>
      <c r="H1454" s="2">
        <v>65.78</v>
      </c>
      <c r="I1454" s="2">
        <v>-53.33</v>
      </c>
      <c r="J1454" s="2">
        <v>0.61</v>
      </c>
      <c r="K1454" s="2">
        <v>2.77</v>
      </c>
      <c r="L1454" s="2">
        <v>2.84</v>
      </c>
      <c r="M1454" s="2">
        <v>0.5</v>
      </c>
      <c r="N1454" t="s">
        <v>250</v>
      </c>
      <c r="O1454">
        <v>26</v>
      </c>
    </row>
    <row r="1455" spans="1:15">
      <c r="A1455" s="1">
        <v>46006</v>
      </c>
      <c r="B1455">
        <v>11</v>
      </c>
      <c r="C1455" t="s">
        <v>94</v>
      </c>
      <c r="D1455">
        <v>11</v>
      </c>
      <c r="E1455" s="2">
        <v>16</v>
      </c>
      <c r="F1455" s="2">
        <v>-13.86</v>
      </c>
      <c r="G1455" s="2">
        <v>19.190000000000001</v>
      </c>
      <c r="H1455" s="2">
        <v>-23.78</v>
      </c>
      <c r="I1455" s="2">
        <v>30.28</v>
      </c>
      <c r="J1455" s="2">
        <v>-1.02</v>
      </c>
      <c r="K1455" s="2">
        <v>0.86</v>
      </c>
      <c r="L1455" s="2">
        <v>1.33</v>
      </c>
      <c r="M1455" s="2">
        <v>7.0000000000000007E-2</v>
      </c>
      <c r="N1455" t="s">
        <v>250</v>
      </c>
      <c r="O1455">
        <v>26</v>
      </c>
    </row>
    <row r="1456" spans="1:15">
      <c r="A1456" s="1">
        <v>46006</v>
      </c>
      <c r="B1456">
        <v>11</v>
      </c>
      <c r="C1456" t="s">
        <v>94</v>
      </c>
      <c r="D1456">
        <v>11</v>
      </c>
      <c r="E1456" s="2">
        <v>16.5</v>
      </c>
      <c r="F1456" s="2">
        <v>5.44</v>
      </c>
      <c r="G1456" s="2">
        <v>-0.01</v>
      </c>
      <c r="H1456" s="2">
        <v>-14.31</v>
      </c>
      <c r="I1456" s="2">
        <v>15.11</v>
      </c>
      <c r="J1456" s="2">
        <v>-0.96</v>
      </c>
      <c r="K1456" s="2">
        <v>0.98</v>
      </c>
      <c r="L1456" s="2">
        <v>1.37</v>
      </c>
      <c r="M1456" s="2">
        <v>0.1</v>
      </c>
      <c r="N1456" t="s">
        <v>250</v>
      </c>
      <c r="O1456">
        <v>26</v>
      </c>
    </row>
    <row r="1457" spans="1:15">
      <c r="A1457" s="1">
        <v>46006</v>
      </c>
      <c r="B1457">
        <v>11</v>
      </c>
      <c r="C1457" t="s">
        <v>94</v>
      </c>
      <c r="D1457">
        <v>11</v>
      </c>
      <c r="E1457" s="2">
        <v>17</v>
      </c>
      <c r="F1457" s="2">
        <v>15.49</v>
      </c>
      <c r="G1457" s="2">
        <v>-12.17</v>
      </c>
      <c r="H1457" s="2">
        <v>0.95</v>
      </c>
      <c r="I1457" s="2">
        <v>-3.9</v>
      </c>
      <c r="J1457" s="2">
        <v>-0.92</v>
      </c>
      <c r="K1457" s="2">
        <v>1.03</v>
      </c>
      <c r="L1457" s="2">
        <v>1.38</v>
      </c>
      <c r="M1457" s="2">
        <v>0.09</v>
      </c>
      <c r="N1457" t="s">
        <v>250</v>
      </c>
      <c r="O1457">
        <v>26</v>
      </c>
    </row>
    <row r="1458" spans="1:15">
      <c r="A1458" s="1">
        <v>46006</v>
      </c>
      <c r="B1458">
        <v>11</v>
      </c>
      <c r="C1458" t="s">
        <v>94</v>
      </c>
      <c r="D1458">
        <v>11</v>
      </c>
      <c r="E1458" s="2">
        <v>17.5</v>
      </c>
      <c r="F1458" s="2">
        <v>-10.89</v>
      </c>
      <c r="G1458" s="2">
        <v>16.350000000000001</v>
      </c>
      <c r="H1458" s="2">
        <v>31.62</v>
      </c>
      <c r="I1458" s="2">
        <v>-31.09</v>
      </c>
      <c r="J1458" s="2">
        <v>-0.96</v>
      </c>
      <c r="K1458" s="2">
        <v>1.1599999999999999</v>
      </c>
      <c r="L1458" s="2">
        <v>1.51</v>
      </c>
      <c r="M1458" s="2">
        <v>0.12</v>
      </c>
      <c r="N1458" t="s">
        <v>250</v>
      </c>
      <c r="O1458">
        <v>26</v>
      </c>
    </row>
    <row r="1459" spans="1:15">
      <c r="A1459" s="1">
        <v>46006</v>
      </c>
      <c r="B1459">
        <v>11</v>
      </c>
      <c r="C1459" t="s">
        <v>94</v>
      </c>
      <c r="D1459">
        <v>11</v>
      </c>
      <c r="E1459" s="2">
        <v>18</v>
      </c>
      <c r="F1459" s="2">
        <v>-30.96</v>
      </c>
      <c r="G1459" s="2">
        <v>34.68</v>
      </c>
      <c r="H1459" s="2">
        <v>48.8</v>
      </c>
      <c r="I1459" s="2">
        <v>-44.87</v>
      </c>
      <c r="J1459" s="2">
        <v>-0.95</v>
      </c>
      <c r="K1459" s="2">
        <v>1.1299999999999999</v>
      </c>
      <c r="L1459" s="2">
        <v>1.48</v>
      </c>
      <c r="M1459" s="2">
        <v>7.0000000000000007E-2</v>
      </c>
      <c r="N1459" t="s">
        <v>250</v>
      </c>
      <c r="O1459">
        <v>26</v>
      </c>
    </row>
    <row r="1460" spans="1:15">
      <c r="A1460" s="1">
        <v>46006</v>
      </c>
      <c r="B1460">
        <v>11</v>
      </c>
      <c r="C1460" t="s">
        <v>94</v>
      </c>
      <c r="D1460">
        <v>11</v>
      </c>
      <c r="E1460" s="2">
        <v>18.5</v>
      </c>
      <c r="F1460" s="2">
        <v>-34.17</v>
      </c>
      <c r="G1460" s="2">
        <v>45.9</v>
      </c>
      <c r="H1460" s="2">
        <v>56.81</v>
      </c>
      <c r="I1460" s="2">
        <v>-51.48</v>
      </c>
      <c r="J1460" s="2">
        <v>-0.95</v>
      </c>
      <c r="K1460" s="2">
        <v>1.18</v>
      </c>
      <c r="L1460" s="2">
        <v>1.52</v>
      </c>
      <c r="M1460" s="2">
        <v>0.05</v>
      </c>
      <c r="N1460" t="s">
        <v>250</v>
      </c>
      <c r="O1460">
        <v>26</v>
      </c>
    </row>
    <row r="1461" spans="1:15">
      <c r="A1461" s="1">
        <v>46006</v>
      </c>
      <c r="B1461">
        <v>11</v>
      </c>
      <c r="C1461" t="s">
        <v>94</v>
      </c>
      <c r="D1461">
        <v>11</v>
      </c>
      <c r="E1461" s="2">
        <v>19</v>
      </c>
      <c r="F1461" s="2">
        <v>-139.19</v>
      </c>
      <c r="G1461" s="2">
        <v>136.91</v>
      </c>
      <c r="H1461" s="2">
        <v>-35.950000000000003</v>
      </c>
      <c r="I1461" s="2">
        <v>46.36</v>
      </c>
      <c r="J1461" s="2">
        <v>-0.93</v>
      </c>
      <c r="K1461" s="2">
        <v>0.9</v>
      </c>
      <c r="L1461" s="2">
        <v>1.3</v>
      </c>
      <c r="M1461" s="2">
        <v>-0.14000000000000001</v>
      </c>
      <c r="N1461" t="s">
        <v>250</v>
      </c>
      <c r="O1461">
        <v>26</v>
      </c>
    </row>
    <row r="1462" spans="1:15">
      <c r="A1462" s="1">
        <v>46006</v>
      </c>
      <c r="B1462">
        <v>11</v>
      </c>
      <c r="C1462" t="s">
        <v>94</v>
      </c>
      <c r="D1462">
        <v>11</v>
      </c>
      <c r="E1462" s="2">
        <v>19.5</v>
      </c>
      <c r="F1462" s="2">
        <v>-133.68</v>
      </c>
      <c r="G1462" s="2">
        <v>137.19999999999999</v>
      </c>
      <c r="H1462" s="2">
        <v>-46.7</v>
      </c>
      <c r="I1462" s="2">
        <v>37.090000000000003</v>
      </c>
      <c r="J1462" s="2">
        <v>-0.98</v>
      </c>
      <c r="K1462" s="2">
        <v>0.83</v>
      </c>
      <c r="L1462" s="2">
        <v>1.28</v>
      </c>
      <c r="M1462" s="2">
        <v>-0.2</v>
      </c>
      <c r="N1462" t="s">
        <v>250</v>
      </c>
      <c r="O1462">
        <v>26</v>
      </c>
    </row>
    <row r="1463" spans="1:15">
      <c r="A1463" s="1">
        <v>46006</v>
      </c>
      <c r="B1463">
        <v>11</v>
      </c>
      <c r="C1463" t="s">
        <v>94</v>
      </c>
      <c r="D1463">
        <v>11</v>
      </c>
      <c r="E1463" s="2">
        <v>20</v>
      </c>
      <c r="F1463" s="2">
        <v>-144.30000000000001</v>
      </c>
      <c r="G1463" s="2">
        <v>147.99</v>
      </c>
      <c r="H1463" s="2">
        <v>-46.66</v>
      </c>
      <c r="I1463" s="2">
        <v>37.299999999999997</v>
      </c>
      <c r="J1463" s="2">
        <v>-1.04</v>
      </c>
      <c r="K1463" s="2">
        <v>0.71</v>
      </c>
      <c r="L1463" s="2">
        <v>1.26</v>
      </c>
      <c r="M1463" s="2">
        <v>-0.14000000000000001</v>
      </c>
      <c r="N1463" t="s">
        <v>250</v>
      </c>
      <c r="O1463">
        <v>26</v>
      </c>
    </row>
    <row r="1464" spans="1:15">
      <c r="A1464" s="1">
        <v>46006</v>
      </c>
      <c r="B1464">
        <v>11</v>
      </c>
      <c r="C1464" t="s">
        <v>94</v>
      </c>
      <c r="D1464">
        <v>11</v>
      </c>
      <c r="E1464" s="2">
        <v>20.5</v>
      </c>
      <c r="F1464" s="2">
        <v>-166.97</v>
      </c>
      <c r="G1464" s="2">
        <v>170.65</v>
      </c>
      <c r="H1464" s="2">
        <v>-25.49</v>
      </c>
      <c r="I1464" s="2">
        <v>15.05</v>
      </c>
      <c r="J1464" s="2">
        <v>-1.1000000000000001</v>
      </c>
      <c r="K1464" s="2">
        <v>0.6</v>
      </c>
      <c r="L1464" s="2">
        <v>1.25</v>
      </c>
      <c r="M1464" s="2">
        <v>-0.02</v>
      </c>
      <c r="N1464" t="s">
        <v>250</v>
      </c>
      <c r="O1464">
        <v>26</v>
      </c>
    </row>
    <row r="1465" spans="1:15">
      <c r="A1465" s="1">
        <v>46006</v>
      </c>
      <c r="B1465">
        <v>11</v>
      </c>
      <c r="C1465" t="s">
        <v>94</v>
      </c>
      <c r="D1465">
        <v>11</v>
      </c>
      <c r="E1465" s="2">
        <v>21</v>
      </c>
      <c r="F1465" s="2">
        <v>-154.43</v>
      </c>
      <c r="G1465" s="2">
        <v>157.29</v>
      </c>
      <c r="H1465" s="2">
        <v>-11.03</v>
      </c>
      <c r="I1465" s="2">
        <v>12.49</v>
      </c>
      <c r="J1465" s="2">
        <v>-1.0900000000000001</v>
      </c>
      <c r="K1465" s="2">
        <v>0.59</v>
      </c>
      <c r="L1465" s="2">
        <v>1.24</v>
      </c>
      <c r="M1465" s="2">
        <v>0.02</v>
      </c>
      <c r="N1465" t="s">
        <v>250</v>
      </c>
      <c r="O1465">
        <v>26</v>
      </c>
    </row>
    <row r="1466" spans="1:15">
      <c r="A1466" s="1">
        <v>46006</v>
      </c>
      <c r="B1466">
        <v>11</v>
      </c>
      <c r="C1466" t="s">
        <v>94</v>
      </c>
      <c r="D1466">
        <v>11</v>
      </c>
      <c r="E1466" s="2">
        <v>21.5</v>
      </c>
      <c r="F1466" s="2">
        <v>-76.290000000000006</v>
      </c>
      <c r="G1466" s="2">
        <v>82.37</v>
      </c>
      <c r="H1466" s="2">
        <v>-22.82</v>
      </c>
      <c r="I1466" s="2">
        <v>33.24</v>
      </c>
      <c r="J1466" s="2">
        <v>-1.06</v>
      </c>
      <c r="K1466" s="2">
        <v>0.75</v>
      </c>
      <c r="L1466" s="2">
        <v>1.3</v>
      </c>
      <c r="M1466" s="2">
        <v>0.11</v>
      </c>
      <c r="N1466" t="s">
        <v>250</v>
      </c>
      <c r="O1466">
        <v>26</v>
      </c>
    </row>
    <row r="1467" spans="1:15">
      <c r="A1467" s="1">
        <v>46006</v>
      </c>
      <c r="B1467">
        <v>11</v>
      </c>
      <c r="C1467" t="s">
        <v>94</v>
      </c>
      <c r="D1467">
        <v>11</v>
      </c>
      <c r="E1467" s="2">
        <v>22</v>
      </c>
      <c r="F1467" s="2">
        <v>-0.56999999999999995</v>
      </c>
      <c r="G1467" s="2">
        <v>2.0699999999999998</v>
      </c>
      <c r="H1467" s="2">
        <v>-95.97</v>
      </c>
      <c r="I1467" s="2">
        <v>99.88</v>
      </c>
      <c r="J1467" s="2">
        <v>-1.1000000000000001</v>
      </c>
      <c r="K1467" s="2">
        <v>0.67</v>
      </c>
      <c r="L1467" s="2">
        <v>1.29</v>
      </c>
      <c r="M1467" s="2">
        <v>0.11</v>
      </c>
      <c r="N1467" t="s">
        <v>250</v>
      </c>
      <c r="O1467">
        <v>26</v>
      </c>
    </row>
    <row r="1468" spans="1:15">
      <c r="A1468" s="1">
        <v>46006</v>
      </c>
      <c r="B1468">
        <v>11</v>
      </c>
      <c r="C1468" t="s">
        <v>94</v>
      </c>
      <c r="D1468">
        <v>11</v>
      </c>
      <c r="E1468" s="2">
        <v>22.5</v>
      </c>
      <c r="F1468" s="2">
        <v>-37.21</v>
      </c>
      <c r="G1468" s="2">
        <v>39.79</v>
      </c>
      <c r="H1468" s="2">
        <v>-43.41</v>
      </c>
      <c r="I1468" s="2">
        <v>48.31</v>
      </c>
      <c r="J1468" s="2">
        <v>-1.31</v>
      </c>
      <c r="K1468" s="2">
        <v>0.77</v>
      </c>
      <c r="L1468" s="2">
        <v>1.52</v>
      </c>
      <c r="M1468" s="2">
        <v>0.19</v>
      </c>
      <c r="N1468" t="s">
        <v>250</v>
      </c>
      <c r="O1468">
        <v>26</v>
      </c>
    </row>
    <row r="1469" spans="1:15">
      <c r="A1469" s="1">
        <v>46006</v>
      </c>
      <c r="B1469">
        <v>11</v>
      </c>
      <c r="C1469" t="s">
        <v>94</v>
      </c>
      <c r="D1469">
        <v>11</v>
      </c>
      <c r="E1469" s="2">
        <v>23</v>
      </c>
      <c r="F1469" s="2">
        <v>-55.77</v>
      </c>
      <c r="G1469" s="2">
        <v>56.22</v>
      </c>
      <c r="H1469" s="2">
        <v>-12.71</v>
      </c>
      <c r="I1469" s="2">
        <v>7.81</v>
      </c>
      <c r="J1469" s="2">
        <v>-1.65</v>
      </c>
      <c r="K1469" s="2">
        <v>0.62</v>
      </c>
      <c r="L1469" s="2">
        <v>1.76</v>
      </c>
      <c r="M1469" s="2">
        <v>0.21</v>
      </c>
      <c r="N1469" t="s">
        <v>250</v>
      </c>
      <c r="O1469">
        <v>26</v>
      </c>
    </row>
    <row r="1470" spans="1:15">
      <c r="A1470" s="1">
        <v>46006</v>
      </c>
      <c r="B1470">
        <v>11</v>
      </c>
      <c r="C1470" t="s">
        <v>94</v>
      </c>
      <c r="D1470">
        <v>11</v>
      </c>
      <c r="E1470" s="2">
        <v>23.5</v>
      </c>
      <c r="F1470" s="2">
        <v>-62.17</v>
      </c>
      <c r="G1470" s="2">
        <v>65.62</v>
      </c>
      <c r="H1470" s="2">
        <v>12.26</v>
      </c>
      <c r="I1470" s="2">
        <v>-16.260000000000002</v>
      </c>
      <c r="J1470" s="2">
        <v>-1.84</v>
      </c>
      <c r="K1470" s="2">
        <v>0.36</v>
      </c>
      <c r="L1470" s="2">
        <v>1.87</v>
      </c>
      <c r="M1470" s="2">
        <v>0.16</v>
      </c>
      <c r="N1470" t="s">
        <v>250</v>
      </c>
      <c r="O1470">
        <v>26</v>
      </c>
    </row>
    <row r="1471" spans="1:15">
      <c r="A1471" s="1">
        <v>46006</v>
      </c>
      <c r="B1471">
        <v>11</v>
      </c>
      <c r="C1471" t="s">
        <v>94</v>
      </c>
      <c r="D1471">
        <v>11</v>
      </c>
      <c r="E1471" s="2">
        <v>24</v>
      </c>
      <c r="F1471" s="2">
        <v>-75.89</v>
      </c>
      <c r="G1471" s="2">
        <v>80.42</v>
      </c>
      <c r="H1471" s="2">
        <v>18.559999999999999</v>
      </c>
      <c r="I1471" s="2">
        <v>-19.29</v>
      </c>
      <c r="J1471" s="2">
        <v>-1.74</v>
      </c>
      <c r="K1471" s="2">
        <v>0.17</v>
      </c>
      <c r="L1471" s="2">
        <v>1.75</v>
      </c>
      <c r="M1471" s="2">
        <v>0.11</v>
      </c>
      <c r="N1471" t="s">
        <v>250</v>
      </c>
      <c r="O1471">
        <v>26</v>
      </c>
    </row>
    <row r="1472" spans="1:15">
      <c r="A1472" s="1">
        <v>46006</v>
      </c>
      <c r="B1472">
        <v>11</v>
      </c>
      <c r="C1472" t="s">
        <v>94</v>
      </c>
      <c r="D1472">
        <v>11</v>
      </c>
      <c r="E1472" s="2">
        <v>24.5</v>
      </c>
      <c r="F1472" s="2">
        <v>-106.03</v>
      </c>
      <c r="G1472" s="2">
        <v>93.01</v>
      </c>
      <c r="H1472" s="2">
        <v>46.57</v>
      </c>
      <c r="I1472" s="2">
        <v>-27.66</v>
      </c>
      <c r="J1472" s="2">
        <v>-1.42</v>
      </c>
      <c r="K1472" s="2">
        <v>0.08</v>
      </c>
      <c r="L1472" s="2">
        <v>1.43</v>
      </c>
      <c r="M1472" s="2">
        <v>7.0000000000000007E-2</v>
      </c>
      <c r="N1472" t="s">
        <v>250</v>
      </c>
      <c r="O1472">
        <v>26</v>
      </c>
    </row>
    <row r="1473" spans="1:15">
      <c r="A1473" s="1">
        <v>46006</v>
      </c>
      <c r="B1473">
        <v>11</v>
      </c>
      <c r="C1473" t="s">
        <v>94</v>
      </c>
      <c r="D1473">
        <v>11</v>
      </c>
      <c r="E1473" s="2">
        <v>25</v>
      </c>
      <c r="F1473" s="2">
        <v>-108</v>
      </c>
      <c r="G1473" s="2">
        <v>118</v>
      </c>
      <c r="H1473" s="2">
        <v>-37.1</v>
      </c>
      <c r="I1473" s="2">
        <v>57.83</v>
      </c>
      <c r="J1473" s="2">
        <v>-0.91</v>
      </c>
      <c r="K1473" s="2">
        <v>0.71</v>
      </c>
      <c r="L1473" s="2">
        <v>1.1499999999999999</v>
      </c>
      <c r="M1473" s="2">
        <v>0.28999999999999998</v>
      </c>
      <c r="N1473" t="s">
        <v>250</v>
      </c>
      <c r="O1473">
        <v>26</v>
      </c>
    </row>
    <row r="1474" spans="1:15">
      <c r="A1474" s="1">
        <v>46006</v>
      </c>
      <c r="B1474">
        <v>11</v>
      </c>
      <c r="C1474" t="s">
        <v>94</v>
      </c>
      <c r="D1474">
        <v>11</v>
      </c>
      <c r="E1474" s="2">
        <v>25.5</v>
      </c>
      <c r="F1474" s="2">
        <v>-100.93</v>
      </c>
      <c r="G1474" s="2">
        <v>104.6</v>
      </c>
      <c r="H1474" s="2">
        <v>-45.11</v>
      </c>
      <c r="I1474" s="2">
        <v>35.76</v>
      </c>
      <c r="J1474" s="2">
        <v>-0.96</v>
      </c>
      <c r="K1474" s="2">
        <v>0.47</v>
      </c>
      <c r="L1474" s="2">
        <v>1.07</v>
      </c>
      <c r="M1474" s="2">
        <v>0.17</v>
      </c>
      <c r="N1474" t="s">
        <v>250</v>
      </c>
      <c r="O1474">
        <v>26</v>
      </c>
    </row>
    <row r="1475" spans="1:15">
      <c r="A1475" s="1">
        <v>46006</v>
      </c>
      <c r="B1475">
        <v>11</v>
      </c>
      <c r="C1475" t="s">
        <v>94</v>
      </c>
      <c r="D1475">
        <v>11</v>
      </c>
      <c r="E1475" s="2">
        <v>26</v>
      </c>
      <c r="F1475" s="2">
        <v>-60.09</v>
      </c>
      <c r="G1475" s="2">
        <v>63.34</v>
      </c>
      <c r="H1475" s="2">
        <v>-33.6</v>
      </c>
      <c r="I1475" s="2">
        <v>27.65</v>
      </c>
      <c r="J1475" s="2">
        <v>-1.18</v>
      </c>
      <c r="K1475" s="2">
        <v>0.33</v>
      </c>
      <c r="L1475" s="2">
        <v>1.23</v>
      </c>
      <c r="M1475" s="2">
        <v>0.23</v>
      </c>
      <c r="N1475" t="s">
        <v>250</v>
      </c>
      <c r="O1475">
        <v>26</v>
      </c>
    </row>
    <row r="1476" spans="1:15">
      <c r="A1476" s="1">
        <v>46006</v>
      </c>
      <c r="B1476">
        <v>11</v>
      </c>
      <c r="C1476" t="s">
        <v>94</v>
      </c>
      <c r="D1476">
        <v>11</v>
      </c>
      <c r="E1476" s="2">
        <v>26.5</v>
      </c>
      <c r="F1476" s="2">
        <v>-9.9700000000000006</v>
      </c>
      <c r="G1476" s="2">
        <v>12.21</v>
      </c>
      <c r="H1476" s="2">
        <v>2.0099999999999998</v>
      </c>
      <c r="I1476" s="2">
        <v>-9.48</v>
      </c>
      <c r="J1476" s="2">
        <v>-1.18</v>
      </c>
      <c r="K1476" s="2">
        <v>0.24</v>
      </c>
      <c r="L1476" s="2">
        <v>1.2</v>
      </c>
      <c r="M1476" s="2">
        <v>0.2</v>
      </c>
      <c r="N1476" t="s">
        <v>250</v>
      </c>
      <c r="O1476">
        <v>26</v>
      </c>
    </row>
    <row r="1477" spans="1:15">
      <c r="A1477" s="1">
        <v>46006</v>
      </c>
      <c r="B1477">
        <v>11</v>
      </c>
      <c r="C1477" t="s">
        <v>94</v>
      </c>
      <c r="D1477">
        <v>11</v>
      </c>
      <c r="E1477" s="2">
        <v>27</v>
      </c>
      <c r="F1477" s="2">
        <v>43.99</v>
      </c>
      <c r="G1477" s="2">
        <v>-41.03</v>
      </c>
      <c r="H1477" s="2">
        <v>54.26</v>
      </c>
      <c r="I1477" s="2">
        <v>-49.88</v>
      </c>
      <c r="J1477" s="2">
        <v>-0.67</v>
      </c>
      <c r="K1477" s="2">
        <v>0.15</v>
      </c>
      <c r="L1477" s="2">
        <v>0.68</v>
      </c>
      <c r="M1477" s="2">
        <v>0.1</v>
      </c>
      <c r="N1477" t="s">
        <v>250</v>
      </c>
      <c r="O1477">
        <v>26</v>
      </c>
    </row>
    <row r="1478" spans="1:15">
      <c r="A1478" s="1">
        <v>46006</v>
      </c>
      <c r="B1478">
        <v>11</v>
      </c>
      <c r="C1478" t="s">
        <v>99</v>
      </c>
      <c r="D1478">
        <v>11</v>
      </c>
      <c r="E1478" s="2">
        <v>0.5</v>
      </c>
      <c r="F1478" s="2">
        <v>-399.35</v>
      </c>
      <c r="G1478" s="2">
        <v>394.76</v>
      </c>
      <c r="H1478" s="2">
        <v>-126.27</v>
      </c>
      <c r="I1478" s="2">
        <v>133.08000000000001</v>
      </c>
      <c r="J1478" s="2">
        <v>1.8</v>
      </c>
      <c r="K1478" s="2">
        <v>-7.36</v>
      </c>
      <c r="L1478" s="2">
        <v>7.57</v>
      </c>
      <c r="M1478" s="2">
        <v>2.38</v>
      </c>
      <c r="N1478" t="s">
        <v>250</v>
      </c>
      <c r="O1478">
        <v>48</v>
      </c>
    </row>
    <row r="1479" spans="1:15">
      <c r="A1479" s="1">
        <v>46006</v>
      </c>
      <c r="B1479">
        <v>11</v>
      </c>
      <c r="C1479" t="s">
        <v>99</v>
      </c>
      <c r="D1479">
        <v>11</v>
      </c>
      <c r="E1479" s="2">
        <v>1</v>
      </c>
      <c r="F1479" s="2">
        <v>-390.94</v>
      </c>
      <c r="G1479" s="2">
        <v>394.83</v>
      </c>
      <c r="H1479" s="2">
        <v>-127.11</v>
      </c>
      <c r="I1479" s="2">
        <v>130.84</v>
      </c>
      <c r="J1479" s="2">
        <v>2.29</v>
      </c>
      <c r="K1479" s="2">
        <v>-6.26</v>
      </c>
      <c r="L1479" s="2">
        <v>6.67</v>
      </c>
      <c r="M1479" s="2">
        <v>1.46</v>
      </c>
      <c r="N1479" t="s">
        <v>250</v>
      </c>
      <c r="O1479">
        <v>48</v>
      </c>
    </row>
    <row r="1480" spans="1:15">
      <c r="A1480" s="1">
        <v>46006</v>
      </c>
      <c r="B1480">
        <v>11</v>
      </c>
      <c r="C1480" t="s">
        <v>99</v>
      </c>
      <c r="D1480">
        <v>11</v>
      </c>
      <c r="E1480" s="2">
        <v>1.5</v>
      </c>
      <c r="F1480" s="2">
        <v>-375.13</v>
      </c>
      <c r="G1480" s="2">
        <v>378.63</v>
      </c>
      <c r="H1480" s="2">
        <v>-150.65</v>
      </c>
      <c r="I1480" s="2">
        <v>146.08000000000001</v>
      </c>
      <c r="J1480" s="2">
        <v>2.96</v>
      </c>
      <c r="K1480" s="2">
        <v>-5.18</v>
      </c>
      <c r="L1480" s="2">
        <v>5.96</v>
      </c>
      <c r="M1480" s="2">
        <v>0.74</v>
      </c>
      <c r="N1480" t="s">
        <v>250</v>
      </c>
      <c r="O1480">
        <v>48</v>
      </c>
    </row>
    <row r="1481" spans="1:15">
      <c r="A1481" s="1">
        <v>46006</v>
      </c>
      <c r="B1481">
        <v>11</v>
      </c>
      <c r="C1481" t="s">
        <v>99</v>
      </c>
      <c r="D1481">
        <v>11</v>
      </c>
      <c r="E1481" s="2">
        <v>2</v>
      </c>
      <c r="F1481" s="2">
        <v>-331.67</v>
      </c>
      <c r="G1481" s="2">
        <v>339.37</v>
      </c>
      <c r="H1481" s="2">
        <v>-207.73</v>
      </c>
      <c r="I1481" s="2">
        <v>206.31</v>
      </c>
      <c r="J1481" s="2">
        <v>3.13</v>
      </c>
      <c r="K1481" s="2">
        <v>-4.8899999999999997</v>
      </c>
      <c r="L1481" s="2">
        <v>5.81</v>
      </c>
      <c r="M1481" s="2">
        <v>0.28000000000000003</v>
      </c>
      <c r="N1481" t="s">
        <v>250</v>
      </c>
      <c r="O1481">
        <v>48</v>
      </c>
    </row>
    <row r="1482" spans="1:15">
      <c r="A1482" s="1">
        <v>46006</v>
      </c>
      <c r="B1482">
        <v>11</v>
      </c>
      <c r="C1482" t="s">
        <v>99</v>
      </c>
      <c r="D1482">
        <v>11</v>
      </c>
      <c r="E1482" s="2">
        <v>2.5</v>
      </c>
      <c r="F1482" s="2">
        <v>-306.07</v>
      </c>
      <c r="G1482" s="2">
        <v>313.19</v>
      </c>
      <c r="H1482" s="2">
        <v>-193.24</v>
      </c>
      <c r="I1482" s="2">
        <v>196.58</v>
      </c>
      <c r="J1482" s="2">
        <v>3.22</v>
      </c>
      <c r="K1482" s="2">
        <v>-4.7300000000000004</v>
      </c>
      <c r="L1482" s="2">
        <v>5.72</v>
      </c>
      <c r="M1482" s="2">
        <v>0.26</v>
      </c>
      <c r="N1482" t="s">
        <v>250</v>
      </c>
      <c r="O1482">
        <v>48</v>
      </c>
    </row>
    <row r="1483" spans="1:15">
      <c r="A1483" s="1">
        <v>46006</v>
      </c>
      <c r="B1483">
        <v>11</v>
      </c>
      <c r="C1483" t="s">
        <v>99</v>
      </c>
      <c r="D1483">
        <v>11</v>
      </c>
      <c r="E1483" s="2">
        <v>3</v>
      </c>
      <c r="F1483" s="2">
        <v>-269</v>
      </c>
      <c r="G1483" s="2">
        <v>275.06</v>
      </c>
      <c r="H1483" s="2">
        <v>-139.87</v>
      </c>
      <c r="I1483" s="2">
        <v>133.41</v>
      </c>
      <c r="J1483" s="2">
        <v>3.25</v>
      </c>
      <c r="K1483" s="2">
        <v>-4.8600000000000003</v>
      </c>
      <c r="L1483" s="2">
        <v>5.84</v>
      </c>
      <c r="M1483" s="2">
        <v>0.28000000000000003</v>
      </c>
      <c r="N1483" t="s">
        <v>250</v>
      </c>
      <c r="O1483">
        <v>48</v>
      </c>
    </row>
    <row r="1484" spans="1:15">
      <c r="A1484" s="1">
        <v>46006</v>
      </c>
      <c r="B1484">
        <v>11</v>
      </c>
      <c r="C1484" t="s">
        <v>99</v>
      </c>
      <c r="D1484">
        <v>11</v>
      </c>
      <c r="E1484" s="2">
        <v>3.5</v>
      </c>
      <c r="F1484" s="2">
        <v>-205.24</v>
      </c>
      <c r="G1484" s="2">
        <v>211.06</v>
      </c>
      <c r="H1484" s="2">
        <v>-77.7</v>
      </c>
      <c r="I1484" s="2">
        <v>69.260000000000005</v>
      </c>
      <c r="J1484" s="2">
        <v>3.32</v>
      </c>
      <c r="K1484" s="2">
        <v>-4.83</v>
      </c>
      <c r="L1484" s="2">
        <v>5.86</v>
      </c>
      <c r="M1484" s="2">
        <v>0.28999999999999998</v>
      </c>
      <c r="N1484" t="s">
        <v>250</v>
      </c>
      <c r="O1484">
        <v>48</v>
      </c>
    </row>
    <row r="1485" spans="1:15">
      <c r="A1485" s="1">
        <v>46006</v>
      </c>
      <c r="B1485">
        <v>11</v>
      </c>
      <c r="C1485" t="s">
        <v>99</v>
      </c>
      <c r="D1485">
        <v>11</v>
      </c>
      <c r="E1485" s="2">
        <v>4</v>
      </c>
      <c r="F1485" s="2">
        <v>-148.35</v>
      </c>
      <c r="G1485" s="2">
        <v>157.44</v>
      </c>
      <c r="H1485" s="2">
        <v>-66.489999999999995</v>
      </c>
      <c r="I1485" s="2">
        <v>70.569999999999993</v>
      </c>
      <c r="J1485" s="2">
        <v>3.5</v>
      </c>
      <c r="K1485" s="2">
        <v>-4.5</v>
      </c>
      <c r="L1485" s="2">
        <v>5.7</v>
      </c>
      <c r="M1485" s="2">
        <v>0.18</v>
      </c>
      <c r="N1485" t="s">
        <v>250</v>
      </c>
      <c r="O1485">
        <v>48</v>
      </c>
    </row>
    <row r="1486" spans="1:15">
      <c r="A1486" s="1">
        <v>46006</v>
      </c>
      <c r="B1486">
        <v>11</v>
      </c>
      <c r="C1486" t="s">
        <v>99</v>
      </c>
      <c r="D1486">
        <v>11</v>
      </c>
      <c r="E1486" s="2">
        <v>4.5</v>
      </c>
      <c r="F1486" s="2">
        <v>-101.62</v>
      </c>
      <c r="G1486" s="2">
        <v>105.42</v>
      </c>
      <c r="H1486" s="2">
        <v>-123.85</v>
      </c>
      <c r="I1486" s="2">
        <v>116.37</v>
      </c>
      <c r="J1486" s="2">
        <v>3.66</v>
      </c>
      <c r="K1486" s="2">
        <v>-4.53</v>
      </c>
      <c r="L1486" s="2">
        <v>5.83</v>
      </c>
      <c r="M1486" s="2">
        <v>0.18</v>
      </c>
      <c r="N1486" t="s">
        <v>250</v>
      </c>
      <c r="O1486">
        <v>48</v>
      </c>
    </row>
    <row r="1487" spans="1:15">
      <c r="A1487" s="1">
        <v>46006</v>
      </c>
      <c r="B1487">
        <v>11</v>
      </c>
      <c r="C1487" t="s">
        <v>99</v>
      </c>
      <c r="D1487">
        <v>11</v>
      </c>
      <c r="E1487" s="2">
        <v>5</v>
      </c>
      <c r="F1487" s="2">
        <v>-26.4</v>
      </c>
      <c r="G1487" s="2">
        <v>32.130000000000003</v>
      </c>
      <c r="H1487" s="2">
        <v>-159.94</v>
      </c>
      <c r="I1487" s="2">
        <v>147.22999999999999</v>
      </c>
      <c r="J1487" s="2">
        <v>3.82</v>
      </c>
      <c r="K1487" s="2">
        <v>-4.62</v>
      </c>
      <c r="L1487" s="2">
        <v>5.99</v>
      </c>
      <c r="M1487" s="2">
        <v>7.0000000000000007E-2</v>
      </c>
      <c r="N1487" t="s">
        <v>250</v>
      </c>
      <c r="O1487">
        <v>48</v>
      </c>
    </row>
    <row r="1488" spans="1:15">
      <c r="A1488" s="1">
        <v>46006</v>
      </c>
      <c r="B1488">
        <v>11</v>
      </c>
      <c r="C1488" t="s">
        <v>99</v>
      </c>
      <c r="D1488">
        <v>11</v>
      </c>
      <c r="E1488" s="2">
        <v>5.5</v>
      </c>
      <c r="F1488" s="2">
        <v>41.06</v>
      </c>
      <c r="G1488" s="2">
        <v>-33.840000000000003</v>
      </c>
      <c r="H1488" s="2">
        <v>-155.47</v>
      </c>
      <c r="I1488" s="2">
        <v>149.08000000000001</v>
      </c>
      <c r="J1488" s="2">
        <v>4.07</v>
      </c>
      <c r="K1488" s="2">
        <v>-4.66</v>
      </c>
      <c r="L1488" s="2">
        <v>6.18</v>
      </c>
      <c r="M1488" s="2">
        <v>-0.15</v>
      </c>
      <c r="N1488" t="s">
        <v>250</v>
      </c>
      <c r="O1488">
        <v>48</v>
      </c>
    </row>
    <row r="1489" spans="1:15">
      <c r="A1489" s="1">
        <v>46006</v>
      </c>
      <c r="B1489">
        <v>11</v>
      </c>
      <c r="C1489" t="s">
        <v>99</v>
      </c>
      <c r="D1489">
        <v>11</v>
      </c>
      <c r="E1489" s="2">
        <v>6</v>
      </c>
      <c r="F1489" s="2">
        <v>76.180000000000007</v>
      </c>
      <c r="G1489" s="2">
        <v>-69.61</v>
      </c>
      <c r="H1489" s="2">
        <v>-188.57</v>
      </c>
      <c r="I1489" s="2">
        <v>177.76</v>
      </c>
      <c r="J1489" s="2">
        <v>4.32</v>
      </c>
      <c r="K1489" s="2">
        <v>-4.7699999999999996</v>
      </c>
      <c r="L1489" s="2">
        <v>6.44</v>
      </c>
      <c r="M1489" s="2">
        <v>-0.13</v>
      </c>
      <c r="N1489" t="s">
        <v>250</v>
      </c>
      <c r="O1489">
        <v>48</v>
      </c>
    </row>
    <row r="1490" spans="1:15">
      <c r="A1490" s="1">
        <v>46006</v>
      </c>
      <c r="B1490">
        <v>11</v>
      </c>
      <c r="C1490" t="s">
        <v>99</v>
      </c>
      <c r="D1490">
        <v>11</v>
      </c>
      <c r="E1490" s="2">
        <v>6.5</v>
      </c>
      <c r="F1490" s="2">
        <v>180.3</v>
      </c>
      <c r="G1490" s="2">
        <v>-173.39</v>
      </c>
      <c r="H1490" s="2">
        <v>-179.65</v>
      </c>
      <c r="I1490" s="2">
        <v>170.6</v>
      </c>
      <c r="J1490" s="2">
        <v>4.5</v>
      </c>
      <c r="K1490" s="2">
        <v>-4.66</v>
      </c>
      <c r="L1490" s="2">
        <v>6.48</v>
      </c>
      <c r="M1490" s="2">
        <v>-0.1</v>
      </c>
      <c r="N1490" t="s">
        <v>250</v>
      </c>
      <c r="O1490">
        <v>48</v>
      </c>
    </row>
    <row r="1491" spans="1:15">
      <c r="A1491" s="1">
        <v>46006</v>
      </c>
      <c r="B1491">
        <v>11</v>
      </c>
      <c r="C1491" t="s">
        <v>99</v>
      </c>
      <c r="D1491">
        <v>11</v>
      </c>
      <c r="E1491" s="2">
        <v>7</v>
      </c>
      <c r="F1491" s="2">
        <v>283.37</v>
      </c>
      <c r="G1491" s="2">
        <v>-276.93</v>
      </c>
      <c r="H1491" s="2">
        <v>-184.94</v>
      </c>
      <c r="I1491" s="2">
        <v>172.56</v>
      </c>
      <c r="J1491" s="2">
        <v>4.71</v>
      </c>
      <c r="K1491" s="2">
        <v>-4.4800000000000004</v>
      </c>
      <c r="L1491" s="2">
        <v>6.5</v>
      </c>
      <c r="M1491" s="2">
        <v>-0.08</v>
      </c>
      <c r="N1491" t="s">
        <v>250</v>
      </c>
      <c r="O1491">
        <v>48</v>
      </c>
    </row>
    <row r="1492" spans="1:15">
      <c r="A1492" s="1">
        <v>46006</v>
      </c>
      <c r="B1492">
        <v>11</v>
      </c>
      <c r="C1492" t="s">
        <v>99</v>
      </c>
      <c r="D1492">
        <v>11</v>
      </c>
      <c r="E1492" s="2">
        <v>7.5</v>
      </c>
      <c r="F1492" s="2">
        <v>307.88</v>
      </c>
      <c r="G1492" s="2">
        <v>-293.62</v>
      </c>
      <c r="H1492" s="2">
        <v>-168.77</v>
      </c>
      <c r="I1492" s="2">
        <v>164.44</v>
      </c>
      <c r="J1492" s="2">
        <v>4.84</v>
      </c>
      <c r="K1492" s="2">
        <v>-4.26</v>
      </c>
      <c r="L1492" s="2">
        <v>6.45</v>
      </c>
      <c r="M1492" s="2">
        <v>-0.05</v>
      </c>
      <c r="N1492" t="s">
        <v>250</v>
      </c>
      <c r="O1492">
        <v>48</v>
      </c>
    </row>
    <row r="1493" spans="1:15">
      <c r="A1493" s="1">
        <v>46006</v>
      </c>
      <c r="B1493">
        <v>11</v>
      </c>
      <c r="C1493" t="s">
        <v>99</v>
      </c>
      <c r="D1493">
        <v>11</v>
      </c>
      <c r="E1493" s="2">
        <v>8</v>
      </c>
      <c r="F1493" s="2">
        <v>274.73</v>
      </c>
      <c r="G1493" s="2">
        <v>-272.10000000000002</v>
      </c>
      <c r="H1493" s="2">
        <v>-83.68</v>
      </c>
      <c r="I1493" s="2">
        <v>79.17</v>
      </c>
      <c r="J1493" s="2">
        <v>5.07</v>
      </c>
      <c r="K1493" s="2">
        <v>-4.32</v>
      </c>
      <c r="L1493" s="2">
        <v>6.67</v>
      </c>
      <c r="M1493" s="2">
        <v>-0.1</v>
      </c>
      <c r="N1493" t="s">
        <v>250</v>
      </c>
      <c r="O1493">
        <v>48</v>
      </c>
    </row>
    <row r="1494" spans="1:15">
      <c r="A1494" s="1">
        <v>46006</v>
      </c>
      <c r="B1494">
        <v>11</v>
      </c>
      <c r="C1494" t="s">
        <v>99</v>
      </c>
      <c r="D1494">
        <v>11</v>
      </c>
      <c r="E1494" s="2">
        <v>8.5</v>
      </c>
      <c r="F1494" s="2">
        <v>339.23</v>
      </c>
      <c r="G1494" s="2">
        <v>-329.08</v>
      </c>
      <c r="H1494" s="2">
        <v>-12.01</v>
      </c>
      <c r="I1494" s="2">
        <v>13.68</v>
      </c>
      <c r="J1494" s="2">
        <v>5.29</v>
      </c>
      <c r="K1494" s="2">
        <v>-4.58</v>
      </c>
      <c r="L1494" s="2">
        <v>7</v>
      </c>
      <c r="M1494" s="2">
        <v>0.08</v>
      </c>
      <c r="N1494" t="s">
        <v>250</v>
      </c>
      <c r="O1494">
        <v>48</v>
      </c>
    </row>
    <row r="1495" spans="1:15">
      <c r="A1495" s="1">
        <v>46006</v>
      </c>
      <c r="B1495">
        <v>11</v>
      </c>
      <c r="C1495" t="s">
        <v>99</v>
      </c>
      <c r="D1495">
        <v>11</v>
      </c>
      <c r="E1495" s="2">
        <v>9</v>
      </c>
      <c r="F1495" s="2">
        <v>326.63</v>
      </c>
      <c r="G1495" s="2">
        <v>-318.5</v>
      </c>
      <c r="H1495" s="2">
        <v>36.85</v>
      </c>
      <c r="I1495" s="2">
        <v>-32.950000000000003</v>
      </c>
      <c r="J1495" s="2">
        <v>5.37</v>
      </c>
      <c r="K1495" s="2">
        <v>-4.79</v>
      </c>
      <c r="L1495" s="2">
        <v>7.2</v>
      </c>
      <c r="M1495" s="2">
        <v>0.06</v>
      </c>
      <c r="N1495" t="s">
        <v>250</v>
      </c>
      <c r="O1495">
        <v>48</v>
      </c>
    </row>
    <row r="1496" spans="1:15">
      <c r="A1496" s="1">
        <v>46006</v>
      </c>
      <c r="B1496">
        <v>11</v>
      </c>
      <c r="C1496" t="s">
        <v>99</v>
      </c>
      <c r="D1496">
        <v>11</v>
      </c>
      <c r="E1496" s="2">
        <v>9.5</v>
      </c>
      <c r="F1496" s="2">
        <v>214.76</v>
      </c>
      <c r="G1496" s="2">
        <v>-207.83</v>
      </c>
      <c r="H1496" s="2">
        <v>104.15</v>
      </c>
      <c r="I1496" s="2">
        <v>-117.3</v>
      </c>
      <c r="J1496" s="2">
        <v>5.65</v>
      </c>
      <c r="K1496" s="2">
        <v>-5.31</v>
      </c>
      <c r="L1496" s="2">
        <v>7.75</v>
      </c>
      <c r="M1496" s="2">
        <v>0.13</v>
      </c>
      <c r="N1496" t="s">
        <v>250</v>
      </c>
      <c r="O1496">
        <v>48</v>
      </c>
    </row>
    <row r="1497" spans="1:15">
      <c r="A1497" s="1">
        <v>46006</v>
      </c>
      <c r="B1497">
        <v>11</v>
      </c>
      <c r="C1497" t="s">
        <v>99</v>
      </c>
      <c r="D1497">
        <v>11</v>
      </c>
      <c r="E1497" s="2">
        <v>10</v>
      </c>
      <c r="F1497" s="2">
        <v>73.36</v>
      </c>
      <c r="G1497" s="2">
        <v>-55.97</v>
      </c>
      <c r="H1497" s="2">
        <v>139.05000000000001</v>
      </c>
      <c r="I1497" s="2">
        <v>-144.44</v>
      </c>
      <c r="J1497" s="2">
        <v>6.01</v>
      </c>
      <c r="K1497" s="2">
        <v>-5.48</v>
      </c>
      <c r="L1497" s="2">
        <v>8.1300000000000008</v>
      </c>
      <c r="M1497" s="2">
        <v>0.24</v>
      </c>
      <c r="N1497" t="s">
        <v>250</v>
      </c>
      <c r="O1497">
        <v>48</v>
      </c>
    </row>
    <row r="1498" spans="1:15">
      <c r="A1498" s="1">
        <v>46006</v>
      </c>
      <c r="B1498">
        <v>11</v>
      </c>
      <c r="C1498" t="s">
        <v>99</v>
      </c>
      <c r="D1498">
        <v>11</v>
      </c>
      <c r="E1498" s="2">
        <v>10.5</v>
      </c>
      <c r="F1498" s="2">
        <v>89.77</v>
      </c>
      <c r="G1498" s="2">
        <v>-83.31</v>
      </c>
      <c r="H1498" s="2">
        <v>71.53</v>
      </c>
      <c r="I1498" s="2">
        <v>-75.42</v>
      </c>
      <c r="J1498" s="2">
        <v>6.26</v>
      </c>
      <c r="K1498" s="2">
        <v>-5.83</v>
      </c>
      <c r="L1498" s="2">
        <v>8.56</v>
      </c>
      <c r="M1498" s="2">
        <v>0.34</v>
      </c>
      <c r="N1498" t="s">
        <v>250</v>
      </c>
      <c r="O1498">
        <v>48</v>
      </c>
    </row>
    <row r="1499" spans="1:15">
      <c r="A1499" s="1">
        <v>46006</v>
      </c>
      <c r="B1499">
        <v>11</v>
      </c>
      <c r="C1499" t="s">
        <v>99</v>
      </c>
      <c r="D1499">
        <v>11</v>
      </c>
      <c r="E1499" s="2">
        <v>11</v>
      </c>
      <c r="F1499" s="2">
        <v>22.24</v>
      </c>
      <c r="G1499" s="2">
        <v>-11.91</v>
      </c>
      <c r="H1499" s="2">
        <v>31.07</v>
      </c>
      <c r="I1499" s="2">
        <v>-37.83</v>
      </c>
      <c r="J1499" s="2">
        <v>6.52</v>
      </c>
      <c r="K1499" s="2">
        <v>-5.96</v>
      </c>
      <c r="L1499" s="2">
        <v>8.83</v>
      </c>
      <c r="M1499" s="2">
        <v>0.39</v>
      </c>
      <c r="N1499" t="s">
        <v>250</v>
      </c>
      <c r="O1499">
        <v>48</v>
      </c>
    </row>
    <row r="1500" spans="1:15">
      <c r="A1500" s="1">
        <v>46006</v>
      </c>
      <c r="B1500">
        <v>11</v>
      </c>
      <c r="C1500" t="s">
        <v>99</v>
      </c>
      <c r="D1500">
        <v>11</v>
      </c>
      <c r="E1500" s="2">
        <v>11.5</v>
      </c>
      <c r="F1500" s="2">
        <v>-58.88</v>
      </c>
      <c r="G1500" s="2">
        <v>63.69</v>
      </c>
      <c r="H1500" s="2">
        <v>13.73</v>
      </c>
      <c r="I1500" s="2">
        <v>-17</v>
      </c>
      <c r="J1500" s="2">
        <v>6.73</v>
      </c>
      <c r="K1500" s="2">
        <v>-6.09</v>
      </c>
      <c r="L1500" s="2">
        <v>9.08</v>
      </c>
      <c r="M1500" s="2">
        <v>0.46</v>
      </c>
      <c r="N1500" t="s">
        <v>250</v>
      </c>
      <c r="O1500">
        <v>48</v>
      </c>
    </row>
    <row r="1501" spans="1:15">
      <c r="A1501" s="1">
        <v>46006</v>
      </c>
      <c r="B1501">
        <v>11</v>
      </c>
      <c r="C1501" t="s">
        <v>99</v>
      </c>
      <c r="D1501">
        <v>11</v>
      </c>
      <c r="E1501" s="2">
        <v>12</v>
      </c>
      <c r="F1501" s="2">
        <v>-75.62</v>
      </c>
      <c r="G1501" s="2">
        <v>86.56</v>
      </c>
      <c r="H1501" s="2">
        <v>21.08</v>
      </c>
      <c r="I1501" s="2">
        <v>-26.81</v>
      </c>
      <c r="J1501" s="2">
        <v>6.78</v>
      </c>
      <c r="K1501" s="2">
        <v>-5.85</v>
      </c>
      <c r="L1501" s="2">
        <v>8.9499999999999993</v>
      </c>
      <c r="M1501" s="2">
        <v>0.48</v>
      </c>
      <c r="N1501" t="s">
        <v>250</v>
      </c>
      <c r="O1501">
        <v>48</v>
      </c>
    </row>
    <row r="1502" spans="1:15">
      <c r="A1502" s="1">
        <v>46006</v>
      </c>
      <c r="B1502">
        <v>11</v>
      </c>
      <c r="C1502" t="s">
        <v>99</v>
      </c>
      <c r="D1502">
        <v>11</v>
      </c>
      <c r="E1502" s="2">
        <v>12.5</v>
      </c>
      <c r="F1502" s="2">
        <v>-43.47</v>
      </c>
      <c r="G1502" s="2">
        <v>54.35</v>
      </c>
      <c r="H1502" s="2">
        <v>40.880000000000003</v>
      </c>
      <c r="I1502" s="2">
        <v>-28.15</v>
      </c>
      <c r="J1502" s="2">
        <v>6.72</v>
      </c>
      <c r="K1502" s="2">
        <v>-5.65</v>
      </c>
      <c r="L1502" s="2">
        <v>8.7799999999999994</v>
      </c>
      <c r="M1502" s="2">
        <v>0.57999999999999996</v>
      </c>
      <c r="N1502" t="s">
        <v>250</v>
      </c>
      <c r="O1502">
        <v>48</v>
      </c>
    </row>
    <row r="1503" spans="1:15">
      <c r="A1503" s="1">
        <v>46006</v>
      </c>
      <c r="B1503">
        <v>11</v>
      </c>
      <c r="C1503" t="s">
        <v>99</v>
      </c>
      <c r="D1503">
        <v>11</v>
      </c>
      <c r="E1503" s="2">
        <v>13</v>
      </c>
      <c r="F1503" s="2">
        <v>-100.34</v>
      </c>
      <c r="G1503" s="2">
        <v>108.32</v>
      </c>
      <c r="H1503" s="2">
        <v>-35.14</v>
      </c>
      <c r="I1503" s="2">
        <v>38.71</v>
      </c>
      <c r="J1503" s="2">
        <v>6.53</v>
      </c>
      <c r="K1503" s="2">
        <v>-5.13</v>
      </c>
      <c r="L1503" s="2">
        <v>8.31</v>
      </c>
      <c r="M1503" s="2">
        <v>0.47</v>
      </c>
      <c r="N1503" t="s">
        <v>250</v>
      </c>
      <c r="O1503">
        <v>48</v>
      </c>
    </row>
    <row r="1504" spans="1:15">
      <c r="A1504" s="1">
        <v>46006</v>
      </c>
      <c r="B1504">
        <v>11</v>
      </c>
      <c r="C1504" t="s">
        <v>99</v>
      </c>
      <c r="D1504">
        <v>11</v>
      </c>
      <c r="E1504" s="2">
        <v>13.5</v>
      </c>
      <c r="F1504" s="2">
        <v>-266.27999999999997</v>
      </c>
      <c r="G1504" s="2">
        <v>276.52999999999997</v>
      </c>
      <c r="H1504" s="2">
        <v>-176.99</v>
      </c>
      <c r="I1504" s="2">
        <v>176.05</v>
      </c>
      <c r="J1504" s="2">
        <v>6.41</v>
      </c>
      <c r="K1504" s="2">
        <v>-5.0999999999999996</v>
      </c>
      <c r="L1504" s="2">
        <v>8.19</v>
      </c>
      <c r="M1504" s="2">
        <v>0.65</v>
      </c>
      <c r="N1504" t="s">
        <v>250</v>
      </c>
      <c r="O1504">
        <v>48</v>
      </c>
    </row>
    <row r="1505" spans="1:15">
      <c r="A1505" s="1">
        <v>46006</v>
      </c>
      <c r="B1505">
        <v>11</v>
      </c>
      <c r="C1505" t="s">
        <v>99</v>
      </c>
      <c r="D1505">
        <v>11</v>
      </c>
      <c r="E1505" s="2">
        <v>14</v>
      </c>
      <c r="F1505" s="2">
        <v>-291.95999999999998</v>
      </c>
      <c r="G1505" s="2">
        <v>301.08999999999997</v>
      </c>
      <c r="H1505" s="2">
        <v>-300.58</v>
      </c>
      <c r="I1505" s="2">
        <v>293.13</v>
      </c>
      <c r="J1505" s="2">
        <v>6.32</v>
      </c>
      <c r="K1505" s="2">
        <v>-5.01</v>
      </c>
      <c r="L1505" s="2">
        <v>8.07</v>
      </c>
      <c r="M1505" s="2">
        <v>0.68</v>
      </c>
      <c r="N1505" t="s">
        <v>250</v>
      </c>
      <c r="O1505">
        <v>48</v>
      </c>
    </row>
    <row r="1506" spans="1:15">
      <c r="A1506" s="1">
        <v>46006</v>
      </c>
      <c r="B1506">
        <v>11</v>
      </c>
      <c r="C1506" t="s">
        <v>99</v>
      </c>
      <c r="D1506">
        <v>11</v>
      </c>
      <c r="E1506" s="2">
        <v>14.5</v>
      </c>
      <c r="F1506" s="2">
        <v>-265.7</v>
      </c>
      <c r="G1506" s="2">
        <v>275.95999999999998</v>
      </c>
      <c r="H1506" s="2">
        <v>-256.93</v>
      </c>
      <c r="I1506" s="2">
        <v>251.47</v>
      </c>
      <c r="J1506" s="2">
        <v>6.36</v>
      </c>
      <c r="K1506" s="2">
        <v>-4.84</v>
      </c>
      <c r="L1506" s="2">
        <v>7.99</v>
      </c>
      <c r="M1506" s="2">
        <v>0.78</v>
      </c>
      <c r="N1506" t="s">
        <v>250</v>
      </c>
      <c r="O1506">
        <v>48</v>
      </c>
    </row>
    <row r="1507" spans="1:15">
      <c r="A1507" s="1">
        <v>46006</v>
      </c>
      <c r="B1507">
        <v>11</v>
      </c>
      <c r="C1507" t="s">
        <v>99</v>
      </c>
      <c r="D1507">
        <v>11</v>
      </c>
      <c r="E1507" s="2">
        <v>15</v>
      </c>
      <c r="F1507" s="2">
        <v>-232.18</v>
      </c>
      <c r="G1507" s="2">
        <v>244.37</v>
      </c>
      <c r="H1507" s="2">
        <v>-195.34</v>
      </c>
      <c r="I1507" s="2">
        <v>188.33</v>
      </c>
      <c r="J1507" s="2">
        <v>6.15</v>
      </c>
      <c r="K1507" s="2">
        <v>-4.76</v>
      </c>
      <c r="L1507" s="2">
        <v>7.78</v>
      </c>
      <c r="M1507" s="2">
        <v>0.86</v>
      </c>
      <c r="N1507" t="s">
        <v>250</v>
      </c>
      <c r="O1507">
        <v>48</v>
      </c>
    </row>
    <row r="1508" spans="1:15">
      <c r="A1508" s="1">
        <v>46006</v>
      </c>
      <c r="B1508">
        <v>11</v>
      </c>
      <c r="C1508" t="s">
        <v>99</v>
      </c>
      <c r="D1508">
        <v>11</v>
      </c>
      <c r="E1508" s="2">
        <v>15.5</v>
      </c>
      <c r="F1508" s="2">
        <v>-162.63</v>
      </c>
      <c r="G1508" s="2">
        <v>168.8</v>
      </c>
      <c r="H1508" s="2">
        <v>-185.03</v>
      </c>
      <c r="I1508" s="2">
        <v>172.94</v>
      </c>
      <c r="J1508" s="2">
        <v>5.88</v>
      </c>
      <c r="K1508" s="2">
        <v>-4.51</v>
      </c>
      <c r="L1508" s="2">
        <v>7.41</v>
      </c>
      <c r="M1508" s="2">
        <v>0.91</v>
      </c>
      <c r="N1508" t="s">
        <v>250</v>
      </c>
      <c r="O1508">
        <v>48</v>
      </c>
    </row>
    <row r="1509" spans="1:15">
      <c r="A1509" s="1">
        <v>46006</v>
      </c>
      <c r="B1509">
        <v>11</v>
      </c>
      <c r="C1509" t="s">
        <v>99</v>
      </c>
      <c r="D1509">
        <v>11</v>
      </c>
      <c r="E1509" s="2">
        <v>16</v>
      </c>
      <c r="F1509" s="2">
        <v>-77.069999999999993</v>
      </c>
      <c r="G1509" s="2">
        <v>85.09</v>
      </c>
      <c r="H1509" s="2">
        <v>-166.93</v>
      </c>
      <c r="I1509" s="2">
        <v>166.03</v>
      </c>
      <c r="J1509" s="2">
        <v>5.76</v>
      </c>
      <c r="K1509" s="2">
        <v>-4.28</v>
      </c>
      <c r="L1509" s="2">
        <v>7.18</v>
      </c>
      <c r="M1509" s="2">
        <v>0.95</v>
      </c>
      <c r="N1509" t="s">
        <v>250</v>
      </c>
      <c r="O1509">
        <v>48</v>
      </c>
    </row>
    <row r="1510" spans="1:15">
      <c r="A1510" s="1">
        <v>46006</v>
      </c>
      <c r="B1510">
        <v>11</v>
      </c>
      <c r="C1510" t="s">
        <v>99</v>
      </c>
      <c r="D1510">
        <v>11</v>
      </c>
      <c r="E1510" s="2">
        <v>16.5</v>
      </c>
      <c r="F1510" s="2">
        <v>106.73</v>
      </c>
      <c r="G1510" s="2">
        <v>-99.2</v>
      </c>
      <c r="H1510" s="2">
        <v>-109.41</v>
      </c>
      <c r="I1510" s="2">
        <v>121.05</v>
      </c>
      <c r="J1510" s="2">
        <v>5.62</v>
      </c>
      <c r="K1510" s="2">
        <v>-4.16</v>
      </c>
      <c r="L1510" s="2">
        <v>7</v>
      </c>
      <c r="M1510" s="2">
        <v>0.97</v>
      </c>
      <c r="N1510" t="s">
        <v>250</v>
      </c>
      <c r="O1510">
        <v>48</v>
      </c>
    </row>
    <row r="1511" spans="1:15">
      <c r="A1511" s="1">
        <v>46006</v>
      </c>
      <c r="B1511">
        <v>11</v>
      </c>
      <c r="C1511" t="s">
        <v>99</v>
      </c>
      <c r="D1511">
        <v>11</v>
      </c>
      <c r="E1511" s="2">
        <v>17</v>
      </c>
      <c r="F1511" s="2">
        <v>262.24</v>
      </c>
      <c r="G1511" s="2">
        <v>-253.86</v>
      </c>
      <c r="H1511" s="2">
        <v>-60.74</v>
      </c>
      <c r="I1511" s="2">
        <v>53.09</v>
      </c>
      <c r="J1511" s="2">
        <v>5.48</v>
      </c>
      <c r="K1511" s="2">
        <v>-4.28</v>
      </c>
      <c r="L1511" s="2">
        <v>6.96</v>
      </c>
      <c r="M1511" s="2">
        <v>0.97</v>
      </c>
      <c r="N1511" t="s">
        <v>250</v>
      </c>
      <c r="O1511">
        <v>48</v>
      </c>
    </row>
    <row r="1512" spans="1:15">
      <c r="A1512" s="1">
        <v>46006</v>
      </c>
      <c r="B1512">
        <v>11</v>
      </c>
      <c r="C1512" t="s">
        <v>99</v>
      </c>
      <c r="D1512">
        <v>11</v>
      </c>
      <c r="E1512" s="2">
        <v>17.5</v>
      </c>
      <c r="F1512" s="2">
        <v>314.42</v>
      </c>
      <c r="G1512" s="2">
        <v>-309.68</v>
      </c>
      <c r="H1512" s="2">
        <v>-68.22</v>
      </c>
      <c r="I1512" s="2">
        <v>57.62</v>
      </c>
      <c r="J1512" s="2">
        <v>5.19</v>
      </c>
      <c r="K1512" s="2">
        <v>-4.01</v>
      </c>
      <c r="L1512" s="2">
        <v>6.56</v>
      </c>
      <c r="M1512" s="2">
        <v>0.99</v>
      </c>
      <c r="N1512" t="s">
        <v>250</v>
      </c>
      <c r="O1512">
        <v>48</v>
      </c>
    </row>
    <row r="1513" spans="1:15">
      <c r="A1513" s="1">
        <v>46006</v>
      </c>
      <c r="B1513">
        <v>11</v>
      </c>
      <c r="C1513" t="s">
        <v>99</v>
      </c>
      <c r="D1513">
        <v>11</v>
      </c>
      <c r="E1513" s="2">
        <v>18</v>
      </c>
      <c r="F1513" s="2">
        <v>392.63</v>
      </c>
      <c r="G1513" s="2">
        <v>-384.55</v>
      </c>
      <c r="H1513" s="2">
        <v>-99.39</v>
      </c>
      <c r="I1513" s="2">
        <v>95.7</v>
      </c>
      <c r="J1513" s="2">
        <v>4.91</v>
      </c>
      <c r="K1513" s="2">
        <v>-3.74</v>
      </c>
      <c r="L1513" s="2">
        <v>6.17</v>
      </c>
      <c r="M1513" s="2">
        <v>1.03</v>
      </c>
      <c r="N1513" t="s">
        <v>250</v>
      </c>
      <c r="O1513">
        <v>48</v>
      </c>
    </row>
    <row r="1514" spans="1:15">
      <c r="A1514" s="1">
        <v>46006</v>
      </c>
      <c r="B1514">
        <v>11</v>
      </c>
      <c r="C1514" t="s">
        <v>99</v>
      </c>
      <c r="D1514">
        <v>11</v>
      </c>
      <c r="E1514" s="2">
        <v>18.5</v>
      </c>
      <c r="F1514" s="2">
        <v>434.04</v>
      </c>
      <c r="G1514" s="2">
        <v>-426.95</v>
      </c>
      <c r="H1514" s="2">
        <v>-109.4</v>
      </c>
      <c r="I1514" s="2">
        <v>111.17</v>
      </c>
      <c r="J1514" s="2">
        <v>4.8499999999999996</v>
      </c>
      <c r="K1514" s="2">
        <v>-3.6</v>
      </c>
      <c r="L1514" s="2">
        <v>6.04</v>
      </c>
      <c r="M1514" s="2">
        <v>1.07</v>
      </c>
      <c r="N1514" t="s">
        <v>250</v>
      </c>
      <c r="O1514">
        <v>48</v>
      </c>
    </row>
    <row r="1515" spans="1:15">
      <c r="A1515" s="1">
        <v>46006</v>
      </c>
      <c r="B1515">
        <v>11</v>
      </c>
      <c r="C1515" t="s">
        <v>99</v>
      </c>
      <c r="D1515">
        <v>11</v>
      </c>
      <c r="E1515" s="2">
        <v>19</v>
      </c>
      <c r="F1515" s="2">
        <v>431.17</v>
      </c>
      <c r="G1515" s="2">
        <v>-425.93</v>
      </c>
      <c r="H1515" s="2">
        <v>-105.81</v>
      </c>
      <c r="I1515" s="2">
        <v>101.91</v>
      </c>
      <c r="J1515" s="2">
        <v>4.72</v>
      </c>
      <c r="K1515" s="2">
        <v>-3.45</v>
      </c>
      <c r="L1515" s="2">
        <v>5.85</v>
      </c>
      <c r="M1515" s="2">
        <v>1.08</v>
      </c>
      <c r="N1515" t="s">
        <v>250</v>
      </c>
      <c r="O1515">
        <v>48</v>
      </c>
    </row>
    <row r="1516" spans="1:15">
      <c r="A1516" s="1">
        <v>46006</v>
      </c>
      <c r="B1516">
        <v>11</v>
      </c>
      <c r="C1516" t="s">
        <v>99</v>
      </c>
      <c r="D1516">
        <v>11</v>
      </c>
      <c r="E1516" s="2">
        <v>19.5</v>
      </c>
      <c r="F1516" s="2">
        <v>318.18</v>
      </c>
      <c r="G1516" s="2">
        <v>-313.2</v>
      </c>
      <c r="H1516" s="2">
        <v>-45.1</v>
      </c>
      <c r="I1516" s="2">
        <v>44.66</v>
      </c>
      <c r="J1516" s="2">
        <v>4.3</v>
      </c>
      <c r="K1516" s="2">
        <v>-3.06</v>
      </c>
      <c r="L1516" s="2">
        <v>5.28</v>
      </c>
      <c r="M1516" s="2">
        <v>1.02</v>
      </c>
      <c r="N1516" t="s">
        <v>250</v>
      </c>
      <c r="O1516">
        <v>48</v>
      </c>
    </row>
    <row r="1517" spans="1:15">
      <c r="A1517" s="1">
        <v>46006</v>
      </c>
      <c r="B1517">
        <v>11</v>
      </c>
      <c r="C1517" t="s">
        <v>99</v>
      </c>
      <c r="D1517">
        <v>11</v>
      </c>
      <c r="E1517" s="2">
        <v>20</v>
      </c>
      <c r="F1517" s="2">
        <v>181.99</v>
      </c>
      <c r="G1517" s="2">
        <v>-174.67</v>
      </c>
      <c r="H1517" s="2">
        <v>2.21</v>
      </c>
      <c r="I1517" s="2">
        <v>8.5399999999999991</v>
      </c>
      <c r="J1517" s="2">
        <v>4.03</v>
      </c>
      <c r="K1517" s="2">
        <v>-2.95</v>
      </c>
      <c r="L1517" s="2">
        <v>5</v>
      </c>
      <c r="M1517" s="2">
        <v>0.9</v>
      </c>
      <c r="N1517" t="s">
        <v>250</v>
      </c>
      <c r="O1517">
        <v>48</v>
      </c>
    </row>
    <row r="1518" spans="1:15">
      <c r="A1518" s="1">
        <v>46006</v>
      </c>
      <c r="B1518">
        <v>11</v>
      </c>
      <c r="C1518" t="s">
        <v>99</v>
      </c>
      <c r="D1518">
        <v>11</v>
      </c>
      <c r="E1518" s="2">
        <v>20.5</v>
      </c>
      <c r="F1518" s="2">
        <v>143.49</v>
      </c>
      <c r="G1518" s="2">
        <v>-140.44</v>
      </c>
      <c r="H1518" s="2">
        <v>-1.44</v>
      </c>
      <c r="I1518" s="2">
        <v>10.84</v>
      </c>
      <c r="J1518" s="2">
        <v>3.67</v>
      </c>
      <c r="K1518" s="2">
        <v>-2.71</v>
      </c>
      <c r="L1518" s="2">
        <v>4.5599999999999996</v>
      </c>
      <c r="M1518" s="2">
        <v>0.89</v>
      </c>
      <c r="N1518" t="s">
        <v>250</v>
      </c>
      <c r="O1518">
        <v>48</v>
      </c>
    </row>
    <row r="1519" spans="1:15">
      <c r="A1519" s="1">
        <v>46006</v>
      </c>
      <c r="B1519">
        <v>11</v>
      </c>
      <c r="C1519" t="s">
        <v>99</v>
      </c>
      <c r="D1519">
        <v>11</v>
      </c>
      <c r="E1519" s="2">
        <v>21</v>
      </c>
      <c r="F1519" s="2">
        <v>106.44</v>
      </c>
      <c r="G1519" s="2">
        <v>-98.94</v>
      </c>
      <c r="H1519" s="2">
        <v>-2.48</v>
      </c>
      <c r="I1519" s="2">
        <v>10.210000000000001</v>
      </c>
      <c r="J1519" s="2">
        <v>3.31</v>
      </c>
      <c r="K1519" s="2">
        <v>-2.48</v>
      </c>
      <c r="L1519" s="2">
        <v>4.13</v>
      </c>
      <c r="M1519" s="2">
        <v>0.8</v>
      </c>
      <c r="N1519" t="s">
        <v>250</v>
      </c>
      <c r="O1519">
        <v>48</v>
      </c>
    </row>
    <row r="1520" spans="1:15">
      <c r="A1520" s="1">
        <v>46006</v>
      </c>
      <c r="B1520">
        <v>11</v>
      </c>
      <c r="C1520" t="s">
        <v>99</v>
      </c>
      <c r="D1520">
        <v>11</v>
      </c>
      <c r="E1520" s="2">
        <v>21.5</v>
      </c>
      <c r="F1520" s="2">
        <v>-20.149999999999999</v>
      </c>
      <c r="G1520" s="2">
        <v>28.31</v>
      </c>
      <c r="H1520" s="2">
        <v>-15.68</v>
      </c>
      <c r="I1520" s="2">
        <v>16.489999999999998</v>
      </c>
      <c r="J1520" s="2">
        <v>2.88</v>
      </c>
      <c r="K1520" s="2">
        <v>-2.4300000000000002</v>
      </c>
      <c r="L1520" s="2">
        <v>3.77</v>
      </c>
      <c r="M1520" s="2">
        <v>0.73</v>
      </c>
      <c r="N1520" t="s">
        <v>250</v>
      </c>
      <c r="O1520">
        <v>48</v>
      </c>
    </row>
    <row r="1521" spans="1:15">
      <c r="A1521" s="1">
        <v>46006</v>
      </c>
      <c r="B1521">
        <v>11</v>
      </c>
      <c r="C1521" t="s">
        <v>99</v>
      </c>
      <c r="D1521">
        <v>11</v>
      </c>
      <c r="E1521" s="2">
        <v>22</v>
      </c>
      <c r="F1521" s="2">
        <v>-66.08</v>
      </c>
      <c r="G1521" s="2">
        <v>72.760000000000005</v>
      </c>
      <c r="H1521" s="2">
        <v>-3.95</v>
      </c>
      <c r="I1521" s="2">
        <v>19.59</v>
      </c>
      <c r="J1521" s="2">
        <v>2.65</v>
      </c>
      <c r="K1521" s="2">
        <v>-2.12</v>
      </c>
      <c r="L1521" s="2">
        <v>3.39</v>
      </c>
      <c r="M1521" s="2">
        <v>0.71</v>
      </c>
      <c r="N1521" t="s">
        <v>250</v>
      </c>
      <c r="O1521">
        <v>48</v>
      </c>
    </row>
    <row r="1522" spans="1:15">
      <c r="A1522" s="1">
        <v>46006</v>
      </c>
      <c r="B1522">
        <v>11</v>
      </c>
      <c r="C1522" t="s">
        <v>99</v>
      </c>
      <c r="D1522">
        <v>11</v>
      </c>
      <c r="E1522" s="2">
        <v>22.5</v>
      </c>
      <c r="F1522" s="2">
        <v>-54.53</v>
      </c>
      <c r="G1522" s="2">
        <v>62.88</v>
      </c>
      <c r="H1522" s="2">
        <v>-103.11</v>
      </c>
      <c r="I1522" s="2">
        <v>118.32</v>
      </c>
      <c r="J1522" s="2">
        <v>2.42</v>
      </c>
      <c r="K1522" s="2">
        <v>-1.94</v>
      </c>
      <c r="L1522" s="2">
        <v>3.1</v>
      </c>
      <c r="M1522" s="2">
        <v>0.66</v>
      </c>
      <c r="N1522" t="s">
        <v>250</v>
      </c>
      <c r="O1522">
        <v>48</v>
      </c>
    </row>
    <row r="1523" spans="1:15">
      <c r="A1523" s="1">
        <v>46006</v>
      </c>
      <c r="B1523">
        <v>11</v>
      </c>
      <c r="C1523" t="s">
        <v>99</v>
      </c>
      <c r="D1523">
        <v>11</v>
      </c>
      <c r="E1523" s="2">
        <v>23</v>
      </c>
      <c r="F1523" s="2">
        <v>-67.36</v>
      </c>
      <c r="G1523" s="2">
        <v>70.83</v>
      </c>
      <c r="H1523" s="2">
        <v>-158.78</v>
      </c>
      <c r="I1523" s="2">
        <v>155.24</v>
      </c>
      <c r="J1523" s="2">
        <v>2.15</v>
      </c>
      <c r="K1523" s="2">
        <v>-1.65</v>
      </c>
      <c r="L1523" s="2">
        <v>2.71</v>
      </c>
      <c r="M1523" s="2">
        <v>0.66</v>
      </c>
      <c r="N1523" t="s">
        <v>250</v>
      </c>
      <c r="O1523">
        <v>48</v>
      </c>
    </row>
    <row r="1524" spans="1:15">
      <c r="A1524" s="1">
        <v>46006</v>
      </c>
      <c r="B1524">
        <v>11</v>
      </c>
      <c r="C1524" t="s">
        <v>99</v>
      </c>
      <c r="D1524">
        <v>11</v>
      </c>
      <c r="E1524" s="2">
        <v>23.5</v>
      </c>
      <c r="F1524" s="2">
        <v>-130.11000000000001</v>
      </c>
      <c r="G1524" s="2">
        <v>140.49</v>
      </c>
      <c r="H1524" s="2">
        <v>-188.47</v>
      </c>
      <c r="I1524" s="2">
        <v>206.78</v>
      </c>
      <c r="J1524" s="2">
        <v>1.88</v>
      </c>
      <c r="K1524" s="2">
        <v>-1.46</v>
      </c>
      <c r="L1524" s="2">
        <v>2.38</v>
      </c>
      <c r="M1524" s="2">
        <v>0.56000000000000005</v>
      </c>
      <c r="N1524" t="s">
        <v>250</v>
      </c>
      <c r="O1524">
        <v>48</v>
      </c>
    </row>
    <row r="1525" spans="1:15">
      <c r="A1525" s="1">
        <v>46006</v>
      </c>
      <c r="B1525">
        <v>11</v>
      </c>
      <c r="C1525" t="s">
        <v>99</v>
      </c>
      <c r="D1525">
        <v>11</v>
      </c>
      <c r="E1525" s="2">
        <v>24</v>
      </c>
      <c r="F1525" s="2">
        <v>-164.26</v>
      </c>
      <c r="G1525" s="2">
        <v>171.08</v>
      </c>
      <c r="H1525" s="2">
        <v>-240.42</v>
      </c>
      <c r="I1525" s="2">
        <v>252.65</v>
      </c>
      <c r="J1525" s="2">
        <v>1.71</v>
      </c>
      <c r="K1525" s="2">
        <v>-1.31</v>
      </c>
      <c r="L1525" s="2">
        <v>2.15</v>
      </c>
      <c r="M1525" s="2">
        <v>0.44</v>
      </c>
      <c r="N1525" t="s">
        <v>250</v>
      </c>
      <c r="O1525">
        <v>48</v>
      </c>
    </row>
    <row r="1526" spans="1:15">
      <c r="A1526" s="1">
        <v>46006</v>
      </c>
      <c r="B1526">
        <v>11</v>
      </c>
      <c r="C1526" t="s">
        <v>99</v>
      </c>
      <c r="D1526">
        <v>11</v>
      </c>
      <c r="E1526" s="2">
        <v>24.5</v>
      </c>
      <c r="F1526" s="2">
        <v>-62.35</v>
      </c>
      <c r="G1526" s="2">
        <v>64.010000000000005</v>
      </c>
      <c r="H1526" s="2">
        <v>-246.2</v>
      </c>
      <c r="I1526" s="2">
        <v>234.35</v>
      </c>
      <c r="J1526" s="2">
        <v>1.5</v>
      </c>
      <c r="K1526" s="2">
        <v>-0.99</v>
      </c>
      <c r="L1526" s="2">
        <v>1.8</v>
      </c>
      <c r="M1526" s="2">
        <v>0.41</v>
      </c>
      <c r="N1526" t="s">
        <v>250</v>
      </c>
      <c r="O1526">
        <v>48</v>
      </c>
    </row>
    <row r="1527" spans="1:15">
      <c r="A1527" s="1">
        <v>46006</v>
      </c>
      <c r="B1527">
        <v>11</v>
      </c>
      <c r="C1527" t="s">
        <v>99</v>
      </c>
      <c r="D1527">
        <v>11</v>
      </c>
      <c r="E1527" s="2">
        <v>25</v>
      </c>
      <c r="F1527" s="2">
        <v>32.93</v>
      </c>
      <c r="G1527" s="2">
        <v>-26.91</v>
      </c>
      <c r="H1527" s="2">
        <v>-228.19</v>
      </c>
      <c r="I1527" s="2">
        <v>217.17</v>
      </c>
      <c r="J1527" s="2">
        <v>1.22</v>
      </c>
      <c r="K1527" s="2">
        <v>-0.96</v>
      </c>
      <c r="L1527" s="2">
        <v>1.56</v>
      </c>
      <c r="M1527" s="2">
        <v>0.33</v>
      </c>
      <c r="N1527" t="s">
        <v>250</v>
      </c>
      <c r="O1527">
        <v>48</v>
      </c>
    </row>
    <row r="1528" spans="1:15">
      <c r="A1528" s="1">
        <v>46006</v>
      </c>
      <c r="B1528">
        <v>11</v>
      </c>
      <c r="C1528" t="s">
        <v>99</v>
      </c>
      <c r="D1528">
        <v>11</v>
      </c>
      <c r="E1528" s="2">
        <v>25.5</v>
      </c>
      <c r="F1528" s="2">
        <v>90.37</v>
      </c>
      <c r="G1528" s="2">
        <v>-85.9</v>
      </c>
      <c r="H1528" s="2">
        <v>-186.05</v>
      </c>
      <c r="I1528" s="2">
        <v>186.6</v>
      </c>
      <c r="J1528" s="2">
        <v>0.92</v>
      </c>
      <c r="K1528" s="2">
        <v>-0.72</v>
      </c>
      <c r="L1528" s="2">
        <v>1.1599999999999999</v>
      </c>
      <c r="M1528" s="2">
        <v>0.26</v>
      </c>
      <c r="N1528" t="s">
        <v>250</v>
      </c>
      <c r="O1528">
        <v>48</v>
      </c>
    </row>
    <row r="1529" spans="1:15">
      <c r="A1529" s="1">
        <v>46006</v>
      </c>
      <c r="B1529">
        <v>11</v>
      </c>
      <c r="C1529" t="s">
        <v>99</v>
      </c>
      <c r="D1529">
        <v>11</v>
      </c>
      <c r="E1529" s="2">
        <v>26</v>
      </c>
      <c r="F1529" s="2">
        <v>137.02000000000001</v>
      </c>
      <c r="G1529" s="2">
        <v>-129.38999999999999</v>
      </c>
      <c r="H1529" s="2">
        <v>-240.2</v>
      </c>
      <c r="I1529" s="2">
        <v>238.48</v>
      </c>
      <c r="J1529" s="2">
        <v>0.65</v>
      </c>
      <c r="K1529" s="2">
        <v>-0.19</v>
      </c>
      <c r="L1529" s="2">
        <v>0.68</v>
      </c>
      <c r="M1529" s="2">
        <v>0.2</v>
      </c>
      <c r="N1529" t="s">
        <v>250</v>
      </c>
      <c r="O1529">
        <v>48</v>
      </c>
    </row>
    <row r="1530" spans="1:15">
      <c r="A1530" s="1">
        <v>46006</v>
      </c>
      <c r="B1530">
        <v>11</v>
      </c>
      <c r="C1530" t="s">
        <v>99</v>
      </c>
      <c r="D1530">
        <v>11</v>
      </c>
      <c r="E1530" s="2">
        <v>26.5</v>
      </c>
      <c r="F1530" s="2">
        <v>138.16999999999999</v>
      </c>
      <c r="G1530" s="2">
        <v>-132.84</v>
      </c>
      <c r="H1530" s="2">
        <v>-252.82</v>
      </c>
      <c r="I1530" s="2">
        <v>255.24</v>
      </c>
      <c r="J1530" s="2">
        <v>0.38</v>
      </c>
      <c r="K1530" s="2">
        <v>-0.05</v>
      </c>
      <c r="L1530" s="2">
        <v>0.38</v>
      </c>
      <c r="M1530" s="2">
        <v>0.14000000000000001</v>
      </c>
      <c r="N1530" t="s">
        <v>250</v>
      </c>
      <c r="O1530">
        <v>48</v>
      </c>
    </row>
    <row r="1531" spans="1:15">
      <c r="A1531" s="1">
        <v>46006</v>
      </c>
      <c r="B1531">
        <v>11</v>
      </c>
      <c r="C1531" t="s">
        <v>100</v>
      </c>
      <c r="D1531">
        <v>10</v>
      </c>
      <c r="E1531" s="2">
        <v>0.5</v>
      </c>
      <c r="F1531" s="2">
        <v>423.43</v>
      </c>
      <c r="G1531" s="2">
        <v>-412.71</v>
      </c>
      <c r="H1531" s="2">
        <v>480.45</v>
      </c>
      <c r="I1531" s="2">
        <v>-484.51</v>
      </c>
      <c r="J1531" s="2">
        <v>1.58</v>
      </c>
      <c r="K1531" s="2">
        <v>-0.2</v>
      </c>
      <c r="L1531" s="2">
        <v>1.59</v>
      </c>
      <c r="M1531" s="2">
        <v>-0.47</v>
      </c>
      <c r="N1531" t="s">
        <v>250</v>
      </c>
      <c r="O1531">
        <v>68</v>
      </c>
    </row>
    <row r="1532" spans="1:15">
      <c r="A1532" s="1">
        <v>46006</v>
      </c>
      <c r="B1532">
        <v>11</v>
      </c>
      <c r="C1532" t="s">
        <v>100</v>
      </c>
      <c r="D1532">
        <v>10</v>
      </c>
      <c r="E1532" s="2">
        <v>1</v>
      </c>
      <c r="F1532" s="2">
        <v>423.54</v>
      </c>
      <c r="G1532" s="2">
        <v>-412.97</v>
      </c>
      <c r="H1532" s="2">
        <v>480.75</v>
      </c>
      <c r="I1532" s="2">
        <v>-484.67</v>
      </c>
      <c r="J1532" s="2">
        <v>1.95</v>
      </c>
      <c r="K1532" s="2">
        <v>-0.27</v>
      </c>
      <c r="L1532" s="2">
        <v>1.96</v>
      </c>
      <c r="M1532" s="2">
        <v>-0.47</v>
      </c>
      <c r="N1532" t="s">
        <v>250</v>
      </c>
      <c r="O1532">
        <v>68</v>
      </c>
    </row>
    <row r="1533" spans="1:15">
      <c r="A1533" s="1">
        <v>46006</v>
      </c>
      <c r="B1533">
        <v>11</v>
      </c>
      <c r="C1533" t="s">
        <v>100</v>
      </c>
      <c r="D1533">
        <v>10</v>
      </c>
      <c r="E1533" s="2">
        <v>1.5</v>
      </c>
      <c r="F1533" s="2">
        <v>454.32</v>
      </c>
      <c r="G1533" s="2">
        <v>-449.46</v>
      </c>
      <c r="H1533" s="2">
        <v>407.75</v>
      </c>
      <c r="I1533" s="2">
        <v>-401.73</v>
      </c>
      <c r="J1533" s="2">
        <v>2.33</v>
      </c>
      <c r="K1533" s="2">
        <v>-0.33</v>
      </c>
      <c r="L1533" s="2">
        <v>2.35</v>
      </c>
      <c r="M1533" s="2">
        <v>-0.5</v>
      </c>
      <c r="N1533" t="s">
        <v>250</v>
      </c>
      <c r="O1533">
        <v>68</v>
      </c>
    </row>
    <row r="1534" spans="1:15">
      <c r="A1534" s="1">
        <v>46006</v>
      </c>
      <c r="B1534">
        <v>11</v>
      </c>
      <c r="C1534" t="s">
        <v>100</v>
      </c>
      <c r="D1534">
        <v>10</v>
      </c>
      <c r="E1534" s="2">
        <v>2</v>
      </c>
      <c r="F1534" s="2">
        <v>513.97</v>
      </c>
      <c r="G1534" s="2">
        <v>-507.67</v>
      </c>
      <c r="H1534" s="2">
        <v>220.72</v>
      </c>
      <c r="I1534" s="2">
        <v>-238.81</v>
      </c>
      <c r="J1534" s="2">
        <v>2.74</v>
      </c>
      <c r="K1534" s="2">
        <v>-0.46</v>
      </c>
      <c r="L1534" s="2">
        <v>2.78</v>
      </c>
      <c r="M1534" s="2">
        <v>-0.45</v>
      </c>
      <c r="N1534" t="s">
        <v>250</v>
      </c>
      <c r="O1534">
        <v>68</v>
      </c>
    </row>
    <row r="1535" spans="1:15">
      <c r="A1535" s="1">
        <v>46006</v>
      </c>
      <c r="B1535">
        <v>11</v>
      </c>
      <c r="C1535" t="s">
        <v>100</v>
      </c>
      <c r="D1535">
        <v>10</v>
      </c>
      <c r="E1535" s="2">
        <v>2.5</v>
      </c>
      <c r="F1535" s="2">
        <v>466.91</v>
      </c>
      <c r="G1535" s="2">
        <v>-461.5</v>
      </c>
      <c r="H1535" s="2">
        <v>116.57</v>
      </c>
      <c r="I1535" s="2">
        <v>-120.82</v>
      </c>
      <c r="J1535" s="2">
        <v>3.2</v>
      </c>
      <c r="K1535" s="2">
        <v>-0.72</v>
      </c>
      <c r="L1535" s="2">
        <v>3.28</v>
      </c>
      <c r="M1535" s="2">
        <v>-0.37</v>
      </c>
      <c r="N1535" t="s">
        <v>250</v>
      </c>
      <c r="O1535">
        <v>68</v>
      </c>
    </row>
    <row r="1536" spans="1:15">
      <c r="A1536" s="1">
        <v>46006</v>
      </c>
      <c r="B1536">
        <v>11</v>
      </c>
      <c r="C1536" t="s">
        <v>100</v>
      </c>
      <c r="D1536">
        <v>10</v>
      </c>
      <c r="E1536" s="2">
        <v>3</v>
      </c>
      <c r="F1536" s="2">
        <v>418.28</v>
      </c>
      <c r="G1536" s="2">
        <v>-410.72</v>
      </c>
      <c r="H1536" s="2">
        <v>-9.6300000000000008</v>
      </c>
      <c r="I1536" s="2">
        <v>6.09</v>
      </c>
      <c r="J1536" s="2">
        <v>3.66</v>
      </c>
      <c r="K1536" s="2">
        <v>-0.88</v>
      </c>
      <c r="L1536" s="2">
        <v>3.76</v>
      </c>
      <c r="M1536" s="2">
        <v>-0.28999999999999998</v>
      </c>
      <c r="N1536" t="s">
        <v>250</v>
      </c>
      <c r="O1536">
        <v>68</v>
      </c>
    </row>
    <row r="1537" spans="1:15">
      <c r="A1537" s="1">
        <v>46006</v>
      </c>
      <c r="B1537">
        <v>11</v>
      </c>
      <c r="C1537" t="s">
        <v>100</v>
      </c>
      <c r="D1537">
        <v>10</v>
      </c>
      <c r="E1537" s="2">
        <v>3.5</v>
      </c>
      <c r="F1537" s="2">
        <v>373.61</v>
      </c>
      <c r="G1537" s="2">
        <v>-367.81</v>
      </c>
      <c r="H1537" s="2">
        <v>-84.9</v>
      </c>
      <c r="I1537" s="2">
        <v>93.42</v>
      </c>
      <c r="J1537" s="2">
        <v>4.18</v>
      </c>
      <c r="K1537" s="2">
        <v>-0.95</v>
      </c>
      <c r="L1537" s="2">
        <v>4.29</v>
      </c>
      <c r="M1537" s="2">
        <v>-0.22</v>
      </c>
      <c r="N1537" t="s">
        <v>250</v>
      </c>
      <c r="O1537">
        <v>68</v>
      </c>
    </row>
    <row r="1538" spans="1:15">
      <c r="A1538" s="1">
        <v>46006</v>
      </c>
      <c r="B1538">
        <v>11</v>
      </c>
      <c r="C1538" t="s">
        <v>100</v>
      </c>
      <c r="D1538">
        <v>10</v>
      </c>
      <c r="E1538" s="2">
        <v>4</v>
      </c>
      <c r="F1538" s="2">
        <v>366.53</v>
      </c>
      <c r="G1538" s="2">
        <v>-359.5</v>
      </c>
      <c r="H1538" s="2">
        <v>-103.1</v>
      </c>
      <c r="I1538" s="2">
        <v>115.71</v>
      </c>
      <c r="J1538" s="2">
        <v>4.6100000000000003</v>
      </c>
      <c r="K1538" s="2">
        <v>-0.79</v>
      </c>
      <c r="L1538" s="2">
        <v>4.68</v>
      </c>
      <c r="M1538" s="2">
        <v>-0.16</v>
      </c>
      <c r="N1538" t="s">
        <v>250</v>
      </c>
      <c r="O1538">
        <v>68</v>
      </c>
    </row>
    <row r="1539" spans="1:15">
      <c r="A1539" s="1">
        <v>46006</v>
      </c>
      <c r="B1539">
        <v>11</v>
      </c>
      <c r="C1539" t="s">
        <v>100</v>
      </c>
      <c r="D1539">
        <v>10</v>
      </c>
      <c r="E1539" s="2">
        <v>4.5</v>
      </c>
      <c r="F1539" s="2">
        <v>372.04</v>
      </c>
      <c r="G1539" s="2">
        <v>-362.91</v>
      </c>
      <c r="H1539" s="2">
        <v>-104.77</v>
      </c>
      <c r="I1539" s="2">
        <v>119.39</v>
      </c>
      <c r="J1539" s="2">
        <v>5.15</v>
      </c>
      <c r="K1539" s="2">
        <v>-0.7</v>
      </c>
      <c r="L1539" s="2">
        <v>5.2</v>
      </c>
      <c r="M1539" s="2">
        <v>-0.11</v>
      </c>
      <c r="N1539" t="s">
        <v>250</v>
      </c>
      <c r="O1539">
        <v>68</v>
      </c>
    </row>
    <row r="1540" spans="1:15">
      <c r="A1540" s="1">
        <v>46006</v>
      </c>
      <c r="B1540">
        <v>11</v>
      </c>
      <c r="C1540" t="s">
        <v>100</v>
      </c>
      <c r="D1540">
        <v>10</v>
      </c>
      <c r="E1540" s="2">
        <v>5</v>
      </c>
      <c r="F1540" s="2">
        <v>288.24</v>
      </c>
      <c r="G1540" s="2">
        <v>-281.75</v>
      </c>
      <c r="H1540" s="2">
        <v>-68.94</v>
      </c>
      <c r="I1540" s="2">
        <v>84.37</v>
      </c>
      <c r="J1540" s="2">
        <v>5.73</v>
      </c>
      <c r="K1540" s="2">
        <v>-0.71</v>
      </c>
      <c r="L1540" s="2">
        <v>5.77</v>
      </c>
      <c r="M1540" s="2">
        <v>-0.05</v>
      </c>
      <c r="N1540" t="s">
        <v>250</v>
      </c>
      <c r="O1540">
        <v>68</v>
      </c>
    </row>
    <row r="1541" spans="1:15">
      <c r="A1541" s="1">
        <v>46006</v>
      </c>
      <c r="B1541">
        <v>11</v>
      </c>
      <c r="C1541" t="s">
        <v>100</v>
      </c>
      <c r="D1541">
        <v>10</v>
      </c>
      <c r="E1541" s="2">
        <v>5.5</v>
      </c>
      <c r="F1541" s="2">
        <v>206.68</v>
      </c>
      <c r="G1541" s="2">
        <v>-196.72</v>
      </c>
      <c r="H1541" s="2">
        <v>-19.54</v>
      </c>
      <c r="I1541" s="2">
        <v>37.700000000000003</v>
      </c>
      <c r="J1541" s="2">
        <v>5.79</v>
      </c>
      <c r="K1541" s="2">
        <v>-0.87</v>
      </c>
      <c r="L1541" s="2">
        <v>5.85</v>
      </c>
      <c r="M1541" s="2">
        <v>-0.05</v>
      </c>
      <c r="N1541" t="s">
        <v>250</v>
      </c>
      <c r="O1541">
        <v>68</v>
      </c>
    </row>
    <row r="1542" spans="1:15">
      <c r="A1542" s="1">
        <v>46006</v>
      </c>
      <c r="B1542">
        <v>11</v>
      </c>
      <c r="C1542" t="s">
        <v>100</v>
      </c>
      <c r="D1542">
        <v>10</v>
      </c>
      <c r="E1542" s="2">
        <v>6</v>
      </c>
      <c r="F1542" s="2">
        <v>175.72</v>
      </c>
      <c r="G1542" s="2">
        <v>-168.21</v>
      </c>
      <c r="H1542" s="2">
        <v>9.68</v>
      </c>
      <c r="I1542" s="2">
        <v>3.76</v>
      </c>
      <c r="J1542" s="2">
        <v>5.86</v>
      </c>
      <c r="K1542" s="2">
        <v>-0.94</v>
      </c>
      <c r="L1542" s="2">
        <v>5.93</v>
      </c>
      <c r="M1542" s="2">
        <v>-0.06</v>
      </c>
      <c r="N1542" t="s">
        <v>250</v>
      </c>
      <c r="O1542">
        <v>68</v>
      </c>
    </row>
    <row r="1543" spans="1:15">
      <c r="A1543" s="1">
        <v>46006</v>
      </c>
      <c r="B1543">
        <v>11</v>
      </c>
      <c r="C1543" t="s">
        <v>100</v>
      </c>
      <c r="D1543">
        <v>10</v>
      </c>
      <c r="E1543" s="2">
        <v>6.5</v>
      </c>
      <c r="F1543" s="2">
        <v>171.65</v>
      </c>
      <c r="G1543" s="2">
        <v>-163.06</v>
      </c>
      <c r="H1543" s="2">
        <v>73.86</v>
      </c>
      <c r="I1543" s="2">
        <v>-65.44</v>
      </c>
      <c r="J1543" s="2">
        <v>6.04</v>
      </c>
      <c r="K1543" s="2">
        <v>-1.44</v>
      </c>
      <c r="L1543" s="2">
        <v>6.21</v>
      </c>
      <c r="M1543" s="2">
        <v>-7.0000000000000007E-2</v>
      </c>
      <c r="N1543" t="s">
        <v>250</v>
      </c>
      <c r="O1543">
        <v>68</v>
      </c>
    </row>
    <row r="1544" spans="1:15">
      <c r="A1544" s="1">
        <v>46006</v>
      </c>
      <c r="B1544">
        <v>11</v>
      </c>
      <c r="C1544" t="s">
        <v>100</v>
      </c>
      <c r="D1544">
        <v>10</v>
      </c>
      <c r="E1544" s="2">
        <v>7</v>
      </c>
      <c r="F1544" s="2">
        <v>132.36000000000001</v>
      </c>
      <c r="G1544" s="2">
        <v>-123.3</v>
      </c>
      <c r="H1544" s="2">
        <v>137.80000000000001</v>
      </c>
      <c r="I1544" s="2">
        <v>-128.72999999999999</v>
      </c>
      <c r="J1544" s="2">
        <v>6.01</v>
      </c>
      <c r="K1544" s="2">
        <v>-1.5</v>
      </c>
      <c r="L1544" s="2">
        <v>6.19</v>
      </c>
      <c r="M1544" s="2">
        <v>-0.06</v>
      </c>
      <c r="N1544" t="s">
        <v>250</v>
      </c>
      <c r="O1544">
        <v>68</v>
      </c>
    </row>
    <row r="1545" spans="1:15">
      <c r="A1545" s="1">
        <v>46006</v>
      </c>
      <c r="B1545">
        <v>11</v>
      </c>
      <c r="C1545" t="s">
        <v>100</v>
      </c>
      <c r="D1545">
        <v>10</v>
      </c>
      <c r="E1545" s="2">
        <v>7.5</v>
      </c>
      <c r="F1545" s="2">
        <v>80.709999999999994</v>
      </c>
      <c r="G1545" s="2">
        <v>-72.7</v>
      </c>
      <c r="H1545" s="2">
        <v>207.75</v>
      </c>
      <c r="I1545" s="2">
        <v>-202.05</v>
      </c>
      <c r="J1545" s="2">
        <v>5.92</v>
      </c>
      <c r="K1545" s="2">
        <v>-1.53</v>
      </c>
      <c r="L1545" s="2">
        <v>6.12</v>
      </c>
      <c r="M1545" s="2">
        <v>-0.05</v>
      </c>
      <c r="N1545" t="s">
        <v>250</v>
      </c>
      <c r="O1545">
        <v>68</v>
      </c>
    </row>
    <row r="1546" spans="1:15">
      <c r="A1546" s="1">
        <v>46006</v>
      </c>
      <c r="B1546">
        <v>11</v>
      </c>
      <c r="C1546" t="s">
        <v>100</v>
      </c>
      <c r="D1546">
        <v>10</v>
      </c>
      <c r="E1546" s="2">
        <v>8</v>
      </c>
      <c r="F1546" s="2">
        <v>78.11</v>
      </c>
      <c r="G1546" s="2">
        <v>-71.540000000000006</v>
      </c>
      <c r="H1546" s="2">
        <v>228.18</v>
      </c>
      <c r="I1546" s="2">
        <v>-229.47</v>
      </c>
      <c r="J1546" s="2">
        <v>5.56</v>
      </c>
      <c r="K1546" s="2">
        <v>-1.43</v>
      </c>
      <c r="L1546" s="2">
        <v>5.74</v>
      </c>
      <c r="M1546" s="2">
        <v>-0.05</v>
      </c>
      <c r="N1546" t="s">
        <v>250</v>
      </c>
      <c r="O1546">
        <v>68</v>
      </c>
    </row>
    <row r="1547" spans="1:15">
      <c r="A1547" s="1">
        <v>46006</v>
      </c>
      <c r="B1547">
        <v>11</v>
      </c>
      <c r="C1547" t="s">
        <v>100</v>
      </c>
      <c r="D1547">
        <v>10</v>
      </c>
      <c r="E1547" s="2">
        <v>8.5</v>
      </c>
      <c r="F1547" s="2">
        <v>111.01</v>
      </c>
      <c r="G1547" s="2">
        <v>-104.42</v>
      </c>
      <c r="H1547" s="2">
        <v>324.32</v>
      </c>
      <c r="I1547" s="2">
        <v>-318.92</v>
      </c>
      <c r="J1547" s="2">
        <v>5.08</v>
      </c>
      <c r="K1547" s="2">
        <v>-1.7</v>
      </c>
      <c r="L1547" s="2">
        <v>5.36</v>
      </c>
      <c r="M1547" s="2">
        <v>-0.08</v>
      </c>
      <c r="N1547" t="s">
        <v>250</v>
      </c>
      <c r="O1547">
        <v>68</v>
      </c>
    </row>
    <row r="1548" spans="1:15">
      <c r="A1548" s="1">
        <v>46006</v>
      </c>
      <c r="B1548">
        <v>11</v>
      </c>
      <c r="C1548" t="s">
        <v>100</v>
      </c>
      <c r="D1548">
        <v>10</v>
      </c>
      <c r="E1548" s="2">
        <v>9</v>
      </c>
      <c r="F1548" s="2">
        <v>165.57</v>
      </c>
      <c r="G1548" s="2">
        <v>-155.36000000000001</v>
      </c>
      <c r="H1548" s="2">
        <v>379.49</v>
      </c>
      <c r="I1548" s="2">
        <v>-382.74</v>
      </c>
      <c r="J1548" s="2">
        <v>4.68</v>
      </c>
      <c r="K1548" s="2">
        <v>-1.47</v>
      </c>
      <c r="L1548" s="2">
        <v>4.9000000000000004</v>
      </c>
      <c r="M1548" s="2">
        <v>-0.06</v>
      </c>
      <c r="N1548" t="s">
        <v>250</v>
      </c>
      <c r="O1548">
        <v>68</v>
      </c>
    </row>
    <row r="1549" spans="1:15">
      <c r="A1549" s="1">
        <v>46006</v>
      </c>
      <c r="B1549">
        <v>11</v>
      </c>
      <c r="C1549" t="s">
        <v>100</v>
      </c>
      <c r="D1549">
        <v>10</v>
      </c>
      <c r="E1549" s="2">
        <v>9.5</v>
      </c>
      <c r="F1549" s="2">
        <v>142.81</v>
      </c>
      <c r="G1549" s="2">
        <v>-139.69999999999999</v>
      </c>
      <c r="H1549" s="2">
        <v>441.34</v>
      </c>
      <c r="I1549" s="2">
        <v>-427.09</v>
      </c>
      <c r="J1549" s="2">
        <v>4.33</v>
      </c>
      <c r="K1549" s="2">
        <v>-1.05</v>
      </c>
      <c r="L1549" s="2">
        <v>4.45</v>
      </c>
      <c r="M1549" s="2">
        <v>-0.06</v>
      </c>
      <c r="N1549" t="s">
        <v>250</v>
      </c>
      <c r="O1549">
        <v>68</v>
      </c>
    </row>
    <row r="1550" spans="1:15">
      <c r="A1550" s="1">
        <v>46006</v>
      </c>
      <c r="B1550">
        <v>11</v>
      </c>
      <c r="C1550" t="s">
        <v>100</v>
      </c>
      <c r="D1550">
        <v>10</v>
      </c>
      <c r="E1550" s="2">
        <v>10</v>
      </c>
      <c r="F1550" s="2">
        <v>138.75</v>
      </c>
      <c r="G1550" s="2">
        <v>-133.24</v>
      </c>
      <c r="H1550" s="2">
        <v>451.1</v>
      </c>
      <c r="I1550" s="2">
        <v>-438.59</v>
      </c>
      <c r="J1550" s="2">
        <v>3.81</v>
      </c>
      <c r="K1550" s="2">
        <v>-0.56999999999999995</v>
      </c>
      <c r="L1550" s="2">
        <v>3.85</v>
      </c>
      <c r="M1550" s="2">
        <v>-0.03</v>
      </c>
      <c r="N1550" t="s">
        <v>250</v>
      </c>
      <c r="O1550">
        <v>68</v>
      </c>
    </row>
    <row r="1551" spans="1:15">
      <c r="A1551" s="1">
        <v>46006</v>
      </c>
      <c r="B1551">
        <v>11</v>
      </c>
      <c r="C1551" t="s">
        <v>100</v>
      </c>
      <c r="D1551">
        <v>10</v>
      </c>
      <c r="E1551" s="2">
        <v>10.5</v>
      </c>
      <c r="F1551" s="2">
        <v>323.27</v>
      </c>
      <c r="G1551" s="2">
        <v>-318.77999999999997</v>
      </c>
      <c r="H1551" s="2">
        <v>461.35</v>
      </c>
      <c r="I1551" s="2">
        <v>-455.23</v>
      </c>
      <c r="J1551" s="2">
        <v>3.66</v>
      </c>
      <c r="K1551" s="2">
        <v>-0.49</v>
      </c>
      <c r="L1551" s="2">
        <v>3.69</v>
      </c>
      <c r="M1551" s="2">
        <v>-0.03</v>
      </c>
      <c r="N1551" t="s">
        <v>250</v>
      </c>
      <c r="O1551">
        <v>68</v>
      </c>
    </row>
    <row r="1552" spans="1:15">
      <c r="A1552" s="1">
        <v>46006</v>
      </c>
      <c r="B1552">
        <v>11</v>
      </c>
      <c r="C1552" t="s">
        <v>100</v>
      </c>
      <c r="D1552">
        <v>10</v>
      </c>
      <c r="E1552" s="2">
        <v>11</v>
      </c>
      <c r="F1552" s="2">
        <v>335.39</v>
      </c>
      <c r="G1552" s="2">
        <v>-329.87</v>
      </c>
      <c r="H1552" s="2">
        <v>466.82</v>
      </c>
      <c r="I1552" s="2">
        <v>-447.77</v>
      </c>
      <c r="J1552" s="2">
        <v>3.52</v>
      </c>
      <c r="K1552" s="2">
        <v>-0.56000000000000005</v>
      </c>
      <c r="L1552" s="2">
        <v>3.56</v>
      </c>
      <c r="M1552" s="2">
        <v>-0.04</v>
      </c>
      <c r="N1552" t="s">
        <v>250</v>
      </c>
      <c r="O1552">
        <v>68</v>
      </c>
    </row>
    <row r="1553" spans="1:15">
      <c r="A1553" s="1">
        <v>46006</v>
      </c>
      <c r="B1553">
        <v>11</v>
      </c>
      <c r="C1553" t="s">
        <v>100</v>
      </c>
      <c r="D1553">
        <v>10</v>
      </c>
      <c r="E1553" s="2">
        <v>11.5</v>
      </c>
      <c r="F1553" s="2">
        <v>308.92</v>
      </c>
      <c r="G1553" s="2">
        <v>-298.72000000000003</v>
      </c>
      <c r="H1553" s="2">
        <v>383.02</v>
      </c>
      <c r="I1553" s="2">
        <v>-362.63</v>
      </c>
      <c r="J1553" s="2">
        <v>3.29</v>
      </c>
      <c r="K1553" s="2">
        <v>-0.44</v>
      </c>
      <c r="L1553" s="2">
        <v>3.32</v>
      </c>
      <c r="M1553" s="2">
        <v>-0.03</v>
      </c>
      <c r="N1553" t="s">
        <v>250</v>
      </c>
      <c r="O1553">
        <v>68</v>
      </c>
    </row>
    <row r="1554" spans="1:15">
      <c r="A1554" s="1">
        <v>46006</v>
      </c>
      <c r="B1554">
        <v>11</v>
      </c>
      <c r="C1554" t="s">
        <v>100</v>
      </c>
      <c r="D1554">
        <v>10</v>
      </c>
      <c r="E1554" s="2">
        <v>12</v>
      </c>
      <c r="F1554" s="2">
        <v>286.69</v>
      </c>
      <c r="G1554" s="2">
        <v>-278.41000000000003</v>
      </c>
      <c r="H1554" s="2">
        <v>290.2</v>
      </c>
      <c r="I1554" s="2">
        <v>-267.87</v>
      </c>
      <c r="J1554" s="2">
        <v>3.04</v>
      </c>
      <c r="K1554" s="2">
        <v>-0.33</v>
      </c>
      <c r="L1554" s="2">
        <v>3.06</v>
      </c>
      <c r="M1554" s="2">
        <v>-7.0000000000000007E-2</v>
      </c>
      <c r="N1554" t="s">
        <v>250</v>
      </c>
      <c r="O1554">
        <v>68</v>
      </c>
    </row>
    <row r="1555" spans="1:15">
      <c r="A1555" s="1">
        <v>46006</v>
      </c>
      <c r="B1555">
        <v>11</v>
      </c>
      <c r="C1555" t="s">
        <v>100</v>
      </c>
      <c r="D1555">
        <v>10</v>
      </c>
      <c r="E1555" s="2">
        <v>12.5</v>
      </c>
      <c r="F1555" s="2">
        <v>243.78</v>
      </c>
      <c r="G1555" s="2">
        <v>-236.91</v>
      </c>
      <c r="H1555" s="2">
        <v>183.82</v>
      </c>
      <c r="I1555" s="2">
        <v>-181.78</v>
      </c>
      <c r="J1555" s="2">
        <v>2.82</v>
      </c>
      <c r="K1555" s="2">
        <v>-0.43</v>
      </c>
      <c r="L1555" s="2">
        <v>2.85</v>
      </c>
      <c r="M1555" s="2">
        <v>-0.1</v>
      </c>
      <c r="N1555" t="s">
        <v>250</v>
      </c>
      <c r="O1555">
        <v>68</v>
      </c>
    </row>
    <row r="1556" spans="1:15">
      <c r="A1556" s="1">
        <v>46006</v>
      </c>
      <c r="B1556">
        <v>11</v>
      </c>
      <c r="C1556" t="s">
        <v>100</v>
      </c>
      <c r="D1556">
        <v>10</v>
      </c>
      <c r="E1556" s="2">
        <v>13</v>
      </c>
      <c r="F1556" s="2">
        <v>210.53</v>
      </c>
      <c r="G1556" s="2">
        <v>-202.57</v>
      </c>
      <c r="H1556" s="2">
        <v>128.21</v>
      </c>
      <c r="I1556" s="2">
        <v>-125.61</v>
      </c>
      <c r="J1556" s="2">
        <v>2.69</v>
      </c>
      <c r="K1556" s="2">
        <v>-0.64</v>
      </c>
      <c r="L1556" s="2">
        <v>2.76</v>
      </c>
      <c r="M1556" s="2">
        <v>-0.15</v>
      </c>
      <c r="N1556" t="s">
        <v>250</v>
      </c>
      <c r="O1556">
        <v>68</v>
      </c>
    </row>
    <row r="1557" spans="1:15">
      <c r="A1557" s="1">
        <v>46006</v>
      </c>
      <c r="B1557">
        <v>11</v>
      </c>
      <c r="C1557" t="s">
        <v>100</v>
      </c>
      <c r="D1557">
        <v>10</v>
      </c>
      <c r="E1557" s="2">
        <v>13.5</v>
      </c>
      <c r="F1557" s="2">
        <v>178.86</v>
      </c>
      <c r="G1557" s="2">
        <v>-173.64</v>
      </c>
      <c r="H1557" s="2">
        <v>140.91</v>
      </c>
      <c r="I1557" s="2">
        <v>-131.74</v>
      </c>
      <c r="J1557" s="2">
        <v>2.44</v>
      </c>
      <c r="K1557" s="2">
        <v>-0.64</v>
      </c>
      <c r="L1557" s="2">
        <v>2.52</v>
      </c>
      <c r="M1557" s="2">
        <v>-0.16</v>
      </c>
      <c r="N1557" t="s">
        <v>250</v>
      </c>
      <c r="O1557">
        <v>68</v>
      </c>
    </row>
    <row r="1558" spans="1:15">
      <c r="A1558" s="1">
        <v>46006</v>
      </c>
      <c r="B1558">
        <v>11</v>
      </c>
      <c r="C1558" t="s">
        <v>100</v>
      </c>
      <c r="D1558">
        <v>10</v>
      </c>
      <c r="E1558" s="2">
        <v>14</v>
      </c>
      <c r="F1558" s="2">
        <v>136.87</v>
      </c>
      <c r="G1558" s="2">
        <v>-131.68</v>
      </c>
      <c r="H1558" s="2">
        <v>157.09</v>
      </c>
      <c r="I1558" s="2">
        <v>-160.59</v>
      </c>
      <c r="J1558" s="2">
        <v>2.1</v>
      </c>
      <c r="K1558" s="2">
        <v>-0.43</v>
      </c>
      <c r="L1558" s="2">
        <v>2.14</v>
      </c>
      <c r="M1558" s="2">
        <v>-0.08</v>
      </c>
      <c r="N1558" t="s">
        <v>250</v>
      </c>
      <c r="O1558">
        <v>68</v>
      </c>
    </row>
    <row r="1559" spans="1:15">
      <c r="A1559" s="1">
        <v>46006</v>
      </c>
      <c r="B1559">
        <v>11</v>
      </c>
      <c r="C1559" t="s">
        <v>100</v>
      </c>
      <c r="D1559">
        <v>10</v>
      </c>
      <c r="E1559" s="2">
        <v>14.5</v>
      </c>
      <c r="F1559" s="2">
        <v>132.38</v>
      </c>
      <c r="G1559" s="2">
        <v>-126.16</v>
      </c>
      <c r="H1559" s="2">
        <v>178.7</v>
      </c>
      <c r="I1559" s="2">
        <v>-176.14</v>
      </c>
      <c r="J1559" s="2">
        <v>1.86</v>
      </c>
      <c r="K1559" s="2">
        <v>-0.9</v>
      </c>
      <c r="L1559" s="2">
        <v>2.0699999999999998</v>
      </c>
      <c r="M1559" s="2">
        <v>-0.14000000000000001</v>
      </c>
      <c r="N1559" t="s">
        <v>250</v>
      </c>
      <c r="O1559">
        <v>68</v>
      </c>
    </row>
    <row r="1560" spans="1:15">
      <c r="A1560" s="1">
        <v>46006</v>
      </c>
      <c r="B1560">
        <v>11</v>
      </c>
      <c r="C1560" t="s">
        <v>100</v>
      </c>
      <c r="D1560">
        <v>10</v>
      </c>
      <c r="E1560" s="2">
        <v>15</v>
      </c>
      <c r="F1560" s="2">
        <v>137.83000000000001</v>
      </c>
      <c r="G1560" s="2">
        <v>-132.76</v>
      </c>
      <c r="H1560" s="2">
        <v>260.56</v>
      </c>
      <c r="I1560" s="2">
        <v>-252.91</v>
      </c>
      <c r="J1560" s="2">
        <v>1.58</v>
      </c>
      <c r="K1560" s="2">
        <v>-1.19</v>
      </c>
      <c r="L1560" s="2">
        <v>1.98</v>
      </c>
      <c r="M1560" s="2">
        <v>-7.0000000000000007E-2</v>
      </c>
      <c r="N1560" t="s">
        <v>250</v>
      </c>
      <c r="O1560">
        <v>68</v>
      </c>
    </row>
    <row r="1561" spans="1:15">
      <c r="A1561" s="1">
        <v>46006</v>
      </c>
      <c r="B1561">
        <v>11</v>
      </c>
      <c r="C1561" t="s">
        <v>100</v>
      </c>
      <c r="D1561">
        <v>10</v>
      </c>
      <c r="E1561" s="2">
        <v>15.5</v>
      </c>
      <c r="F1561" s="2">
        <v>55.65</v>
      </c>
      <c r="G1561" s="2">
        <v>-53.69</v>
      </c>
      <c r="H1561" s="2">
        <v>343.06</v>
      </c>
      <c r="I1561" s="2">
        <v>-338.94</v>
      </c>
      <c r="J1561" s="2">
        <v>1.33</v>
      </c>
      <c r="K1561" s="2">
        <v>-1.29</v>
      </c>
      <c r="L1561" s="2">
        <v>1.85</v>
      </c>
      <c r="M1561" s="2">
        <v>0.16</v>
      </c>
      <c r="N1561" t="s">
        <v>250</v>
      </c>
      <c r="O1561">
        <v>68</v>
      </c>
    </row>
    <row r="1562" spans="1:15">
      <c r="A1562" s="1">
        <v>46006</v>
      </c>
      <c r="B1562">
        <v>11</v>
      </c>
      <c r="C1562" t="s">
        <v>100</v>
      </c>
      <c r="D1562">
        <v>10</v>
      </c>
      <c r="E1562" s="2">
        <v>16</v>
      </c>
      <c r="F1562" s="2">
        <v>198.64</v>
      </c>
      <c r="G1562" s="2">
        <v>-185.64</v>
      </c>
      <c r="H1562" s="2">
        <v>196.62</v>
      </c>
      <c r="I1562" s="2">
        <v>-174.7</v>
      </c>
      <c r="J1562" s="2">
        <v>1.22</v>
      </c>
      <c r="K1562" s="2">
        <v>-1.3</v>
      </c>
      <c r="L1562" s="2">
        <v>1.78</v>
      </c>
      <c r="M1562" s="2">
        <v>0.22</v>
      </c>
      <c r="N1562" t="s">
        <v>250</v>
      </c>
      <c r="O1562">
        <v>68</v>
      </c>
    </row>
    <row r="1563" spans="1:15">
      <c r="A1563" s="1">
        <v>46006</v>
      </c>
      <c r="B1563">
        <v>11</v>
      </c>
      <c r="C1563" t="s">
        <v>100</v>
      </c>
      <c r="D1563">
        <v>10</v>
      </c>
      <c r="E1563" s="2">
        <v>16.5</v>
      </c>
      <c r="F1563" s="2">
        <v>320.35000000000002</v>
      </c>
      <c r="G1563" s="2">
        <v>-317.93</v>
      </c>
      <c r="H1563" s="2">
        <v>205.03</v>
      </c>
      <c r="I1563" s="2">
        <v>-188.1</v>
      </c>
      <c r="J1563" s="2">
        <v>1.19</v>
      </c>
      <c r="K1563" s="2">
        <v>-1.44</v>
      </c>
      <c r="L1563" s="2">
        <v>1.86</v>
      </c>
      <c r="M1563" s="2">
        <v>0.31</v>
      </c>
      <c r="N1563" t="s">
        <v>250</v>
      </c>
      <c r="O1563">
        <v>68</v>
      </c>
    </row>
    <row r="1564" spans="1:15">
      <c r="A1564" s="1">
        <v>46006</v>
      </c>
      <c r="B1564">
        <v>11</v>
      </c>
      <c r="C1564" t="s">
        <v>100</v>
      </c>
      <c r="D1564">
        <v>10</v>
      </c>
      <c r="E1564" s="2">
        <v>17</v>
      </c>
      <c r="F1564" s="2">
        <v>382.38</v>
      </c>
      <c r="G1564" s="2">
        <v>-375.14</v>
      </c>
      <c r="H1564" s="2">
        <v>242.02</v>
      </c>
      <c r="I1564" s="2">
        <v>-246.7</v>
      </c>
      <c r="J1564" s="2">
        <v>1.1299999999999999</v>
      </c>
      <c r="K1564" s="2">
        <v>-1.32</v>
      </c>
      <c r="L1564" s="2">
        <v>1.74</v>
      </c>
      <c r="M1564" s="2">
        <v>0.4</v>
      </c>
      <c r="N1564" t="s">
        <v>250</v>
      </c>
      <c r="O1564">
        <v>68</v>
      </c>
    </row>
    <row r="1565" spans="1:15">
      <c r="A1565" s="1">
        <v>46006</v>
      </c>
      <c r="B1565">
        <v>11</v>
      </c>
      <c r="C1565" t="s">
        <v>100</v>
      </c>
      <c r="D1565">
        <v>10</v>
      </c>
      <c r="E1565" s="2">
        <v>17.5</v>
      </c>
      <c r="F1565" s="2">
        <v>377.98</v>
      </c>
      <c r="G1565" s="2">
        <v>-373.84</v>
      </c>
      <c r="H1565" s="2">
        <v>161.11000000000001</v>
      </c>
      <c r="I1565" s="2">
        <v>-155.30000000000001</v>
      </c>
      <c r="J1565" s="2">
        <v>1.07</v>
      </c>
      <c r="K1565" s="2">
        <v>-1.1599999999999999</v>
      </c>
      <c r="L1565" s="2">
        <v>1.57</v>
      </c>
      <c r="M1565" s="2">
        <v>0.38</v>
      </c>
      <c r="N1565" t="s">
        <v>250</v>
      </c>
      <c r="O1565">
        <v>68</v>
      </c>
    </row>
    <row r="1566" spans="1:15">
      <c r="A1566" s="1">
        <v>46006</v>
      </c>
      <c r="B1566">
        <v>11</v>
      </c>
      <c r="C1566" t="s">
        <v>100</v>
      </c>
      <c r="D1566">
        <v>10</v>
      </c>
      <c r="E1566" s="2">
        <v>18</v>
      </c>
      <c r="F1566" s="2">
        <v>345.54</v>
      </c>
      <c r="G1566" s="2">
        <v>-340.04</v>
      </c>
      <c r="H1566" s="2">
        <v>92.73</v>
      </c>
      <c r="I1566" s="2">
        <v>-99.67</v>
      </c>
      <c r="J1566" s="2">
        <v>1.01</v>
      </c>
      <c r="K1566" s="2">
        <v>-0.84</v>
      </c>
      <c r="L1566" s="2">
        <v>1.31</v>
      </c>
      <c r="M1566" s="2">
        <v>0.23</v>
      </c>
      <c r="N1566" t="s">
        <v>250</v>
      </c>
      <c r="O1566">
        <v>68</v>
      </c>
    </row>
    <row r="1567" spans="1:15">
      <c r="A1567" s="1">
        <v>46006</v>
      </c>
      <c r="B1567">
        <v>11</v>
      </c>
      <c r="C1567" t="s">
        <v>100</v>
      </c>
      <c r="D1567">
        <v>10</v>
      </c>
      <c r="E1567" s="2">
        <v>18.5</v>
      </c>
      <c r="F1567" s="2">
        <v>314.16000000000003</v>
      </c>
      <c r="G1567" s="2">
        <v>-310.54000000000002</v>
      </c>
      <c r="H1567" s="2">
        <v>54.22</v>
      </c>
      <c r="I1567" s="2">
        <v>-60.2</v>
      </c>
      <c r="J1567" s="2">
        <v>0.94</v>
      </c>
      <c r="K1567" s="2">
        <v>-0.82</v>
      </c>
      <c r="L1567" s="2">
        <v>1.25</v>
      </c>
      <c r="M1567" s="2">
        <v>0.23</v>
      </c>
      <c r="N1567" t="s">
        <v>250</v>
      </c>
      <c r="O1567">
        <v>68</v>
      </c>
    </row>
    <row r="1568" spans="1:15">
      <c r="A1568" s="1">
        <v>46006</v>
      </c>
      <c r="B1568">
        <v>11</v>
      </c>
      <c r="C1568" t="s">
        <v>100</v>
      </c>
      <c r="D1568">
        <v>10</v>
      </c>
      <c r="E1568" s="2">
        <v>19</v>
      </c>
      <c r="F1568" s="2">
        <v>299.95999999999998</v>
      </c>
      <c r="G1568" s="2">
        <v>-297.75</v>
      </c>
      <c r="H1568" s="2">
        <v>47.86</v>
      </c>
      <c r="I1568" s="2">
        <v>-44.69</v>
      </c>
      <c r="J1568" s="2">
        <v>0.78</v>
      </c>
      <c r="K1568" s="2">
        <v>-1.06</v>
      </c>
      <c r="L1568" s="2">
        <v>1.31</v>
      </c>
      <c r="M1568" s="2">
        <v>0.37</v>
      </c>
      <c r="N1568" t="s">
        <v>250</v>
      </c>
      <c r="O1568">
        <v>68</v>
      </c>
    </row>
    <row r="1569" spans="1:15">
      <c r="A1569" s="1">
        <v>46006</v>
      </c>
      <c r="B1569">
        <v>11</v>
      </c>
      <c r="C1569" t="s">
        <v>100</v>
      </c>
      <c r="D1569">
        <v>10</v>
      </c>
      <c r="E1569" s="2">
        <v>19.5</v>
      </c>
      <c r="F1569" s="2">
        <v>208.36</v>
      </c>
      <c r="G1569" s="2">
        <v>-203.56</v>
      </c>
      <c r="H1569" s="2">
        <v>101.19</v>
      </c>
      <c r="I1569" s="2">
        <v>-92.89</v>
      </c>
      <c r="J1569" s="2">
        <v>0.66</v>
      </c>
      <c r="K1569" s="2">
        <v>-1.26</v>
      </c>
      <c r="L1569" s="2">
        <v>1.43</v>
      </c>
      <c r="M1569" s="2">
        <v>0.5</v>
      </c>
      <c r="N1569" t="s">
        <v>250</v>
      </c>
      <c r="O1569">
        <v>68</v>
      </c>
    </row>
    <row r="1570" spans="1:15">
      <c r="A1570" s="1">
        <v>46006</v>
      </c>
      <c r="B1570">
        <v>11</v>
      </c>
      <c r="C1570" t="s">
        <v>100</v>
      </c>
      <c r="D1570">
        <v>10</v>
      </c>
      <c r="E1570" s="2">
        <v>20</v>
      </c>
      <c r="F1570" s="2">
        <v>141.75</v>
      </c>
      <c r="G1570" s="2">
        <v>-137.52000000000001</v>
      </c>
      <c r="H1570" s="2">
        <v>150.54</v>
      </c>
      <c r="I1570" s="2">
        <v>-145.26</v>
      </c>
      <c r="J1570" s="2">
        <v>0.48</v>
      </c>
      <c r="K1570" s="2">
        <v>-0.88</v>
      </c>
      <c r="L1570" s="2">
        <v>1</v>
      </c>
      <c r="M1570" s="2">
        <v>0.47</v>
      </c>
      <c r="N1570" t="s">
        <v>250</v>
      </c>
      <c r="O1570">
        <v>68</v>
      </c>
    </row>
    <row r="1571" spans="1:15">
      <c r="A1571" s="1">
        <v>46006</v>
      </c>
      <c r="B1571">
        <v>11</v>
      </c>
      <c r="C1571" t="s">
        <v>100</v>
      </c>
      <c r="D1571">
        <v>10</v>
      </c>
      <c r="E1571" s="2">
        <v>20.5</v>
      </c>
      <c r="F1571" s="2">
        <v>148.21</v>
      </c>
      <c r="G1571" s="2">
        <v>-146.58000000000001</v>
      </c>
      <c r="H1571" s="2">
        <v>153.61000000000001</v>
      </c>
      <c r="I1571" s="2">
        <v>-158.65</v>
      </c>
      <c r="J1571" s="2">
        <v>0.39</v>
      </c>
      <c r="K1571" s="2">
        <v>-0.62</v>
      </c>
      <c r="L1571" s="2">
        <v>0.73</v>
      </c>
      <c r="M1571" s="2">
        <v>0.32</v>
      </c>
      <c r="N1571" t="s">
        <v>250</v>
      </c>
      <c r="O1571">
        <v>68</v>
      </c>
    </row>
    <row r="1572" spans="1:15">
      <c r="A1572" s="1">
        <v>46006</v>
      </c>
      <c r="B1572">
        <v>11</v>
      </c>
      <c r="C1572" t="s">
        <v>100</v>
      </c>
      <c r="D1572">
        <v>10</v>
      </c>
      <c r="E1572" s="2">
        <v>21</v>
      </c>
      <c r="F1572" s="2">
        <v>158.76</v>
      </c>
      <c r="G1572" s="2">
        <v>-155.09</v>
      </c>
      <c r="H1572" s="2">
        <v>173.3</v>
      </c>
      <c r="I1572" s="2">
        <v>-175.01</v>
      </c>
      <c r="J1572" s="2">
        <v>0.25</v>
      </c>
      <c r="K1572" s="2">
        <v>-0.27</v>
      </c>
      <c r="L1572" s="2">
        <v>0.37</v>
      </c>
      <c r="M1572" s="2">
        <v>-0.01</v>
      </c>
      <c r="N1572" t="s">
        <v>250</v>
      </c>
      <c r="O1572">
        <v>68</v>
      </c>
    </row>
    <row r="1573" spans="1:15">
      <c r="A1573" s="1">
        <v>46006</v>
      </c>
      <c r="B1573">
        <v>11</v>
      </c>
      <c r="C1573" t="s">
        <v>100</v>
      </c>
      <c r="D1573">
        <v>10</v>
      </c>
      <c r="E1573" s="2">
        <v>21.5</v>
      </c>
      <c r="F1573" s="2">
        <v>177.34</v>
      </c>
      <c r="G1573" s="2">
        <v>-175.06</v>
      </c>
      <c r="H1573" s="2">
        <v>172.32</v>
      </c>
      <c r="I1573" s="2">
        <v>-181.34</v>
      </c>
      <c r="J1573" s="2">
        <v>0.11</v>
      </c>
      <c r="K1573" s="2">
        <v>0</v>
      </c>
      <c r="L1573" s="2">
        <v>0.11</v>
      </c>
      <c r="M1573" s="2">
        <v>-0.25</v>
      </c>
      <c r="N1573" t="s">
        <v>250</v>
      </c>
      <c r="O1573">
        <v>68</v>
      </c>
    </row>
    <row r="1574" spans="1:15">
      <c r="A1574" s="1">
        <v>46006</v>
      </c>
      <c r="B1574">
        <v>11</v>
      </c>
      <c r="C1574" t="s">
        <v>100</v>
      </c>
      <c r="D1574">
        <v>10</v>
      </c>
      <c r="E1574" s="2">
        <v>22</v>
      </c>
      <c r="F1574" s="2">
        <v>188.42</v>
      </c>
      <c r="G1574" s="2">
        <v>-184.42</v>
      </c>
      <c r="H1574" s="2">
        <v>187.7</v>
      </c>
      <c r="I1574" s="2">
        <v>-175.22</v>
      </c>
      <c r="J1574" s="2">
        <v>0.04</v>
      </c>
      <c r="K1574" s="2">
        <v>0.23</v>
      </c>
      <c r="L1574" s="2">
        <v>0.23</v>
      </c>
      <c r="M1574" s="2">
        <v>-0.01</v>
      </c>
      <c r="N1574" t="s">
        <v>250</v>
      </c>
      <c r="O1574">
        <v>68</v>
      </c>
    </row>
    <row r="1575" spans="1:15">
      <c r="A1575" s="1">
        <v>46013</v>
      </c>
      <c r="B1575">
        <v>12</v>
      </c>
      <c r="C1575" t="s">
        <v>94</v>
      </c>
      <c r="D1575">
        <v>12</v>
      </c>
      <c r="E1575" s="2">
        <v>0.5</v>
      </c>
      <c r="F1575" s="2">
        <v>-284.17</v>
      </c>
      <c r="G1575" s="2">
        <v>275.91000000000003</v>
      </c>
      <c r="H1575" s="2">
        <v>-740.04</v>
      </c>
      <c r="I1575" s="2">
        <v>804.43</v>
      </c>
      <c r="J1575" s="2">
        <v>-0.55000000000000004</v>
      </c>
      <c r="K1575" s="2">
        <v>13.07</v>
      </c>
      <c r="L1575" s="2">
        <v>13.08</v>
      </c>
      <c r="M1575" s="2">
        <v>3.02</v>
      </c>
      <c r="N1575" t="s">
        <v>253</v>
      </c>
      <c r="O1575">
        <v>28</v>
      </c>
    </row>
    <row r="1576" spans="1:15">
      <c r="A1576" s="1">
        <v>46013</v>
      </c>
      <c r="B1576">
        <v>12</v>
      </c>
      <c r="C1576" t="s">
        <v>94</v>
      </c>
      <c r="D1576">
        <v>12</v>
      </c>
      <c r="E1576" s="2">
        <v>1</v>
      </c>
      <c r="F1576" s="2">
        <v>-284.05</v>
      </c>
      <c r="G1576" s="2">
        <v>275.89</v>
      </c>
      <c r="H1576" s="2">
        <v>-740.18</v>
      </c>
      <c r="I1576" s="2">
        <v>804.56</v>
      </c>
      <c r="J1576" s="2">
        <v>2.5299999999999998</v>
      </c>
      <c r="K1576" s="2">
        <v>15.78</v>
      </c>
      <c r="L1576" s="2">
        <v>15.98</v>
      </c>
      <c r="M1576" s="2">
        <v>2.64</v>
      </c>
      <c r="N1576" t="s">
        <v>253</v>
      </c>
      <c r="O1576">
        <v>28</v>
      </c>
    </row>
    <row r="1577" spans="1:15">
      <c r="A1577" s="1">
        <v>46013</v>
      </c>
      <c r="B1577">
        <v>12</v>
      </c>
      <c r="C1577" t="s">
        <v>94</v>
      </c>
      <c r="D1577">
        <v>12</v>
      </c>
      <c r="E1577" s="2">
        <v>1.5</v>
      </c>
      <c r="F1577" s="2">
        <v>-16.899999999999999</v>
      </c>
      <c r="G1577" s="2">
        <v>26.77</v>
      </c>
      <c r="H1577" s="2">
        <v>-275.27</v>
      </c>
      <c r="I1577" s="2">
        <v>296.44</v>
      </c>
      <c r="J1577" s="2">
        <v>5.67</v>
      </c>
      <c r="K1577" s="2">
        <v>18.079999999999998</v>
      </c>
      <c r="L1577" s="2">
        <v>18.95</v>
      </c>
      <c r="M1577" s="2">
        <v>2.21</v>
      </c>
      <c r="N1577" t="s">
        <v>253</v>
      </c>
      <c r="O1577">
        <v>28</v>
      </c>
    </row>
    <row r="1578" spans="1:15">
      <c r="A1578" s="1">
        <v>46013</v>
      </c>
      <c r="B1578">
        <v>12</v>
      </c>
      <c r="C1578" t="s">
        <v>94</v>
      </c>
      <c r="D1578">
        <v>12</v>
      </c>
      <c r="E1578" s="2">
        <v>2</v>
      </c>
      <c r="F1578" s="2">
        <v>43.46</v>
      </c>
      <c r="G1578" s="2">
        <v>-38.25</v>
      </c>
      <c r="H1578" s="2">
        <v>-232.27</v>
      </c>
      <c r="I1578" s="2">
        <v>237.67</v>
      </c>
      <c r="J1578" s="2">
        <v>5.3</v>
      </c>
      <c r="K1578" s="2">
        <v>17.91</v>
      </c>
      <c r="L1578" s="2">
        <v>18.670000000000002</v>
      </c>
      <c r="M1578" s="2">
        <v>2.2400000000000002</v>
      </c>
      <c r="N1578" t="s">
        <v>253</v>
      </c>
      <c r="O1578">
        <v>28</v>
      </c>
    </row>
    <row r="1579" spans="1:15">
      <c r="A1579" s="1">
        <v>46013</v>
      </c>
      <c r="B1579">
        <v>12</v>
      </c>
      <c r="C1579" t="s">
        <v>94</v>
      </c>
      <c r="D1579">
        <v>12</v>
      </c>
      <c r="E1579" s="2">
        <v>2.5</v>
      </c>
      <c r="F1579" s="2">
        <v>52.63</v>
      </c>
      <c r="G1579" s="2">
        <v>-46.9</v>
      </c>
      <c r="H1579" s="2">
        <v>-209.88</v>
      </c>
      <c r="I1579" s="2">
        <v>214.32</v>
      </c>
      <c r="J1579" s="2">
        <v>6.59</v>
      </c>
      <c r="K1579" s="2">
        <v>17.989999999999998</v>
      </c>
      <c r="L1579" s="2">
        <v>19.16</v>
      </c>
      <c r="M1579" s="2">
        <v>2.2799999999999998</v>
      </c>
      <c r="N1579" t="s">
        <v>253</v>
      </c>
      <c r="O1579">
        <v>28</v>
      </c>
    </row>
    <row r="1580" spans="1:15">
      <c r="A1580" s="1">
        <v>46013</v>
      </c>
      <c r="B1580">
        <v>12</v>
      </c>
      <c r="C1580" t="s">
        <v>94</v>
      </c>
      <c r="D1580">
        <v>12</v>
      </c>
      <c r="E1580" s="2">
        <v>3</v>
      </c>
      <c r="F1580" s="2">
        <v>21.7</v>
      </c>
      <c r="G1580" s="2">
        <v>-12.63</v>
      </c>
      <c r="H1580" s="2">
        <v>-150.13999999999999</v>
      </c>
      <c r="I1580" s="2">
        <v>157.07</v>
      </c>
      <c r="J1580" s="2">
        <v>7.38</v>
      </c>
      <c r="K1580" s="2">
        <v>17.96</v>
      </c>
      <c r="L1580" s="2">
        <v>19.420000000000002</v>
      </c>
      <c r="M1580" s="2">
        <v>2.2599999999999998</v>
      </c>
      <c r="N1580" t="s">
        <v>253</v>
      </c>
      <c r="O1580">
        <v>28</v>
      </c>
    </row>
    <row r="1581" spans="1:15">
      <c r="A1581" s="1">
        <v>46013</v>
      </c>
      <c r="B1581">
        <v>12</v>
      </c>
      <c r="C1581" t="s">
        <v>94</v>
      </c>
      <c r="D1581">
        <v>12</v>
      </c>
      <c r="E1581" s="2">
        <v>3.5</v>
      </c>
      <c r="F1581" s="2">
        <v>-10.56</v>
      </c>
      <c r="G1581" s="2">
        <v>16.149999999999999</v>
      </c>
      <c r="H1581" s="2">
        <v>-97.76</v>
      </c>
      <c r="I1581" s="2">
        <v>98.19</v>
      </c>
      <c r="J1581" s="2">
        <v>7.74</v>
      </c>
      <c r="K1581" s="2">
        <v>18.010000000000002</v>
      </c>
      <c r="L1581" s="2">
        <v>19.600000000000001</v>
      </c>
      <c r="M1581" s="2">
        <v>2.25</v>
      </c>
      <c r="N1581" t="s">
        <v>253</v>
      </c>
      <c r="O1581">
        <v>28</v>
      </c>
    </row>
    <row r="1582" spans="1:15">
      <c r="A1582" s="1">
        <v>46013</v>
      </c>
      <c r="B1582">
        <v>12</v>
      </c>
      <c r="C1582" t="s">
        <v>94</v>
      </c>
      <c r="D1582">
        <v>12</v>
      </c>
      <c r="E1582" s="2">
        <v>4</v>
      </c>
      <c r="F1582" s="2">
        <v>55.21</v>
      </c>
      <c r="G1582" s="2">
        <v>-48.29</v>
      </c>
      <c r="H1582" s="2">
        <v>-82.24</v>
      </c>
      <c r="I1582" s="2">
        <v>62.8</v>
      </c>
      <c r="J1582" s="2">
        <v>7.74</v>
      </c>
      <c r="K1582" s="2">
        <v>18.18</v>
      </c>
      <c r="L1582" s="2">
        <v>19.760000000000002</v>
      </c>
      <c r="M1582" s="2">
        <v>2.27</v>
      </c>
      <c r="N1582" t="s">
        <v>253</v>
      </c>
      <c r="O1582">
        <v>28</v>
      </c>
    </row>
    <row r="1583" spans="1:15">
      <c r="A1583" s="1">
        <v>46013</v>
      </c>
      <c r="B1583">
        <v>12</v>
      </c>
      <c r="C1583" t="s">
        <v>94</v>
      </c>
      <c r="D1583">
        <v>12</v>
      </c>
      <c r="E1583" s="2">
        <v>4.5</v>
      </c>
      <c r="F1583" s="2">
        <v>71.45</v>
      </c>
      <c r="G1583" s="2">
        <v>-63.2</v>
      </c>
      <c r="H1583" s="2">
        <v>-52.35</v>
      </c>
      <c r="I1583" s="2">
        <v>60.71</v>
      </c>
      <c r="J1583" s="2">
        <v>7.66</v>
      </c>
      <c r="K1583" s="2">
        <v>18.11</v>
      </c>
      <c r="L1583" s="2">
        <v>19.670000000000002</v>
      </c>
      <c r="M1583" s="2">
        <v>2.37</v>
      </c>
      <c r="N1583" t="s">
        <v>253</v>
      </c>
      <c r="O1583">
        <v>28</v>
      </c>
    </row>
    <row r="1584" spans="1:15">
      <c r="A1584" s="1">
        <v>46013</v>
      </c>
      <c r="B1584">
        <v>12</v>
      </c>
      <c r="C1584" t="s">
        <v>94</v>
      </c>
      <c r="D1584">
        <v>12</v>
      </c>
      <c r="E1584" s="2">
        <v>5</v>
      </c>
      <c r="F1584" s="2">
        <v>16.48</v>
      </c>
      <c r="G1584" s="2">
        <v>-7.13</v>
      </c>
      <c r="H1584" s="2">
        <v>18.82</v>
      </c>
      <c r="I1584" s="2">
        <v>-10.9</v>
      </c>
      <c r="J1584" s="2">
        <v>8.2100000000000009</v>
      </c>
      <c r="K1584" s="2">
        <v>17.53</v>
      </c>
      <c r="L1584" s="2">
        <v>19.36</v>
      </c>
      <c r="M1584" s="2">
        <v>2.4</v>
      </c>
      <c r="N1584" t="s">
        <v>253</v>
      </c>
      <c r="O1584">
        <v>28</v>
      </c>
    </row>
    <row r="1585" spans="1:15">
      <c r="A1585" s="1">
        <v>46013</v>
      </c>
      <c r="B1585">
        <v>12</v>
      </c>
      <c r="C1585" t="s">
        <v>94</v>
      </c>
      <c r="D1585">
        <v>12</v>
      </c>
      <c r="E1585" s="2">
        <v>5.5</v>
      </c>
      <c r="F1585" s="2">
        <v>9.3000000000000007</v>
      </c>
      <c r="G1585" s="2">
        <v>-0.3</v>
      </c>
      <c r="H1585" s="2">
        <v>20.98</v>
      </c>
      <c r="I1585" s="2">
        <v>-21.06</v>
      </c>
      <c r="J1585" s="2">
        <v>8.64</v>
      </c>
      <c r="K1585" s="2">
        <v>17.48</v>
      </c>
      <c r="L1585" s="2">
        <v>19.5</v>
      </c>
      <c r="M1585" s="2">
        <v>2.4500000000000002</v>
      </c>
      <c r="N1585" t="s">
        <v>253</v>
      </c>
      <c r="O1585">
        <v>28</v>
      </c>
    </row>
    <row r="1586" spans="1:15">
      <c r="A1586" s="1">
        <v>46013</v>
      </c>
      <c r="B1586">
        <v>12</v>
      </c>
      <c r="C1586" t="s">
        <v>94</v>
      </c>
      <c r="D1586">
        <v>12</v>
      </c>
      <c r="E1586" s="2">
        <v>6</v>
      </c>
      <c r="F1586" s="2">
        <v>20.440000000000001</v>
      </c>
      <c r="G1586" s="2">
        <v>-12.92</v>
      </c>
      <c r="H1586" s="2">
        <v>-37.67</v>
      </c>
      <c r="I1586" s="2">
        <v>38.44</v>
      </c>
      <c r="J1586" s="2">
        <v>8.92</v>
      </c>
      <c r="K1586" s="2">
        <v>17.77</v>
      </c>
      <c r="L1586" s="2">
        <v>19.88</v>
      </c>
      <c r="M1586" s="2">
        <v>2.3199999999999998</v>
      </c>
      <c r="N1586" t="s">
        <v>253</v>
      </c>
      <c r="O1586">
        <v>28</v>
      </c>
    </row>
    <row r="1587" spans="1:15">
      <c r="A1587" s="1">
        <v>46013</v>
      </c>
      <c r="B1587">
        <v>12</v>
      </c>
      <c r="C1587" t="s">
        <v>94</v>
      </c>
      <c r="D1587">
        <v>12</v>
      </c>
      <c r="E1587" s="2">
        <v>6.5</v>
      </c>
      <c r="F1587" s="2">
        <v>17.670000000000002</v>
      </c>
      <c r="G1587" s="2">
        <v>-6.55</v>
      </c>
      <c r="H1587" s="2">
        <v>-83.12</v>
      </c>
      <c r="I1587" s="2">
        <v>82.54</v>
      </c>
      <c r="J1587" s="2">
        <v>9.08</v>
      </c>
      <c r="K1587" s="2">
        <v>17.77</v>
      </c>
      <c r="L1587" s="2">
        <v>19.96</v>
      </c>
      <c r="M1587" s="2">
        <v>2.33</v>
      </c>
      <c r="N1587" t="s">
        <v>253</v>
      </c>
      <c r="O1587">
        <v>28</v>
      </c>
    </row>
    <row r="1588" spans="1:15">
      <c r="A1588" s="1">
        <v>46013</v>
      </c>
      <c r="B1588">
        <v>12</v>
      </c>
      <c r="C1588" t="s">
        <v>94</v>
      </c>
      <c r="D1588">
        <v>12</v>
      </c>
      <c r="E1588" s="2">
        <v>7</v>
      </c>
      <c r="F1588" s="2">
        <v>101.35</v>
      </c>
      <c r="G1588" s="2">
        <v>-94.07</v>
      </c>
      <c r="H1588" s="2">
        <v>-63.91</v>
      </c>
      <c r="I1588" s="2">
        <v>70.180000000000007</v>
      </c>
      <c r="J1588" s="2">
        <v>8.6300000000000008</v>
      </c>
      <c r="K1588" s="2">
        <v>17.239999999999998</v>
      </c>
      <c r="L1588" s="2">
        <v>19.28</v>
      </c>
      <c r="M1588" s="2">
        <v>2.23</v>
      </c>
      <c r="N1588" t="s">
        <v>253</v>
      </c>
      <c r="O1588">
        <v>28</v>
      </c>
    </row>
    <row r="1589" spans="1:15">
      <c r="A1589" s="1">
        <v>46013</v>
      </c>
      <c r="B1589">
        <v>12</v>
      </c>
      <c r="C1589" t="s">
        <v>94</v>
      </c>
      <c r="D1589">
        <v>12</v>
      </c>
      <c r="E1589" s="2">
        <v>7.5</v>
      </c>
      <c r="F1589" s="2">
        <v>59.16</v>
      </c>
      <c r="G1589" s="2">
        <v>-51.82</v>
      </c>
      <c r="H1589" s="2">
        <v>-82.2</v>
      </c>
      <c r="I1589" s="2">
        <v>84.62</v>
      </c>
      <c r="J1589" s="2">
        <v>8.5399999999999991</v>
      </c>
      <c r="K1589" s="2">
        <v>16.86</v>
      </c>
      <c r="L1589" s="2">
        <v>18.899999999999999</v>
      </c>
      <c r="M1589" s="2">
        <v>2.1</v>
      </c>
      <c r="N1589" t="s">
        <v>253</v>
      </c>
      <c r="O1589">
        <v>28</v>
      </c>
    </row>
    <row r="1590" spans="1:15">
      <c r="A1590" s="1">
        <v>46013</v>
      </c>
      <c r="B1590">
        <v>12</v>
      </c>
      <c r="C1590" t="s">
        <v>94</v>
      </c>
      <c r="D1590">
        <v>12</v>
      </c>
      <c r="E1590" s="2">
        <v>8</v>
      </c>
      <c r="F1590" s="2">
        <v>38.369999999999997</v>
      </c>
      <c r="G1590" s="2">
        <v>-28.38</v>
      </c>
      <c r="H1590" s="2">
        <v>-88.87</v>
      </c>
      <c r="I1590" s="2">
        <v>89.86</v>
      </c>
      <c r="J1590" s="2">
        <v>8.25</v>
      </c>
      <c r="K1590" s="2">
        <v>15.95</v>
      </c>
      <c r="L1590" s="2">
        <v>17.95</v>
      </c>
      <c r="M1590" s="2">
        <v>1.98</v>
      </c>
      <c r="N1590" t="s">
        <v>253</v>
      </c>
      <c r="O1590">
        <v>28</v>
      </c>
    </row>
    <row r="1591" spans="1:15">
      <c r="A1591" s="1">
        <v>46013</v>
      </c>
      <c r="B1591">
        <v>12</v>
      </c>
      <c r="C1591" t="s">
        <v>94</v>
      </c>
      <c r="D1591">
        <v>12</v>
      </c>
      <c r="E1591" s="2">
        <v>8.5</v>
      </c>
      <c r="F1591" s="2">
        <v>5.62</v>
      </c>
      <c r="G1591" s="2">
        <v>4.43</v>
      </c>
      <c r="H1591" s="2">
        <v>-62.95</v>
      </c>
      <c r="I1591" s="2">
        <v>68.2</v>
      </c>
      <c r="J1591" s="2">
        <v>8.02</v>
      </c>
      <c r="K1591" s="2">
        <v>14.56</v>
      </c>
      <c r="L1591" s="2">
        <v>16.63</v>
      </c>
      <c r="M1591" s="2">
        <v>1.93</v>
      </c>
      <c r="N1591" t="s">
        <v>253</v>
      </c>
      <c r="O1591">
        <v>28</v>
      </c>
    </row>
    <row r="1592" spans="1:15">
      <c r="A1592" s="1">
        <v>46013</v>
      </c>
      <c r="B1592">
        <v>12</v>
      </c>
      <c r="C1592" t="s">
        <v>94</v>
      </c>
      <c r="D1592">
        <v>12</v>
      </c>
      <c r="E1592" s="2">
        <v>9</v>
      </c>
      <c r="F1592" s="2">
        <v>-40.15</v>
      </c>
      <c r="G1592" s="2">
        <v>50.87</v>
      </c>
      <c r="H1592" s="2">
        <v>-49.14</v>
      </c>
      <c r="I1592" s="2">
        <v>51.65</v>
      </c>
      <c r="J1592" s="2">
        <v>7.94</v>
      </c>
      <c r="K1592" s="2">
        <v>13.21</v>
      </c>
      <c r="L1592" s="2">
        <v>15.41</v>
      </c>
      <c r="M1592" s="2">
        <v>1.74</v>
      </c>
      <c r="N1592" t="s">
        <v>253</v>
      </c>
      <c r="O1592">
        <v>28</v>
      </c>
    </row>
    <row r="1593" spans="1:15">
      <c r="A1593" s="1">
        <v>46013</v>
      </c>
      <c r="B1593">
        <v>12</v>
      </c>
      <c r="C1593" t="s">
        <v>94</v>
      </c>
      <c r="D1593">
        <v>12</v>
      </c>
      <c r="E1593" s="2">
        <v>9.5</v>
      </c>
      <c r="F1593" s="2">
        <v>-121.53</v>
      </c>
      <c r="G1593" s="2">
        <v>129.05000000000001</v>
      </c>
      <c r="H1593" s="2">
        <v>-26.25</v>
      </c>
      <c r="I1593" s="2">
        <v>26.19</v>
      </c>
      <c r="J1593" s="2">
        <v>7.88</v>
      </c>
      <c r="K1593" s="2">
        <v>11.81</v>
      </c>
      <c r="L1593" s="2">
        <v>14.2</v>
      </c>
      <c r="M1593" s="2">
        <v>1.67</v>
      </c>
      <c r="N1593" t="s">
        <v>253</v>
      </c>
      <c r="O1593">
        <v>28</v>
      </c>
    </row>
    <row r="1594" spans="1:15">
      <c r="A1594" s="1">
        <v>46013</v>
      </c>
      <c r="B1594">
        <v>12</v>
      </c>
      <c r="C1594" t="s">
        <v>94</v>
      </c>
      <c r="D1594">
        <v>12</v>
      </c>
      <c r="E1594" s="2">
        <v>10</v>
      </c>
      <c r="F1594" s="2">
        <v>-226.12</v>
      </c>
      <c r="G1594" s="2">
        <v>238.32</v>
      </c>
      <c r="H1594" s="2">
        <v>-102.09</v>
      </c>
      <c r="I1594" s="2">
        <v>108.59</v>
      </c>
      <c r="J1594" s="2">
        <v>7.4</v>
      </c>
      <c r="K1594" s="2">
        <v>10.58</v>
      </c>
      <c r="L1594" s="2">
        <v>12.91</v>
      </c>
      <c r="M1594" s="2">
        <v>1.57</v>
      </c>
      <c r="N1594" t="s">
        <v>253</v>
      </c>
      <c r="O1594">
        <v>28</v>
      </c>
    </row>
    <row r="1595" spans="1:15">
      <c r="A1595" s="1">
        <v>46013</v>
      </c>
      <c r="B1595">
        <v>12</v>
      </c>
      <c r="C1595" t="s">
        <v>94</v>
      </c>
      <c r="D1595">
        <v>12</v>
      </c>
      <c r="E1595" s="2">
        <v>10.5</v>
      </c>
      <c r="F1595" s="2">
        <v>-207.71</v>
      </c>
      <c r="G1595" s="2">
        <v>219.3</v>
      </c>
      <c r="H1595" s="2">
        <v>-65.260000000000005</v>
      </c>
      <c r="I1595" s="2">
        <v>71.94</v>
      </c>
      <c r="J1595" s="2">
        <v>6.49</v>
      </c>
      <c r="K1595" s="2">
        <v>9.11</v>
      </c>
      <c r="L1595" s="2">
        <v>11.18</v>
      </c>
      <c r="M1595" s="2">
        <v>1.52</v>
      </c>
      <c r="N1595" t="s">
        <v>253</v>
      </c>
      <c r="O1595">
        <v>28</v>
      </c>
    </row>
    <row r="1596" spans="1:15">
      <c r="A1596" s="1">
        <v>46013</v>
      </c>
      <c r="B1596">
        <v>12</v>
      </c>
      <c r="C1596" t="s">
        <v>94</v>
      </c>
      <c r="D1596">
        <v>12</v>
      </c>
      <c r="E1596" s="2">
        <v>11</v>
      </c>
      <c r="F1596" s="2">
        <v>-182.56</v>
      </c>
      <c r="G1596" s="2">
        <v>187.2</v>
      </c>
      <c r="H1596" s="2">
        <v>-8.5399999999999991</v>
      </c>
      <c r="I1596" s="2">
        <v>22.27</v>
      </c>
      <c r="J1596" s="2">
        <v>6</v>
      </c>
      <c r="K1596" s="2">
        <v>8.3800000000000008</v>
      </c>
      <c r="L1596" s="2">
        <v>10.31</v>
      </c>
      <c r="M1596" s="2">
        <v>1.52</v>
      </c>
      <c r="N1596" t="s">
        <v>253</v>
      </c>
      <c r="O1596">
        <v>28</v>
      </c>
    </row>
    <row r="1597" spans="1:15">
      <c r="A1597" s="1">
        <v>46013</v>
      </c>
      <c r="B1597">
        <v>12</v>
      </c>
      <c r="C1597" t="s">
        <v>94</v>
      </c>
      <c r="D1597">
        <v>12</v>
      </c>
      <c r="E1597" s="2">
        <v>11.5</v>
      </c>
      <c r="F1597" s="2">
        <v>-82.22</v>
      </c>
      <c r="G1597" s="2">
        <v>89.05</v>
      </c>
      <c r="H1597" s="2">
        <v>0.93</v>
      </c>
      <c r="I1597" s="2">
        <v>6.02</v>
      </c>
      <c r="J1597" s="2">
        <v>5.62</v>
      </c>
      <c r="K1597" s="2">
        <v>7.87</v>
      </c>
      <c r="L1597" s="2">
        <v>9.67</v>
      </c>
      <c r="M1597" s="2">
        <v>1.45</v>
      </c>
      <c r="N1597" t="s">
        <v>253</v>
      </c>
      <c r="O1597">
        <v>28</v>
      </c>
    </row>
    <row r="1598" spans="1:15">
      <c r="A1598" s="1">
        <v>46013</v>
      </c>
      <c r="B1598">
        <v>12</v>
      </c>
      <c r="C1598" t="s">
        <v>94</v>
      </c>
      <c r="D1598">
        <v>12</v>
      </c>
      <c r="E1598" s="2">
        <v>12</v>
      </c>
      <c r="F1598" s="2">
        <v>-147.43</v>
      </c>
      <c r="G1598" s="2">
        <v>159.53</v>
      </c>
      <c r="H1598" s="2">
        <v>-25.31</v>
      </c>
      <c r="I1598" s="2">
        <v>30.52</v>
      </c>
      <c r="J1598" s="2">
        <v>5.38</v>
      </c>
      <c r="K1598" s="2">
        <v>7.53</v>
      </c>
      <c r="L1598" s="2">
        <v>9.25</v>
      </c>
      <c r="M1598" s="2">
        <v>1.36</v>
      </c>
      <c r="N1598" t="s">
        <v>253</v>
      </c>
      <c r="O1598">
        <v>28</v>
      </c>
    </row>
    <row r="1599" spans="1:15">
      <c r="A1599" s="1">
        <v>46013</v>
      </c>
      <c r="B1599">
        <v>12</v>
      </c>
      <c r="C1599" t="s">
        <v>94</v>
      </c>
      <c r="D1599">
        <v>12</v>
      </c>
      <c r="E1599" s="2">
        <v>12.5</v>
      </c>
      <c r="F1599" s="2">
        <v>-142.66999999999999</v>
      </c>
      <c r="G1599" s="2">
        <v>148.19</v>
      </c>
      <c r="H1599" s="2">
        <v>38.22</v>
      </c>
      <c r="I1599" s="2">
        <v>-29.59</v>
      </c>
      <c r="J1599" s="2">
        <v>5.26</v>
      </c>
      <c r="K1599" s="2">
        <v>7.04</v>
      </c>
      <c r="L1599" s="2">
        <v>8.7899999999999991</v>
      </c>
      <c r="M1599" s="2">
        <v>1.33</v>
      </c>
      <c r="N1599" t="s">
        <v>253</v>
      </c>
      <c r="O1599">
        <v>28</v>
      </c>
    </row>
    <row r="1600" spans="1:15">
      <c r="A1600" s="1">
        <v>46013</v>
      </c>
      <c r="B1600">
        <v>12</v>
      </c>
      <c r="C1600" t="s">
        <v>94</v>
      </c>
      <c r="D1600">
        <v>12</v>
      </c>
      <c r="E1600" s="2">
        <v>13</v>
      </c>
      <c r="F1600" s="2">
        <v>-78.42</v>
      </c>
      <c r="G1600" s="2">
        <v>86.88</v>
      </c>
      <c r="H1600" s="2">
        <v>36.78</v>
      </c>
      <c r="I1600" s="2">
        <v>-24.16</v>
      </c>
      <c r="J1600" s="2">
        <v>4.9800000000000004</v>
      </c>
      <c r="K1600" s="2">
        <v>6.66</v>
      </c>
      <c r="L1600" s="2">
        <v>8.32</v>
      </c>
      <c r="M1600" s="2">
        <v>1.24</v>
      </c>
      <c r="N1600" t="s">
        <v>253</v>
      </c>
      <c r="O1600">
        <v>28</v>
      </c>
    </row>
    <row r="1601" spans="1:15">
      <c r="A1601" s="1">
        <v>46013</v>
      </c>
      <c r="B1601">
        <v>12</v>
      </c>
      <c r="C1601" t="s">
        <v>94</v>
      </c>
      <c r="D1601">
        <v>12</v>
      </c>
      <c r="E1601" s="2">
        <v>13.5</v>
      </c>
      <c r="F1601" s="2">
        <v>-72.290000000000006</v>
      </c>
      <c r="G1601" s="2">
        <v>79.900000000000006</v>
      </c>
      <c r="H1601" s="2">
        <v>37.36</v>
      </c>
      <c r="I1601" s="2">
        <v>-36.14</v>
      </c>
      <c r="J1601" s="2">
        <v>4.38</v>
      </c>
      <c r="K1601" s="2">
        <v>6.31</v>
      </c>
      <c r="L1601" s="2">
        <v>7.68</v>
      </c>
      <c r="M1601" s="2">
        <v>1.17</v>
      </c>
      <c r="N1601" t="s">
        <v>253</v>
      </c>
      <c r="O1601">
        <v>28</v>
      </c>
    </row>
    <row r="1602" spans="1:15">
      <c r="A1602" s="1">
        <v>46013</v>
      </c>
      <c r="B1602">
        <v>12</v>
      </c>
      <c r="C1602" t="s">
        <v>94</v>
      </c>
      <c r="D1602">
        <v>12</v>
      </c>
      <c r="E1602" s="2">
        <v>14</v>
      </c>
      <c r="F1602" s="2">
        <v>-75.069999999999993</v>
      </c>
      <c r="G1602" s="2">
        <v>81</v>
      </c>
      <c r="H1602" s="2">
        <v>47.58</v>
      </c>
      <c r="I1602" s="2">
        <v>-48.88</v>
      </c>
      <c r="J1602" s="2">
        <v>3.51</v>
      </c>
      <c r="K1602" s="2">
        <v>5.68</v>
      </c>
      <c r="L1602" s="2">
        <v>6.68</v>
      </c>
      <c r="M1602" s="2">
        <v>1.05</v>
      </c>
      <c r="N1602" t="s">
        <v>253</v>
      </c>
      <c r="O1602">
        <v>28</v>
      </c>
    </row>
    <row r="1603" spans="1:15">
      <c r="A1603" s="1">
        <v>46013</v>
      </c>
      <c r="B1603">
        <v>12</v>
      </c>
      <c r="C1603" t="s">
        <v>94</v>
      </c>
      <c r="D1603">
        <v>12</v>
      </c>
      <c r="E1603" s="2">
        <v>14.5</v>
      </c>
      <c r="F1603" s="2">
        <v>-64.27</v>
      </c>
      <c r="G1603" s="2">
        <v>69.33</v>
      </c>
      <c r="H1603" s="2">
        <v>79.64</v>
      </c>
      <c r="I1603" s="2">
        <v>-76.84</v>
      </c>
      <c r="J1603" s="2">
        <v>2.5499999999999998</v>
      </c>
      <c r="K1603" s="2">
        <v>4.7300000000000004</v>
      </c>
      <c r="L1603" s="2">
        <v>5.37</v>
      </c>
      <c r="M1603" s="2">
        <v>0.91</v>
      </c>
      <c r="N1603" t="s">
        <v>253</v>
      </c>
      <c r="O1603">
        <v>28</v>
      </c>
    </row>
    <row r="1604" spans="1:15">
      <c r="A1604" s="1">
        <v>46013</v>
      </c>
      <c r="B1604">
        <v>12</v>
      </c>
      <c r="C1604" t="s">
        <v>94</v>
      </c>
      <c r="D1604">
        <v>12</v>
      </c>
      <c r="E1604" s="2">
        <v>15</v>
      </c>
      <c r="F1604" s="2">
        <v>-23.56</v>
      </c>
      <c r="G1604" s="2">
        <v>31.01</v>
      </c>
      <c r="H1604" s="2">
        <v>101.45</v>
      </c>
      <c r="I1604" s="2">
        <v>-90.85</v>
      </c>
      <c r="J1604" s="2">
        <v>1.66</v>
      </c>
      <c r="K1604" s="2">
        <v>4.0199999999999996</v>
      </c>
      <c r="L1604" s="2">
        <v>4.3499999999999996</v>
      </c>
      <c r="M1604" s="2">
        <v>0.8</v>
      </c>
      <c r="N1604" t="s">
        <v>253</v>
      </c>
      <c r="O1604">
        <v>28</v>
      </c>
    </row>
    <row r="1605" spans="1:15">
      <c r="A1605" s="1">
        <v>46013</v>
      </c>
      <c r="B1605">
        <v>12</v>
      </c>
      <c r="C1605" t="s">
        <v>94</v>
      </c>
      <c r="D1605">
        <v>12</v>
      </c>
      <c r="E1605" s="2">
        <v>15.5</v>
      </c>
      <c r="F1605" s="2">
        <v>-84.47</v>
      </c>
      <c r="G1605" s="2">
        <v>87.16</v>
      </c>
      <c r="H1605" s="2">
        <v>56.64</v>
      </c>
      <c r="I1605" s="2">
        <v>-45.63</v>
      </c>
      <c r="J1605" s="2">
        <v>1.08</v>
      </c>
      <c r="K1605" s="2">
        <v>3.41</v>
      </c>
      <c r="L1605" s="2">
        <v>3.58</v>
      </c>
      <c r="M1605" s="2">
        <v>0.74</v>
      </c>
      <c r="N1605" t="s">
        <v>253</v>
      </c>
      <c r="O1605">
        <v>28</v>
      </c>
    </row>
    <row r="1606" spans="1:15">
      <c r="A1606" s="1">
        <v>46013</v>
      </c>
      <c r="B1606">
        <v>12</v>
      </c>
      <c r="C1606" t="s">
        <v>94</v>
      </c>
      <c r="D1606">
        <v>12</v>
      </c>
      <c r="E1606" s="2">
        <v>16</v>
      </c>
      <c r="F1606" s="2">
        <v>-13.46</v>
      </c>
      <c r="G1606" s="2">
        <v>20.149999999999999</v>
      </c>
      <c r="H1606" s="2">
        <v>-18.87</v>
      </c>
      <c r="I1606" s="2">
        <v>27.52</v>
      </c>
      <c r="J1606" s="2">
        <v>-0.74</v>
      </c>
      <c r="K1606" s="2">
        <v>1.29</v>
      </c>
      <c r="L1606" s="2">
        <v>1.49</v>
      </c>
      <c r="M1606" s="2">
        <v>0.15</v>
      </c>
      <c r="N1606" t="s">
        <v>253</v>
      </c>
      <c r="O1606">
        <v>28</v>
      </c>
    </row>
    <row r="1607" spans="1:15">
      <c r="A1607" s="1">
        <v>46013</v>
      </c>
      <c r="B1607">
        <v>12</v>
      </c>
      <c r="C1607" t="s">
        <v>94</v>
      </c>
      <c r="D1607">
        <v>12</v>
      </c>
      <c r="E1607" s="2">
        <v>16.5</v>
      </c>
      <c r="F1607" s="2">
        <v>5.33</v>
      </c>
      <c r="G1607" s="2">
        <v>0.23</v>
      </c>
      <c r="H1607" s="2">
        <v>-12.08</v>
      </c>
      <c r="I1607" s="2">
        <v>19</v>
      </c>
      <c r="J1607" s="2">
        <v>-0.69</v>
      </c>
      <c r="K1607" s="2">
        <v>1.5</v>
      </c>
      <c r="L1607" s="2">
        <v>1.66</v>
      </c>
      <c r="M1607" s="2">
        <v>0.28000000000000003</v>
      </c>
      <c r="N1607" t="s">
        <v>253</v>
      </c>
      <c r="O1607">
        <v>28</v>
      </c>
    </row>
    <row r="1608" spans="1:15">
      <c r="A1608" s="1">
        <v>46013</v>
      </c>
      <c r="B1608">
        <v>12</v>
      </c>
      <c r="C1608" t="s">
        <v>94</v>
      </c>
      <c r="D1608">
        <v>12</v>
      </c>
      <c r="E1608" s="2">
        <v>17</v>
      </c>
      <c r="F1608" s="2">
        <v>15.04</v>
      </c>
      <c r="G1608" s="2">
        <v>-11.09</v>
      </c>
      <c r="H1608" s="2">
        <v>2.5099999999999998</v>
      </c>
      <c r="I1608" s="2">
        <v>-0.66</v>
      </c>
      <c r="J1608" s="2">
        <v>-0.66</v>
      </c>
      <c r="K1608" s="2">
        <v>1.53</v>
      </c>
      <c r="L1608" s="2">
        <v>1.66</v>
      </c>
      <c r="M1608" s="2">
        <v>0.28000000000000003</v>
      </c>
      <c r="N1608" t="s">
        <v>253</v>
      </c>
      <c r="O1608">
        <v>28</v>
      </c>
    </row>
    <row r="1609" spans="1:15">
      <c r="A1609" s="1">
        <v>46013</v>
      </c>
      <c r="B1609">
        <v>12</v>
      </c>
      <c r="C1609" t="s">
        <v>94</v>
      </c>
      <c r="D1609">
        <v>12</v>
      </c>
      <c r="E1609" s="2">
        <v>17.5</v>
      </c>
      <c r="F1609" s="2">
        <v>-11.64</v>
      </c>
      <c r="G1609" s="2">
        <v>16.89</v>
      </c>
      <c r="H1609" s="2">
        <v>34.869999999999997</v>
      </c>
      <c r="I1609" s="2">
        <v>-31.89</v>
      </c>
      <c r="J1609" s="2">
        <v>-0.72</v>
      </c>
      <c r="K1609" s="2">
        <v>1.64</v>
      </c>
      <c r="L1609" s="2">
        <v>1.79</v>
      </c>
      <c r="M1609" s="2">
        <v>0.28000000000000003</v>
      </c>
      <c r="N1609" t="s">
        <v>253</v>
      </c>
      <c r="O1609">
        <v>28</v>
      </c>
    </row>
    <row r="1610" spans="1:15">
      <c r="A1610" s="1">
        <v>46013</v>
      </c>
      <c r="B1610">
        <v>12</v>
      </c>
      <c r="C1610" t="s">
        <v>94</v>
      </c>
      <c r="D1610">
        <v>12</v>
      </c>
      <c r="E1610" s="2">
        <v>18</v>
      </c>
      <c r="F1610" s="2">
        <v>-31.71</v>
      </c>
      <c r="G1610" s="2">
        <v>35.81</v>
      </c>
      <c r="H1610" s="2">
        <v>50.2</v>
      </c>
      <c r="I1610" s="2">
        <v>-46.32</v>
      </c>
      <c r="J1610" s="2">
        <v>-0.73</v>
      </c>
      <c r="K1610" s="2">
        <v>1.67</v>
      </c>
      <c r="L1610" s="2">
        <v>1.82</v>
      </c>
      <c r="M1610" s="2">
        <v>0.33</v>
      </c>
      <c r="N1610" t="s">
        <v>253</v>
      </c>
      <c r="O1610">
        <v>28</v>
      </c>
    </row>
    <row r="1611" spans="1:15">
      <c r="A1611" s="1">
        <v>46013</v>
      </c>
      <c r="B1611">
        <v>12</v>
      </c>
      <c r="C1611" t="s">
        <v>94</v>
      </c>
      <c r="D1611">
        <v>12</v>
      </c>
      <c r="E1611" s="2">
        <v>18.5</v>
      </c>
      <c r="F1611" s="2">
        <v>-34.799999999999997</v>
      </c>
      <c r="G1611" s="2">
        <v>46.47</v>
      </c>
      <c r="H1611" s="2">
        <v>67.75</v>
      </c>
      <c r="I1611" s="2">
        <v>-51.33</v>
      </c>
      <c r="J1611" s="2">
        <v>-0.74</v>
      </c>
      <c r="K1611" s="2">
        <v>1.75</v>
      </c>
      <c r="L1611" s="2">
        <v>1.9</v>
      </c>
      <c r="M1611" s="2">
        <v>0.38</v>
      </c>
      <c r="N1611" t="s">
        <v>253</v>
      </c>
      <c r="O1611">
        <v>28</v>
      </c>
    </row>
    <row r="1612" spans="1:15">
      <c r="A1612" s="1">
        <v>46013</v>
      </c>
      <c r="B1612">
        <v>12</v>
      </c>
      <c r="C1612" t="s">
        <v>94</v>
      </c>
      <c r="D1612">
        <v>12</v>
      </c>
      <c r="E1612" s="2">
        <v>19</v>
      </c>
      <c r="F1612" s="2">
        <v>-139.62</v>
      </c>
      <c r="G1612" s="2">
        <v>137.61000000000001</v>
      </c>
      <c r="H1612" s="2">
        <v>-37.15</v>
      </c>
      <c r="I1612" s="2">
        <v>51.08</v>
      </c>
      <c r="J1612" s="2">
        <v>-0.75</v>
      </c>
      <c r="K1612" s="2">
        <v>1.6</v>
      </c>
      <c r="L1612" s="2">
        <v>1.77</v>
      </c>
      <c r="M1612" s="2">
        <v>0.47</v>
      </c>
      <c r="N1612" t="s">
        <v>253</v>
      </c>
      <c r="O1612">
        <v>28</v>
      </c>
    </row>
    <row r="1613" spans="1:15">
      <c r="A1613" s="1">
        <v>46013</v>
      </c>
      <c r="B1613">
        <v>12</v>
      </c>
      <c r="C1613" t="s">
        <v>94</v>
      </c>
      <c r="D1613">
        <v>12</v>
      </c>
      <c r="E1613" s="2">
        <v>19.5</v>
      </c>
      <c r="F1613" s="2">
        <v>-134.13</v>
      </c>
      <c r="G1613" s="2">
        <v>137.57</v>
      </c>
      <c r="H1613" s="2">
        <v>-44.7</v>
      </c>
      <c r="I1613" s="2">
        <v>41.22</v>
      </c>
      <c r="J1613" s="2">
        <v>-0.81</v>
      </c>
      <c r="K1613" s="2">
        <v>1.45</v>
      </c>
      <c r="L1613" s="2">
        <v>1.66</v>
      </c>
      <c r="M1613" s="2">
        <v>0.38</v>
      </c>
      <c r="N1613" t="s">
        <v>253</v>
      </c>
      <c r="O1613">
        <v>28</v>
      </c>
    </row>
    <row r="1614" spans="1:15">
      <c r="A1614" s="1">
        <v>46013</v>
      </c>
      <c r="B1614">
        <v>12</v>
      </c>
      <c r="C1614" t="s">
        <v>94</v>
      </c>
      <c r="D1614">
        <v>12</v>
      </c>
      <c r="E1614" s="2">
        <v>20</v>
      </c>
      <c r="F1614" s="2">
        <v>-144.76</v>
      </c>
      <c r="G1614" s="2">
        <v>148.29</v>
      </c>
      <c r="H1614" s="2">
        <v>-45.47</v>
      </c>
      <c r="I1614" s="2">
        <v>38.299999999999997</v>
      </c>
      <c r="J1614" s="2">
        <v>-0.88</v>
      </c>
      <c r="K1614" s="2">
        <v>1.31</v>
      </c>
      <c r="L1614" s="2">
        <v>1.58</v>
      </c>
      <c r="M1614" s="2">
        <v>0.32</v>
      </c>
      <c r="N1614" t="s">
        <v>253</v>
      </c>
      <c r="O1614">
        <v>28</v>
      </c>
    </row>
    <row r="1615" spans="1:15">
      <c r="A1615" s="1">
        <v>46013</v>
      </c>
      <c r="B1615">
        <v>12</v>
      </c>
      <c r="C1615" t="s">
        <v>94</v>
      </c>
      <c r="D1615">
        <v>12</v>
      </c>
      <c r="E1615" s="2">
        <v>20.5</v>
      </c>
      <c r="F1615" s="2">
        <v>-166.82</v>
      </c>
      <c r="G1615" s="2">
        <v>170.45</v>
      </c>
      <c r="H1615" s="2">
        <v>-20.45</v>
      </c>
      <c r="I1615" s="2">
        <v>14.09</v>
      </c>
      <c r="J1615" s="2">
        <v>-0.95</v>
      </c>
      <c r="K1615" s="2">
        <v>1.2</v>
      </c>
      <c r="L1615" s="2">
        <v>1.53</v>
      </c>
      <c r="M1615" s="2">
        <v>0.28000000000000003</v>
      </c>
      <c r="N1615" t="s">
        <v>253</v>
      </c>
      <c r="O1615">
        <v>28</v>
      </c>
    </row>
    <row r="1616" spans="1:15">
      <c r="A1616" s="1">
        <v>46013</v>
      </c>
      <c r="B1616">
        <v>12</v>
      </c>
      <c r="C1616" t="s">
        <v>94</v>
      </c>
      <c r="D1616">
        <v>12</v>
      </c>
      <c r="E1616" s="2">
        <v>21</v>
      </c>
      <c r="F1616" s="2">
        <v>-154.93</v>
      </c>
      <c r="G1616" s="2">
        <v>157.51</v>
      </c>
      <c r="H1616" s="2">
        <v>-10.33</v>
      </c>
      <c r="I1616" s="2">
        <v>12.58</v>
      </c>
      <c r="J1616" s="2">
        <v>-0.93</v>
      </c>
      <c r="K1616" s="2">
        <v>1.27</v>
      </c>
      <c r="L1616" s="2">
        <v>1.58</v>
      </c>
      <c r="M1616" s="2">
        <v>0.33</v>
      </c>
      <c r="N1616" t="s">
        <v>253</v>
      </c>
      <c r="O1616">
        <v>28</v>
      </c>
    </row>
    <row r="1617" spans="1:15">
      <c r="A1617" s="1">
        <v>46013</v>
      </c>
      <c r="B1617">
        <v>12</v>
      </c>
      <c r="C1617" t="s">
        <v>94</v>
      </c>
      <c r="D1617">
        <v>12</v>
      </c>
      <c r="E1617" s="2">
        <v>21.5</v>
      </c>
      <c r="F1617" s="2">
        <v>-76.56</v>
      </c>
      <c r="G1617" s="2">
        <v>82.62</v>
      </c>
      <c r="H1617" s="2">
        <v>-18.36</v>
      </c>
      <c r="I1617" s="2">
        <v>33.76</v>
      </c>
      <c r="J1617" s="2">
        <v>-0.91</v>
      </c>
      <c r="K1617" s="2">
        <v>1.44</v>
      </c>
      <c r="L1617" s="2">
        <v>1.71</v>
      </c>
      <c r="M1617" s="2">
        <v>0.4</v>
      </c>
      <c r="N1617" t="s">
        <v>253</v>
      </c>
      <c r="O1617">
        <v>28</v>
      </c>
    </row>
    <row r="1618" spans="1:15">
      <c r="A1618" s="1">
        <v>46013</v>
      </c>
      <c r="B1618">
        <v>12</v>
      </c>
      <c r="C1618" t="s">
        <v>94</v>
      </c>
      <c r="D1618">
        <v>12</v>
      </c>
      <c r="E1618" s="2">
        <v>22</v>
      </c>
      <c r="F1618" s="2">
        <v>-2.89</v>
      </c>
      <c r="G1618" s="2">
        <v>5.94</v>
      </c>
      <c r="H1618" s="2">
        <v>-102.91</v>
      </c>
      <c r="I1618" s="2">
        <v>111.38</v>
      </c>
      <c r="J1618" s="2">
        <v>-0.96</v>
      </c>
      <c r="K1618" s="2">
        <v>1.4</v>
      </c>
      <c r="L1618" s="2">
        <v>1.7</v>
      </c>
      <c r="M1618" s="2">
        <v>0.41</v>
      </c>
      <c r="N1618" t="s">
        <v>253</v>
      </c>
      <c r="O1618">
        <v>28</v>
      </c>
    </row>
    <row r="1619" spans="1:15">
      <c r="A1619" s="1">
        <v>46013</v>
      </c>
      <c r="B1619">
        <v>12</v>
      </c>
      <c r="C1619" t="s">
        <v>94</v>
      </c>
      <c r="D1619">
        <v>12</v>
      </c>
      <c r="E1619" s="2">
        <v>22.5</v>
      </c>
      <c r="F1619" s="2">
        <v>-39.299999999999997</v>
      </c>
      <c r="G1619" s="2">
        <v>40.85</v>
      </c>
      <c r="H1619" s="2">
        <v>-56.77</v>
      </c>
      <c r="I1619" s="2">
        <v>54.31</v>
      </c>
      <c r="J1619" s="2">
        <v>-1.25</v>
      </c>
      <c r="K1619" s="2">
        <v>1.28</v>
      </c>
      <c r="L1619" s="2">
        <v>1.79</v>
      </c>
      <c r="M1619" s="2">
        <v>0.26</v>
      </c>
      <c r="N1619" t="s">
        <v>253</v>
      </c>
      <c r="O1619">
        <v>28</v>
      </c>
    </row>
    <row r="1620" spans="1:15">
      <c r="A1620" s="1">
        <v>46013</v>
      </c>
      <c r="B1620">
        <v>12</v>
      </c>
      <c r="C1620" t="s">
        <v>94</v>
      </c>
      <c r="D1620">
        <v>12</v>
      </c>
      <c r="E1620" s="2">
        <v>23</v>
      </c>
      <c r="F1620" s="2">
        <v>-54.83</v>
      </c>
      <c r="G1620" s="2">
        <v>56.52</v>
      </c>
      <c r="H1620" s="2">
        <v>-17.32</v>
      </c>
      <c r="I1620" s="2">
        <v>10.35</v>
      </c>
      <c r="J1620" s="2">
        <v>-1.62</v>
      </c>
      <c r="K1620" s="2">
        <v>0.88</v>
      </c>
      <c r="L1620" s="2">
        <v>1.84</v>
      </c>
      <c r="M1620" s="2">
        <v>0.08</v>
      </c>
      <c r="N1620" t="s">
        <v>253</v>
      </c>
      <c r="O1620">
        <v>28</v>
      </c>
    </row>
    <row r="1621" spans="1:15">
      <c r="A1621" s="1">
        <v>46013</v>
      </c>
      <c r="B1621">
        <v>12</v>
      </c>
      <c r="C1621" t="s">
        <v>94</v>
      </c>
      <c r="D1621">
        <v>12</v>
      </c>
      <c r="E1621" s="2">
        <v>23.5</v>
      </c>
      <c r="F1621" s="2">
        <v>-63.19</v>
      </c>
      <c r="G1621" s="2">
        <v>65.39</v>
      </c>
      <c r="H1621" s="2">
        <v>8.23</v>
      </c>
      <c r="I1621" s="2">
        <v>-14.29</v>
      </c>
      <c r="J1621" s="2">
        <v>-1.8</v>
      </c>
      <c r="K1621" s="2">
        <v>0.53</v>
      </c>
      <c r="L1621" s="2">
        <v>1.88</v>
      </c>
      <c r="M1621" s="2">
        <v>0.01</v>
      </c>
      <c r="N1621" t="s">
        <v>253</v>
      </c>
      <c r="O1621">
        <v>28</v>
      </c>
    </row>
    <row r="1622" spans="1:15">
      <c r="A1622" s="1">
        <v>46013</v>
      </c>
      <c r="B1622">
        <v>12</v>
      </c>
      <c r="C1622" t="s">
        <v>94</v>
      </c>
      <c r="D1622">
        <v>12</v>
      </c>
      <c r="E1622" s="2">
        <v>24</v>
      </c>
      <c r="F1622" s="2">
        <v>-77.8</v>
      </c>
      <c r="G1622" s="2">
        <v>80.63</v>
      </c>
      <c r="H1622" s="2">
        <v>15.87</v>
      </c>
      <c r="I1622" s="2">
        <v>-18</v>
      </c>
      <c r="J1622" s="2">
        <v>-1.71</v>
      </c>
      <c r="K1622" s="2">
        <v>0.27</v>
      </c>
      <c r="L1622" s="2">
        <v>1.74</v>
      </c>
      <c r="M1622" s="2">
        <v>-0.01</v>
      </c>
      <c r="N1622" t="s">
        <v>253</v>
      </c>
      <c r="O1622">
        <v>28</v>
      </c>
    </row>
    <row r="1623" spans="1:15">
      <c r="A1623" s="1">
        <v>46013</v>
      </c>
      <c r="B1623">
        <v>12</v>
      </c>
      <c r="C1623" t="s">
        <v>94</v>
      </c>
      <c r="D1623">
        <v>12</v>
      </c>
      <c r="E1623" s="2">
        <v>24.5</v>
      </c>
      <c r="F1623" s="2">
        <v>-104.82</v>
      </c>
      <c r="G1623" s="2">
        <v>94.4</v>
      </c>
      <c r="H1623" s="2">
        <v>48.27</v>
      </c>
      <c r="I1623" s="2">
        <v>-27.55</v>
      </c>
      <c r="J1623" s="2">
        <v>-1.42</v>
      </c>
      <c r="K1623" s="2">
        <v>0.12</v>
      </c>
      <c r="L1623" s="2">
        <v>1.43</v>
      </c>
      <c r="M1623" s="2">
        <v>0</v>
      </c>
      <c r="N1623" t="s">
        <v>253</v>
      </c>
      <c r="O1623">
        <v>28</v>
      </c>
    </row>
    <row r="1624" spans="1:15">
      <c r="A1624" s="1">
        <v>46013</v>
      </c>
      <c r="B1624">
        <v>12</v>
      </c>
      <c r="C1624" t="s">
        <v>94</v>
      </c>
      <c r="D1624">
        <v>12</v>
      </c>
      <c r="E1624" s="2">
        <v>25</v>
      </c>
      <c r="F1624" s="2">
        <v>-108.54</v>
      </c>
      <c r="G1624" s="2">
        <v>119.18</v>
      </c>
      <c r="H1624" s="2">
        <v>-28.74</v>
      </c>
      <c r="I1624" s="2">
        <v>56.29</v>
      </c>
      <c r="J1624" s="2">
        <v>-0.91</v>
      </c>
      <c r="K1624" s="2">
        <v>0.78</v>
      </c>
      <c r="L1624" s="2">
        <v>1.2</v>
      </c>
      <c r="M1624" s="2">
        <v>0.05</v>
      </c>
      <c r="N1624" t="s">
        <v>253</v>
      </c>
      <c r="O1624">
        <v>28</v>
      </c>
    </row>
    <row r="1625" spans="1:15">
      <c r="A1625" s="1">
        <v>46013</v>
      </c>
      <c r="B1625">
        <v>12</v>
      </c>
      <c r="C1625" t="s">
        <v>94</v>
      </c>
      <c r="D1625">
        <v>12</v>
      </c>
      <c r="E1625" s="2">
        <v>25.5</v>
      </c>
      <c r="F1625" s="2">
        <v>-102.71</v>
      </c>
      <c r="G1625" s="2">
        <v>105.51</v>
      </c>
      <c r="H1625" s="2">
        <v>-45.25</v>
      </c>
      <c r="I1625" s="2">
        <v>38.61</v>
      </c>
      <c r="J1625" s="2">
        <v>-0.99</v>
      </c>
      <c r="K1625" s="2">
        <v>0.66</v>
      </c>
      <c r="L1625" s="2">
        <v>1.19</v>
      </c>
      <c r="M1625" s="2">
        <v>0.12</v>
      </c>
      <c r="N1625" t="s">
        <v>253</v>
      </c>
      <c r="O1625">
        <v>28</v>
      </c>
    </row>
    <row r="1626" spans="1:15">
      <c r="A1626" s="1">
        <v>46013</v>
      </c>
      <c r="B1626">
        <v>12</v>
      </c>
      <c r="C1626" t="s">
        <v>94</v>
      </c>
      <c r="D1626">
        <v>12</v>
      </c>
      <c r="E1626" s="2">
        <v>26</v>
      </c>
      <c r="F1626" s="2">
        <v>-60.56</v>
      </c>
      <c r="G1626" s="2">
        <v>61.89</v>
      </c>
      <c r="H1626" s="2">
        <v>-35.21</v>
      </c>
      <c r="I1626" s="2">
        <v>32.94</v>
      </c>
      <c r="J1626" s="2">
        <v>-1.24</v>
      </c>
      <c r="K1626" s="2">
        <v>0.48</v>
      </c>
      <c r="L1626" s="2">
        <v>1.33</v>
      </c>
      <c r="M1626" s="2">
        <v>0.1</v>
      </c>
      <c r="N1626" t="s">
        <v>253</v>
      </c>
      <c r="O1626">
        <v>28</v>
      </c>
    </row>
    <row r="1627" spans="1:15">
      <c r="A1627" s="1">
        <v>46013</v>
      </c>
      <c r="B1627">
        <v>12</v>
      </c>
      <c r="C1627" t="s">
        <v>94</v>
      </c>
      <c r="D1627">
        <v>12</v>
      </c>
      <c r="E1627" s="2">
        <v>26.5</v>
      </c>
      <c r="F1627" s="2">
        <v>-8.73</v>
      </c>
      <c r="G1627" s="2">
        <v>9.73</v>
      </c>
      <c r="H1627" s="2">
        <v>2.17</v>
      </c>
      <c r="I1627" s="2">
        <v>-3.63</v>
      </c>
      <c r="J1627" s="2">
        <v>-1.22</v>
      </c>
      <c r="K1627" s="2">
        <v>0.31</v>
      </c>
      <c r="L1627" s="2">
        <v>1.26</v>
      </c>
      <c r="M1627" s="2">
        <v>0.06</v>
      </c>
      <c r="N1627" t="s">
        <v>253</v>
      </c>
      <c r="O1627">
        <v>28</v>
      </c>
    </row>
    <row r="1628" spans="1:15">
      <c r="A1628" s="1">
        <v>46013</v>
      </c>
      <c r="B1628">
        <v>12</v>
      </c>
      <c r="C1628" t="s">
        <v>94</v>
      </c>
      <c r="D1628">
        <v>12</v>
      </c>
      <c r="E1628" s="2">
        <v>27</v>
      </c>
      <c r="F1628" s="2">
        <v>44.31</v>
      </c>
      <c r="G1628" s="2">
        <v>-40.72</v>
      </c>
      <c r="H1628" s="2">
        <v>51</v>
      </c>
      <c r="I1628" s="2">
        <v>-53.41</v>
      </c>
      <c r="J1628" s="2">
        <v>-0.67</v>
      </c>
      <c r="K1628" s="2">
        <v>0.14000000000000001</v>
      </c>
      <c r="L1628" s="2">
        <v>0.68</v>
      </c>
      <c r="M1628" s="2">
        <v>0</v>
      </c>
      <c r="N1628" t="s">
        <v>253</v>
      </c>
      <c r="O1628">
        <v>28</v>
      </c>
    </row>
    <row r="1629" spans="1:15">
      <c r="A1629" s="1">
        <v>46013</v>
      </c>
      <c r="B1629">
        <v>12</v>
      </c>
      <c r="C1629" t="s">
        <v>99</v>
      </c>
      <c r="D1629">
        <v>12</v>
      </c>
      <c r="E1629" s="2">
        <v>0.5</v>
      </c>
      <c r="F1629" s="2">
        <v>-401.22</v>
      </c>
      <c r="G1629" s="2">
        <v>403.63</v>
      </c>
      <c r="H1629" s="2">
        <v>-129.54</v>
      </c>
      <c r="I1629" s="2">
        <v>135.63999999999999</v>
      </c>
      <c r="J1629" s="2">
        <v>3.32</v>
      </c>
      <c r="K1629" s="2">
        <v>-7.96</v>
      </c>
      <c r="L1629" s="2">
        <v>8.6300000000000008</v>
      </c>
      <c r="M1629" s="2">
        <v>1.05</v>
      </c>
      <c r="N1629" t="s">
        <v>253</v>
      </c>
      <c r="O1629">
        <v>52</v>
      </c>
    </row>
    <row r="1630" spans="1:15">
      <c r="A1630" s="1">
        <v>46013</v>
      </c>
      <c r="B1630">
        <v>12</v>
      </c>
      <c r="C1630" t="s">
        <v>99</v>
      </c>
      <c r="D1630">
        <v>12</v>
      </c>
      <c r="E1630" s="2">
        <v>1</v>
      </c>
      <c r="F1630" s="2">
        <v>-408.85</v>
      </c>
      <c r="G1630" s="2">
        <v>405.26</v>
      </c>
      <c r="H1630" s="2">
        <v>-131.19999999999999</v>
      </c>
      <c r="I1630" s="2">
        <v>129.18</v>
      </c>
      <c r="J1630" s="2">
        <v>3.68</v>
      </c>
      <c r="K1630" s="2">
        <v>-6.94</v>
      </c>
      <c r="L1630" s="2">
        <v>7.85</v>
      </c>
      <c r="M1630" s="2">
        <v>1.19</v>
      </c>
      <c r="N1630" t="s">
        <v>253</v>
      </c>
      <c r="O1630">
        <v>52</v>
      </c>
    </row>
    <row r="1631" spans="1:15">
      <c r="A1631" s="1">
        <v>46013</v>
      </c>
      <c r="B1631">
        <v>12</v>
      </c>
      <c r="C1631" t="s">
        <v>99</v>
      </c>
      <c r="D1631">
        <v>12</v>
      </c>
      <c r="E1631" s="2">
        <v>1.5</v>
      </c>
      <c r="F1631" s="2">
        <v>-376.15</v>
      </c>
      <c r="G1631" s="2">
        <v>380.01</v>
      </c>
      <c r="H1631" s="2">
        <v>-151.05000000000001</v>
      </c>
      <c r="I1631" s="2">
        <v>143.38</v>
      </c>
      <c r="J1631" s="2">
        <v>4</v>
      </c>
      <c r="K1631" s="2">
        <v>-5.88</v>
      </c>
      <c r="L1631" s="2">
        <v>7.11</v>
      </c>
      <c r="M1631" s="2">
        <v>1.1499999999999999</v>
      </c>
      <c r="N1631" t="s">
        <v>253</v>
      </c>
      <c r="O1631">
        <v>52</v>
      </c>
    </row>
    <row r="1632" spans="1:15">
      <c r="A1632" s="1">
        <v>46013</v>
      </c>
      <c r="B1632">
        <v>12</v>
      </c>
      <c r="C1632" t="s">
        <v>99</v>
      </c>
      <c r="D1632">
        <v>12</v>
      </c>
      <c r="E1632" s="2">
        <v>2</v>
      </c>
      <c r="F1632" s="2">
        <v>-331.41</v>
      </c>
      <c r="G1632" s="2">
        <v>340.05</v>
      </c>
      <c r="H1632" s="2">
        <v>-210.77</v>
      </c>
      <c r="I1632" s="2">
        <v>204.01</v>
      </c>
      <c r="J1632" s="2">
        <v>4.1399999999999997</v>
      </c>
      <c r="K1632" s="2">
        <v>-5.57</v>
      </c>
      <c r="L1632" s="2">
        <v>6.94</v>
      </c>
      <c r="M1632" s="2">
        <v>1.1299999999999999</v>
      </c>
      <c r="N1632" t="s">
        <v>253</v>
      </c>
      <c r="O1632">
        <v>52</v>
      </c>
    </row>
    <row r="1633" spans="1:15">
      <c r="A1633" s="1">
        <v>46013</v>
      </c>
      <c r="B1633">
        <v>12</v>
      </c>
      <c r="C1633" t="s">
        <v>99</v>
      </c>
      <c r="D1633">
        <v>12</v>
      </c>
      <c r="E1633" s="2">
        <v>2.5</v>
      </c>
      <c r="F1633" s="2">
        <v>-307.01</v>
      </c>
      <c r="G1633" s="2">
        <v>314.26</v>
      </c>
      <c r="H1633" s="2">
        <v>-194.53</v>
      </c>
      <c r="I1633" s="2">
        <v>195.27</v>
      </c>
      <c r="J1633" s="2">
        <v>4.22</v>
      </c>
      <c r="K1633" s="2">
        <v>-5.42</v>
      </c>
      <c r="L1633" s="2">
        <v>6.87</v>
      </c>
      <c r="M1633" s="2">
        <v>1.1499999999999999</v>
      </c>
      <c r="N1633" t="s">
        <v>253</v>
      </c>
      <c r="O1633">
        <v>52</v>
      </c>
    </row>
    <row r="1634" spans="1:15">
      <c r="A1634" s="1">
        <v>46013</v>
      </c>
      <c r="B1634">
        <v>12</v>
      </c>
      <c r="C1634" t="s">
        <v>99</v>
      </c>
      <c r="D1634">
        <v>12</v>
      </c>
      <c r="E1634" s="2">
        <v>3</v>
      </c>
      <c r="F1634" s="2">
        <v>-269.27999999999997</v>
      </c>
      <c r="G1634" s="2">
        <v>275.89</v>
      </c>
      <c r="H1634" s="2">
        <v>-139.11000000000001</v>
      </c>
      <c r="I1634" s="2">
        <v>133.18</v>
      </c>
      <c r="J1634" s="2">
        <v>4.2300000000000004</v>
      </c>
      <c r="K1634" s="2">
        <v>-5.55</v>
      </c>
      <c r="L1634" s="2">
        <v>6.97</v>
      </c>
      <c r="M1634" s="2">
        <v>1.1299999999999999</v>
      </c>
      <c r="N1634" t="s">
        <v>253</v>
      </c>
      <c r="O1634">
        <v>52</v>
      </c>
    </row>
    <row r="1635" spans="1:15">
      <c r="A1635" s="1">
        <v>46013</v>
      </c>
      <c r="B1635">
        <v>12</v>
      </c>
      <c r="C1635" t="s">
        <v>99</v>
      </c>
      <c r="D1635">
        <v>12</v>
      </c>
      <c r="E1635" s="2">
        <v>3.5</v>
      </c>
      <c r="F1635" s="2">
        <v>-205.15</v>
      </c>
      <c r="G1635" s="2">
        <v>212.27</v>
      </c>
      <c r="H1635" s="2">
        <v>-81.540000000000006</v>
      </c>
      <c r="I1635" s="2">
        <v>73.819999999999993</v>
      </c>
      <c r="J1635" s="2">
        <v>4.28</v>
      </c>
      <c r="K1635" s="2">
        <v>-5.5</v>
      </c>
      <c r="L1635" s="2">
        <v>6.97</v>
      </c>
      <c r="M1635" s="2">
        <v>1.1200000000000001</v>
      </c>
      <c r="N1635" t="s">
        <v>253</v>
      </c>
      <c r="O1635">
        <v>52</v>
      </c>
    </row>
    <row r="1636" spans="1:15">
      <c r="A1636" s="1">
        <v>46013</v>
      </c>
      <c r="B1636">
        <v>12</v>
      </c>
      <c r="C1636" t="s">
        <v>99</v>
      </c>
      <c r="D1636">
        <v>12</v>
      </c>
      <c r="E1636" s="2">
        <v>4</v>
      </c>
      <c r="F1636" s="2">
        <v>-148.71</v>
      </c>
      <c r="G1636" s="2">
        <v>157.55000000000001</v>
      </c>
      <c r="H1636" s="2">
        <v>-66.73</v>
      </c>
      <c r="I1636" s="2">
        <v>62.78</v>
      </c>
      <c r="J1636" s="2">
        <v>4.45</v>
      </c>
      <c r="K1636" s="2">
        <v>-5.28</v>
      </c>
      <c r="L1636" s="2">
        <v>6.9</v>
      </c>
      <c r="M1636" s="2">
        <v>1.2</v>
      </c>
      <c r="N1636" t="s">
        <v>253</v>
      </c>
      <c r="O1636">
        <v>52</v>
      </c>
    </row>
    <row r="1637" spans="1:15">
      <c r="A1637" s="1">
        <v>46013</v>
      </c>
      <c r="B1637">
        <v>12</v>
      </c>
      <c r="C1637" t="s">
        <v>99</v>
      </c>
      <c r="D1637">
        <v>12</v>
      </c>
      <c r="E1637" s="2">
        <v>4.5</v>
      </c>
      <c r="F1637" s="2">
        <v>-99.9</v>
      </c>
      <c r="G1637" s="2">
        <v>106.18</v>
      </c>
      <c r="H1637" s="2">
        <v>-111.3</v>
      </c>
      <c r="I1637" s="2">
        <v>115.48</v>
      </c>
      <c r="J1637" s="2">
        <v>4.5999999999999996</v>
      </c>
      <c r="K1637" s="2">
        <v>-5.22</v>
      </c>
      <c r="L1637" s="2">
        <v>6.96</v>
      </c>
      <c r="M1637" s="2">
        <v>1.1299999999999999</v>
      </c>
      <c r="N1637" t="s">
        <v>253</v>
      </c>
      <c r="O1637">
        <v>52</v>
      </c>
    </row>
    <row r="1638" spans="1:15">
      <c r="A1638" s="1">
        <v>46013</v>
      </c>
      <c r="B1638">
        <v>12</v>
      </c>
      <c r="C1638" t="s">
        <v>99</v>
      </c>
      <c r="D1638">
        <v>12</v>
      </c>
      <c r="E1638" s="2">
        <v>5</v>
      </c>
      <c r="F1638" s="2">
        <v>-25.88</v>
      </c>
      <c r="G1638" s="2">
        <v>32.69</v>
      </c>
      <c r="H1638" s="2">
        <v>-160.93</v>
      </c>
      <c r="I1638" s="2">
        <v>147.94</v>
      </c>
      <c r="J1638" s="2">
        <v>4.78</v>
      </c>
      <c r="K1638" s="2">
        <v>-5.14</v>
      </c>
      <c r="L1638" s="2">
        <v>7.01</v>
      </c>
      <c r="M1638" s="2">
        <v>1.02</v>
      </c>
      <c r="N1638" t="s">
        <v>253</v>
      </c>
      <c r="O1638">
        <v>52</v>
      </c>
    </row>
    <row r="1639" spans="1:15">
      <c r="A1639" s="1">
        <v>46013</v>
      </c>
      <c r="B1639">
        <v>12</v>
      </c>
      <c r="C1639" t="s">
        <v>99</v>
      </c>
      <c r="D1639">
        <v>12</v>
      </c>
      <c r="E1639" s="2">
        <v>5.5</v>
      </c>
      <c r="F1639" s="2">
        <v>41.37</v>
      </c>
      <c r="G1639" s="2">
        <v>-33.119999999999997</v>
      </c>
      <c r="H1639" s="2">
        <v>-160.12</v>
      </c>
      <c r="I1639" s="2">
        <v>143.68</v>
      </c>
      <c r="J1639" s="2">
        <v>5.0199999999999996</v>
      </c>
      <c r="K1639" s="2">
        <v>-5.2</v>
      </c>
      <c r="L1639" s="2">
        <v>7.23</v>
      </c>
      <c r="M1639" s="2">
        <v>1.04</v>
      </c>
      <c r="N1639" t="s">
        <v>253</v>
      </c>
      <c r="O1639">
        <v>52</v>
      </c>
    </row>
    <row r="1640" spans="1:15">
      <c r="A1640" s="1">
        <v>46013</v>
      </c>
      <c r="B1640">
        <v>12</v>
      </c>
      <c r="C1640" t="s">
        <v>99</v>
      </c>
      <c r="D1640">
        <v>12</v>
      </c>
      <c r="E1640" s="2">
        <v>6</v>
      </c>
      <c r="F1640" s="2">
        <v>77.05</v>
      </c>
      <c r="G1640" s="2">
        <v>-69.06</v>
      </c>
      <c r="H1640" s="2">
        <v>-185.6</v>
      </c>
      <c r="I1640" s="2">
        <v>178.34</v>
      </c>
      <c r="J1640" s="2">
        <v>5.27</v>
      </c>
      <c r="K1640" s="2">
        <v>-5.3</v>
      </c>
      <c r="L1640" s="2">
        <v>7.48</v>
      </c>
      <c r="M1640" s="2">
        <v>1.04</v>
      </c>
      <c r="N1640" t="s">
        <v>253</v>
      </c>
      <c r="O1640">
        <v>52</v>
      </c>
    </row>
    <row r="1641" spans="1:15">
      <c r="A1641" s="1">
        <v>46013</v>
      </c>
      <c r="B1641">
        <v>12</v>
      </c>
      <c r="C1641" t="s">
        <v>99</v>
      </c>
      <c r="D1641">
        <v>12</v>
      </c>
      <c r="E1641" s="2">
        <v>6.5</v>
      </c>
      <c r="F1641" s="2">
        <v>181.31</v>
      </c>
      <c r="G1641" s="2">
        <v>-173.57</v>
      </c>
      <c r="H1641" s="2">
        <v>-181.4</v>
      </c>
      <c r="I1641" s="2">
        <v>169.94</v>
      </c>
      <c r="J1641" s="2">
        <v>5.45</v>
      </c>
      <c r="K1641" s="2">
        <v>-5.16</v>
      </c>
      <c r="L1641" s="2">
        <v>7.51</v>
      </c>
      <c r="M1641" s="2">
        <v>1.03</v>
      </c>
      <c r="N1641" t="s">
        <v>253</v>
      </c>
      <c r="O1641">
        <v>52</v>
      </c>
    </row>
    <row r="1642" spans="1:15">
      <c r="A1642" s="1">
        <v>46013</v>
      </c>
      <c r="B1642">
        <v>12</v>
      </c>
      <c r="C1642" t="s">
        <v>99</v>
      </c>
      <c r="D1642">
        <v>12</v>
      </c>
      <c r="E1642" s="2">
        <v>7</v>
      </c>
      <c r="F1642" s="2">
        <v>284.57</v>
      </c>
      <c r="G1642" s="2">
        <v>-276.22000000000003</v>
      </c>
      <c r="H1642" s="2">
        <v>-184.12</v>
      </c>
      <c r="I1642" s="2">
        <v>173.17</v>
      </c>
      <c r="J1642" s="2">
        <v>5.67</v>
      </c>
      <c r="K1642" s="2">
        <v>-4.99</v>
      </c>
      <c r="L1642" s="2">
        <v>7.56</v>
      </c>
      <c r="M1642" s="2">
        <v>1.06</v>
      </c>
      <c r="N1642" t="s">
        <v>253</v>
      </c>
      <c r="O1642">
        <v>52</v>
      </c>
    </row>
    <row r="1643" spans="1:15">
      <c r="A1643" s="1">
        <v>46013</v>
      </c>
      <c r="B1643">
        <v>12</v>
      </c>
      <c r="C1643" t="s">
        <v>99</v>
      </c>
      <c r="D1643">
        <v>12</v>
      </c>
      <c r="E1643" s="2">
        <v>7.5</v>
      </c>
      <c r="F1643" s="2">
        <v>308.93</v>
      </c>
      <c r="G1643" s="2">
        <v>-292.76</v>
      </c>
      <c r="H1643" s="2">
        <v>-170.01</v>
      </c>
      <c r="I1643" s="2">
        <v>160.72</v>
      </c>
      <c r="J1643" s="2">
        <v>5.82</v>
      </c>
      <c r="K1643" s="2">
        <v>-4.78</v>
      </c>
      <c r="L1643" s="2">
        <v>7.53</v>
      </c>
      <c r="M1643" s="2">
        <v>1.07</v>
      </c>
      <c r="N1643" t="s">
        <v>253</v>
      </c>
      <c r="O1643">
        <v>52</v>
      </c>
    </row>
    <row r="1644" spans="1:15">
      <c r="A1644" s="1">
        <v>46013</v>
      </c>
      <c r="B1644">
        <v>12</v>
      </c>
      <c r="C1644" t="s">
        <v>99</v>
      </c>
      <c r="D1644">
        <v>12</v>
      </c>
      <c r="E1644" s="2">
        <v>8</v>
      </c>
      <c r="F1644" s="2">
        <v>276.45</v>
      </c>
      <c r="G1644" s="2">
        <v>-271.77999999999997</v>
      </c>
      <c r="H1644" s="2">
        <v>-78.209999999999994</v>
      </c>
      <c r="I1644" s="2">
        <v>77.33</v>
      </c>
      <c r="J1644" s="2">
        <v>6.05</v>
      </c>
      <c r="K1644" s="2">
        <v>-4.8099999999999996</v>
      </c>
      <c r="L1644" s="2">
        <v>7.73</v>
      </c>
      <c r="M1644" s="2">
        <v>1.06</v>
      </c>
      <c r="N1644" t="s">
        <v>253</v>
      </c>
      <c r="O1644">
        <v>52</v>
      </c>
    </row>
    <row r="1645" spans="1:15">
      <c r="A1645" s="1">
        <v>46013</v>
      </c>
      <c r="B1645">
        <v>12</v>
      </c>
      <c r="C1645" t="s">
        <v>99</v>
      </c>
      <c r="D1645">
        <v>12</v>
      </c>
      <c r="E1645" s="2">
        <v>8.5</v>
      </c>
      <c r="F1645" s="2">
        <v>338.98</v>
      </c>
      <c r="G1645" s="2">
        <v>-328.69</v>
      </c>
      <c r="H1645" s="2">
        <v>-11.37</v>
      </c>
      <c r="I1645" s="2">
        <v>22.71</v>
      </c>
      <c r="J1645" s="2">
        <v>6.28</v>
      </c>
      <c r="K1645" s="2">
        <v>-4.97</v>
      </c>
      <c r="L1645" s="2">
        <v>8.01</v>
      </c>
      <c r="M1645" s="2">
        <v>1.01</v>
      </c>
      <c r="N1645" t="s">
        <v>253</v>
      </c>
      <c r="O1645">
        <v>52</v>
      </c>
    </row>
    <row r="1646" spans="1:15">
      <c r="A1646" s="1">
        <v>46013</v>
      </c>
      <c r="B1646">
        <v>12</v>
      </c>
      <c r="C1646" t="s">
        <v>99</v>
      </c>
      <c r="D1646">
        <v>12</v>
      </c>
      <c r="E1646" s="2">
        <v>9</v>
      </c>
      <c r="F1646" s="2">
        <v>326.60000000000002</v>
      </c>
      <c r="G1646" s="2">
        <v>-317.26</v>
      </c>
      <c r="H1646" s="2">
        <v>35.74</v>
      </c>
      <c r="I1646" s="2">
        <v>-29.31</v>
      </c>
      <c r="J1646" s="2">
        <v>6.36</v>
      </c>
      <c r="K1646" s="2">
        <v>-5.28</v>
      </c>
      <c r="L1646" s="2">
        <v>8.27</v>
      </c>
      <c r="M1646" s="2">
        <v>1.07</v>
      </c>
      <c r="N1646" t="s">
        <v>253</v>
      </c>
      <c r="O1646">
        <v>52</v>
      </c>
    </row>
    <row r="1647" spans="1:15">
      <c r="A1647" s="1">
        <v>46013</v>
      </c>
      <c r="B1647">
        <v>12</v>
      </c>
      <c r="C1647" t="s">
        <v>99</v>
      </c>
      <c r="D1647">
        <v>12</v>
      </c>
      <c r="E1647" s="2">
        <v>9.5</v>
      </c>
      <c r="F1647" s="2">
        <v>215.48</v>
      </c>
      <c r="G1647" s="2">
        <v>-208.65</v>
      </c>
      <c r="H1647" s="2">
        <v>105.59</v>
      </c>
      <c r="I1647" s="2">
        <v>-117.97</v>
      </c>
      <c r="J1647" s="2">
        <v>6.62</v>
      </c>
      <c r="K1647" s="2">
        <v>-5.86</v>
      </c>
      <c r="L1647" s="2">
        <v>8.84</v>
      </c>
      <c r="M1647" s="2">
        <v>1.0900000000000001</v>
      </c>
      <c r="N1647" t="s">
        <v>253</v>
      </c>
      <c r="O1647">
        <v>52</v>
      </c>
    </row>
    <row r="1648" spans="1:15">
      <c r="A1648" s="1">
        <v>46013</v>
      </c>
      <c r="B1648">
        <v>12</v>
      </c>
      <c r="C1648" t="s">
        <v>99</v>
      </c>
      <c r="D1648">
        <v>12</v>
      </c>
      <c r="E1648" s="2">
        <v>10</v>
      </c>
      <c r="F1648" s="2">
        <v>76.69</v>
      </c>
      <c r="G1648" s="2">
        <v>-57.51</v>
      </c>
      <c r="H1648" s="2">
        <v>147.9</v>
      </c>
      <c r="I1648" s="2">
        <v>-144.12</v>
      </c>
      <c r="J1648" s="2">
        <v>7</v>
      </c>
      <c r="K1648" s="2">
        <v>-6.01</v>
      </c>
      <c r="L1648" s="2">
        <v>9.23</v>
      </c>
      <c r="M1648" s="2">
        <v>1.0900000000000001</v>
      </c>
      <c r="N1648" t="s">
        <v>253</v>
      </c>
      <c r="O1648">
        <v>52</v>
      </c>
    </row>
    <row r="1649" spans="1:15">
      <c r="A1649" s="1">
        <v>46013</v>
      </c>
      <c r="B1649">
        <v>12</v>
      </c>
      <c r="C1649" t="s">
        <v>99</v>
      </c>
      <c r="D1649">
        <v>12</v>
      </c>
      <c r="E1649" s="2">
        <v>10.5</v>
      </c>
      <c r="F1649" s="2">
        <v>92.5</v>
      </c>
      <c r="G1649" s="2">
        <v>-85.7</v>
      </c>
      <c r="H1649" s="2">
        <v>70.28</v>
      </c>
      <c r="I1649" s="2">
        <v>-76.180000000000007</v>
      </c>
      <c r="J1649" s="2">
        <v>7.32</v>
      </c>
      <c r="K1649" s="2">
        <v>-6.25</v>
      </c>
      <c r="L1649" s="2">
        <v>9.6199999999999992</v>
      </c>
      <c r="M1649" s="2">
        <v>1.06</v>
      </c>
      <c r="N1649" t="s">
        <v>253</v>
      </c>
      <c r="O1649">
        <v>52</v>
      </c>
    </row>
    <row r="1650" spans="1:15">
      <c r="A1650" s="1">
        <v>46013</v>
      </c>
      <c r="B1650">
        <v>12</v>
      </c>
      <c r="C1650" t="s">
        <v>99</v>
      </c>
      <c r="D1650">
        <v>12</v>
      </c>
      <c r="E1650" s="2">
        <v>11</v>
      </c>
      <c r="F1650" s="2">
        <v>26.06</v>
      </c>
      <c r="G1650" s="2">
        <v>-15.49</v>
      </c>
      <c r="H1650" s="2">
        <v>28.02</v>
      </c>
      <c r="I1650" s="2">
        <v>-40.36</v>
      </c>
      <c r="J1650" s="2">
        <v>7.64</v>
      </c>
      <c r="K1650" s="2">
        <v>-6.39</v>
      </c>
      <c r="L1650" s="2">
        <v>9.9499999999999993</v>
      </c>
      <c r="M1650" s="2">
        <v>1.1200000000000001</v>
      </c>
      <c r="N1650" t="s">
        <v>253</v>
      </c>
      <c r="O1650">
        <v>52</v>
      </c>
    </row>
    <row r="1651" spans="1:15">
      <c r="A1651" s="1">
        <v>46013</v>
      </c>
      <c r="B1651">
        <v>12</v>
      </c>
      <c r="C1651" t="s">
        <v>99</v>
      </c>
      <c r="D1651">
        <v>12</v>
      </c>
      <c r="E1651" s="2">
        <v>11.5</v>
      </c>
      <c r="F1651" s="2">
        <v>-54.52</v>
      </c>
      <c r="G1651" s="2">
        <v>59.86</v>
      </c>
      <c r="H1651" s="2">
        <v>6.49</v>
      </c>
      <c r="I1651" s="2">
        <v>-16.440000000000001</v>
      </c>
      <c r="J1651" s="2">
        <v>7.94</v>
      </c>
      <c r="K1651" s="2">
        <v>-6.52</v>
      </c>
      <c r="L1651" s="2">
        <v>10.28</v>
      </c>
      <c r="M1651" s="2">
        <v>1.2</v>
      </c>
      <c r="N1651" t="s">
        <v>253</v>
      </c>
      <c r="O1651">
        <v>52</v>
      </c>
    </row>
    <row r="1652" spans="1:15">
      <c r="A1652" s="1">
        <v>46013</v>
      </c>
      <c r="B1652">
        <v>12</v>
      </c>
      <c r="C1652" t="s">
        <v>99</v>
      </c>
      <c r="D1652">
        <v>12</v>
      </c>
      <c r="E1652" s="2">
        <v>12</v>
      </c>
      <c r="F1652" s="2">
        <v>-69.66</v>
      </c>
      <c r="G1652" s="2">
        <v>82.76</v>
      </c>
      <c r="H1652" s="2">
        <v>18.84</v>
      </c>
      <c r="I1652" s="2">
        <v>-22.6</v>
      </c>
      <c r="J1652" s="2">
        <v>8.09</v>
      </c>
      <c r="K1652" s="2">
        <v>-6.38</v>
      </c>
      <c r="L1652" s="2">
        <v>10.3</v>
      </c>
      <c r="M1652" s="2">
        <v>1.35</v>
      </c>
      <c r="N1652" t="s">
        <v>253</v>
      </c>
      <c r="O1652">
        <v>52</v>
      </c>
    </row>
    <row r="1653" spans="1:15">
      <c r="A1653" s="1">
        <v>46013</v>
      </c>
      <c r="B1653">
        <v>12</v>
      </c>
      <c r="C1653" t="s">
        <v>99</v>
      </c>
      <c r="D1653">
        <v>12</v>
      </c>
      <c r="E1653" s="2">
        <v>12.5</v>
      </c>
      <c r="F1653" s="2">
        <v>-40.119999999999997</v>
      </c>
      <c r="G1653" s="2">
        <v>51.19</v>
      </c>
      <c r="H1653" s="2">
        <v>15.4</v>
      </c>
      <c r="I1653" s="2">
        <v>-22.35</v>
      </c>
      <c r="J1653" s="2">
        <v>8.15</v>
      </c>
      <c r="K1653" s="2">
        <v>-6.26</v>
      </c>
      <c r="L1653" s="2">
        <v>10.28</v>
      </c>
      <c r="M1653" s="2">
        <v>1.5</v>
      </c>
      <c r="N1653" t="s">
        <v>253</v>
      </c>
      <c r="O1653">
        <v>52</v>
      </c>
    </row>
    <row r="1654" spans="1:15">
      <c r="A1654" s="1">
        <v>46013</v>
      </c>
      <c r="B1654">
        <v>12</v>
      </c>
      <c r="C1654" t="s">
        <v>99</v>
      </c>
      <c r="D1654">
        <v>12</v>
      </c>
      <c r="E1654" s="2">
        <v>13</v>
      </c>
      <c r="F1654" s="2">
        <v>-96.49</v>
      </c>
      <c r="G1654" s="2">
        <v>106.96</v>
      </c>
      <c r="H1654" s="2">
        <v>-33.32</v>
      </c>
      <c r="I1654" s="2">
        <v>32.94</v>
      </c>
      <c r="J1654" s="2">
        <v>8.0500000000000007</v>
      </c>
      <c r="K1654" s="2">
        <v>-6.13</v>
      </c>
      <c r="L1654" s="2">
        <v>10.119999999999999</v>
      </c>
      <c r="M1654" s="2">
        <v>1.81</v>
      </c>
      <c r="N1654" t="s">
        <v>253</v>
      </c>
      <c r="O1654">
        <v>52</v>
      </c>
    </row>
    <row r="1655" spans="1:15">
      <c r="A1655" s="1">
        <v>46013</v>
      </c>
      <c r="B1655">
        <v>12</v>
      </c>
      <c r="C1655" t="s">
        <v>99</v>
      </c>
      <c r="D1655">
        <v>12</v>
      </c>
      <c r="E1655" s="2">
        <v>13.5</v>
      </c>
      <c r="F1655" s="2">
        <v>-263.43</v>
      </c>
      <c r="G1655" s="2">
        <v>276.13</v>
      </c>
      <c r="H1655" s="2">
        <v>-165.82</v>
      </c>
      <c r="I1655" s="2">
        <v>171.67</v>
      </c>
      <c r="J1655" s="2">
        <v>7.99</v>
      </c>
      <c r="K1655" s="2">
        <v>-6.01</v>
      </c>
      <c r="L1655" s="2">
        <v>10</v>
      </c>
      <c r="M1655" s="2">
        <v>1.8</v>
      </c>
      <c r="N1655" t="s">
        <v>253</v>
      </c>
      <c r="O1655">
        <v>52</v>
      </c>
    </row>
    <row r="1656" spans="1:15">
      <c r="A1656" s="1">
        <v>46013</v>
      </c>
      <c r="B1656">
        <v>12</v>
      </c>
      <c r="C1656" t="s">
        <v>99</v>
      </c>
      <c r="D1656">
        <v>12</v>
      </c>
      <c r="E1656" s="2">
        <v>14</v>
      </c>
      <c r="F1656" s="2">
        <v>-286.39</v>
      </c>
      <c r="G1656" s="2">
        <v>299.3</v>
      </c>
      <c r="H1656" s="2">
        <v>-300.12</v>
      </c>
      <c r="I1656" s="2">
        <v>291.97000000000003</v>
      </c>
      <c r="J1656" s="2">
        <v>7.94</v>
      </c>
      <c r="K1656" s="2">
        <v>-5.73</v>
      </c>
      <c r="L1656" s="2">
        <v>9.7899999999999991</v>
      </c>
      <c r="M1656" s="2">
        <v>1.72</v>
      </c>
      <c r="N1656" t="s">
        <v>253</v>
      </c>
      <c r="O1656">
        <v>52</v>
      </c>
    </row>
    <row r="1657" spans="1:15">
      <c r="A1657" s="1">
        <v>46013</v>
      </c>
      <c r="B1657">
        <v>12</v>
      </c>
      <c r="C1657" t="s">
        <v>99</v>
      </c>
      <c r="D1657">
        <v>12</v>
      </c>
      <c r="E1657" s="2">
        <v>14.5</v>
      </c>
      <c r="F1657" s="2">
        <v>-261.38</v>
      </c>
      <c r="G1657" s="2">
        <v>273.95999999999998</v>
      </c>
      <c r="H1657" s="2">
        <v>-256.45999999999998</v>
      </c>
      <c r="I1657" s="2">
        <v>252.14</v>
      </c>
      <c r="J1657" s="2">
        <v>8.07</v>
      </c>
      <c r="K1657" s="2">
        <v>-5.53</v>
      </c>
      <c r="L1657" s="2">
        <v>9.7799999999999994</v>
      </c>
      <c r="M1657" s="2">
        <v>1.79</v>
      </c>
      <c r="N1657" t="s">
        <v>253</v>
      </c>
      <c r="O1657">
        <v>52</v>
      </c>
    </row>
    <row r="1658" spans="1:15">
      <c r="A1658" s="1">
        <v>46013</v>
      </c>
      <c r="B1658">
        <v>12</v>
      </c>
      <c r="C1658" t="s">
        <v>99</v>
      </c>
      <c r="D1658">
        <v>12</v>
      </c>
      <c r="E1658" s="2">
        <v>15</v>
      </c>
      <c r="F1658" s="2">
        <v>-229.94</v>
      </c>
      <c r="G1658" s="2">
        <v>244.01</v>
      </c>
      <c r="H1658" s="2">
        <v>-197.41</v>
      </c>
      <c r="I1658" s="2">
        <v>188.92</v>
      </c>
      <c r="J1658" s="2">
        <v>7.94</v>
      </c>
      <c r="K1658" s="2">
        <v>-5.45</v>
      </c>
      <c r="L1658" s="2">
        <v>9.6300000000000008</v>
      </c>
      <c r="M1658" s="2">
        <v>1.86</v>
      </c>
      <c r="N1658" t="s">
        <v>253</v>
      </c>
      <c r="O1658">
        <v>52</v>
      </c>
    </row>
    <row r="1659" spans="1:15">
      <c r="A1659" s="1">
        <v>46013</v>
      </c>
      <c r="B1659">
        <v>12</v>
      </c>
      <c r="C1659" t="s">
        <v>99</v>
      </c>
      <c r="D1659">
        <v>12</v>
      </c>
      <c r="E1659" s="2">
        <v>15.5</v>
      </c>
      <c r="F1659" s="2">
        <v>-159.83000000000001</v>
      </c>
      <c r="G1659" s="2">
        <v>168.2</v>
      </c>
      <c r="H1659" s="2">
        <v>-187.27</v>
      </c>
      <c r="I1659" s="2">
        <v>172.71</v>
      </c>
      <c r="J1659" s="2">
        <v>7.7</v>
      </c>
      <c r="K1659" s="2">
        <v>-5.23</v>
      </c>
      <c r="L1659" s="2">
        <v>9.31</v>
      </c>
      <c r="M1659" s="2">
        <v>1.91</v>
      </c>
      <c r="N1659" t="s">
        <v>253</v>
      </c>
      <c r="O1659">
        <v>52</v>
      </c>
    </row>
    <row r="1660" spans="1:15">
      <c r="A1660" s="1">
        <v>46013</v>
      </c>
      <c r="B1660">
        <v>12</v>
      </c>
      <c r="C1660" t="s">
        <v>99</v>
      </c>
      <c r="D1660">
        <v>12</v>
      </c>
      <c r="E1660" s="2">
        <v>16</v>
      </c>
      <c r="F1660" s="2">
        <v>-74.98</v>
      </c>
      <c r="G1660" s="2">
        <v>84.05</v>
      </c>
      <c r="H1660" s="2">
        <v>-167.28</v>
      </c>
      <c r="I1660" s="2">
        <v>165.94</v>
      </c>
      <c r="J1660" s="2">
        <v>7.63</v>
      </c>
      <c r="K1660" s="2">
        <v>-5.04</v>
      </c>
      <c r="L1660" s="2">
        <v>9.14</v>
      </c>
      <c r="M1660" s="2">
        <v>1.96</v>
      </c>
      <c r="N1660" t="s">
        <v>253</v>
      </c>
      <c r="O1660">
        <v>52</v>
      </c>
    </row>
    <row r="1661" spans="1:15">
      <c r="A1661" s="1">
        <v>46013</v>
      </c>
      <c r="B1661">
        <v>12</v>
      </c>
      <c r="C1661" t="s">
        <v>99</v>
      </c>
      <c r="D1661">
        <v>12</v>
      </c>
      <c r="E1661" s="2">
        <v>16.5</v>
      </c>
      <c r="F1661" s="2">
        <v>109.15</v>
      </c>
      <c r="G1661" s="2">
        <v>-99.31</v>
      </c>
      <c r="H1661" s="2">
        <v>-108.95</v>
      </c>
      <c r="I1661" s="2">
        <v>114.91</v>
      </c>
      <c r="J1661" s="2">
        <v>7.53</v>
      </c>
      <c r="K1661" s="2">
        <v>-4.92</v>
      </c>
      <c r="L1661" s="2">
        <v>8.99</v>
      </c>
      <c r="M1661" s="2">
        <v>2</v>
      </c>
      <c r="N1661" t="s">
        <v>253</v>
      </c>
      <c r="O1661">
        <v>52</v>
      </c>
    </row>
    <row r="1662" spans="1:15">
      <c r="A1662" s="1">
        <v>46013</v>
      </c>
      <c r="B1662">
        <v>12</v>
      </c>
      <c r="C1662" t="s">
        <v>99</v>
      </c>
      <c r="D1662">
        <v>12</v>
      </c>
      <c r="E1662" s="2">
        <v>17</v>
      </c>
      <c r="F1662" s="2">
        <v>261.75</v>
      </c>
      <c r="G1662" s="2">
        <v>-251.52</v>
      </c>
      <c r="H1662" s="2">
        <v>-58.25</v>
      </c>
      <c r="I1662" s="2">
        <v>51.59</v>
      </c>
      <c r="J1662" s="2">
        <v>7.42</v>
      </c>
      <c r="K1662" s="2">
        <v>-4.96</v>
      </c>
      <c r="L1662" s="2">
        <v>8.92</v>
      </c>
      <c r="M1662" s="2">
        <v>1.96</v>
      </c>
      <c r="N1662" t="s">
        <v>253</v>
      </c>
      <c r="O1662">
        <v>52</v>
      </c>
    </row>
    <row r="1663" spans="1:15">
      <c r="A1663" s="1">
        <v>46013</v>
      </c>
      <c r="B1663">
        <v>12</v>
      </c>
      <c r="C1663" t="s">
        <v>99</v>
      </c>
      <c r="D1663">
        <v>12</v>
      </c>
      <c r="E1663" s="2">
        <v>17.5</v>
      </c>
      <c r="F1663" s="2">
        <v>314.39</v>
      </c>
      <c r="G1663" s="2">
        <v>-306.92</v>
      </c>
      <c r="H1663" s="2">
        <v>-61.83</v>
      </c>
      <c r="I1663" s="2">
        <v>57.2</v>
      </c>
      <c r="J1663" s="2">
        <v>7.09</v>
      </c>
      <c r="K1663" s="2">
        <v>-4.6399999999999997</v>
      </c>
      <c r="L1663" s="2">
        <v>8.4700000000000006</v>
      </c>
      <c r="M1663" s="2">
        <v>1.91</v>
      </c>
      <c r="N1663" t="s">
        <v>253</v>
      </c>
      <c r="O1663">
        <v>52</v>
      </c>
    </row>
    <row r="1664" spans="1:15">
      <c r="A1664" s="1">
        <v>46013</v>
      </c>
      <c r="B1664">
        <v>12</v>
      </c>
      <c r="C1664" t="s">
        <v>99</v>
      </c>
      <c r="D1664">
        <v>12</v>
      </c>
      <c r="E1664" s="2">
        <v>18</v>
      </c>
      <c r="F1664" s="2">
        <v>395.65</v>
      </c>
      <c r="G1664" s="2">
        <v>-385.38</v>
      </c>
      <c r="H1664" s="2">
        <v>-105.12</v>
      </c>
      <c r="I1664" s="2">
        <v>93.33</v>
      </c>
      <c r="J1664" s="2">
        <v>6.77</v>
      </c>
      <c r="K1664" s="2">
        <v>-4.28</v>
      </c>
      <c r="L1664" s="2">
        <v>8.01</v>
      </c>
      <c r="M1664" s="2">
        <v>1.84</v>
      </c>
      <c r="N1664" t="s">
        <v>253</v>
      </c>
      <c r="O1664">
        <v>52</v>
      </c>
    </row>
    <row r="1665" spans="1:15">
      <c r="A1665" s="1">
        <v>46013</v>
      </c>
      <c r="B1665">
        <v>12</v>
      </c>
      <c r="C1665" t="s">
        <v>99</v>
      </c>
      <c r="D1665">
        <v>12</v>
      </c>
      <c r="E1665" s="2">
        <v>18.5</v>
      </c>
      <c r="F1665" s="2">
        <v>432.62</v>
      </c>
      <c r="G1665" s="2">
        <v>-424.38</v>
      </c>
      <c r="H1665" s="2">
        <v>-116.14</v>
      </c>
      <c r="I1665" s="2">
        <v>109.02</v>
      </c>
      <c r="J1665" s="2">
        <v>6.76</v>
      </c>
      <c r="K1665" s="2">
        <v>-4.18</v>
      </c>
      <c r="L1665" s="2">
        <v>7.95</v>
      </c>
      <c r="M1665" s="2">
        <v>1.91</v>
      </c>
      <c r="N1665" t="s">
        <v>253</v>
      </c>
      <c r="O1665">
        <v>52</v>
      </c>
    </row>
    <row r="1666" spans="1:15">
      <c r="A1666" s="1">
        <v>46013</v>
      </c>
      <c r="B1666">
        <v>12</v>
      </c>
      <c r="C1666" t="s">
        <v>99</v>
      </c>
      <c r="D1666">
        <v>12</v>
      </c>
      <c r="E1666" s="2">
        <v>19</v>
      </c>
      <c r="F1666" s="2">
        <v>426.54</v>
      </c>
      <c r="G1666" s="2">
        <v>-419.64</v>
      </c>
      <c r="H1666" s="2">
        <v>-105.82</v>
      </c>
      <c r="I1666" s="2">
        <v>99.94</v>
      </c>
      <c r="J1666" s="2">
        <v>6.58</v>
      </c>
      <c r="K1666" s="2">
        <v>-4.09</v>
      </c>
      <c r="L1666" s="2">
        <v>7.75</v>
      </c>
      <c r="M1666" s="2">
        <v>1.9</v>
      </c>
      <c r="N1666" t="s">
        <v>253</v>
      </c>
      <c r="O1666">
        <v>52</v>
      </c>
    </row>
    <row r="1667" spans="1:15">
      <c r="A1667" s="1">
        <v>46013</v>
      </c>
      <c r="B1667">
        <v>12</v>
      </c>
      <c r="C1667" t="s">
        <v>99</v>
      </c>
      <c r="D1667">
        <v>12</v>
      </c>
      <c r="E1667" s="2">
        <v>19.5</v>
      </c>
      <c r="F1667" s="2">
        <v>315.76</v>
      </c>
      <c r="G1667" s="2">
        <v>-306.56</v>
      </c>
      <c r="H1667" s="2">
        <v>-43.85</v>
      </c>
      <c r="I1667" s="2">
        <v>46.63</v>
      </c>
      <c r="J1667" s="2">
        <v>6.03</v>
      </c>
      <c r="K1667" s="2">
        <v>-3.67</v>
      </c>
      <c r="L1667" s="2">
        <v>7.06</v>
      </c>
      <c r="M1667" s="2">
        <v>1.78</v>
      </c>
      <c r="N1667" t="s">
        <v>253</v>
      </c>
      <c r="O1667">
        <v>52</v>
      </c>
    </row>
    <row r="1668" spans="1:15">
      <c r="A1668" s="1">
        <v>46013</v>
      </c>
      <c r="B1668">
        <v>12</v>
      </c>
      <c r="C1668" t="s">
        <v>99</v>
      </c>
      <c r="D1668">
        <v>12</v>
      </c>
      <c r="E1668" s="2">
        <v>20</v>
      </c>
      <c r="F1668" s="2">
        <v>178.84</v>
      </c>
      <c r="G1668" s="2">
        <v>-170.1</v>
      </c>
      <c r="H1668" s="2">
        <v>5.73</v>
      </c>
      <c r="I1668" s="2">
        <v>1.01</v>
      </c>
      <c r="J1668" s="2">
        <v>5.65</v>
      </c>
      <c r="K1668" s="2">
        <v>-3.57</v>
      </c>
      <c r="L1668" s="2">
        <v>6.68</v>
      </c>
      <c r="M1668" s="2">
        <v>1.69</v>
      </c>
      <c r="N1668" t="s">
        <v>253</v>
      </c>
      <c r="O1668">
        <v>52</v>
      </c>
    </row>
    <row r="1669" spans="1:15">
      <c r="A1669" s="1">
        <v>46013</v>
      </c>
      <c r="B1669">
        <v>12</v>
      </c>
      <c r="C1669" t="s">
        <v>99</v>
      </c>
      <c r="D1669">
        <v>12</v>
      </c>
      <c r="E1669" s="2">
        <v>20.5</v>
      </c>
      <c r="F1669" s="2">
        <v>142.58000000000001</v>
      </c>
      <c r="G1669" s="2">
        <v>-134.9</v>
      </c>
      <c r="H1669" s="2">
        <v>-0.8</v>
      </c>
      <c r="I1669" s="2">
        <v>3.18</v>
      </c>
      <c r="J1669" s="2">
        <v>5.18</v>
      </c>
      <c r="K1669" s="2">
        <v>-3.2</v>
      </c>
      <c r="L1669" s="2">
        <v>6.09</v>
      </c>
      <c r="M1669" s="2">
        <v>1.53</v>
      </c>
      <c r="N1669" t="s">
        <v>253</v>
      </c>
      <c r="O1669">
        <v>52</v>
      </c>
    </row>
    <row r="1670" spans="1:15">
      <c r="A1670" s="1">
        <v>46013</v>
      </c>
      <c r="B1670">
        <v>12</v>
      </c>
      <c r="C1670" t="s">
        <v>99</v>
      </c>
      <c r="D1670">
        <v>12</v>
      </c>
      <c r="E1670" s="2">
        <v>21</v>
      </c>
      <c r="F1670" s="2">
        <v>104.09</v>
      </c>
      <c r="G1670" s="2">
        <v>-94.9</v>
      </c>
      <c r="H1670" s="2">
        <v>0.41</v>
      </c>
      <c r="I1670" s="2">
        <v>8.25</v>
      </c>
      <c r="J1670" s="2">
        <v>4.75</v>
      </c>
      <c r="K1670" s="2">
        <v>-2.86</v>
      </c>
      <c r="L1670" s="2">
        <v>5.54</v>
      </c>
      <c r="M1670" s="2">
        <v>1.41</v>
      </c>
      <c r="N1670" t="s">
        <v>253</v>
      </c>
      <c r="O1670">
        <v>52</v>
      </c>
    </row>
    <row r="1671" spans="1:15">
      <c r="A1671" s="1">
        <v>46013</v>
      </c>
      <c r="B1671">
        <v>12</v>
      </c>
      <c r="C1671" t="s">
        <v>99</v>
      </c>
      <c r="D1671">
        <v>12</v>
      </c>
      <c r="E1671" s="2">
        <v>21.5</v>
      </c>
      <c r="F1671" s="2">
        <v>-22.76</v>
      </c>
      <c r="G1671" s="2">
        <v>32.94</v>
      </c>
      <c r="H1671" s="2">
        <v>-11.86</v>
      </c>
      <c r="I1671" s="2">
        <v>15.11</v>
      </c>
      <c r="J1671" s="2">
        <v>4.24</v>
      </c>
      <c r="K1671" s="2">
        <v>-2.75</v>
      </c>
      <c r="L1671" s="2">
        <v>5.05</v>
      </c>
      <c r="M1671" s="2">
        <v>1.28</v>
      </c>
      <c r="N1671" t="s">
        <v>253</v>
      </c>
      <c r="O1671">
        <v>52</v>
      </c>
    </row>
    <row r="1672" spans="1:15">
      <c r="A1672" s="1">
        <v>46013</v>
      </c>
      <c r="B1672">
        <v>12</v>
      </c>
      <c r="C1672" t="s">
        <v>99</v>
      </c>
      <c r="D1672">
        <v>12</v>
      </c>
      <c r="E1672" s="2">
        <v>22</v>
      </c>
      <c r="F1672" s="2">
        <v>-69.98</v>
      </c>
      <c r="G1672" s="2">
        <v>77.25</v>
      </c>
      <c r="H1672" s="2">
        <v>-2.13</v>
      </c>
      <c r="I1672" s="2">
        <v>16.68</v>
      </c>
      <c r="J1672" s="2">
        <v>3.92</v>
      </c>
      <c r="K1672" s="2">
        <v>-2.37</v>
      </c>
      <c r="L1672" s="2">
        <v>4.58</v>
      </c>
      <c r="M1672" s="2">
        <v>1.19</v>
      </c>
      <c r="N1672" t="s">
        <v>253</v>
      </c>
      <c r="O1672">
        <v>52</v>
      </c>
    </row>
    <row r="1673" spans="1:15">
      <c r="A1673" s="1">
        <v>46013</v>
      </c>
      <c r="B1673">
        <v>12</v>
      </c>
      <c r="C1673" t="s">
        <v>99</v>
      </c>
      <c r="D1673">
        <v>12</v>
      </c>
      <c r="E1673" s="2">
        <v>22.5</v>
      </c>
      <c r="F1673" s="2">
        <v>-57.82</v>
      </c>
      <c r="G1673" s="2">
        <v>67.819999999999993</v>
      </c>
      <c r="H1673" s="2">
        <v>-96.88</v>
      </c>
      <c r="I1673" s="2">
        <v>116.44</v>
      </c>
      <c r="J1673" s="2">
        <v>3.58</v>
      </c>
      <c r="K1673" s="2">
        <v>-2.13</v>
      </c>
      <c r="L1673" s="2">
        <v>4.17</v>
      </c>
      <c r="M1673" s="2">
        <v>1.07</v>
      </c>
      <c r="N1673" t="s">
        <v>253</v>
      </c>
      <c r="O1673">
        <v>52</v>
      </c>
    </row>
    <row r="1674" spans="1:15">
      <c r="A1674" s="1">
        <v>46013</v>
      </c>
      <c r="B1674">
        <v>12</v>
      </c>
      <c r="C1674" t="s">
        <v>99</v>
      </c>
      <c r="D1674">
        <v>12</v>
      </c>
      <c r="E1674" s="2">
        <v>23</v>
      </c>
      <c r="F1674" s="2">
        <v>-70.430000000000007</v>
      </c>
      <c r="G1674" s="2">
        <v>75.290000000000006</v>
      </c>
      <c r="H1674" s="2">
        <v>-156.55000000000001</v>
      </c>
      <c r="I1674" s="2">
        <v>152.35</v>
      </c>
      <c r="J1674" s="2">
        <v>3.21</v>
      </c>
      <c r="K1674" s="2">
        <v>-1.75</v>
      </c>
      <c r="L1674" s="2">
        <v>3.65</v>
      </c>
      <c r="M1674" s="2">
        <v>0.94</v>
      </c>
      <c r="N1674" t="s">
        <v>253</v>
      </c>
      <c r="O1674">
        <v>52</v>
      </c>
    </row>
    <row r="1675" spans="1:15">
      <c r="A1675" s="1">
        <v>46013</v>
      </c>
      <c r="B1675">
        <v>12</v>
      </c>
      <c r="C1675" t="s">
        <v>99</v>
      </c>
      <c r="D1675">
        <v>12</v>
      </c>
      <c r="E1675" s="2">
        <v>23.5</v>
      </c>
      <c r="F1675" s="2">
        <v>-132.80000000000001</v>
      </c>
      <c r="G1675" s="2">
        <v>144.4</v>
      </c>
      <c r="H1675" s="2">
        <v>-193.1</v>
      </c>
      <c r="I1675" s="2">
        <v>207.13</v>
      </c>
      <c r="J1675" s="2">
        <v>2.84</v>
      </c>
      <c r="K1675" s="2">
        <v>-1.49</v>
      </c>
      <c r="L1675" s="2">
        <v>3.21</v>
      </c>
      <c r="M1675" s="2">
        <v>0.83</v>
      </c>
      <c r="N1675" t="s">
        <v>253</v>
      </c>
      <c r="O1675">
        <v>52</v>
      </c>
    </row>
    <row r="1676" spans="1:15">
      <c r="A1676" s="1">
        <v>46013</v>
      </c>
      <c r="B1676">
        <v>12</v>
      </c>
      <c r="C1676" t="s">
        <v>99</v>
      </c>
      <c r="D1676">
        <v>12</v>
      </c>
      <c r="E1676" s="2">
        <v>24</v>
      </c>
      <c r="F1676" s="2">
        <v>-166.26</v>
      </c>
      <c r="G1676" s="2">
        <v>174.68</v>
      </c>
      <c r="H1676" s="2">
        <v>-250.91</v>
      </c>
      <c r="I1676" s="2">
        <v>253.49</v>
      </c>
      <c r="J1676" s="2">
        <v>2.59</v>
      </c>
      <c r="K1676" s="2">
        <v>-1.41</v>
      </c>
      <c r="L1676" s="2">
        <v>2.95</v>
      </c>
      <c r="M1676" s="2">
        <v>0.79</v>
      </c>
      <c r="N1676" t="s">
        <v>253</v>
      </c>
      <c r="O1676">
        <v>52</v>
      </c>
    </row>
    <row r="1677" spans="1:15">
      <c r="A1677" s="1">
        <v>46013</v>
      </c>
      <c r="B1677">
        <v>12</v>
      </c>
      <c r="C1677" t="s">
        <v>99</v>
      </c>
      <c r="D1677">
        <v>12</v>
      </c>
      <c r="E1677" s="2">
        <v>24.5</v>
      </c>
      <c r="F1677" s="2">
        <v>-65.06</v>
      </c>
      <c r="G1677" s="2">
        <v>69.16</v>
      </c>
      <c r="H1677" s="2">
        <v>-244.91</v>
      </c>
      <c r="I1677" s="2">
        <v>231.98</v>
      </c>
      <c r="J1677" s="2">
        <v>2.31</v>
      </c>
      <c r="K1677" s="2">
        <v>-1.22</v>
      </c>
      <c r="L1677" s="2">
        <v>2.62</v>
      </c>
      <c r="M1677" s="2">
        <v>0.82</v>
      </c>
      <c r="N1677" t="s">
        <v>253</v>
      </c>
      <c r="O1677">
        <v>52</v>
      </c>
    </row>
    <row r="1678" spans="1:15">
      <c r="A1678" s="1">
        <v>46013</v>
      </c>
      <c r="B1678">
        <v>12</v>
      </c>
      <c r="C1678" t="s">
        <v>99</v>
      </c>
      <c r="D1678">
        <v>12</v>
      </c>
      <c r="E1678" s="2">
        <v>25</v>
      </c>
      <c r="F1678" s="2">
        <v>28.7</v>
      </c>
      <c r="G1678" s="2">
        <v>-19.940000000000001</v>
      </c>
      <c r="H1678" s="2">
        <v>-222.42</v>
      </c>
      <c r="I1678" s="2">
        <v>217.11</v>
      </c>
      <c r="J1678" s="2">
        <v>1.94</v>
      </c>
      <c r="K1678" s="2">
        <v>-1.1499999999999999</v>
      </c>
      <c r="L1678" s="2">
        <v>2.25</v>
      </c>
      <c r="M1678" s="2">
        <v>0.7</v>
      </c>
      <c r="N1678" t="s">
        <v>253</v>
      </c>
      <c r="O1678">
        <v>52</v>
      </c>
    </row>
    <row r="1679" spans="1:15">
      <c r="A1679" s="1">
        <v>46013</v>
      </c>
      <c r="B1679">
        <v>12</v>
      </c>
      <c r="C1679" t="s">
        <v>99</v>
      </c>
      <c r="D1679">
        <v>12</v>
      </c>
      <c r="E1679" s="2">
        <v>25.5</v>
      </c>
      <c r="F1679" s="2">
        <v>87</v>
      </c>
      <c r="G1679" s="2">
        <v>-79.88</v>
      </c>
      <c r="H1679" s="2">
        <v>-182.89</v>
      </c>
      <c r="I1679" s="2">
        <v>182.74</v>
      </c>
      <c r="J1679" s="2">
        <v>1.49</v>
      </c>
      <c r="K1679" s="2">
        <v>-0.83</v>
      </c>
      <c r="L1679" s="2">
        <v>1.71</v>
      </c>
      <c r="M1679" s="2">
        <v>0.54</v>
      </c>
      <c r="N1679" t="s">
        <v>253</v>
      </c>
      <c r="O1679">
        <v>52</v>
      </c>
    </row>
    <row r="1680" spans="1:15">
      <c r="A1680" s="1">
        <v>46013</v>
      </c>
      <c r="B1680">
        <v>12</v>
      </c>
      <c r="C1680" t="s">
        <v>99</v>
      </c>
      <c r="D1680">
        <v>12</v>
      </c>
      <c r="E1680" s="2">
        <v>26</v>
      </c>
      <c r="F1680" s="2">
        <v>132.13</v>
      </c>
      <c r="G1680" s="2">
        <v>-122.36</v>
      </c>
      <c r="H1680" s="2">
        <v>-236.76</v>
      </c>
      <c r="I1680" s="2">
        <v>238.6</v>
      </c>
      <c r="J1680" s="2">
        <v>1.1100000000000001</v>
      </c>
      <c r="K1680" s="2">
        <v>-0.22</v>
      </c>
      <c r="L1680" s="2">
        <v>1.1299999999999999</v>
      </c>
      <c r="M1680" s="2">
        <v>0.45</v>
      </c>
      <c r="N1680" t="s">
        <v>253</v>
      </c>
      <c r="O1680">
        <v>52</v>
      </c>
    </row>
    <row r="1681" spans="1:15">
      <c r="A1681" s="1">
        <v>46013</v>
      </c>
      <c r="B1681">
        <v>12</v>
      </c>
      <c r="C1681" t="s">
        <v>99</v>
      </c>
      <c r="D1681">
        <v>12</v>
      </c>
      <c r="E1681" s="2">
        <v>26.5</v>
      </c>
      <c r="F1681" s="2">
        <v>126.8</v>
      </c>
      <c r="G1681" s="2">
        <v>-119.61</v>
      </c>
      <c r="H1681" s="2">
        <v>-254.77</v>
      </c>
      <c r="I1681" s="2">
        <v>254.29</v>
      </c>
      <c r="J1681" s="2">
        <v>0.69</v>
      </c>
      <c r="K1681" s="2">
        <v>-0.03</v>
      </c>
      <c r="L1681" s="2">
        <v>0.69</v>
      </c>
      <c r="M1681" s="2">
        <v>0.31</v>
      </c>
      <c r="N1681" t="s">
        <v>253</v>
      </c>
      <c r="O1681">
        <v>52</v>
      </c>
    </row>
    <row r="1682" spans="1:15">
      <c r="A1682" s="1">
        <v>46013</v>
      </c>
      <c r="B1682">
        <v>12</v>
      </c>
      <c r="C1682" t="s">
        <v>100</v>
      </c>
      <c r="D1682">
        <v>11</v>
      </c>
      <c r="E1682" s="2">
        <v>0.5</v>
      </c>
      <c r="F1682" s="2">
        <v>424.34</v>
      </c>
      <c r="G1682" s="2">
        <v>-414.44</v>
      </c>
      <c r="H1682" s="2">
        <v>474.74</v>
      </c>
      <c r="I1682" s="2">
        <v>-470</v>
      </c>
      <c r="J1682" s="2">
        <v>2.4500000000000002</v>
      </c>
      <c r="K1682" s="2">
        <v>0.77</v>
      </c>
      <c r="L1682" s="2">
        <v>2.57</v>
      </c>
      <c r="M1682" s="2">
        <v>0.98</v>
      </c>
      <c r="N1682" t="s">
        <v>253</v>
      </c>
      <c r="O1682">
        <v>74</v>
      </c>
    </row>
    <row r="1683" spans="1:15">
      <c r="A1683" s="1">
        <v>46013</v>
      </c>
      <c r="B1683">
        <v>12</v>
      </c>
      <c r="C1683" t="s">
        <v>100</v>
      </c>
      <c r="D1683">
        <v>11</v>
      </c>
      <c r="E1683" s="2">
        <v>1</v>
      </c>
      <c r="F1683" s="2">
        <v>424.77</v>
      </c>
      <c r="G1683" s="2">
        <v>-414.47</v>
      </c>
      <c r="H1683" s="2">
        <v>474.44</v>
      </c>
      <c r="I1683" s="2">
        <v>-469.97</v>
      </c>
      <c r="J1683" s="2">
        <v>2.86</v>
      </c>
      <c r="K1683" s="2">
        <v>0.45</v>
      </c>
      <c r="L1683" s="2">
        <v>2.89</v>
      </c>
      <c r="M1683" s="2">
        <v>0.93</v>
      </c>
      <c r="N1683" t="s">
        <v>253</v>
      </c>
      <c r="O1683">
        <v>74</v>
      </c>
    </row>
    <row r="1684" spans="1:15">
      <c r="A1684" s="1">
        <v>46013</v>
      </c>
      <c r="B1684">
        <v>12</v>
      </c>
      <c r="C1684" t="s">
        <v>100</v>
      </c>
      <c r="D1684">
        <v>11</v>
      </c>
      <c r="E1684" s="2">
        <v>1.5</v>
      </c>
      <c r="F1684" s="2">
        <v>457.3</v>
      </c>
      <c r="G1684" s="2">
        <v>-452.21</v>
      </c>
      <c r="H1684" s="2">
        <v>407.85</v>
      </c>
      <c r="I1684" s="2">
        <v>-404.6</v>
      </c>
      <c r="J1684" s="2">
        <v>3.27</v>
      </c>
      <c r="K1684" s="2">
        <v>0.12</v>
      </c>
      <c r="L1684" s="2">
        <v>3.27</v>
      </c>
      <c r="M1684" s="2">
        <v>0.92</v>
      </c>
      <c r="N1684" t="s">
        <v>253</v>
      </c>
      <c r="O1684">
        <v>74</v>
      </c>
    </row>
    <row r="1685" spans="1:15">
      <c r="A1685" s="1">
        <v>46013</v>
      </c>
      <c r="B1685">
        <v>12</v>
      </c>
      <c r="C1685" t="s">
        <v>100</v>
      </c>
      <c r="D1685">
        <v>11</v>
      </c>
      <c r="E1685" s="2">
        <v>2</v>
      </c>
      <c r="F1685" s="2">
        <v>520.63</v>
      </c>
      <c r="G1685" s="2">
        <v>-512.17999999999995</v>
      </c>
      <c r="H1685" s="2">
        <v>233.22</v>
      </c>
      <c r="I1685" s="2">
        <v>-239.88</v>
      </c>
      <c r="J1685" s="2">
        <v>3.75</v>
      </c>
      <c r="K1685" s="2">
        <v>0.03</v>
      </c>
      <c r="L1685" s="2">
        <v>3.75</v>
      </c>
      <c r="M1685" s="2">
        <v>0.98</v>
      </c>
      <c r="N1685" t="s">
        <v>253</v>
      </c>
      <c r="O1685">
        <v>74</v>
      </c>
    </row>
    <row r="1686" spans="1:15">
      <c r="A1686" s="1">
        <v>46013</v>
      </c>
      <c r="B1686">
        <v>12</v>
      </c>
      <c r="C1686" t="s">
        <v>100</v>
      </c>
      <c r="D1686">
        <v>11</v>
      </c>
      <c r="E1686" s="2">
        <v>2.5</v>
      </c>
      <c r="F1686" s="2">
        <v>473.56</v>
      </c>
      <c r="G1686" s="2">
        <v>-466.35</v>
      </c>
      <c r="H1686" s="2">
        <v>130.47</v>
      </c>
      <c r="I1686" s="2">
        <v>-122.67</v>
      </c>
      <c r="J1686" s="2">
        <v>4.3600000000000003</v>
      </c>
      <c r="K1686" s="2">
        <v>-0.06</v>
      </c>
      <c r="L1686" s="2">
        <v>4.3600000000000003</v>
      </c>
      <c r="M1686" s="2">
        <v>1.08</v>
      </c>
      <c r="N1686" t="s">
        <v>253</v>
      </c>
      <c r="O1686">
        <v>74</v>
      </c>
    </row>
    <row r="1687" spans="1:15">
      <c r="A1687" s="1">
        <v>46013</v>
      </c>
      <c r="B1687">
        <v>12</v>
      </c>
      <c r="C1687" t="s">
        <v>100</v>
      </c>
      <c r="D1687">
        <v>11</v>
      </c>
      <c r="E1687" s="2">
        <v>3</v>
      </c>
      <c r="F1687" s="2">
        <v>427.71</v>
      </c>
      <c r="G1687" s="2">
        <v>-417.75</v>
      </c>
      <c r="H1687" s="2">
        <v>-14.17</v>
      </c>
      <c r="I1687" s="2">
        <v>3.92</v>
      </c>
      <c r="J1687" s="2">
        <v>4.96</v>
      </c>
      <c r="K1687" s="2">
        <v>-0.02</v>
      </c>
      <c r="L1687" s="2">
        <v>4.96</v>
      </c>
      <c r="M1687" s="2">
        <v>1.2</v>
      </c>
      <c r="N1687" t="s">
        <v>253</v>
      </c>
      <c r="O1687">
        <v>74</v>
      </c>
    </row>
    <row r="1688" spans="1:15">
      <c r="A1688" s="1">
        <v>46013</v>
      </c>
      <c r="B1688">
        <v>12</v>
      </c>
      <c r="C1688" t="s">
        <v>100</v>
      </c>
      <c r="D1688">
        <v>11</v>
      </c>
      <c r="E1688" s="2">
        <v>3.5</v>
      </c>
      <c r="F1688" s="2">
        <v>381.32</v>
      </c>
      <c r="G1688" s="2">
        <v>-373.41</v>
      </c>
      <c r="H1688" s="2">
        <v>-86.94</v>
      </c>
      <c r="I1688" s="2">
        <v>93.39</v>
      </c>
      <c r="J1688" s="2">
        <v>5.69</v>
      </c>
      <c r="K1688" s="2">
        <v>-0.12</v>
      </c>
      <c r="L1688" s="2">
        <v>5.69</v>
      </c>
      <c r="M1688" s="2">
        <v>1.4</v>
      </c>
      <c r="N1688" t="s">
        <v>253</v>
      </c>
      <c r="O1688">
        <v>74</v>
      </c>
    </row>
    <row r="1689" spans="1:15">
      <c r="A1689" s="1">
        <v>46013</v>
      </c>
      <c r="B1689">
        <v>12</v>
      </c>
      <c r="C1689" t="s">
        <v>100</v>
      </c>
      <c r="D1689">
        <v>11</v>
      </c>
      <c r="E1689" s="2">
        <v>4</v>
      </c>
      <c r="F1689" s="2">
        <v>375.53</v>
      </c>
      <c r="G1689" s="2">
        <v>-366.22</v>
      </c>
      <c r="H1689" s="2">
        <v>-103.05</v>
      </c>
      <c r="I1689" s="2">
        <v>116.98</v>
      </c>
      <c r="J1689" s="2">
        <v>6.28</v>
      </c>
      <c r="K1689" s="2">
        <v>0.01</v>
      </c>
      <c r="L1689" s="2">
        <v>6.28</v>
      </c>
      <c r="M1689" s="2">
        <v>1.6</v>
      </c>
      <c r="N1689" t="s">
        <v>253</v>
      </c>
      <c r="O1689">
        <v>74</v>
      </c>
    </row>
    <row r="1690" spans="1:15">
      <c r="A1690" s="1">
        <v>46013</v>
      </c>
      <c r="B1690">
        <v>12</v>
      </c>
      <c r="C1690" t="s">
        <v>100</v>
      </c>
      <c r="D1690">
        <v>11</v>
      </c>
      <c r="E1690" s="2">
        <v>4.5</v>
      </c>
      <c r="F1690" s="2">
        <v>379.97</v>
      </c>
      <c r="G1690" s="2">
        <v>-369.03</v>
      </c>
      <c r="H1690" s="2">
        <v>-106.65</v>
      </c>
      <c r="I1690" s="2">
        <v>119.68</v>
      </c>
      <c r="J1690" s="2">
        <v>7.02</v>
      </c>
      <c r="K1690" s="2">
        <v>0.09</v>
      </c>
      <c r="L1690" s="2">
        <v>7.02</v>
      </c>
      <c r="M1690" s="2">
        <v>1.82</v>
      </c>
      <c r="N1690" t="s">
        <v>253</v>
      </c>
      <c r="O1690">
        <v>74</v>
      </c>
    </row>
    <row r="1691" spans="1:15">
      <c r="A1691" s="1">
        <v>46013</v>
      </c>
      <c r="B1691">
        <v>12</v>
      </c>
      <c r="C1691" t="s">
        <v>100</v>
      </c>
      <c r="D1691">
        <v>11</v>
      </c>
      <c r="E1691" s="2">
        <v>5</v>
      </c>
      <c r="F1691" s="2">
        <v>292.24</v>
      </c>
      <c r="G1691" s="2">
        <v>-283.67</v>
      </c>
      <c r="H1691" s="2">
        <v>-69.5</v>
      </c>
      <c r="I1691" s="2">
        <v>87.54</v>
      </c>
      <c r="J1691" s="2">
        <v>7.77</v>
      </c>
      <c r="K1691" s="2">
        <v>0.06</v>
      </c>
      <c r="L1691" s="2">
        <v>7.77</v>
      </c>
      <c r="M1691" s="2">
        <v>2</v>
      </c>
      <c r="N1691" t="s">
        <v>253</v>
      </c>
      <c r="O1691">
        <v>74</v>
      </c>
    </row>
    <row r="1692" spans="1:15">
      <c r="A1692" s="1">
        <v>46013</v>
      </c>
      <c r="B1692">
        <v>12</v>
      </c>
      <c r="C1692" t="s">
        <v>100</v>
      </c>
      <c r="D1692">
        <v>11</v>
      </c>
      <c r="E1692" s="2">
        <v>5.5</v>
      </c>
      <c r="F1692" s="2">
        <v>210.63</v>
      </c>
      <c r="G1692" s="2">
        <v>-199.14</v>
      </c>
      <c r="H1692" s="2">
        <v>-19.2</v>
      </c>
      <c r="I1692" s="2">
        <v>36.409999999999997</v>
      </c>
      <c r="J1692" s="2">
        <v>7.91</v>
      </c>
      <c r="K1692" s="2">
        <v>-0.15</v>
      </c>
      <c r="L1692" s="2">
        <v>7.91</v>
      </c>
      <c r="M1692" s="2">
        <v>2.06</v>
      </c>
      <c r="N1692" t="s">
        <v>253</v>
      </c>
      <c r="O1692">
        <v>74</v>
      </c>
    </row>
    <row r="1693" spans="1:15">
      <c r="A1693" s="1">
        <v>46013</v>
      </c>
      <c r="B1693">
        <v>12</v>
      </c>
      <c r="C1693" t="s">
        <v>100</v>
      </c>
      <c r="D1693">
        <v>11</v>
      </c>
      <c r="E1693" s="2">
        <v>6</v>
      </c>
      <c r="F1693" s="2">
        <v>180.85</v>
      </c>
      <c r="G1693" s="2">
        <v>-171.19</v>
      </c>
      <c r="H1693" s="2">
        <v>7.49</v>
      </c>
      <c r="I1693" s="2">
        <v>-1.06</v>
      </c>
      <c r="J1693" s="2">
        <v>8.06</v>
      </c>
      <c r="K1693" s="2">
        <v>-0.2</v>
      </c>
      <c r="L1693" s="2">
        <v>8.06</v>
      </c>
      <c r="M1693" s="2">
        <v>2.13</v>
      </c>
      <c r="N1693" t="s">
        <v>253</v>
      </c>
      <c r="O1693">
        <v>74</v>
      </c>
    </row>
    <row r="1694" spans="1:15">
      <c r="A1694" s="1">
        <v>46013</v>
      </c>
      <c r="B1694">
        <v>12</v>
      </c>
      <c r="C1694" t="s">
        <v>100</v>
      </c>
      <c r="D1694">
        <v>11</v>
      </c>
      <c r="E1694" s="2">
        <v>6.5</v>
      </c>
      <c r="F1694" s="2">
        <v>175.96</v>
      </c>
      <c r="G1694" s="2">
        <v>-165.83</v>
      </c>
      <c r="H1694" s="2">
        <v>72.44</v>
      </c>
      <c r="I1694" s="2">
        <v>-63.64</v>
      </c>
      <c r="J1694" s="2">
        <v>8.34</v>
      </c>
      <c r="K1694" s="2">
        <v>-0.67</v>
      </c>
      <c r="L1694" s="2">
        <v>8.36</v>
      </c>
      <c r="M1694" s="2">
        <v>2.16</v>
      </c>
      <c r="N1694" t="s">
        <v>253</v>
      </c>
      <c r="O1694">
        <v>74</v>
      </c>
    </row>
    <row r="1695" spans="1:15">
      <c r="A1695" s="1">
        <v>46013</v>
      </c>
      <c r="B1695">
        <v>12</v>
      </c>
      <c r="C1695" t="s">
        <v>100</v>
      </c>
      <c r="D1695">
        <v>11</v>
      </c>
      <c r="E1695" s="2">
        <v>7</v>
      </c>
      <c r="F1695" s="2">
        <v>134.44999999999999</v>
      </c>
      <c r="G1695" s="2">
        <v>-123.16</v>
      </c>
      <c r="H1695" s="2">
        <v>139.41</v>
      </c>
      <c r="I1695" s="2">
        <v>-137.01</v>
      </c>
      <c r="J1695" s="2">
        <v>8.4</v>
      </c>
      <c r="K1695" s="2">
        <v>-0.77</v>
      </c>
      <c r="L1695" s="2">
        <v>8.43</v>
      </c>
      <c r="M1695" s="2">
        <v>2.2400000000000002</v>
      </c>
      <c r="N1695" t="s">
        <v>253</v>
      </c>
      <c r="O1695">
        <v>74</v>
      </c>
    </row>
    <row r="1696" spans="1:15">
      <c r="A1696" s="1">
        <v>46013</v>
      </c>
      <c r="B1696">
        <v>12</v>
      </c>
      <c r="C1696" t="s">
        <v>100</v>
      </c>
      <c r="D1696">
        <v>11</v>
      </c>
      <c r="E1696" s="2">
        <v>7.5</v>
      </c>
      <c r="F1696" s="2">
        <v>80.28</v>
      </c>
      <c r="G1696" s="2">
        <v>-70.64</v>
      </c>
      <c r="H1696" s="2">
        <v>207.95</v>
      </c>
      <c r="I1696" s="2">
        <v>-205.95</v>
      </c>
      <c r="J1696" s="2">
        <v>8.33</v>
      </c>
      <c r="K1696" s="2">
        <v>-0.68</v>
      </c>
      <c r="L1696" s="2">
        <v>8.36</v>
      </c>
      <c r="M1696" s="2">
        <v>2.2400000000000002</v>
      </c>
      <c r="N1696" t="s">
        <v>253</v>
      </c>
      <c r="O1696">
        <v>74</v>
      </c>
    </row>
    <row r="1697" spans="1:15">
      <c r="A1697" s="1">
        <v>46013</v>
      </c>
      <c r="B1697">
        <v>12</v>
      </c>
      <c r="C1697" t="s">
        <v>100</v>
      </c>
      <c r="D1697">
        <v>11</v>
      </c>
      <c r="E1697" s="2">
        <v>8</v>
      </c>
      <c r="F1697" s="2">
        <v>73.89</v>
      </c>
      <c r="G1697" s="2">
        <v>-65.319999999999993</v>
      </c>
      <c r="H1697" s="2">
        <v>228.31</v>
      </c>
      <c r="I1697" s="2">
        <v>-232.74</v>
      </c>
      <c r="J1697" s="2">
        <v>7.94</v>
      </c>
      <c r="K1697" s="2">
        <v>-0.53</v>
      </c>
      <c r="L1697" s="2">
        <v>7.96</v>
      </c>
      <c r="M1697" s="2">
        <v>2.2200000000000002</v>
      </c>
      <c r="N1697" t="s">
        <v>253</v>
      </c>
      <c r="O1697">
        <v>74</v>
      </c>
    </row>
    <row r="1698" spans="1:15">
      <c r="A1698" s="1">
        <v>46013</v>
      </c>
      <c r="B1698">
        <v>12</v>
      </c>
      <c r="C1698" t="s">
        <v>100</v>
      </c>
      <c r="D1698">
        <v>11</v>
      </c>
      <c r="E1698" s="2">
        <v>8.5</v>
      </c>
      <c r="F1698" s="2">
        <v>107.39</v>
      </c>
      <c r="G1698" s="2">
        <v>-97.89</v>
      </c>
      <c r="H1698" s="2">
        <v>325.99</v>
      </c>
      <c r="I1698" s="2">
        <v>-318.75</v>
      </c>
      <c r="J1698" s="2">
        <v>7.33</v>
      </c>
      <c r="K1698" s="2">
        <v>-0.75</v>
      </c>
      <c r="L1698" s="2">
        <v>7.37</v>
      </c>
      <c r="M1698" s="2">
        <v>2.0099999999999998</v>
      </c>
      <c r="N1698" t="s">
        <v>253</v>
      </c>
      <c r="O1698">
        <v>74</v>
      </c>
    </row>
    <row r="1699" spans="1:15">
      <c r="A1699" s="1">
        <v>46013</v>
      </c>
      <c r="B1699">
        <v>12</v>
      </c>
      <c r="C1699" t="s">
        <v>100</v>
      </c>
      <c r="D1699">
        <v>11</v>
      </c>
      <c r="E1699" s="2">
        <v>9</v>
      </c>
      <c r="F1699" s="2">
        <v>163.01</v>
      </c>
      <c r="G1699" s="2">
        <v>-150.65</v>
      </c>
      <c r="H1699" s="2">
        <v>382.19</v>
      </c>
      <c r="I1699" s="2">
        <v>-377.14</v>
      </c>
      <c r="J1699" s="2">
        <v>6.8</v>
      </c>
      <c r="K1699" s="2">
        <v>-0.51</v>
      </c>
      <c r="L1699" s="2">
        <v>6.82</v>
      </c>
      <c r="M1699" s="2">
        <v>1.92</v>
      </c>
      <c r="N1699" t="s">
        <v>253</v>
      </c>
      <c r="O1699">
        <v>74</v>
      </c>
    </row>
    <row r="1700" spans="1:15">
      <c r="A1700" s="1">
        <v>46013</v>
      </c>
      <c r="B1700">
        <v>12</v>
      </c>
      <c r="C1700" t="s">
        <v>100</v>
      </c>
      <c r="D1700">
        <v>11</v>
      </c>
      <c r="E1700" s="2">
        <v>9.5</v>
      </c>
      <c r="F1700" s="2">
        <v>139.68</v>
      </c>
      <c r="G1700" s="2">
        <v>-135.35</v>
      </c>
      <c r="H1700" s="2">
        <v>442.57</v>
      </c>
      <c r="I1700" s="2">
        <v>-424.63</v>
      </c>
      <c r="J1700" s="2">
        <v>6.36</v>
      </c>
      <c r="K1700" s="2">
        <v>-0.12</v>
      </c>
      <c r="L1700" s="2">
        <v>6.36</v>
      </c>
      <c r="M1700" s="2">
        <v>1.91</v>
      </c>
      <c r="N1700" t="s">
        <v>253</v>
      </c>
      <c r="O1700">
        <v>74</v>
      </c>
    </row>
    <row r="1701" spans="1:15">
      <c r="A1701" s="1">
        <v>46013</v>
      </c>
      <c r="B1701">
        <v>12</v>
      </c>
      <c r="C1701" t="s">
        <v>100</v>
      </c>
      <c r="D1701">
        <v>11</v>
      </c>
      <c r="E1701" s="2">
        <v>10</v>
      </c>
      <c r="F1701" s="2">
        <v>135.51</v>
      </c>
      <c r="G1701" s="2">
        <v>-127.12</v>
      </c>
      <c r="H1701" s="2">
        <v>451.96</v>
      </c>
      <c r="I1701" s="2">
        <v>-437.95</v>
      </c>
      <c r="J1701" s="2">
        <v>5.75</v>
      </c>
      <c r="K1701" s="2">
        <v>0.34</v>
      </c>
      <c r="L1701" s="2">
        <v>5.76</v>
      </c>
      <c r="M1701" s="2">
        <v>1.91</v>
      </c>
      <c r="N1701" t="s">
        <v>253</v>
      </c>
      <c r="O1701">
        <v>74</v>
      </c>
    </row>
    <row r="1702" spans="1:15">
      <c r="A1702" s="1">
        <v>46013</v>
      </c>
      <c r="B1702">
        <v>12</v>
      </c>
      <c r="C1702" t="s">
        <v>100</v>
      </c>
      <c r="D1702">
        <v>11</v>
      </c>
      <c r="E1702" s="2">
        <v>10.5</v>
      </c>
      <c r="F1702" s="2">
        <v>320.35000000000002</v>
      </c>
      <c r="G1702" s="2">
        <v>-313.94</v>
      </c>
      <c r="H1702" s="2">
        <v>460.95</v>
      </c>
      <c r="I1702" s="2">
        <v>-448.81</v>
      </c>
      <c r="J1702" s="2">
        <v>5.48</v>
      </c>
      <c r="K1702" s="2">
        <v>0.42</v>
      </c>
      <c r="L1702" s="2">
        <v>5.5</v>
      </c>
      <c r="M1702" s="2">
        <v>1.8</v>
      </c>
      <c r="N1702" t="s">
        <v>253</v>
      </c>
      <c r="O1702">
        <v>74</v>
      </c>
    </row>
    <row r="1703" spans="1:15">
      <c r="A1703" s="1">
        <v>46013</v>
      </c>
      <c r="B1703">
        <v>12</v>
      </c>
      <c r="C1703" t="s">
        <v>100</v>
      </c>
      <c r="D1703">
        <v>11</v>
      </c>
      <c r="E1703" s="2">
        <v>11</v>
      </c>
      <c r="F1703" s="2">
        <v>329.36</v>
      </c>
      <c r="G1703" s="2">
        <v>-322.24</v>
      </c>
      <c r="H1703" s="2">
        <v>458.7</v>
      </c>
      <c r="I1703" s="2">
        <v>-446.68</v>
      </c>
      <c r="J1703" s="2">
        <v>5.25</v>
      </c>
      <c r="K1703" s="2">
        <v>0.27</v>
      </c>
      <c r="L1703" s="2">
        <v>5.25</v>
      </c>
      <c r="M1703" s="2">
        <v>1.69</v>
      </c>
      <c r="N1703" t="s">
        <v>253</v>
      </c>
      <c r="O1703">
        <v>74</v>
      </c>
    </row>
    <row r="1704" spans="1:15">
      <c r="A1704" s="1">
        <v>46013</v>
      </c>
      <c r="B1704">
        <v>12</v>
      </c>
      <c r="C1704" t="s">
        <v>100</v>
      </c>
      <c r="D1704">
        <v>11</v>
      </c>
      <c r="E1704" s="2">
        <v>11.5</v>
      </c>
      <c r="F1704" s="2">
        <v>302.43</v>
      </c>
      <c r="G1704" s="2">
        <v>-290.51</v>
      </c>
      <c r="H1704" s="2">
        <v>368.24</v>
      </c>
      <c r="I1704" s="2">
        <v>-359.84</v>
      </c>
      <c r="J1704" s="2">
        <v>4.8499999999999996</v>
      </c>
      <c r="K1704" s="2">
        <v>0.27</v>
      </c>
      <c r="L1704" s="2">
        <v>4.8499999999999996</v>
      </c>
      <c r="M1704" s="2">
        <v>1.53</v>
      </c>
      <c r="N1704" t="s">
        <v>253</v>
      </c>
      <c r="O1704">
        <v>74</v>
      </c>
    </row>
    <row r="1705" spans="1:15">
      <c r="A1705" s="1">
        <v>46013</v>
      </c>
      <c r="B1705">
        <v>12</v>
      </c>
      <c r="C1705" t="s">
        <v>100</v>
      </c>
      <c r="D1705">
        <v>11</v>
      </c>
      <c r="E1705" s="2">
        <v>12</v>
      </c>
      <c r="F1705" s="2">
        <v>281.66000000000003</v>
      </c>
      <c r="G1705" s="2">
        <v>-270.81</v>
      </c>
      <c r="H1705" s="2">
        <v>280.27</v>
      </c>
      <c r="I1705" s="2">
        <v>-266.33</v>
      </c>
      <c r="J1705" s="2">
        <v>4.41</v>
      </c>
      <c r="K1705" s="2">
        <v>0.17</v>
      </c>
      <c r="L1705" s="2">
        <v>4.41</v>
      </c>
      <c r="M1705" s="2">
        <v>1.36</v>
      </c>
      <c r="N1705" t="s">
        <v>253</v>
      </c>
      <c r="O1705">
        <v>74</v>
      </c>
    </row>
    <row r="1706" spans="1:15">
      <c r="A1706" s="1">
        <v>46013</v>
      </c>
      <c r="B1706">
        <v>12</v>
      </c>
      <c r="C1706" t="s">
        <v>100</v>
      </c>
      <c r="D1706">
        <v>11</v>
      </c>
      <c r="E1706" s="2">
        <v>12.5</v>
      </c>
      <c r="F1706" s="2">
        <v>240</v>
      </c>
      <c r="G1706" s="2">
        <v>-231.25</v>
      </c>
      <c r="H1706" s="2">
        <v>181.33</v>
      </c>
      <c r="I1706" s="2">
        <v>-177.34</v>
      </c>
      <c r="J1706" s="2">
        <v>4.03</v>
      </c>
      <c r="K1706" s="2">
        <v>-0.08</v>
      </c>
      <c r="L1706" s="2">
        <v>4.03</v>
      </c>
      <c r="M1706" s="2">
        <v>1.18</v>
      </c>
      <c r="N1706" t="s">
        <v>253</v>
      </c>
      <c r="O1706">
        <v>74</v>
      </c>
    </row>
    <row r="1707" spans="1:15">
      <c r="A1707" s="1">
        <v>46013</v>
      </c>
      <c r="B1707">
        <v>12</v>
      </c>
      <c r="C1707" t="s">
        <v>100</v>
      </c>
      <c r="D1707">
        <v>11</v>
      </c>
      <c r="E1707" s="2">
        <v>13</v>
      </c>
      <c r="F1707" s="2">
        <v>207.32</v>
      </c>
      <c r="G1707" s="2">
        <v>-197.95</v>
      </c>
      <c r="H1707" s="2">
        <v>131.09</v>
      </c>
      <c r="I1707" s="2">
        <v>-124.56</v>
      </c>
      <c r="J1707" s="2">
        <v>3.78</v>
      </c>
      <c r="K1707" s="2">
        <v>-0.37</v>
      </c>
      <c r="L1707" s="2">
        <v>3.8</v>
      </c>
      <c r="M1707" s="2">
        <v>1.04</v>
      </c>
      <c r="N1707" t="s">
        <v>253</v>
      </c>
      <c r="O1707">
        <v>74</v>
      </c>
    </row>
    <row r="1708" spans="1:15">
      <c r="A1708" s="1">
        <v>46013</v>
      </c>
      <c r="B1708">
        <v>12</v>
      </c>
      <c r="C1708" t="s">
        <v>100</v>
      </c>
      <c r="D1708">
        <v>11</v>
      </c>
      <c r="E1708" s="2">
        <v>13.5</v>
      </c>
      <c r="F1708" s="2">
        <v>173.93</v>
      </c>
      <c r="G1708" s="2">
        <v>-167.45</v>
      </c>
      <c r="H1708" s="2">
        <v>138.54</v>
      </c>
      <c r="I1708" s="2">
        <v>-133.99</v>
      </c>
      <c r="J1708" s="2">
        <v>3.44</v>
      </c>
      <c r="K1708" s="2">
        <v>-0.35</v>
      </c>
      <c r="L1708" s="2">
        <v>3.45</v>
      </c>
      <c r="M1708" s="2">
        <v>0.93</v>
      </c>
      <c r="N1708" t="s">
        <v>253</v>
      </c>
      <c r="O1708">
        <v>74</v>
      </c>
    </row>
    <row r="1709" spans="1:15">
      <c r="A1709" s="1">
        <v>46013</v>
      </c>
      <c r="B1709">
        <v>12</v>
      </c>
      <c r="C1709" t="s">
        <v>100</v>
      </c>
      <c r="D1709">
        <v>11</v>
      </c>
      <c r="E1709" s="2">
        <v>14</v>
      </c>
      <c r="F1709" s="2">
        <v>132.29</v>
      </c>
      <c r="G1709" s="2">
        <v>-126.14</v>
      </c>
      <c r="H1709" s="2">
        <v>158.29</v>
      </c>
      <c r="I1709" s="2">
        <v>-157.63</v>
      </c>
      <c r="J1709" s="2">
        <v>2.96</v>
      </c>
      <c r="K1709" s="2">
        <v>-0.15</v>
      </c>
      <c r="L1709" s="2">
        <v>2.96</v>
      </c>
      <c r="M1709" s="2">
        <v>0.82</v>
      </c>
      <c r="N1709" t="s">
        <v>253</v>
      </c>
      <c r="O1709">
        <v>74</v>
      </c>
    </row>
    <row r="1710" spans="1:15">
      <c r="A1710" s="1">
        <v>46013</v>
      </c>
      <c r="B1710">
        <v>12</v>
      </c>
      <c r="C1710" t="s">
        <v>100</v>
      </c>
      <c r="D1710">
        <v>11</v>
      </c>
      <c r="E1710" s="2">
        <v>14.5</v>
      </c>
      <c r="F1710" s="2">
        <v>128.87</v>
      </c>
      <c r="G1710" s="2">
        <v>-121.67</v>
      </c>
      <c r="H1710" s="2">
        <v>171.83</v>
      </c>
      <c r="I1710" s="2">
        <v>-177.6</v>
      </c>
      <c r="J1710" s="2">
        <v>2.59</v>
      </c>
      <c r="K1710" s="2">
        <v>-0.64</v>
      </c>
      <c r="L1710" s="2">
        <v>2.67</v>
      </c>
      <c r="M1710" s="2">
        <v>0.6</v>
      </c>
      <c r="N1710" t="s">
        <v>253</v>
      </c>
      <c r="O1710">
        <v>74</v>
      </c>
    </row>
    <row r="1711" spans="1:15">
      <c r="A1711" s="1">
        <v>46013</v>
      </c>
      <c r="B1711">
        <v>12</v>
      </c>
      <c r="C1711" t="s">
        <v>100</v>
      </c>
      <c r="D1711">
        <v>11</v>
      </c>
      <c r="E1711" s="2">
        <v>15</v>
      </c>
      <c r="F1711" s="2">
        <v>135.41</v>
      </c>
      <c r="G1711" s="2">
        <v>-128.76</v>
      </c>
      <c r="H1711" s="2">
        <v>261.64999999999998</v>
      </c>
      <c r="I1711" s="2">
        <v>-249.19</v>
      </c>
      <c r="J1711" s="2">
        <v>2.21</v>
      </c>
      <c r="K1711" s="2">
        <v>-1</v>
      </c>
      <c r="L1711" s="2">
        <v>2.42</v>
      </c>
      <c r="M1711" s="2">
        <v>0.45</v>
      </c>
      <c r="N1711" t="s">
        <v>253</v>
      </c>
      <c r="O1711">
        <v>74</v>
      </c>
    </row>
    <row r="1712" spans="1:15">
      <c r="A1712" s="1">
        <v>46013</v>
      </c>
      <c r="B1712">
        <v>12</v>
      </c>
      <c r="C1712" t="s">
        <v>100</v>
      </c>
      <c r="D1712">
        <v>11</v>
      </c>
      <c r="E1712" s="2">
        <v>15.5</v>
      </c>
      <c r="F1712" s="2">
        <v>55.17</v>
      </c>
      <c r="G1712" s="2">
        <v>-51.11</v>
      </c>
      <c r="H1712" s="2">
        <v>346.04</v>
      </c>
      <c r="I1712" s="2">
        <v>-340.3</v>
      </c>
      <c r="J1712" s="2">
        <v>1.88</v>
      </c>
      <c r="K1712" s="2">
        <v>-1.1299999999999999</v>
      </c>
      <c r="L1712" s="2">
        <v>2.19</v>
      </c>
      <c r="M1712" s="2">
        <v>0.34</v>
      </c>
      <c r="N1712" t="s">
        <v>253</v>
      </c>
      <c r="O1712">
        <v>74</v>
      </c>
    </row>
    <row r="1713" spans="1:15">
      <c r="A1713" s="1">
        <v>46013</v>
      </c>
      <c r="B1713">
        <v>12</v>
      </c>
      <c r="C1713" t="s">
        <v>100</v>
      </c>
      <c r="D1713">
        <v>11</v>
      </c>
      <c r="E1713" s="2">
        <v>16</v>
      </c>
      <c r="F1713" s="2">
        <v>198.27</v>
      </c>
      <c r="G1713" s="2">
        <v>-183.83</v>
      </c>
      <c r="H1713" s="2">
        <v>191.75</v>
      </c>
      <c r="I1713" s="2">
        <v>-168.71</v>
      </c>
      <c r="J1713" s="2">
        <v>1.73</v>
      </c>
      <c r="K1713" s="2">
        <v>-1.0900000000000001</v>
      </c>
      <c r="L1713" s="2">
        <v>2.04</v>
      </c>
      <c r="M1713" s="2">
        <v>0.26</v>
      </c>
      <c r="N1713" t="s">
        <v>253</v>
      </c>
      <c r="O1713">
        <v>74</v>
      </c>
    </row>
    <row r="1714" spans="1:15">
      <c r="A1714" s="1">
        <v>46013</v>
      </c>
      <c r="B1714">
        <v>12</v>
      </c>
      <c r="C1714" t="s">
        <v>100</v>
      </c>
      <c r="D1714">
        <v>11</v>
      </c>
      <c r="E1714" s="2">
        <v>16.5</v>
      </c>
      <c r="F1714" s="2">
        <v>318.68</v>
      </c>
      <c r="G1714" s="2">
        <v>-316.52999999999997</v>
      </c>
      <c r="H1714" s="2">
        <v>206.42</v>
      </c>
      <c r="I1714" s="2">
        <v>-187.12</v>
      </c>
      <c r="J1714" s="2">
        <v>1.67</v>
      </c>
      <c r="K1714" s="2">
        <v>-1.35</v>
      </c>
      <c r="L1714" s="2">
        <v>2.15</v>
      </c>
      <c r="M1714" s="2">
        <v>0.28999999999999998</v>
      </c>
      <c r="N1714" t="s">
        <v>253</v>
      </c>
      <c r="O1714">
        <v>74</v>
      </c>
    </row>
    <row r="1715" spans="1:15">
      <c r="A1715" s="1">
        <v>46013</v>
      </c>
      <c r="B1715">
        <v>12</v>
      </c>
      <c r="C1715" t="s">
        <v>100</v>
      </c>
      <c r="D1715">
        <v>11</v>
      </c>
      <c r="E1715" s="2">
        <v>17</v>
      </c>
      <c r="F1715" s="2">
        <v>380.37</v>
      </c>
      <c r="G1715" s="2">
        <v>-372.91</v>
      </c>
      <c r="H1715" s="2">
        <v>241.27</v>
      </c>
      <c r="I1715" s="2">
        <v>-244.36</v>
      </c>
      <c r="J1715" s="2">
        <v>1.57</v>
      </c>
      <c r="K1715" s="2">
        <v>-1.24</v>
      </c>
      <c r="L1715" s="2">
        <v>2</v>
      </c>
      <c r="M1715" s="2">
        <v>0.26</v>
      </c>
      <c r="N1715" t="s">
        <v>253</v>
      </c>
      <c r="O1715">
        <v>74</v>
      </c>
    </row>
    <row r="1716" spans="1:15">
      <c r="A1716" s="1">
        <v>46013</v>
      </c>
      <c r="B1716">
        <v>12</v>
      </c>
      <c r="C1716" t="s">
        <v>100</v>
      </c>
      <c r="D1716">
        <v>11</v>
      </c>
      <c r="E1716" s="2">
        <v>17.5</v>
      </c>
      <c r="F1716" s="2">
        <v>376.05</v>
      </c>
      <c r="G1716" s="2">
        <v>-371.66</v>
      </c>
      <c r="H1716" s="2">
        <v>157.22999999999999</v>
      </c>
      <c r="I1716" s="2">
        <v>-156.75</v>
      </c>
      <c r="J1716" s="2">
        <v>1.46</v>
      </c>
      <c r="K1716" s="2">
        <v>-1.1100000000000001</v>
      </c>
      <c r="L1716" s="2">
        <v>1.83</v>
      </c>
      <c r="M1716" s="2">
        <v>0.26</v>
      </c>
      <c r="N1716" t="s">
        <v>253</v>
      </c>
      <c r="O1716">
        <v>74</v>
      </c>
    </row>
    <row r="1717" spans="1:15">
      <c r="A1717" s="1">
        <v>46013</v>
      </c>
      <c r="B1717">
        <v>12</v>
      </c>
      <c r="C1717" t="s">
        <v>100</v>
      </c>
      <c r="D1717">
        <v>11</v>
      </c>
      <c r="E1717" s="2">
        <v>18</v>
      </c>
      <c r="F1717" s="2">
        <v>345.07</v>
      </c>
      <c r="G1717" s="2">
        <v>-337.64</v>
      </c>
      <c r="H1717" s="2">
        <v>92.85</v>
      </c>
      <c r="I1717" s="2">
        <v>-100.96</v>
      </c>
      <c r="J1717" s="2">
        <v>1.35</v>
      </c>
      <c r="K1717" s="2">
        <v>-0.82</v>
      </c>
      <c r="L1717" s="2">
        <v>1.58</v>
      </c>
      <c r="M1717" s="2">
        <v>0.27</v>
      </c>
      <c r="N1717" t="s">
        <v>253</v>
      </c>
      <c r="O1717">
        <v>74</v>
      </c>
    </row>
    <row r="1718" spans="1:15">
      <c r="A1718" s="1">
        <v>46013</v>
      </c>
      <c r="B1718">
        <v>12</v>
      </c>
      <c r="C1718" t="s">
        <v>100</v>
      </c>
      <c r="D1718">
        <v>11</v>
      </c>
      <c r="E1718" s="2">
        <v>18.5</v>
      </c>
      <c r="F1718" s="2">
        <v>313.38</v>
      </c>
      <c r="G1718" s="2">
        <v>-308.24</v>
      </c>
      <c r="H1718" s="2">
        <v>59.95</v>
      </c>
      <c r="I1718" s="2">
        <v>-62</v>
      </c>
      <c r="J1718" s="2">
        <v>1.25</v>
      </c>
      <c r="K1718" s="2">
        <v>-0.79</v>
      </c>
      <c r="L1718" s="2">
        <v>1.48</v>
      </c>
      <c r="M1718" s="2">
        <v>0.23</v>
      </c>
      <c r="N1718" t="s">
        <v>253</v>
      </c>
      <c r="O1718">
        <v>74</v>
      </c>
    </row>
    <row r="1719" spans="1:15">
      <c r="A1719" s="1">
        <v>46013</v>
      </c>
      <c r="B1719">
        <v>12</v>
      </c>
      <c r="C1719" t="s">
        <v>100</v>
      </c>
      <c r="D1719">
        <v>11</v>
      </c>
      <c r="E1719" s="2">
        <v>19</v>
      </c>
      <c r="F1719" s="2">
        <v>299.57</v>
      </c>
      <c r="G1719" s="2">
        <v>-295.44</v>
      </c>
      <c r="H1719" s="2">
        <v>50.14</v>
      </c>
      <c r="I1719" s="2">
        <v>-43</v>
      </c>
      <c r="J1719" s="2">
        <v>1.05</v>
      </c>
      <c r="K1719" s="2">
        <v>-0.93</v>
      </c>
      <c r="L1719" s="2">
        <v>1.4</v>
      </c>
      <c r="M1719" s="2">
        <v>0.09</v>
      </c>
      <c r="N1719" t="s">
        <v>253</v>
      </c>
      <c r="O1719">
        <v>74</v>
      </c>
    </row>
    <row r="1720" spans="1:15">
      <c r="A1720" s="1">
        <v>46013</v>
      </c>
      <c r="B1720">
        <v>12</v>
      </c>
      <c r="C1720" t="s">
        <v>100</v>
      </c>
      <c r="D1720">
        <v>11</v>
      </c>
      <c r="E1720" s="2">
        <v>19.5</v>
      </c>
      <c r="F1720" s="2">
        <v>207.21</v>
      </c>
      <c r="G1720" s="2">
        <v>-200.91</v>
      </c>
      <c r="H1720" s="2">
        <v>99.81</v>
      </c>
      <c r="I1720" s="2">
        <v>-91.79</v>
      </c>
      <c r="J1720" s="2">
        <v>0.89</v>
      </c>
      <c r="K1720" s="2">
        <v>-1.1299999999999999</v>
      </c>
      <c r="L1720" s="2">
        <v>1.44</v>
      </c>
      <c r="M1720" s="2">
        <v>0.01</v>
      </c>
      <c r="N1720" t="s">
        <v>253</v>
      </c>
      <c r="O1720">
        <v>74</v>
      </c>
    </row>
    <row r="1721" spans="1:15">
      <c r="A1721" s="1">
        <v>46013</v>
      </c>
      <c r="B1721">
        <v>12</v>
      </c>
      <c r="C1721" t="s">
        <v>100</v>
      </c>
      <c r="D1721">
        <v>11</v>
      </c>
      <c r="E1721" s="2">
        <v>20</v>
      </c>
      <c r="F1721" s="2">
        <v>140.5</v>
      </c>
      <c r="G1721" s="2">
        <v>-134.79</v>
      </c>
      <c r="H1721" s="2">
        <v>150.35</v>
      </c>
      <c r="I1721" s="2">
        <v>-139.97</v>
      </c>
      <c r="J1721" s="2">
        <v>0.67</v>
      </c>
      <c r="K1721" s="2">
        <v>-0.77</v>
      </c>
      <c r="L1721" s="2">
        <v>1.02</v>
      </c>
      <c r="M1721" s="2">
        <v>0.02</v>
      </c>
      <c r="N1721" t="s">
        <v>253</v>
      </c>
      <c r="O1721">
        <v>74</v>
      </c>
    </row>
    <row r="1722" spans="1:15">
      <c r="A1722" s="1">
        <v>46013</v>
      </c>
      <c r="B1722">
        <v>12</v>
      </c>
      <c r="C1722" t="s">
        <v>100</v>
      </c>
      <c r="D1722">
        <v>11</v>
      </c>
      <c r="E1722" s="2">
        <v>20.5</v>
      </c>
      <c r="F1722" s="2">
        <v>147.38999999999999</v>
      </c>
      <c r="G1722" s="2">
        <v>-142.96</v>
      </c>
      <c r="H1722" s="2">
        <v>163.46</v>
      </c>
      <c r="I1722" s="2">
        <v>-151.84</v>
      </c>
      <c r="J1722" s="2">
        <v>0.53</v>
      </c>
      <c r="K1722" s="2">
        <v>-0.57999999999999996</v>
      </c>
      <c r="L1722" s="2">
        <v>0.79</v>
      </c>
      <c r="M1722" s="2">
        <v>0.05</v>
      </c>
      <c r="N1722" t="s">
        <v>253</v>
      </c>
      <c r="O1722">
        <v>74</v>
      </c>
    </row>
    <row r="1723" spans="1:15">
      <c r="A1723" s="1">
        <v>46013</v>
      </c>
      <c r="B1723">
        <v>12</v>
      </c>
      <c r="C1723" t="s">
        <v>100</v>
      </c>
      <c r="D1723">
        <v>11</v>
      </c>
      <c r="E1723" s="2">
        <v>21</v>
      </c>
      <c r="F1723" s="2">
        <v>157.71</v>
      </c>
      <c r="G1723" s="2">
        <v>-152.77000000000001</v>
      </c>
      <c r="H1723" s="2">
        <v>171.12</v>
      </c>
      <c r="I1723" s="2">
        <v>-169.85</v>
      </c>
      <c r="J1723" s="2">
        <v>0.33</v>
      </c>
      <c r="K1723" s="2">
        <v>-0.19</v>
      </c>
      <c r="L1723" s="2">
        <v>0.38</v>
      </c>
      <c r="M1723" s="2">
        <v>0.02</v>
      </c>
      <c r="N1723" t="s">
        <v>253</v>
      </c>
      <c r="O1723">
        <v>74</v>
      </c>
    </row>
    <row r="1724" spans="1:15">
      <c r="A1724" s="1">
        <v>46013</v>
      </c>
      <c r="B1724">
        <v>12</v>
      </c>
      <c r="C1724" t="s">
        <v>100</v>
      </c>
      <c r="D1724">
        <v>11</v>
      </c>
      <c r="E1724" s="2">
        <v>21.5</v>
      </c>
      <c r="F1724" s="2">
        <v>176.36</v>
      </c>
      <c r="G1724" s="2">
        <v>-173.23</v>
      </c>
      <c r="H1724" s="2">
        <v>173.59</v>
      </c>
      <c r="I1724" s="2">
        <v>-174.18</v>
      </c>
      <c r="J1724" s="2">
        <v>0.15</v>
      </c>
      <c r="K1724" s="2">
        <v>-0.01</v>
      </c>
      <c r="L1724" s="2">
        <v>0.15</v>
      </c>
      <c r="M1724" s="2">
        <v>0.04</v>
      </c>
      <c r="N1724" t="s">
        <v>253</v>
      </c>
      <c r="O1724">
        <v>74</v>
      </c>
    </row>
    <row r="1725" spans="1:15">
      <c r="A1725" s="1">
        <v>46013</v>
      </c>
      <c r="B1725">
        <v>12</v>
      </c>
      <c r="C1725" t="s">
        <v>100</v>
      </c>
      <c r="D1725">
        <v>11</v>
      </c>
      <c r="E1725" s="2">
        <v>22</v>
      </c>
      <c r="F1725" s="2">
        <v>189.5</v>
      </c>
      <c r="G1725" s="2">
        <v>-182.97</v>
      </c>
      <c r="H1725" s="2">
        <v>193.98</v>
      </c>
      <c r="I1725" s="2">
        <v>-176.12</v>
      </c>
      <c r="J1725" s="2">
        <v>0.04</v>
      </c>
      <c r="K1725" s="2">
        <v>0.14000000000000001</v>
      </c>
      <c r="L1725" s="2">
        <v>0.14000000000000001</v>
      </c>
      <c r="M1725" s="2">
        <v>-0.09</v>
      </c>
      <c r="N1725" t="s">
        <v>253</v>
      </c>
      <c r="O1725">
        <v>74</v>
      </c>
    </row>
    <row r="1726" spans="1:15">
      <c r="A1726" s="1">
        <v>46020</v>
      </c>
      <c r="B1726">
        <v>13</v>
      </c>
      <c r="C1726" t="s">
        <v>94</v>
      </c>
      <c r="D1726">
        <v>13</v>
      </c>
      <c r="E1726" s="2">
        <v>0.5</v>
      </c>
      <c r="F1726" s="2">
        <v>-282.26</v>
      </c>
      <c r="G1726" s="2">
        <v>283.95999999999998</v>
      </c>
      <c r="H1726" s="2">
        <v>-735.07</v>
      </c>
      <c r="I1726" s="2">
        <v>773.07</v>
      </c>
      <c r="J1726" s="2">
        <v>-1.38</v>
      </c>
      <c r="K1726" s="2">
        <v>11.01</v>
      </c>
      <c r="L1726" s="2">
        <v>11.09</v>
      </c>
      <c r="M1726" s="2">
        <v>-1.99</v>
      </c>
      <c r="N1726" t="s">
        <v>256</v>
      </c>
      <c r="O1726">
        <v>30</v>
      </c>
    </row>
    <row r="1727" spans="1:15">
      <c r="A1727" s="1">
        <v>46020</v>
      </c>
      <c r="B1727">
        <v>13</v>
      </c>
      <c r="C1727" t="s">
        <v>94</v>
      </c>
      <c r="D1727">
        <v>13</v>
      </c>
      <c r="E1727" s="2">
        <v>1</v>
      </c>
      <c r="F1727" s="2">
        <v>-282.33</v>
      </c>
      <c r="G1727" s="2">
        <v>284.16000000000003</v>
      </c>
      <c r="H1727" s="2">
        <v>-734.88</v>
      </c>
      <c r="I1727" s="2">
        <v>773.35</v>
      </c>
      <c r="J1727" s="2">
        <v>1.63</v>
      </c>
      <c r="K1727" s="2">
        <v>14.17</v>
      </c>
      <c r="L1727" s="2">
        <v>14.26</v>
      </c>
      <c r="M1727" s="2">
        <v>-1.72</v>
      </c>
      <c r="N1727" t="s">
        <v>256</v>
      </c>
      <c r="O1727">
        <v>30</v>
      </c>
    </row>
    <row r="1728" spans="1:15">
      <c r="A1728" s="1">
        <v>46020</v>
      </c>
      <c r="B1728">
        <v>13</v>
      </c>
      <c r="C1728" t="s">
        <v>94</v>
      </c>
      <c r="D1728">
        <v>13</v>
      </c>
      <c r="E1728" s="2">
        <v>1.5</v>
      </c>
      <c r="F1728" s="2">
        <v>-16.79</v>
      </c>
      <c r="G1728" s="2">
        <v>26.48</v>
      </c>
      <c r="H1728" s="2">
        <v>-266.2</v>
      </c>
      <c r="I1728" s="2">
        <v>290.81</v>
      </c>
      <c r="J1728" s="2">
        <v>4.6900000000000004</v>
      </c>
      <c r="K1728" s="2">
        <v>16.93</v>
      </c>
      <c r="L1728" s="2">
        <v>17.559999999999999</v>
      </c>
      <c r="M1728" s="2">
        <v>-1.39</v>
      </c>
      <c r="N1728" t="s">
        <v>256</v>
      </c>
      <c r="O1728">
        <v>30</v>
      </c>
    </row>
    <row r="1729" spans="1:15">
      <c r="A1729" s="1">
        <v>46020</v>
      </c>
      <c r="B1729">
        <v>13</v>
      </c>
      <c r="C1729" t="s">
        <v>94</v>
      </c>
      <c r="D1729">
        <v>13</v>
      </c>
      <c r="E1729" s="2">
        <v>2</v>
      </c>
      <c r="F1729" s="2">
        <v>44.75</v>
      </c>
      <c r="G1729" s="2">
        <v>-40.32</v>
      </c>
      <c r="H1729" s="2">
        <v>-218.27</v>
      </c>
      <c r="I1729" s="2">
        <v>234.44</v>
      </c>
      <c r="J1729" s="2">
        <v>4.32</v>
      </c>
      <c r="K1729" s="2">
        <v>16.940000000000001</v>
      </c>
      <c r="L1729" s="2">
        <v>17.48</v>
      </c>
      <c r="M1729" s="2">
        <v>-1.2</v>
      </c>
      <c r="N1729" t="s">
        <v>256</v>
      </c>
      <c r="O1729">
        <v>30</v>
      </c>
    </row>
    <row r="1730" spans="1:15">
      <c r="A1730" s="1">
        <v>46020</v>
      </c>
      <c r="B1730">
        <v>13</v>
      </c>
      <c r="C1730" t="s">
        <v>94</v>
      </c>
      <c r="D1730">
        <v>13</v>
      </c>
      <c r="E1730" s="2">
        <v>2.5</v>
      </c>
      <c r="F1730" s="2">
        <v>53.93</v>
      </c>
      <c r="G1730" s="2">
        <v>-48.23</v>
      </c>
      <c r="H1730" s="2">
        <v>-198.15</v>
      </c>
      <c r="I1730" s="2">
        <v>213.3</v>
      </c>
      <c r="J1730" s="2">
        <v>5.65</v>
      </c>
      <c r="K1730" s="2">
        <v>17.239999999999998</v>
      </c>
      <c r="L1730" s="2">
        <v>18.14</v>
      </c>
      <c r="M1730" s="2">
        <v>-1.02</v>
      </c>
      <c r="N1730" t="s">
        <v>256</v>
      </c>
      <c r="O1730">
        <v>30</v>
      </c>
    </row>
    <row r="1731" spans="1:15">
      <c r="A1731" s="1">
        <v>46020</v>
      </c>
      <c r="B1731">
        <v>13</v>
      </c>
      <c r="C1731" t="s">
        <v>94</v>
      </c>
      <c r="D1731">
        <v>13</v>
      </c>
      <c r="E1731" s="2">
        <v>3</v>
      </c>
      <c r="F1731" s="2">
        <v>22.11</v>
      </c>
      <c r="G1731" s="2">
        <v>-13.81</v>
      </c>
      <c r="H1731" s="2">
        <v>-143.21</v>
      </c>
      <c r="I1731" s="2">
        <v>157.18</v>
      </c>
      <c r="J1731" s="2">
        <v>6.48</v>
      </c>
      <c r="K1731" s="2">
        <v>17.36</v>
      </c>
      <c r="L1731" s="2">
        <v>18.53</v>
      </c>
      <c r="M1731" s="2">
        <v>-0.88</v>
      </c>
      <c r="N1731" t="s">
        <v>256</v>
      </c>
      <c r="O1731">
        <v>30</v>
      </c>
    </row>
    <row r="1732" spans="1:15">
      <c r="A1732" s="1">
        <v>46020</v>
      </c>
      <c r="B1732">
        <v>13</v>
      </c>
      <c r="C1732" t="s">
        <v>94</v>
      </c>
      <c r="D1732">
        <v>13</v>
      </c>
      <c r="E1732" s="2">
        <v>3.5</v>
      </c>
      <c r="F1732" s="2">
        <v>-10.1</v>
      </c>
      <c r="G1732" s="2">
        <v>15.77</v>
      </c>
      <c r="H1732" s="2">
        <v>-83.71</v>
      </c>
      <c r="I1732" s="2">
        <v>94.51</v>
      </c>
      <c r="J1732" s="2">
        <v>6.85</v>
      </c>
      <c r="K1732" s="2">
        <v>17.5</v>
      </c>
      <c r="L1732" s="2">
        <v>18.79</v>
      </c>
      <c r="M1732" s="2">
        <v>-0.81</v>
      </c>
      <c r="N1732" t="s">
        <v>256</v>
      </c>
      <c r="O1732">
        <v>30</v>
      </c>
    </row>
    <row r="1733" spans="1:15">
      <c r="A1733" s="1">
        <v>46020</v>
      </c>
      <c r="B1733">
        <v>13</v>
      </c>
      <c r="C1733" t="s">
        <v>94</v>
      </c>
      <c r="D1733">
        <v>13</v>
      </c>
      <c r="E1733" s="2">
        <v>4</v>
      </c>
      <c r="F1733" s="2">
        <v>56.94</v>
      </c>
      <c r="G1733" s="2">
        <v>-49.3</v>
      </c>
      <c r="H1733" s="2">
        <v>-72.790000000000006</v>
      </c>
      <c r="I1733" s="2">
        <v>60.1</v>
      </c>
      <c r="J1733" s="2">
        <v>6.87</v>
      </c>
      <c r="K1733" s="2">
        <v>17.89</v>
      </c>
      <c r="L1733" s="2">
        <v>19.170000000000002</v>
      </c>
      <c r="M1733" s="2">
        <v>-0.6</v>
      </c>
      <c r="N1733" t="s">
        <v>256</v>
      </c>
      <c r="O1733">
        <v>30</v>
      </c>
    </row>
    <row r="1734" spans="1:15">
      <c r="A1734" s="1">
        <v>46020</v>
      </c>
      <c r="B1734">
        <v>13</v>
      </c>
      <c r="C1734" t="s">
        <v>94</v>
      </c>
      <c r="D1734">
        <v>13</v>
      </c>
      <c r="E1734" s="2">
        <v>4.5</v>
      </c>
      <c r="F1734" s="2">
        <v>72.92</v>
      </c>
      <c r="G1734" s="2">
        <v>-64.89</v>
      </c>
      <c r="H1734" s="2">
        <v>-45.54</v>
      </c>
      <c r="I1734" s="2">
        <v>56.53</v>
      </c>
      <c r="J1734" s="2">
        <v>6.82</v>
      </c>
      <c r="K1734" s="2">
        <v>17.98</v>
      </c>
      <c r="L1734" s="2">
        <v>19.23</v>
      </c>
      <c r="M1734" s="2">
        <v>-0.44</v>
      </c>
      <c r="N1734" t="s">
        <v>256</v>
      </c>
      <c r="O1734">
        <v>30</v>
      </c>
    </row>
    <row r="1735" spans="1:15">
      <c r="A1735" s="1">
        <v>46020</v>
      </c>
      <c r="B1735">
        <v>13</v>
      </c>
      <c r="C1735" t="s">
        <v>94</v>
      </c>
      <c r="D1735">
        <v>13</v>
      </c>
      <c r="E1735" s="2">
        <v>5</v>
      </c>
      <c r="F1735" s="2">
        <v>17.02</v>
      </c>
      <c r="G1735" s="2">
        <v>-8.31</v>
      </c>
      <c r="H1735" s="2">
        <v>21.27</v>
      </c>
      <c r="I1735" s="2">
        <v>-16.27</v>
      </c>
      <c r="J1735" s="2">
        <v>7.41</v>
      </c>
      <c r="K1735" s="2">
        <v>17.53</v>
      </c>
      <c r="L1735" s="2">
        <v>19.03</v>
      </c>
      <c r="M1735" s="2">
        <v>-0.33</v>
      </c>
      <c r="N1735" t="s">
        <v>256</v>
      </c>
      <c r="O1735">
        <v>30</v>
      </c>
    </row>
    <row r="1736" spans="1:15">
      <c r="A1736" s="1">
        <v>46020</v>
      </c>
      <c r="B1736">
        <v>13</v>
      </c>
      <c r="C1736" t="s">
        <v>94</v>
      </c>
      <c r="D1736">
        <v>13</v>
      </c>
      <c r="E1736" s="2">
        <v>5.5</v>
      </c>
      <c r="F1736" s="2">
        <v>9.7100000000000009</v>
      </c>
      <c r="G1736" s="2">
        <v>-1.45</v>
      </c>
      <c r="H1736" s="2">
        <v>29.55</v>
      </c>
      <c r="I1736" s="2">
        <v>-21.99</v>
      </c>
      <c r="J1736" s="2">
        <v>7.86</v>
      </c>
      <c r="K1736" s="2">
        <v>17.579999999999998</v>
      </c>
      <c r="L1736" s="2">
        <v>19.260000000000002</v>
      </c>
      <c r="M1736" s="2">
        <v>-0.24</v>
      </c>
      <c r="N1736" t="s">
        <v>256</v>
      </c>
      <c r="O1736">
        <v>30</v>
      </c>
    </row>
    <row r="1737" spans="1:15">
      <c r="A1737" s="1">
        <v>46020</v>
      </c>
      <c r="B1737">
        <v>13</v>
      </c>
      <c r="C1737" t="s">
        <v>94</v>
      </c>
      <c r="D1737">
        <v>13</v>
      </c>
      <c r="E1737" s="2">
        <v>6</v>
      </c>
      <c r="F1737" s="2">
        <v>21.15</v>
      </c>
      <c r="G1737" s="2">
        <v>-13.84</v>
      </c>
      <c r="H1737" s="2">
        <v>-36.6</v>
      </c>
      <c r="I1737" s="2">
        <v>38.03</v>
      </c>
      <c r="J1737" s="2">
        <v>8.16</v>
      </c>
      <c r="K1737" s="2">
        <v>17.989999999999998</v>
      </c>
      <c r="L1737" s="2">
        <v>19.75</v>
      </c>
      <c r="M1737" s="2">
        <v>-0.13</v>
      </c>
      <c r="N1737" t="s">
        <v>256</v>
      </c>
      <c r="O1737">
        <v>30</v>
      </c>
    </row>
    <row r="1738" spans="1:15">
      <c r="A1738" s="1">
        <v>46020</v>
      </c>
      <c r="B1738">
        <v>13</v>
      </c>
      <c r="C1738" t="s">
        <v>94</v>
      </c>
      <c r="D1738">
        <v>13</v>
      </c>
      <c r="E1738" s="2">
        <v>6.5</v>
      </c>
      <c r="F1738" s="2">
        <v>18.079999999999998</v>
      </c>
      <c r="G1738" s="2">
        <v>-7.55</v>
      </c>
      <c r="H1738" s="2">
        <v>-78.92</v>
      </c>
      <c r="I1738" s="2">
        <v>82.64</v>
      </c>
      <c r="J1738" s="2">
        <v>8.34</v>
      </c>
      <c r="K1738" s="2">
        <v>18.010000000000002</v>
      </c>
      <c r="L1738" s="2">
        <v>19.84</v>
      </c>
      <c r="M1738" s="2">
        <v>-0.11</v>
      </c>
      <c r="N1738" t="s">
        <v>256</v>
      </c>
      <c r="O1738">
        <v>30</v>
      </c>
    </row>
    <row r="1739" spans="1:15">
      <c r="A1739" s="1">
        <v>46020</v>
      </c>
      <c r="B1739">
        <v>13</v>
      </c>
      <c r="C1739" t="s">
        <v>94</v>
      </c>
      <c r="D1739">
        <v>13</v>
      </c>
      <c r="E1739" s="2">
        <v>7</v>
      </c>
      <c r="F1739" s="2">
        <v>102.92</v>
      </c>
      <c r="G1739" s="2">
        <v>-95.31</v>
      </c>
      <c r="H1739" s="2">
        <v>-63.22</v>
      </c>
      <c r="I1739" s="2">
        <v>74.349999999999994</v>
      </c>
      <c r="J1739" s="2">
        <v>7.91</v>
      </c>
      <c r="K1739" s="2">
        <v>17.53</v>
      </c>
      <c r="L1739" s="2">
        <v>19.23</v>
      </c>
      <c r="M1739" s="2">
        <v>-0.05</v>
      </c>
      <c r="N1739" t="s">
        <v>256</v>
      </c>
      <c r="O1739">
        <v>30</v>
      </c>
    </row>
    <row r="1740" spans="1:15">
      <c r="A1740" s="1">
        <v>46020</v>
      </c>
      <c r="B1740">
        <v>13</v>
      </c>
      <c r="C1740" t="s">
        <v>94</v>
      </c>
      <c r="D1740">
        <v>13</v>
      </c>
      <c r="E1740" s="2">
        <v>7.5</v>
      </c>
      <c r="F1740" s="2">
        <v>74.08</v>
      </c>
      <c r="G1740" s="2">
        <v>-51.94</v>
      </c>
      <c r="H1740" s="2">
        <v>-94.42</v>
      </c>
      <c r="I1740" s="2">
        <v>86.59</v>
      </c>
      <c r="J1740" s="2">
        <v>7.85</v>
      </c>
      <c r="K1740" s="2">
        <v>17.100000000000001</v>
      </c>
      <c r="L1740" s="2">
        <v>18.82</v>
      </c>
      <c r="M1740" s="2">
        <v>-0.08</v>
      </c>
      <c r="N1740" t="s">
        <v>256</v>
      </c>
      <c r="O1740">
        <v>30</v>
      </c>
    </row>
    <row r="1741" spans="1:15">
      <c r="A1741" s="1">
        <v>46020</v>
      </c>
      <c r="B1741">
        <v>13</v>
      </c>
      <c r="C1741" t="s">
        <v>94</v>
      </c>
      <c r="D1741">
        <v>13</v>
      </c>
      <c r="E1741" s="2">
        <v>8</v>
      </c>
      <c r="F1741" s="2">
        <v>39.58</v>
      </c>
      <c r="G1741" s="2">
        <v>-28.5</v>
      </c>
      <c r="H1741" s="2">
        <v>-89.1</v>
      </c>
      <c r="I1741" s="2">
        <v>86.23</v>
      </c>
      <c r="J1741" s="2">
        <v>7.75</v>
      </c>
      <c r="K1741" s="2">
        <v>16.010000000000002</v>
      </c>
      <c r="L1741" s="2">
        <v>17.79</v>
      </c>
      <c r="M1741" s="2">
        <v>-0.16</v>
      </c>
      <c r="N1741" t="s">
        <v>256</v>
      </c>
      <c r="O1741">
        <v>30</v>
      </c>
    </row>
    <row r="1742" spans="1:15">
      <c r="A1742" s="1">
        <v>46020</v>
      </c>
      <c r="B1742">
        <v>13</v>
      </c>
      <c r="C1742" t="s">
        <v>94</v>
      </c>
      <c r="D1742">
        <v>13</v>
      </c>
      <c r="E1742" s="2">
        <v>8.5</v>
      </c>
      <c r="F1742" s="2">
        <v>7.11</v>
      </c>
      <c r="G1742" s="2">
        <v>3.47</v>
      </c>
      <c r="H1742" s="2">
        <v>-64.2</v>
      </c>
      <c r="I1742" s="2">
        <v>64.12</v>
      </c>
      <c r="J1742" s="2">
        <v>7.54</v>
      </c>
      <c r="K1742" s="2">
        <v>14.67</v>
      </c>
      <c r="L1742" s="2">
        <v>16.5</v>
      </c>
      <c r="M1742" s="2">
        <v>-0.13</v>
      </c>
      <c r="N1742" t="s">
        <v>256</v>
      </c>
      <c r="O1742">
        <v>30</v>
      </c>
    </row>
    <row r="1743" spans="1:15">
      <c r="A1743" s="1">
        <v>46020</v>
      </c>
      <c r="B1743">
        <v>13</v>
      </c>
      <c r="C1743" t="s">
        <v>94</v>
      </c>
      <c r="D1743">
        <v>13</v>
      </c>
      <c r="E1743" s="2">
        <v>9</v>
      </c>
      <c r="F1743" s="2">
        <v>-38.85</v>
      </c>
      <c r="G1743" s="2">
        <v>50.45</v>
      </c>
      <c r="H1743" s="2">
        <v>-50.63</v>
      </c>
      <c r="I1743" s="2">
        <v>52.04</v>
      </c>
      <c r="J1743" s="2">
        <v>7.48</v>
      </c>
      <c r="K1743" s="2">
        <v>13.36</v>
      </c>
      <c r="L1743" s="2">
        <v>15.31</v>
      </c>
      <c r="M1743" s="2">
        <v>-0.1</v>
      </c>
      <c r="N1743" t="s">
        <v>256</v>
      </c>
      <c r="O1743">
        <v>30</v>
      </c>
    </row>
    <row r="1744" spans="1:15">
      <c r="A1744" s="1">
        <v>46020</v>
      </c>
      <c r="B1744">
        <v>13</v>
      </c>
      <c r="C1744" t="s">
        <v>94</v>
      </c>
      <c r="D1744">
        <v>13</v>
      </c>
      <c r="E1744" s="2">
        <v>9.5</v>
      </c>
      <c r="F1744" s="2">
        <v>-120.46</v>
      </c>
      <c r="G1744" s="2">
        <v>128.77000000000001</v>
      </c>
      <c r="H1744" s="2">
        <v>-24.23</v>
      </c>
      <c r="I1744" s="2">
        <v>24.86</v>
      </c>
      <c r="J1744" s="2">
        <v>7.45</v>
      </c>
      <c r="K1744" s="2">
        <v>11.93</v>
      </c>
      <c r="L1744" s="2">
        <v>14.06</v>
      </c>
      <c r="M1744" s="2">
        <v>-0.13</v>
      </c>
      <c r="N1744" t="s">
        <v>256</v>
      </c>
      <c r="O1744">
        <v>30</v>
      </c>
    </row>
    <row r="1745" spans="1:15">
      <c r="A1745" s="1">
        <v>46020</v>
      </c>
      <c r="B1745">
        <v>13</v>
      </c>
      <c r="C1745" t="s">
        <v>94</v>
      </c>
      <c r="D1745">
        <v>13</v>
      </c>
      <c r="E1745" s="2">
        <v>10</v>
      </c>
      <c r="F1745" s="2">
        <v>-225.48</v>
      </c>
      <c r="G1745" s="2">
        <v>238.97</v>
      </c>
      <c r="H1745" s="2">
        <v>-102.77</v>
      </c>
      <c r="I1745" s="2">
        <v>112.81</v>
      </c>
      <c r="J1745" s="2">
        <v>6.98</v>
      </c>
      <c r="K1745" s="2">
        <v>10.75</v>
      </c>
      <c r="L1745" s="2">
        <v>12.82</v>
      </c>
      <c r="M1745" s="2">
        <v>-0.1</v>
      </c>
      <c r="N1745" t="s">
        <v>256</v>
      </c>
      <c r="O1745">
        <v>30</v>
      </c>
    </row>
    <row r="1746" spans="1:15">
      <c r="A1746" s="1">
        <v>46020</v>
      </c>
      <c r="B1746">
        <v>13</v>
      </c>
      <c r="C1746" t="s">
        <v>94</v>
      </c>
      <c r="D1746">
        <v>13</v>
      </c>
      <c r="E1746" s="2">
        <v>10.5</v>
      </c>
      <c r="F1746" s="2">
        <v>-206.93</v>
      </c>
      <c r="G1746" s="2">
        <v>219.5</v>
      </c>
      <c r="H1746" s="2">
        <v>-66.209999999999994</v>
      </c>
      <c r="I1746" s="2">
        <v>80.430000000000007</v>
      </c>
      <c r="J1746" s="2">
        <v>6.07</v>
      </c>
      <c r="K1746" s="2">
        <v>9.2100000000000009</v>
      </c>
      <c r="L1746" s="2">
        <v>11.03</v>
      </c>
      <c r="M1746" s="2">
        <v>-0.15</v>
      </c>
      <c r="N1746" t="s">
        <v>256</v>
      </c>
      <c r="O1746">
        <v>30</v>
      </c>
    </row>
    <row r="1747" spans="1:15">
      <c r="A1747" s="1">
        <v>46020</v>
      </c>
      <c r="B1747">
        <v>13</v>
      </c>
      <c r="C1747" t="s">
        <v>94</v>
      </c>
      <c r="D1747">
        <v>13</v>
      </c>
      <c r="E1747" s="2">
        <v>11</v>
      </c>
      <c r="F1747" s="2">
        <v>-181.52</v>
      </c>
      <c r="G1747" s="2">
        <v>186.8</v>
      </c>
      <c r="H1747" s="2">
        <v>-7.8</v>
      </c>
      <c r="I1747" s="2">
        <v>15.48</v>
      </c>
      <c r="J1747" s="2">
        <v>5.6</v>
      </c>
      <c r="K1747" s="2">
        <v>8.36</v>
      </c>
      <c r="L1747" s="2">
        <v>10.06</v>
      </c>
      <c r="M1747" s="2">
        <v>-0.24</v>
      </c>
      <c r="N1747" t="s">
        <v>256</v>
      </c>
      <c r="O1747">
        <v>30</v>
      </c>
    </row>
    <row r="1748" spans="1:15">
      <c r="A1748" s="1">
        <v>46020</v>
      </c>
      <c r="B1748">
        <v>13</v>
      </c>
      <c r="C1748" t="s">
        <v>94</v>
      </c>
      <c r="D1748">
        <v>13</v>
      </c>
      <c r="E1748" s="2">
        <v>11.5</v>
      </c>
      <c r="F1748" s="2">
        <v>-80.989999999999995</v>
      </c>
      <c r="G1748" s="2">
        <v>89.37</v>
      </c>
      <c r="H1748" s="2">
        <v>2.63</v>
      </c>
      <c r="I1748" s="2">
        <v>6.64</v>
      </c>
      <c r="J1748" s="2">
        <v>5.23</v>
      </c>
      <c r="K1748" s="2">
        <v>7.95</v>
      </c>
      <c r="L1748" s="2">
        <v>9.51</v>
      </c>
      <c r="M1748" s="2">
        <v>-0.16</v>
      </c>
      <c r="N1748" t="s">
        <v>256</v>
      </c>
      <c r="O1748">
        <v>30</v>
      </c>
    </row>
    <row r="1749" spans="1:15">
      <c r="A1749" s="1">
        <v>46020</v>
      </c>
      <c r="B1749">
        <v>13</v>
      </c>
      <c r="C1749" t="s">
        <v>94</v>
      </c>
      <c r="D1749">
        <v>13</v>
      </c>
      <c r="E1749" s="2">
        <v>12</v>
      </c>
      <c r="F1749" s="2">
        <v>-146.54</v>
      </c>
      <c r="G1749" s="2">
        <v>159.97999999999999</v>
      </c>
      <c r="H1749" s="2">
        <v>-22.39</v>
      </c>
      <c r="I1749" s="2">
        <v>35.840000000000003</v>
      </c>
      <c r="J1749" s="2">
        <v>5.01</v>
      </c>
      <c r="K1749" s="2">
        <v>7.62</v>
      </c>
      <c r="L1749" s="2">
        <v>9.1199999999999992</v>
      </c>
      <c r="M1749" s="2">
        <v>-0.14000000000000001</v>
      </c>
      <c r="N1749" t="s">
        <v>256</v>
      </c>
      <c r="O1749">
        <v>30</v>
      </c>
    </row>
    <row r="1750" spans="1:15">
      <c r="A1750" s="1">
        <v>46020</v>
      </c>
      <c r="B1750">
        <v>13</v>
      </c>
      <c r="C1750" t="s">
        <v>94</v>
      </c>
      <c r="D1750">
        <v>13</v>
      </c>
      <c r="E1750" s="2">
        <v>12.5</v>
      </c>
      <c r="F1750" s="2">
        <v>-142.54</v>
      </c>
      <c r="G1750" s="2">
        <v>148.37</v>
      </c>
      <c r="H1750" s="2">
        <v>43.38</v>
      </c>
      <c r="I1750" s="2">
        <v>-33.090000000000003</v>
      </c>
      <c r="J1750" s="2">
        <v>4.8899999999999997</v>
      </c>
      <c r="K1750" s="2">
        <v>7.1</v>
      </c>
      <c r="L1750" s="2">
        <v>8.6199999999999992</v>
      </c>
      <c r="M1750" s="2">
        <v>-0.17</v>
      </c>
      <c r="N1750" t="s">
        <v>256</v>
      </c>
      <c r="O1750">
        <v>30</v>
      </c>
    </row>
    <row r="1751" spans="1:15">
      <c r="A1751" s="1">
        <v>46020</v>
      </c>
      <c r="B1751">
        <v>13</v>
      </c>
      <c r="C1751" t="s">
        <v>94</v>
      </c>
      <c r="D1751">
        <v>13</v>
      </c>
      <c r="E1751" s="2">
        <v>13</v>
      </c>
      <c r="F1751" s="2">
        <v>-78.400000000000006</v>
      </c>
      <c r="G1751" s="2">
        <v>87.57</v>
      </c>
      <c r="H1751" s="2">
        <v>42.63</v>
      </c>
      <c r="I1751" s="2">
        <v>-22.96</v>
      </c>
      <c r="J1751" s="2">
        <v>4.6100000000000003</v>
      </c>
      <c r="K1751" s="2">
        <v>6.83</v>
      </c>
      <c r="L1751" s="2">
        <v>8.24</v>
      </c>
      <c r="M1751" s="2">
        <v>-0.08</v>
      </c>
      <c r="N1751" t="s">
        <v>256</v>
      </c>
      <c r="O1751">
        <v>30</v>
      </c>
    </row>
    <row r="1752" spans="1:15">
      <c r="A1752" s="1">
        <v>46020</v>
      </c>
      <c r="B1752">
        <v>13</v>
      </c>
      <c r="C1752" t="s">
        <v>94</v>
      </c>
      <c r="D1752">
        <v>13</v>
      </c>
      <c r="E1752" s="2">
        <v>13.5</v>
      </c>
      <c r="F1752" s="2">
        <v>-73.489999999999995</v>
      </c>
      <c r="G1752" s="2">
        <v>81.17</v>
      </c>
      <c r="H1752" s="2">
        <v>45.5</v>
      </c>
      <c r="I1752" s="2">
        <v>-30.91</v>
      </c>
      <c r="J1752" s="2">
        <v>4</v>
      </c>
      <c r="K1752" s="2">
        <v>6.53</v>
      </c>
      <c r="L1752" s="2">
        <v>7.66</v>
      </c>
      <c r="M1752" s="2">
        <v>-0.02</v>
      </c>
      <c r="N1752" t="s">
        <v>256</v>
      </c>
      <c r="O1752">
        <v>30</v>
      </c>
    </row>
    <row r="1753" spans="1:15">
      <c r="A1753" s="1">
        <v>46020</v>
      </c>
      <c r="B1753">
        <v>13</v>
      </c>
      <c r="C1753" t="s">
        <v>94</v>
      </c>
      <c r="D1753">
        <v>13</v>
      </c>
      <c r="E1753" s="2">
        <v>14</v>
      </c>
      <c r="F1753" s="2">
        <v>-75.819999999999993</v>
      </c>
      <c r="G1753" s="2">
        <v>81.92</v>
      </c>
      <c r="H1753" s="2">
        <v>59.26</v>
      </c>
      <c r="I1753" s="2">
        <v>-46.76</v>
      </c>
      <c r="J1753" s="2">
        <v>3.1</v>
      </c>
      <c r="K1753" s="2">
        <v>5.94</v>
      </c>
      <c r="L1753" s="2">
        <v>6.71</v>
      </c>
      <c r="M1753" s="2">
        <v>0.03</v>
      </c>
      <c r="N1753" t="s">
        <v>256</v>
      </c>
      <c r="O1753">
        <v>30</v>
      </c>
    </row>
    <row r="1754" spans="1:15">
      <c r="A1754" s="1">
        <v>46020</v>
      </c>
      <c r="B1754">
        <v>13</v>
      </c>
      <c r="C1754" t="s">
        <v>94</v>
      </c>
      <c r="D1754">
        <v>13</v>
      </c>
      <c r="E1754" s="2">
        <v>14.5</v>
      </c>
      <c r="F1754" s="2">
        <v>-64.89</v>
      </c>
      <c r="G1754" s="2">
        <v>70.08</v>
      </c>
      <c r="H1754" s="2">
        <v>89.99</v>
      </c>
      <c r="I1754" s="2">
        <v>-77.42</v>
      </c>
      <c r="J1754" s="2">
        <v>2.12</v>
      </c>
      <c r="K1754" s="2">
        <v>5.1100000000000003</v>
      </c>
      <c r="L1754" s="2">
        <v>5.53</v>
      </c>
      <c r="M1754" s="2">
        <v>0.16</v>
      </c>
      <c r="N1754" t="s">
        <v>256</v>
      </c>
      <c r="O1754">
        <v>30</v>
      </c>
    </row>
    <row r="1755" spans="1:15">
      <c r="A1755" s="1">
        <v>46020</v>
      </c>
      <c r="B1755">
        <v>13</v>
      </c>
      <c r="C1755" t="s">
        <v>94</v>
      </c>
      <c r="D1755">
        <v>13</v>
      </c>
      <c r="E1755" s="2">
        <v>15</v>
      </c>
      <c r="F1755" s="2">
        <v>-23.64</v>
      </c>
      <c r="G1755" s="2">
        <v>30.3</v>
      </c>
      <c r="H1755" s="2">
        <v>106.37</v>
      </c>
      <c r="I1755" s="2">
        <v>-96.83</v>
      </c>
      <c r="J1755" s="2">
        <v>1.21</v>
      </c>
      <c r="K1755" s="2">
        <v>4.54</v>
      </c>
      <c r="L1755" s="2">
        <v>4.7</v>
      </c>
      <c r="M1755" s="2">
        <v>0.35</v>
      </c>
      <c r="N1755" t="s">
        <v>256</v>
      </c>
      <c r="O1755">
        <v>30</v>
      </c>
    </row>
    <row r="1756" spans="1:15">
      <c r="A1756" s="1">
        <v>46020</v>
      </c>
      <c r="B1756">
        <v>13</v>
      </c>
      <c r="C1756" t="s">
        <v>94</v>
      </c>
      <c r="D1756">
        <v>13</v>
      </c>
      <c r="E1756" s="2">
        <v>15.5</v>
      </c>
      <c r="F1756" s="2">
        <v>-89.38</v>
      </c>
      <c r="G1756" s="2">
        <v>90.69</v>
      </c>
      <c r="H1756" s="2">
        <v>52.45</v>
      </c>
      <c r="I1756" s="2">
        <v>-39.020000000000003</v>
      </c>
      <c r="J1756" s="2">
        <v>0.64</v>
      </c>
      <c r="K1756" s="2">
        <v>4.07</v>
      </c>
      <c r="L1756" s="2">
        <v>4.12</v>
      </c>
      <c r="M1756" s="2">
        <v>0.54</v>
      </c>
      <c r="N1756" t="s">
        <v>256</v>
      </c>
      <c r="O1756">
        <v>30</v>
      </c>
    </row>
    <row r="1757" spans="1:15">
      <c r="A1757" s="1">
        <v>46020</v>
      </c>
      <c r="B1757">
        <v>13</v>
      </c>
      <c r="C1757" t="s">
        <v>94</v>
      </c>
      <c r="D1757">
        <v>13</v>
      </c>
      <c r="E1757" s="2">
        <v>16</v>
      </c>
      <c r="F1757" s="2">
        <v>-12.9</v>
      </c>
      <c r="G1757" s="2">
        <v>18.600000000000001</v>
      </c>
      <c r="H1757" s="2">
        <v>-31.08</v>
      </c>
      <c r="I1757" s="2">
        <v>27.55</v>
      </c>
      <c r="J1757" s="2">
        <v>-1.29</v>
      </c>
      <c r="K1757" s="2">
        <v>1.81</v>
      </c>
      <c r="L1757" s="2">
        <v>2.2200000000000002</v>
      </c>
      <c r="M1757" s="2">
        <v>0.73</v>
      </c>
      <c r="N1757" t="s">
        <v>256</v>
      </c>
      <c r="O1757">
        <v>30</v>
      </c>
    </row>
    <row r="1758" spans="1:15">
      <c r="A1758" s="1">
        <v>46020</v>
      </c>
      <c r="B1758">
        <v>13</v>
      </c>
      <c r="C1758" t="s">
        <v>94</v>
      </c>
      <c r="D1758">
        <v>13</v>
      </c>
      <c r="E1758" s="2">
        <v>16.5</v>
      </c>
      <c r="F1758" s="2">
        <v>6.47</v>
      </c>
      <c r="G1758" s="2">
        <v>-0.46</v>
      </c>
      <c r="H1758" s="2">
        <v>-10.25</v>
      </c>
      <c r="I1758" s="2">
        <v>17.68</v>
      </c>
      <c r="J1758" s="2">
        <v>-1.21</v>
      </c>
      <c r="K1758" s="2">
        <v>1.87</v>
      </c>
      <c r="L1758" s="2">
        <v>2.23</v>
      </c>
      <c r="M1758" s="2">
        <v>0.56999999999999995</v>
      </c>
      <c r="N1758" t="s">
        <v>256</v>
      </c>
      <c r="O1758">
        <v>30</v>
      </c>
    </row>
    <row r="1759" spans="1:15">
      <c r="A1759" s="1">
        <v>46020</v>
      </c>
      <c r="B1759">
        <v>13</v>
      </c>
      <c r="C1759" t="s">
        <v>94</v>
      </c>
      <c r="D1759">
        <v>13</v>
      </c>
      <c r="E1759" s="2">
        <v>17</v>
      </c>
      <c r="F1759" s="2">
        <v>16.22</v>
      </c>
      <c r="G1759" s="2">
        <v>-11.84</v>
      </c>
      <c r="H1759" s="2">
        <v>1.57</v>
      </c>
      <c r="I1759" s="2">
        <v>1.18</v>
      </c>
      <c r="J1759" s="2">
        <v>-1.1599999999999999</v>
      </c>
      <c r="K1759" s="2">
        <v>1.94</v>
      </c>
      <c r="L1759" s="2">
        <v>2.25</v>
      </c>
      <c r="M1759" s="2">
        <v>0.59</v>
      </c>
      <c r="N1759" t="s">
        <v>256</v>
      </c>
      <c r="O1759">
        <v>30</v>
      </c>
    </row>
    <row r="1760" spans="1:15">
      <c r="A1760" s="1">
        <v>46020</v>
      </c>
      <c r="B1760">
        <v>13</v>
      </c>
      <c r="C1760" t="s">
        <v>94</v>
      </c>
      <c r="D1760">
        <v>13</v>
      </c>
      <c r="E1760" s="2">
        <v>17.5</v>
      </c>
      <c r="F1760" s="2">
        <v>-11.66</v>
      </c>
      <c r="G1760" s="2">
        <v>16.27</v>
      </c>
      <c r="H1760" s="2">
        <v>31.69</v>
      </c>
      <c r="I1760" s="2">
        <v>-30.81</v>
      </c>
      <c r="J1760" s="2">
        <v>-1.19</v>
      </c>
      <c r="K1760" s="2">
        <v>2.02</v>
      </c>
      <c r="L1760" s="2">
        <v>2.34</v>
      </c>
      <c r="M1760" s="2">
        <v>0.55000000000000004</v>
      </c>
      <c r="N1760" t="s">
        <v>256</v>
      </c>
      <c r="O1760">
        <v>30</v>
      </c>
    </row>
    <row r="1761" spans="1:15">
      <c r="A1761" s="1">
        <v>46020</v>
      </c>
      <c r="B1761">
        <v>13</v>
      </c>
      <c r="C1761" t="s">
        <v>94</v>
      </c>
      <c r="D1761">
        <v>13</v>
      </c>
      <c r="E1761" s="2">
        <v>18</v>
      </c>
      <c r="F1761" s="2">
        <v>-30.83</v>
      </c>
      <c r="G1761" s="2">
        <v>34.85</v>
      </c>
      <c r="H1761" s="2">
        <v>48.31</v>
      </c>
      <c r="I1761" s="2">
        <v>-37.46</v>
      </c>
      <c r="J1761" s="2">
        <v>-1.19</v>
      </c>
      <c r="K1761" s="2">
        <v>1.98</v>
      </c>
      <c r="L1761" s="2">
        <v>2.31</v>
      </c>
      <c r="M1761" s="2">
        <v>0.5</v>
      </c>
      <c r="N1761" t="s">
        <v>256</v>
      </c>
      <c r="O1761">
        <v>30</v>
      </c>
    </row>
    <row r="1762" spans="1:15">
      <c r="A1762" s="1">
        <v>46020</v>
      </c>
      <c r="B1762">
        <v>13</v>
      </c>
      <c r="C1762" t="s">
        <v>94</v>
      </c>
      <c r="D1762">
        <v>13</v>
      </c>
      <c r="E1762" s="2">
        <v>18.5</v>
      </c>
      <c r="F1762" s="2">
        <v>-35</v>
      </c>
      <c r="G1762" s="2">
        <v>45.49</v>
      </c>
      <c r="H1762" s="2">
        <v>69.59</v>
      </c>
      <c r="I1762" s="2">
        <v>-50.61</v>
      </c>
      <c r="J1762" s="2">
        <v>-1.19</v>
      </c>
      <c r="K1762" s="2">
        <v>1.93</v>
      </c>
      <c r="L1762" s="2">
        <v>2.27</v>
      </c>
      <c r="M1762" s="2">
        <v>0.37</v>
      </c>
      <c r="N1762" t="s">
        <v>256</v>
      </c>
      <c r="O1762">
        <v>30</v>
      </c>
    </row>
    <row r="1763" spans="1:15">
      <c r="A1763" s="1">
        <v>46020</v>
      </c>
      <c r="B1763">
        <v>13</v>
      </c>
      <c r="C1763" t="s">
        <v>94</v>
      </c>
      <c r="D1763">
        <v>13</v>
      </c>
      <c r="E1763" s="2">
        <v>19</v>
      </c>
      <c r="F1763" s="2">
        <v>-139.80000000000001</v>
      </c>
      <c r="G1763" s="2">
        <v>137.05000000000001</v>
      </c>
      <c r="H1763" s="2">
        <v>-36.880000000000003</v>
      </c>
      <c r="I1763" s="2">
        <v>51.6</v>
      </c>
      <c r="J1763" s="2">
        <v>-1.18</v>
      </c>
      <c r="K1763" s="2">
        <v>1.8</v>
      </c>
      <c r="L1763" s="2">
        <v>2.15</v>
      </c>
      <c r="M1763" s="2">
        <v>0.38</v>
      </c>
      <c r="N1763" t="s">
        <v>256</v>
      </c>
      <c r="O1763">
        <v>30</v>
      </c>
    </row>
    <row r="1764" spans="1:15">
      <c r="A1764" s="1">
        <v>46020</v>
      </c>
      <c r="B1764">
        <v>13</v>
      </c>
      <c r="C1764" t="s">
        <v>94</v>
      </c>
      <c r="D1764">
        <v>13</v>
      </c>
      <c r="E1764" s="2">
        <v>19.5</v>
      </c>
      <c r="F1764" s="2">
        <v>-134.29</v>
      </c>
      <c r="G1764" s="2">
        <v>136.82</v>
      </c>
      <c r="H1764" s="2">
        <v>-41.59</v>
      </c>
      <c r="I1764" s="2">
        <v>40.729999999999997</v>
      </c>
      <c r="J1764" s="2">
        <v>-1.24</v>
      </c>
      <c r="K1764" s="2">
        <v>1.65</v>
      </c>
      <c r="L1764" s="2">
        <v>2.06</v>
      </c>
      <c r="M1764" s="2">
        <v>0.4</v>
      </c>
      <c r="N1764" t="s">
        <v>256</v>
      </c>
      <c r="O1764">
        <v>30</v>
      </c>
    </row>
    <row r="1765" spans="1:15">
      <c r="A1765" s="1">
        <v>46020</v>
      </c>
      <c r="B1765">
        <v>13</v>
      </c>
      <c r="C1765" t="s">
        <v>94</v>
      </c>
      <c r="D1765">
        <v>13</v>
      </c>
      <c r="E1765" s="2">
        <v>20</v>
      </c>
      <c r="F1765" s="2">
        <v>-145.46</v>
      </c>
      <c r="G1765" s="2">
        <v>148.19999999999999</v>
      </c>
      <c r="H1765" s="2">
        <v>-47.25</v>
      </c>
      <c r="I1765" s="2">
        <v>39.74</v>
      </c>
      <c r="J1765" s="2">
        <v>-1.3</v>
      </c>
      <c r="K1765" s="2">
        <v>1.55</v>
      </c>
      <c r="L1765" s="2">
        <v>2.02</v>
      </c>
      <c r="M1765" s="2">
        <v>0.45</v>
      </c>
      <c r="N1765" t="s">
        <v>256</v>
      </c>
      <c r="O1765">
        <v>30</v>
      </c>
    </row>
    <row r="1766" spans="1:15">
      <c r="A1766" s="1">
        <v>46020</v>
      </c>
      <c r="B1766">
        <v>13</v>
      </c>
      <c r="C1766" t="s">
        <v>94</v>
      </c>
      <c r="D1766">
        <v>13</v>
      </c>
      <c r="E1766" s="2">
        <v>20.5</v>
      </c>
      <c r="F1766" s="2">
        <v>-166.36</v>
      </c>
      <c r="G1766" s="2">
        <v>169.7</v>
      </c>
      <c r="H1766" s="2">
        <v>-20.36</v>
      </c>
      <c r="I1766" s="2">
        <v>18.11</v>
      </c>
      <c r="J1766" s="2">
        <v>-1.37</v>
      </c>
      <c r="K1766" s="2">
        <v>1.4</v>
      </c>
      <c r="L1766" s="2">
        <v>1.96</v>
      </c>
      <c r="M1766" s="2">
        <v>0.43</v>
      </c>
      <c r="N1766" t="s">
        <v>256</v>
      </c>
      <c r="O1766">
        <v>30</v>
      </c>
    </row>
    <row r="1767" spans="1:15">
      <c r="A1767" s="1">
        <v>46020</v>
      </c>
      <c r="B1767">
        <v>13</v>
      </c>
      <c r="C1767" t="s">
        <v>94</v>
      </c>
      <c r="D1767">
        <v>13</v>
      </c>
      <c r="E1767" s="2">
        <v>21</v>
      </c>
      <c r="F1767" s="2">
        <v>-155.16</v>
      </c>
      <c r="G1767" s="2">
        <v>156.36000000000001</v>
      </c>
      <c r="H1767" s="2">
        <v>-15.06</v>
      </c>
      <c r="I1767" s="2">
        <v>13.93</v>
      </c>
      <c r="J1767" s="2">
        <v>-1.35</v>
      </c>
      <c r="K1767" s="2">
        <v>1.42</v>
      </c>
      <c r="L1767" s="2">
        <v>1.96</v>
      </c>
      <c r="M1767" s="2">
        <v>0.38</v>
      </c>
      <c r="N1767" t="s">
        <v>256</v>
      </c>
      <c r="O1767">
        <v>30</v>
      </c>
    </row>
    <row r="1768" spans="1:15">
      <c r="A1768" s="1">
        <v>46020</v>
      </c>
      <c r="B1768">
        <v>13</v>
      </c>
      <c r="C1768" t="s">
        <v>94</v>
      </c>
      <c r="D1768">
        <v>13</v>
      </c>
      <c r="E1768" s="2">
        <v>21.5</v>
      </c>
      <c r="F1768" s="2">
        <v>-75.52</v>
      </c>
      <c r="G1768" s="2">
        <v>81.180000000000007</v>
      </c>
      <c r="H1768" s="2">
        <v>-19.25</v>
      </c>
      <c r="I1768" s="2">
        <v>34.29</v>
      </c>
      <c r="J1768" s="2">
        <v>-1.32</v>
      </c>
      <c r="K1768" s="2">
        <v>1.51</v>
      </c>
      <c r="L1768" s="2">
        <v>2.0099999999999998</v>
      </c>
      <c r="M1768" s="2">
        <v>0.3</v>
      </c>
      <c r="N1768" t="s">
        <v>256</v>
      </c>
      <c r="O1768">
        <v>30</v>
      </c>
    </row>
    <row r="1769" spans="1:15">
      <c r="A1769" s="1">
        <v>46020</v>
      </c>
      <c r="B1769">
        <v>13</v>
      </c>
      <c r="C1769" t="s">
        <v>94</v>
      </c>
      <c r="D1769">
        <v>13</v>
      </c>
      <c r="E1769" s="2">
        <v>22</v>
      </c>
      <c r="F1769" s="2">
        <v>-2.63</v>
      </c>
      <c r="G1769" s="2">
        <v>3.91</v>
      </c>
      <c r="H1769" s="2">
        <v>-99.9</v>
      </c>
      <c r="I1769" s="2">
        <v>118.16</v>
      </c>
      <c r="J1769" s="2">
        <v>-1.33</v>
      </c>
      <c r="K1769" s="2">
        <v>1.46</v>
      </c>
      <c r="L1769" s="2">
        <v>1.97</v>
      </c>
      <c r="M1769" s="2">
        <v>0.28000000000000003</v>
      </c>
      <c r="N1769" t="s">
        <v>256</v>
      </c>
      <c r="O1769">
        <v>30</v>
      </c>
    </row>
    <row r="1770" spans="1:15">
      <c r="A1770" s="1">
        <v>46020</v>
      </c>
      <c r="B1770">
        <v>13</v>
      </c>
      <c r="C1770" t="s">
        <v>94</v>
      </c>
      <c r="D1770">
        <v>13</v>
      </c>
      <c r="E1770" s="2">
        <v>22.5</v>
      </c>
      <c r="F1770" s="2">
        <v>-38.47</v>
      </c>
      <c r="G1770" s="2">
        <v>40.01</v>
      </c>
      <c r="H1770" s="2">
        <v>-50.63</v>
      </c>
      <c r="I1770" s="2">
        <v>61.16</v>
      </c>
      <c r="J1770" s="2">
        <v>-1.59</v>
      </c>
      <c r="K1770" s="2">
        <v>1.29</v>
      </c>
      <c r="L1770" s="2">
        <v>2.0499999999999998</v>
      </c>
      <c r="M1770" s="2">
        <v>0.26</v>
      </c>
      <c r="N1770" t="s">
        <v>256</v>
      </c>
      <c r="O1770">
        <v>30</v>
      </c>
    </row>
    <row r="1771" spans="1:15">
      <c r="A1771" s="1">
        <v>46020</v>
      </c>
      <c r="B1771">
        <v>13</v>
      </c>
      <c r="C1771" t="s">
        <v>94</v>
      </c>
      <c r="D1771">
        <v>13</v>
      </c>
      <c r="E1771" s="2">
        <v>23</v>
      </c>
      <c r="F1771" s="2">
        <v>-53.76</v>
      </c>
      <c r="G1771" s="2">
        <v>55.11</v>
      </c>
      <c r="H1771" s="2">
        <v>-7.78</v>
      </c>
      <c r="I1771" s="2">
        <v>15.52</v>
      </c>
      <c r="J1771" s="2">
        <v>-1.94</v>
      </c>
      <c r="K1771" s="2">
        <v>0.88</v>
      </c>
      <c r="L1771" s="2">
        <v>2.13</v>
      </c>
      <c r="M1771" s="2">
        <v>0.28999999999999998</v>
      </c>
      <c r="N1771" t="s">
        <v>256</v>
      </c>
      <c r="O1771">
        <v>30</v>
      </c>
    </row>
    <row r="1772" spans="1:15">
      <c r="A1772" s="1">
        <v>46020</v>
      </c>
      <c r="B1772">
        <v>13</v>
      </c>
      <c r="C1772" t="s">
        <v>94</v>
      </c>
      <c r="D1772">
        <v>13</v>
      </c>
      <c r="E1772" s="2">
        <v>23.5</v>
      </c>
      <c r="F1772" s="2">
        <v>-62.59</v>
      </c>
      <c r="G1772" s="2">
        <v>64.12</v>
      </c>
      <c r="H1772" s="2">
        <v>13.89</v>
      </c>
      <c r="I1772" s="2">
        <v>-12.25</v>
      </c>
      <c r="J1772" s="2">
        <v>-2.09</v>
      </c>
      <c r="K1772" s="2">
        <v>0.59</v>
      </c>
      <c r="L1772" s="2">
        <v>2.17</v>
      </c>
      <c r="M1772" s="2">
        <v>0.28999999999999998</v>
      </c>
      <c r="N1772" t="s">
        <v>256</v>
      </c>
      <c r="O1772">
        <v>30</v>
      </c>
    </row>
    <row r="1773" spans="1:15">
      <c r="A1773" s="1">
        <v>46020</v>
      </c>
      <c r="B1773">
        <v>13</v>
      </c>
      <c r="C1773" t="s">
        <v>94</v>
      </c>
      <c r="D1773">
        <v>13</v>
      </c>
      <c r="E1773" s="2">
        <v>24</v>
      </c>
      <c r="F1773" s="2">
        <v>-77.739999999999995</v>
      </c>
      <c r="G1773" s="2">
        <v>79.45</v>
      </c>
      <c r="H1773" s="2">
        <v>16.39</v>
      </c>
      <c r="I1773" s="2">
        <v>-17.86</v>
      </c>
      <c r="J1773" s="2">
        <v>-1.98</v>
      </c>
      <c r="K1773" s="2">
        <v>0.37</v>
      </c>
      <c r="L1773" s="2">
        <v>2.02</v>
      </c>
      <c r="M1773" s="2">
        <v>0.28000000000000003</v>
      </c>
      <c r="N1773" t="s">
        <v>256</v>
      </c>
      <c r="O1773">
        <v>30</v>
      </c>
    </row>
    <row r="1774" spans="1:15">
      <c r="A1774" s="1">
        <v>46020</v>
      </c>
      <c r="B1774">
        <v>13</v>
      </c>
      <c r="C1774" t="s">
        <v>94</v>
      </c>
      <c r="D1774">
        <v>13</v>
      </c>
      <c r="E1774" s="2">
        <v>24.5</v>
      </c>
      <c r="F1774" s="2">
        <v>-102.97</v>
      </c>
      <c r="G1774" s="2">
        <v>94.54</v>
      </c>
      <c r="H1774" s="2">
        <v>51.06</v>
      </c>
      <c r="I1774" s="2">
        <v>-21.9</v>
      </c>
      <c r="J1774" s="2">
        <v>-1.68</v>
      </c>
      <c r="K1774" s="2">
        <v>0.23</v>
      </c>
      <c r="L1774" s="2">
        <v>1.69</v>
      </c>
      <c r="M1774" s="2">
        <v>0.26</v>
      </c>
      <c r="N1774" t="s">
        <v>256</v>
      </c>
      <c r="O1774">
        <v>30</v>
      </c>
    </row>
    <row r="1775" spans="1:15">
      <c r="A1775" s="1">
        <v>46020</v>
      </c>
      <c r="B1775">
        <v>13</v>
      </c>
      <c r="C1775" t="s">
        <v>94</v>
      </c>
      <c r="D1775">
        <v>13</v>
      </c>
      <c r="E1775" s="2">
        <v>25</v>
      </c>
      <c r="F1775" s="2">
        <v>-110.13</v>
      </c>
      <c r="G1775" s="2">
        <v>116.27</v>
      </c>
      <c r="H1775" s="2">
        <v>-37.03</v>
      </c>
      <c r="I1775" s="2">
        <v>54.46</v>
      </c>
      <c r="J1775" s="2">
        <v>-1.1399999999999999</v>
      </c>
      <c r="K1775" s="2">
        <v>0.85</v>
      </c>
      <c r="L1775" s="2">
        <v>1.42</v>
      </c>
      <c r="M1775" s="2">
        <v>0.22</v>
      </c>
      <c r="N1775" t="s">
        <v>256</v>
      </c>
      <c r="O1775">
        <v>30</v>
      </c>
    </row>
    <row r="1776" spans="1:15">
      <c r="A1776" s="1">
        <v>46020</v>
      </c>
      <c r="B1776">
        <v>13</v>
      </c>
      <c r="C1776" t="s">
        <v>94</v>
      </c>
      <c r="D1776">
        <v>13</v>
      </c>
      <c r="E1776" s="2">
        <v>25.5</v>
      </c>
      <c r="F1776" s="2">
        <v>-102.43</v>
      </c>
      <c r="G1776" s="2">
        <v>103.78</v>
      </c>
      <c r="H1776" s="2">
        <v>-45.95</v>
      </c>
      <c r="I1776" s="2">
        <v>41.06</v>
      </c>
      <c r="J1776" s="2">
        <v>-1.2</v>
      </c>
      <c r="K1776" s="2">
        <v>0.65</v>
      </c>
      <c r="L1776" s="2">
        <v>1.36</v>
      </c>
      <c r="M1776" s="2">
        <v>0.18</v>
      </c>
      <c r="N1776" t="s">
        <v>256</v>
      </c>
      <c r="O1776">
        <v>30</v>
      </c>
    </row>
    <row r="1777" spans="1:15">
      <c r="A1777" s="1">
        <v>46020</v>
      </c>
      <c r="B1777">
        <v>13</v>
      </c>
      <c r="C1777" t="s">
        <v>94</v>
      </c>
      <c r="D1777">
        <v>13</v>
      </c>
      <c r="E1777" s="2">
        <v>26</v>
      </c>
      <c r="F1777" s="2">
        <v>-56.81</v>
      </c>
      <c r="G1777" s="2">
        <v>58.52</v>
      </c>
      <c r="H1777" s="2">
        <v>-34.72</v>
      </c>
      <c r="I1777" s="2">
        <v>30.77</v>
      </c>
      <c r="J1777" s="2">
        <v>-1.43</v>
      </c>
      <c r="K1777" s="2">
        <v>0.43</v>
      </c>
      <c r="L1777" s="2">
        <v>1.49</v>
      </c>
      <c r="M1777" s="2">
        <v>0.16</v>
      </c>
      <c r="N1777" t="s">
        <v>256</v>
      </c>
      <c r="O1777">
        <v>30</v>
      </c>
    </row>
    <row r="1778" spans="1:15">
      <c r="A1778" s="1">
        <v>46020</v>
      </c>
      <c r="B1778">
        <v>13</v>
      </c>
      <c r="C1778" t="s">
        <v>94</v>
      </c>
      <c r="D1778">
        <v>13</v>
      </c>
      <c r="E1778" s="2">
        <v>26.5</v>
      </c>
      <c r="F1778" s="2">
        <v>-7.39</v>
      </c>
      <c r="G1778" s="2">
        <v>7.69</v>
      </c>
      <c r="H1778" s="2">
        <v>4.66</v>
      </c>
      <c r="I1778" s="2">
        <v>-5.0199999999999996</v>
      </c>
      <c r="J1778" s="2">
        <v>-1.32</v>
      </c>
      <c r="K1778" s="2">
        <v>0.3</v>
      </c>
      <c r="L1778" s="2">
        <v>1.35</v>
      </c>
      <c r="M1778" s="2">
        <v>0.09</v>
      </c>
      <c r="N1778" t="s">
        <v>256</v>
      </c>
      <c r="O1778">
        <v>30</v>
      </c>
    </row>
    <row r="1779" spans="1:15">
      <c r="A1779" s="1">
        <v>46020</v>
      </c>
      <c r="B1779">
        <v>13</v>
      </c>
      <c r="C1779" t="s">
        <v>94</v>
      </c>
      <c r="D1779">
        <v>13</v>
      </c>
      <c r="E1779" s="2">
        <v>27</v>
      </c>
      <c r="F1779" s="2">
        <v>45.13</v>
      </c>
      <c r="G1779" s="2">
        <v>-44.45</v>
      </c>
      <c r="H1779" s="2">
        <v>51.95</v>
      </c>
      <c r="I1779" s="2">
        <v>-49.88</v>
      </c>
      <c r="J1779" s="2">
        <v>-0.73</v>
      </c>
      <c r="K1779" s="2">
        <v>0.18</v>
      </c>
      <c r="L1779" s="2">
        <v>0.75</v>
      </c>
      <c r="M1779" s="2">
        <v>0.06</v>
      </c>
      <c r="N1779" t="s">
        <v>256</v>
      </c>
      <c r="O1779">
        <v>30</v>
      </c>
    </row>
    <row r="1780" spans="1:15">
      <c r="A1780" s="1">
        <v>46020</v>
      </c>
      <c r="B1780">
        <v>13</v>
      </c>
      <c r="C1780" t="s">
        <v>99</v>
      </c>
      <c r="D1780">
        <v>13</v>
      </c>
      <c r="E1780" s="2">
        <v>0.5</v>
      </c>
      <c r="F1780" s="2">
        <v>-381.58</v>
      </c>
      <c r="G1780" s="2">
        <v>390.26</v>
      </c>
      <c r="H1780" s="2">
        <v>-131.33000000000001</v>
      </c>
      <c r="I1780" s="2">
        <v>138.9</v>
      </c>
      <c r="J1780" s="2">
        <v>1.52</v>
      </c>
      <c r="K1780" s="2">
        <v>-6.82</v>
      </c>
      <c r="L1780" s="2">
        <v>6.98</v>
      </c>
      <c r="M1780" s="2">
        <v>-1.64</v>
      </c>
      <c r="N1780" t="s">
        <v>256</v>
      </c>
      <c r="O1780">
        <v>56</v>
      </c>
    </row>
    <row r="1781" spans="1:15">
      <c r="A1781" s="1">
        <v>46020</v>
      </c>
      <c r="B1781">
        <v>13</v>
      </c>
      <c r="C1781" t="s">
        <v>99</v>
      </c>
      <c r="D1781">
        <v>13</v>
      </c>
      <c r="E1781" s="2">
        <v>1</v>
      </c>
      <c r="F1781" s="2">
        <v>-380.89</v>
      </c>
      <c r="G1781" s="2">
        <v>389.59</v>
      </c>
      <c r="H1781" s="2">
        <v>-129.69999999999999</v>
      </c>
      <c r="I1781" s="2">
        <v>139.13</v>
      </c>
      <c r="J1781" s="2">
        <v>2.29</v>
      </c>
      <c r="K1781" s="2">
        <v>-5.86</v>
      </c>
      <c r="L1781" s="2">
        <v>6.29</v>
      </c>
      <c r="M1781" s="2">
        <v>-1.57</v>
      </c>
      <c r="N1781" t="s">
        <v>256</v>
      </c>
      <c r="O1781">
        <v>56</v>
      </c>
    </row>
    <row r="1782" spans="1:15">
      <c r="A1782" s="1">
        <v>46020</v>
      </c>
      <c r="B1782">
        <v>13</v>
      </c>
      <c r="C1782" t="s">
        <v>99</v>
      </c>
      <c r="D1782">
        <v>13</v>
      </c>
      <c r="E1782" s="2">
        <v>1.5</v>
      </c>
      <c r="F1782" s="2">
        <v>-375.73</v>
      </c>
      <c r="G1782" s="2">
        <v>378.76</v>
      </c>
      <c r="H1782" s="2">
        <v>-151.11000000000001</v>
      </c>
      <c r="I1782" s="2">
        <v>141.94</v>
      </c>
      <c r="J1782" s="2">
        <v>3.15</v>
      </c>
      <c r="K1782" s="2">
        <v>-4.91</v>
      </c>
      <c r="L1782" s="2">
        <v>5.83</v>
      </c>
      <c r="M1782" s="2">
        <v>-1.28</v>
      </c>
      <c r="N1782" t="s">
        <v>256</v>
      </c>
      <c r="O1782">
        <v>56</v>
      </c>
    </row>
    <row r="1783" spans="1:15">
      <c r="A1783" s="1">
        <v>46020</v>
      </c>
      <c r="B1783">
        <v>13</v>
      </c>
      <c r="C1783" t="s">
        <v>99</v>
      </c>
      <c r="D1783">
        <v>13</v>
      </c>
      <c r="E1783" s="2">
        <v>2</v>
      </c>
      <c r="F1783" s="2">
        <v>-332.51</v>
      </c>
      <c r="G1783" s="2">
        <v>339.2</v>
      </c>
      <c r="H1783" s="2">
        <v>-211.87</v>
      </c>
      <c r="I1783" s="2">
        <v>208.33</v>
      </c>
      <c r="J1783" s="2">
        <v>3.31</v>
      </c>
      <c r="K1783" s="2">
        <v>-4.57</v>
      </c>
      <c r="L1783" s="2">
        <v>5.65</v>
      </c>
      <c r="M1783" s="2">
        <v>-1.29</v>
      </c>
      <c r="N1783" t="s">
        <v>256</v>
      </c>
      <c r="O1783">
        <v>56</v>
      </c>
    </row>
    <row r="1784" spans="1:15">
      <c r="A1784" s="1">
        <v>46020</v>
      </c>
      <c r="B1784">
        <v>13</v>
      </c>
      <c r="C1784" t="s">
        <v>99</v>
      </c>
      <c r="D1784">
        <v>13</v>
      </c>
      <c r="E1784" s="2">
        <v>2.5</v>
      </c>
      <c r="F1784" s="2">
        <v>-307.37</v>
      </c>
      <c r="G1784" s="2">
        <v>313.31</v>
      </c>
      <c r="H1784" s="2">
        <v>-195.39</v>
      </c>
      <c r="I1784" s="2">
        <v>197.76</v>
      </c>
      <c r="J1784" s="2">
        <v>3.39</v>
      </c>
      <c r="K1784" s="2">
        <v>-4.49</v>
      </c>
      <c r="L1784" s="2">
        <v>5.63</v>
      </c>
      <c r="M1784" s="2">
        <v>-1.24</v>
      </c>
      <c r="N1784" t="s">
        <v>256</v>
      </c>
      <c r="O1784">
        <v>56</v>
      </c>
    </row>
    <row r="1785" spans="1:15">
      <c r="A1785" s="1">
        <v>46020</v>
      </c>
      <c r="B1785">
        <v>13</v>
      </c>
      <c r="C1785" t="s">
        <v>99</v>
      </c>
      <c r="D1785">
        <v>13</v>
      </c>
      <c r="E1785" s="2">
        <v>3</v>
      </c>
      <c r="F1785" s="2">
        <v>-269.31</v>
      </c>
      <c r="G1785" s="2">
        <v>274.91000000000003</v>
      </c>
      <c r="H1785" s="2">
        <v>-138.69</v>
      </c>
      <c r="I1785" s="2">
        <v>134.88999999999999</v>
      </c>
      <c r="J1785" s="2">
        <v>3.41</v>
      </c>
      <c r="K1785" s="2">
        <v>-4.66</v>
      </c>
      <c r="L1785" s="2">
        <v>5.77</v>
      </c>
      <c r="M1785" s="2">
        <v>-1.2</v>
      </c>
      <c r="N1785" t="s">
        <v>256</v>
      </c>
      <c r="O1785">
        <v>56</v>
      </c>
    </row>
    <row r="1786" spans="1:15">
      <c r="A1786" s="1">
        <v>46020</v>
      </c>
      <c r="B1786">
        <v>13</v>
      </c>
      <c r="C1786" t="s">
        <v>99</v>
      </c>
      <c r="D1786">
        <v>13</v>
      </c>
      <c r="E1786" s="2">
        <v>3.5</v>
      </c>
      <c r="F1786" s="2">
        <v>-205.13</v>
      </c>
      <c r="G1786" s="2">
        <v>210.82</v>
      </c>
      <c r="H1786" s="2">
        <v>-76.739999999999995</v>
      </c>
      <c r="I1786" s="2">
        <v>72.150000000000006</v>
      </c>
      <c r="J1786" s="2">
        <v>3.47</v>
      </c>
      <c r="K1786" s="2">
        <v>-4.63</v>
      </c>
      <c r="L1786" s="2">
        <v>5.79</v>
      </c>
      <c r="M1786" s="2">
        <v>-1.18</v>
      </c>
      <c r="N1786" t="s">
        <v>256</v>
      </c>
      <c r="O1786">
        <v>56</v>
      </c>
    </row>
    <row r="1787" spans="1:15">
      <c r="A1787" s="1">
        <v>46020</v>
      </c>
      <c r="B1787">
        <v>13</v>
      </c>
      <c r="C1787" t="s">
        <v>99</v>
      </c>
      <c r="D1787">
        <v>13</v>
      </c>
      <c r="E1787" s="2">
        <v>4</v>
      </c>
      <c r="F1787" s="2">
        <v>-149.30000000000001</v>
      </c>
      <c r="G1787" s="2">
        <v>156.41999999999999</v>
      </c>
      <c r="H1787" s="2">
        <v>-67.040000000000006</v>
      </c>
      <c r="I1787" s="2">
        <v>62.92</v>
      </c>
      <c r="J1787" s="2">
        <v>3.66</v>
      </c>
      <c r="K1787" s="2">
        <v>-4.33</v>
      </c>
      <c r="L1787" s="2">
        <v>5.67</v>
      </c>
      <c r="M1787" s="2">
        <v>-1.24</v>
      </c>
      <c r="N1787" t="s">
        <v>256</v>
      </c>
      <c r="O1787">
        <v>56</v>
      </c>
    </row>
    <row r="1788" spans="1:15">
      <c r="A1788" s="1">
        <v>46020</v>
      </c>
      <c r="B1788">
        <v>13</v>
      </c>
      <c r="C1788" t="s">
        <v>99</v>
      </c>
      <c r="D1788">
        <v>13</v>
      </c>
      <c r="E1788" s="2">
        <v>4.5</v>
      </c>
      <c r="F1788" s="2">
        <v>-100.95</v>
      </c>
      <c r="G1788" s="2">
        <v>105.12</v>
      </c>
      <c r="H1788" s="2">
        <v>-118.57</v>
      </c>
      <c r="I1788" s="2">
        <v>119.99</v>
      </c>
      <c r="J1788" s="2">
        <v>3.82</v>
      </c>
      <c r="K1788" s="2">
        <v>-4.2699999999999996</v>
      </c>
      <c r="L1788" s="2">
        <v>5.73</v>
      </c>
      <c r="M1788" s="2">
        <v>-1.23</v>
      </c>
      <c r="N1788" t="s">
        <v>256</v>
      </c>
      <c r="O1788">
        <v>56</v>
      </c>
    </row>
    <row r="1789" spans="1:15">
      <c r="A1789" s="1">
        <v>46020</v>
      </c>
      <c r="B1789">
        <v>13</v>
      </c>
      <c r="C1789" t="s">
        <v>99</v>
      </c>
      <c r="D1789">
        <v>13</v>
      </c>
      <c r="E1789" s="2">
        <v>5</v>
      </c>
      <c r="F1789" s="2">
        <v>-26.19</v>
      </c>
      <c r="G1789" s="2">
        <v>31.84</v>
      </c>
      <c r="H1789" s="2">
        <v>-159.80000000000001</v>
      </c>
      <c r="I1789" s="2">
        <v>150.16</v>
      </c>
      <c r="J1789" s="2">
        <v>3.99</v>
      </c>
      <c r="K1789" s="2">
        <v>-4.34</v>
      </c>
      <c r="L1789" s="2">
        <v>5.9</v>
      </c>
      <c r="M1789" s="2">
        <v>-1.1200000000000001</v>
      </c>
      <c r="N1789" t="s">
        <v>256</v>
      </c>
      <c r="O1789">
        <v>56</v>
      </c>
    </row>
    <row r="1790" spans="1:15">
      <c r="A1790" s="1">
        <v>46020</v>
      </c>
      <c r="B1790">
        <v>13</v>
      </c>
      <c r="C1790" t="s">
        <v>99</v>
      </c>
      <c r="D1790">
        <v>13</v>
      </c>
      <c r="E1790" s="2">
        <v>5.5</v>
      </c>
      <c r="F1790" s="2">
        <v>41.48</v>
      </c>
      <c r="G1790" s="2">
        <v>-34.049999999999997</v>
      </c>
      <c r="H1790" s="2">
        <v>-151.88</v>
      </c>
      <c r="I1790" s="2">
        <v>152.21</v>
      </c>
      <c r="J1790" s="2">
        <v>4.25</v>
      </c>
      <c r="K1790" s="2">
        <v>-4.41</v>
      </c>
      <c r="L1790" s="2">
        <v>6.13</v>
      </c>
      <c r="M1790" s="2">
        <v>-1.1000000000000001</v>
      </c>
      <c r="N1790" t="s">
        <v>256</v>
      </c>
      <c r="O1790">
        <v>56</v>
      </c>
    </row>
    <row r="1791" spans="1:15">
      <c r="A1791" s="1">
        <v>46020</v>
      </c>
      <c r="B1791">
        <v>13</v>
      </c>
      <c r="C1791" t="s">
        <v>99</v>
      </c>
      <c r="D1791">
        <v>13</v>
      </c>
      <c r="E1791" s="2">
        <v>6</v>
      </c>
      <c r="F1791" s="2">
        <v>77.03</v>
      </c>
      <c r="G1791" s="2">
        <v>-70.58</v>
      </c>
      <c r="H1791" s="2">
        <v>-188.81</v>
      </c>
      <c r="I1791" s="2">
        <v>181.18</v>
      </c>
      <c r="J1791" s="2">
        <v>4.51</v>
      </c>
      <c r="K1791" s="2">
        <v>-4.5199999999999996</v>
      </c>
      <c r="L1791" s="2">
        <v>6.39</v>
      </c>
      <c r="M1791" s="2">
        <v>-1.0900000000000001</v>
      </c>
      <c r="N1791" t="s">
        <v>256</v>
      </c>
      <c r="O1791">
        <v>56</v>
      </c>
    </row>
    <row r="1792" spans="1:15">
      <c r="A1792" s="1">
        <v>46020</v>
      </c>
      <c r="B1792">
        <v>13</v>
      </c>
      <c r="C1792" t="s">
        <v>99</v>
      </c>
      <c r="D1792">
        <v>13</v>
      </c>
      <c r="E1792" s="2">
        <v>6.5</v>
      </c>
      <c r="F1792" s="2">
        <v>180.94</v>
      </c>
      <c r="G1792" s="2">
        <v>-174.84</v>
      </c>
      <c r="H1792" s="2">
        <v>-179.48</v>
      </c>
      <c r="I1792" s="2">
        <v>172.88</v>
      </c>
      <c r="J1792" s="2">
        <v>4.71</v>
      </c>
      <c r="K1792" s="2">
        <v>-4.46</v>
      </c>
      <c r="L1792" s="2">
        <v>6.49</v>
      </c>
      <c r="M1792" s="2">
        <v>-1.02</v>
      </c>
      <c r="N1792" t="s">
        <v>256</v>
      </c>
      <c r="O1792">
        <v>56</v>
      </c>
    </row>
    <row r="1793" spans="1:15">
      <c r="A1793" s="1">
        <v>46020</v>
      </c>
      <c r="B1793">
        <v>13</v>
      </c>
      <c r="C1793" t="s">
        <v>99</v>
      </c>
      <c r="D1793">
        <v>13</v>
      </c>
      <c r="E1793" s="2">
        <v>7</v>
      </c>
      <c r="F1793" s="2">
        <v>284.11</v>
      </c>
      <c r="G1793" s="2">
        <v>-277.89999999999998</v>
      </c>
      <c r="H1793" s="2">
        <v>-186.09</v>
      </c>
      <c r="I1793" s="2">
        <v>175.76</v>
      </c>
      <c r="J1793" s="2">
        <v>4.9400000000000004</v>
      </c>
      <c r="K1793" s="2">
        <v>-4.3</v>
      </c>
      <c r="L1793" s="2">
        <v>6.55</v>
      </c>
      <c r="M1793" s="2">
        <v>-1.01</v>
      </c>
      <c r="N1793" t="s">
        <v>256</v>
      </c>
      <c r="O1793">
        <v>56</v>
      </c>
    </row>
    <row r="1794" spans="1:15">
      <c r="A1794" s="1">
        <v>46020</v>
      </c>
      <c r="B1794">
        <v>13</v>
      </c>
      <c r="C1794" t="s">
        <v>99</v>
      </c>
      <c r="D1794">
        <v>13</v>
      </c>
      <c r="E1794" s="2">
        <v>7.5</v>
      </c>
      <c r="F1794" s="2">
        <v>308.85000000000002</v>
      </c>
      <c r="G1794" s="2">
        <v>-295.06</v>
      </c>
      <c r="H1794" s="2">
        <v>-169.64</v>
      </c>
      <c r="I1794" s="2">
        <v>171.31</v>
      </c>
      <c r="J1794" s="2">
        <v>5.0999999999999996</v>
      </c>
      <c r="K1794" s="2">
        <v>-4.1399999999999997</v>
      </c>
      <c r="L1794" s="2">
        <v>6.57</v>
      </c>
      <c r="M1794" s="2">
        <v>-0.96</v>
      </c>
      <c r="N1794" t="s">
        <v>256</v>
      </c>
      <c r="O1794">
        <v>56</v>
      </c>
    </row>
    <row r="1795" spans="1:15">
      <c r="A1795" s="1">
        <v>46020</v>
      </c>
      <c r="B1795">
        <v>13</v>
      </c>
      <c r="C1795" t="s">
        <v>99</v>
      </c>
      <c r="D1795">
        <v>13</v>
      </c>
      <c r="E1795" s="2">
        <v>8</v>
      </c>
      <c r="F1795" s="2">
        <v>276.20999999999998</v>
      </c>
      <c r="G1795" s="2">
        <v>-273.41000000000003</v>
      </c>
      <c r="H1795" s="2">
        <v>-71</v>
      </c>
      <c r="I1795" s="2">
        <v>79.98</v>
      </c>
      <c r="J1795" s="2">
        <v>5.36</v>
      </c>
      <c r="K1795" s="2">
        <v>-4.3</v>
      </c>
      <c r="L1795" s="2">
        <v>6.87</v>
      </c>
      <c r="M1795" s="2">
        <v>-0.86</v>
      </c>
      <c r="N1795" t="s">
        <v>256</v>
      </c>
      <c r="O1795">
        <v>56</v>
      </c>
    </row>
    <row r="1796" spans="1:15">
      <c r="A1796" s="1">
        <v>46020</v>
      </c>
      <c r="B1796">
        <v>13</v>
      </c>
      <c r="C1796" t="s">
        <v>99</v>
      </c>
      <c r="D1796">
        <v>13</v>
      </c>
      <c r="E1796" s="2">
        <v>8.5</v>
      </c>
      <c r="F1796" s="2">
        <v>339.22</v>
      </c>
      <c r="G1796" s="2">
        <v>-330.14</v>
      </c>
      <c r="H1796" s="2">
        <v>-13.05</v>
      </c>
      <c r="I1796" s="2">
        <v>16.02</v>
      </c>
      <c r="J1796" s="2">
        <v>5.61</v>
      </c>
      <c r="K1796" s="2">
        <v>-4.41</v>
      </c>
      <c r="L1796" s="2">
        <v>7.13</v>
      </c>
      <c r="M1796" s="2">
        <v>-0.88</v>
      </c>
      <c r="N1796" t="s">
        <v>256</v>
      </c>
      <c r="O1796">
        <v>56</v>
      </c>
    </row>
    <row r="1797" spans="1:15">
      <c r="A1797" s="1">
        <v>46020</v>
      </c>
      <c r="B1797">
        <v>13</v>
      </c>
      <c r="C1797" t="s">
        <v>99</v>
      </c>
      <c r="D1797">
        <v>13</v>
      </c>
      <c r="E1797" s="2">
        <v>9</v>
      </c>
      <c r="F1797" s="2">
        <v>326.47000000000003</v>
      </c>
      <c r="G1797" s="2">
        <v>-318.45999999999998</v>
      </c>
      <c r="H1797" s="2">
        <v>30.09</v>
      </c>
      <c r="I1797" s="2">
        <v>-24.35</v>
      </c>
      <c r="J1797" s="2">
        <v>5.71</v>
      </c>
      <c r="K1797" s="2">
        <v>-4.6500000000000004</v>
      </c>
      <c r="L1797" s="2">
        <v>7.37</v>
      </c>
      <c r="M1797" s="2">
        <v>-0.9</v>
      </c>
      <c r="N1797" t="s">
        <v>256</v>
      </c>
      <c r="O1797">
        <v>56</v>
      </c>
    </row>
    <row r="1798" spans="1:15">
      <c r="A1798" s="1">
        <v>46020</v>
      </c>
      <c r="B1798">
        <v>13</v>
      </c>
      <c r="C1798" t="s">
        <v>99</v>
      </c>
      <c r="D1798">
        <v>13</v>
      </c>
      <c r="E1798" s="2">
        <v>9.5</v>
      </c>
      <c r="F1798" s="2">
        <v>216.77</v>
      </c>
      <c r="G1798" s="2">
        <v>-209.51</v>
      </c>
      <c r="H1798" s="2">
        <v>105.09</v>
      </c>
      <c r="I1798" s="2">
        <v>-119.4</v>
      </c>
      <c r="J1798" s="2">
        <v>5.99</v>
      </c>
      <c r="K1798" s="2">
        <v>-5.37</v>
      </c>
      <c r="L1798" s="2">
        <v>8.0399999999999991</v>
      </c>
      <c r="M1798" s="2">
        <v>-0.81</v>
      </c>
      <c r="N1798" t="s">
        <v>256</v>
      </c>
      <c r="O1798">
        <v>56</v>
      </c>
    </row>
    <row r="1799" spans="1:15">
      <c r="A1799" s="1">
        <v>46020</v>
      </c>
      <c r="B1799">
        <v>13</v>
      </c>
      <c r="C1799" t="s">
        <v>99</v>
      </c>
      <c r="D1799">
        <v>13</v>
      </c>
      <c r="E1799" s="2">
        <v>10</v>
      </c>
      <c r="F1799" s="2">
        <v>76.709999999999994</v>
      </c>
      <c r="G1799" s="2">
        <v>-58.56</v>
      </c>
      <c r="H1799" s="2">
        <v>148.49</v>
      </c>
      <c r="I1799" s="2">
        <v>-144.15</v>
      </c>
      <c r="J1799" s="2">
        <v>6.39</v>
      </c>
      <c r="K1799" s="2">
        <v>-5.51</v>
      </c>
      <c r="L1799" s="2">
        <v>8.43</v>
      </c>
      <c r="M1799" s="2">
        <v>-0.79</v>
      </c>
      <c r="N1799" t="s">
        <v>256</v>
      </c>
      <c r="O1799">
        <v>56</v>
      </c>
    </row>
    <row r="1800" spans="1:15">
      <c r="A1800" s="1">
        <v>46020</v>
      </c>
      <c r="B1800">
        <v>13</v>
      </c>
      <c r="C1800" t="s">
        <v>99</v>
      </c>
      <c r="D1800">
        <v>13</v>
      </c>
      <c r="E1800" s="2">
        <v>10.5</v>
      </c>
      <c r="F1800" s="2">
        <v>93.28</v>
      </c>
      <c r="G1800" s="2">
        <v>-86.54</v>
      </c>
      <c r="H1800" s="2">
        <v>72.17</v>
      </c>
      <c r="I1800" s="2">
        <v>-74.23</v>
      </c>
      <c r="J1800" s="2">
        <v>6.72</v>
      </c>
      <c r="K1800" s="2">
        <v>-5.74</v>
      </c>
      <c r="L1800" s="2">
        <v>8.84</v>
      </c>
      <c r="M1800" s="2">
        <v>-0.79</v>
      </c>
      <c r="N1800" t="s">
        <v>256</v>
      </c>
      <c r="O1800">
        <v>56</v>
      </c>
    </row>
    <row r="1801" spans="1:15">
      <c r="A1801" s="1">
        <v>46020</v>
      </c>
      <c r="B1801">
        <v>13</v>
      </c>
      <c r="C1801" t="s">
        <v>99</v>
      </c>
      <c r="D1801">
        <v>13</v>
      </c>
      <c r="E1801" s="2">
        <v>11</v>
      </c>
      <c r="F1801" s="2">
        <v>25.88</v>
      </c>
      <c r="G1801" s="2">
        <v>-16.23</v>
      </c>
      <c r="H1801" s="2">
        <v>10.6</v>
      </c>
      <c r="I1801" s="2">
        <v>-32.61</v>
      </c>
      <c r="J1801" s="2">
        <v>7.06</v>
      </c>
      <c r="K1801" s="2">
        <v>-5.87</v>
      </c>
      <c r="L1801" s="2">
        <v>9.18</v>
      </c>
      <c r="M1801" s="2">
        <v>-0.77</v>
      </c>
      <c r="N1801" t="s">
        <v>256</v>
      </c>
      <c r="O1801">
        <v>56</v>
      </c>
    </row>
    <row r="1802" spans="1:15">
      <c r="A1802" s="1">
        <v>46020</v>
      </c>
      <c r="B1802">
        <v>13</v>
      </c>
      <c r="C1802" t="s">
        <v>99</v>
      </c>
      <c r="D1802">
        <v>13</v>
      </c>
      <c r="E1802" s="2">
        <v>11.5</v>
      </c>
      <c r="F1802" s="2">
        <v>-52.46</v>
      </c>
      <c r="G1802" s="2">
        <v>58.57</v>
      </c>
      <c r="H1802" s="2">
        <v>11.37</v>
      </c>
      <c r="I1802" s="2">
        <v>-14.4</v>
      </c>
      <c r="J1802" s="2">
        <v>7.37</v>
      </c>
      <c r="K1802" s="2">
        <v>-6.32</v>
      </c>
      <c r="L1802" s="2">
        <v>9.7100000000000009</v>
      </c>
      <c r="M1802" s="2">
        <v>-0.56000000000000005</v>
      </c>
      <c r="N1802" t="s">
        <v>256</v>
      </c>
      <c r="O1802">
        <v>56</v>
      </c>
    </row>
    <row r="1803" spans="1:15">
      <c r="A1803" s="1">
        <v>46020</v>
      </c>
      <c r="B1803">
        <v>13</v>
      </c>
      <c r="C1803" t="s">
        <v>99</v>
      </c>
      <c r="D1803">
        <v>13</v>
      </c>
      <c r="E1803" s="2">
        <v>12</v>
      </c>
      <c r="F1803" s="2">
        <v>-68.7</v>
      </c>
      <c r="G1803" s="2">
        <v>80.63</v>
      </c>
      <c r="H1803" s="2">
        <v>11.22</v>
      </c>
      <c r="I1803" s="2">
        <v>-22.41</v>
      </c>
      <c r="J1803" s="2">
        <v>7.56</v>
      </c>
      <c r="K1803" s="2">
        <v>-6.15</v>
      </c>
      <c r="L1803" s="2">
        <v>9.74</v>
      </c>
      <c r="M1803" s="2">
        <v>-0.56000000000000005</v>
      </c>
      <c r="N1803" t="s">
        <v>256</v>
      </c>
      <c r="O1803">
        <v>56</v>
      </c>
    </row>
    <row r="1804" spans="1:15">
      <c r="A1804" s="1">
        <v>46020</v>
      </c>
      <c r="B1804">
        <v>13</v>
      </c>
      <c r="C1804" t="s">
        <v>99</v>
      </c>
      <c r="D1804">
        <v>13</v>
      </c>
      <c r="E1804" s="2">
        <v>12.5</v>
      </c>
      <c r="F1804" s="2">
        <v>-38.82</v>
      </c>
      <c r="G1804" s="2">
        <v>49.71</v>
      </c>
      <c r="H1804" s="2">
        <v>11.57</v>
      </c>
      <c r="I1804" s="2">
        <v>-23.54</v>
      </c>
      <c r="J1804" s="2">
        <v>7.66</v>
      </c>
      <c r="K1804" s="2">
        <v>-6.13</v>
      </c>
      <c r="L1804" s="2">
        <v>9.81</v>
      </c>
      <c r="M1804" s="2">
        <v>-0.47</v>
      </c>
      <c r="N1804" t="s">
        <v>256</v>
      </c>
      <c r="O1804">
        <v>56</v>
      </c>
    </row>
    <row r="1805" spans="1:15">
      <c r="A1805" s="1">
        <v>46020</v>
      </c>
      <c r="B1805">
        <v>13</v>
      </c>
      <c r="C1805" t="s">
        <v>99</v>
      </c>
      <c r="D1805">
        <v>13</v>
      </c>
      <c r="E1805" s="2">
        <v>13</v>
      </c>
      <c r="F1805" s="2">
        <v>-96.22</v>
      </c>
      <c r="G1805" s="2">
        <v>105.79</v>
      </c>
      <c r="H1805" s="2">
        <v>-31.56</v>
      </c>
      <c r="I1805" s="2">
        <v>38.630000000000003</v>
      </c>
      <c r="J1805" s="2">
        <v>7.59</v>
      </c>
      <c r="K1805" s="2">
        <v>-6.03</v>
      </c>
      <c r="L1805" s="2">
        <v>9.6999999999999993</v>
      </c>
      <c r="M1805" s="2">
        <v>-0.42</v>
      </c>
      <c r="N1805" t="s">
        <v>256</v>
      </c>
      <c r="O1805">
        <v>56</v>
      </c>
    </row>
    <row r="1806" spans="1:15">
      <c r="A1806" s="1">
        <v>46020</v>
      </c>
      <c r="B1806">
        <v>13</v>
      </c>
      <c r="C1806" t="s">
        <v>99</v>
      </c>
      <c r="D1806">
        <v>13</v>
      </c>
      <c r="E1806" s="2">
        <v>13.5</v>
      </c>
      <c r="F1806" s="2">
        <v>-263.73</v>
      </c>
      <c r="G1806" s="2">
        <v>275.24</v>
      </c>
      <c r="H1806" s="2">
        <v>-171.29</v>
      </c>
      <c r="I1806" s="2">
        <v>173.46</v>
      </c>
      <c r="J1806" s="2">
        <v>7.56</v>
      </c>
      <c r="K1806" s="2">
        <v>-5.95</v>
      </c>
      <c r="L1806" s="2">
        <v>9.6199999999999992</v>
      </c>
      <c r="M1806" s="2">
        <v>-0.38</v>
      </c>
      <c r="N1806" t="s">
        <v>256</v>
      </c>
      <c r="O1806">
        <v>56</v>
      </c>
    </row>
    <row r="1807" spans="1:15">
      <c r="A1807" s="1">
        <v>46020</v>
      </c>
      <c r="B1807">
        <v>13</v>
      </c>
      <c r="C1807" t="s">
        <v>99</v>
      </c>
      <c r="D1807">
        <v>13</v>
      </c>
      <c r="E1807" s="2">
        <v>14</v>
      </c>
      <c r="F1807" s="2">
        <v>-285.16000000000003</v>
      </c>
      <c r="G1807" s="2">
        <v>296.39</v>
      </c>
      <c r="H1807" s="2">
        <v>-299.79000000000002</v>
      </c>
      <c r="I1807" s="2">
        <v>298.76</v>
      </c>
      <c r="J1807" s="2">
        <v>7.51</v>
      </c>
      <c r="K1807" s="2">
        <v>-5.76</v>
      </c>
      <c r="L1807" s="2">
        <v>9.4700000000000006</v>
      </c>
      <c r="M1807" s="2">
        <v>-0.32</v>
      </c>
      <c r="N1807" t="s">
        <v>256</v>
      </c>
      <c r="O1807">
        <v>56</v>
      </c>
    </row>
    <row r="1808" spans="1:15">
      <c r="A1808" s="1">
        <v>46020</v>
      </c>
      <c r="B1808">
        <v>13</v>
      </c>
      <c r="C1808" t="s">
        <v>99</v>
      </c>
      <c r="D1808">
        <v>13</v>
      </c>
      <c r="E1808" s="2">
        <v>14.5</v>
      </c>
      <c r="F1808" s="2">
        <v>-260.3</v>
      </c>
      <c r="G1808" s="2">
        <v>271.8</v>
      </c>
      <c r="H1808" s="2">
        <v>-256.33</v>
      </c>
      <c r="I1808" s="2">
        <v>251.52</v>
      </c>
      <c r="J1808" s="2">
        <v>7.69</v>
      </c>
      <c r="K1808" s="2">
        <v>-5.65</v>
      </c>
      <c r="L1808" s="2">
        <v>9.5399999999999991</v>
      </c>
      <c r="M1808" s="2">
        <v>-0.24</v>
      </c>
      <c r="N1808" t="s">
        <v>256</v>
      </c>
      <c r="O1808">
        <v>56</v>
      </c>
    </row>
    <row r="1809" spans="1:15">
      <c r="A1809" s="1">
        <v>46020</v>
      </c>
      <c r="B1809">
        <v>13</v>
      </c>
      <c r="C1809" t="s">
        <v>99</v>
      </c>
      <c r="D1809">
        <v>13</v>
      </c>
      <c r="E1809" s="2">
        <v>15</v>
      </c>
      <c r="F1809" s="2">
        <v>-230.1</v>
      </c>
      <c r="G1809" s="2">
        <v>242.63</v>
      </c>
      <c r="H1809" s="2">
        <v>-191.33</v>
      </c>
      <c r="I1809" s="2">
        <v>189.6</v>
      </c>
      <c r="J1809" s="2">
        <v>7.6</v>
      </c>
      <c r="K1809" s="2">
        <v>-5.56</v>
      </c>
      <c r="L1809" s="2">
        <v>9.42</v>
      </c>
      <c r="M1809" s="2">
        <v>-0.21</v>
      </c>
      <c r="N1809" t="s">
        <v>256</v>
      </c>
      <c r="O1809">
        <v>56</v>
      </c>
    </row>
    <row r="1810" spans="1:15">
      <c r="A1810" s="1">
        <v>46020</v>
      </c>
      <c r="B1810">
        <v>13</v>
      </c>
      <c r="C1810" t="s">
        <v>99</v>
      </c>
      <c r="D1810">
        <v>13</v>
      </c>
      <c r="E1810" s="2">
        <v>15.5</v>
      </c>
      <c r="F1810" s="2">
        <v>-160.09</v>
      </c>
      <c r="G1810" s="2">
        <v>166.85</v>
      </c>
      <c r="H1810" s="2">
        <v>-184.62</v>
      </c>
      <c r="I1810" s="2">
        <v>176.25</v>
      </c>
      <c r="J1810" s="2">
        <v>7.38</v>
      </c>
      <c r="K1810" s="2">
        <v>-5.28</v>
      </c>
      <c r="L1810" s="2">
        <v>9.07</v>
      </c>
      <c r="M1810" s="2">
        <v>-0.24</v>
      </c>
      <c r="N1810" t="s">
        <v>256</v>
      </c>
      <c r="O1810">
        <v>56</v>
      </c>
    </row>
    <row r="1811" spans="1:15">
      <c r="A1811" s="1">
        <v>46020</v>
      </c>
      <c r="B1811">
        <v>13</v>
      </c>
      <c r="C1811" t="s">
        <v>99</v>
      </c>
      <c r="D1811">
        <v>13</v>
      </c>
      <c r="E1811" s="2">
        <v>16</v>
      </c>
      <c r="F1811" s="2">
        <v>-74.69</v>
      </c>
      <c r="G1811" s="2">
        <v>82.93</v>
      </c>
      <c r="H1811" s="2">
        <v>-165.63</v>
      </c>
      <c r="I1811" s="2">
        <v>168.17</v>
      </c>
      <c r="J1811" s="2">
        <v>7.32</v>
      </c>
      <c r="K1811" s="2">
        <v>-5.09</v>
      </c>
      <c r="L1811" s="2">
        <v>8.91</v>
      </c>
      <c r="M1811" s="2">
        <v>-0.23</v>
      </c>
      <c r="N1811" t="s">
        <v>256</v>
      </c>
      <c r="O1811">
        <v>56</v>
      </c>
    </row>
    <row r="1812" spans="1:15">
      <c r="A1812" s="1">
        <v>46020</v>
      </c>
      <c r="B1812">
        <v>13</v>
      </c>
      <c r="C1812" t="s">
        <v>99</v>
      </c>
      <c r="D1812">
        <v>13</v>
      </c>
      <c r="E1812" s="2">
        <v>16.5</v>
      </c>
      <c r="F1812" s="2">
        <v>108.51</v>
      </c>
      <c r="G1812" s="2">
        <v>-100.85</v>
      </c>
      <c r="H1812" s="2">
        <v>-109.28</v>
      </c>
      <c r="I1812" s="2">
        <v>117.59</v>
      </c>
      <c r="J1812" s="2">
        <v>7.23</v>
      </c>
      <c r="K1812" s="2">
        <v>-4.9800000000000004</v>
      </c>
      <c r="L1812" s="2">
        <v>8.7799999999999994</v>
      </c>
      <c r="M1812" s="2">
        <v>-0.21</v>
      </c>
      <c r="N1812" t="s">
        <v>256</v>
      </c>
      <c r="O1812">
        <v>56</v>
      </c>
    </row>
    <row r="1813" spans="1:15">
      <c r="A1813" s="1">
        <v>46020</v>
      </c>
      <c r="B1813">
        <v>13</v>
      </c>
      <c r="C1813" t="s">
        <v>99</v>
      </c>
      <c r="D1813">
        <v>13</v>
      </c>
      <c r="E1813" s="2">
        <v>17</v>
      </c>
      <c r="F1813" s="2">
        <v>260.61</v>
      </c>
      <c r="G1813" s="2">
        <v>-252.82</v>
      </c>
      <c r="H1813" s="2">
        <v>-57.14</v>
      </c>
      <c r="I1813" s="2">
        <v>49.39</v>
      </c>
      <c r="J1813" s="2">
        <v>7.14</v>
      </c>
      <c r="K1813" s="2">
        <v>-5.0599999999999996</v>
      </c>
      <c r="L1813" s="2">
        <v>8.75</v>
      </c>
      <c r="M1813" s="2">
        <v>-0.18</v>
      </c>
      <c r="N1813" t="s">
        <v>256</v>
      </c>
      <c r="O1813">
        <v>56</v>
      </c>
    </row>
    <row r="1814" spans="1:15">
      <c r="A1814" s="1">
        <v>46020</v>
      </c>
      <c r="B1814">
        <v>13</v>
      </c>
      <c r="C1814" t="s">
        <v>99</v>
      </c>
      <c r="D1814">
        <v>13</v>
      </c>
      <c r="E1814" s="2">
        <v>17.5</v>
      </c>
      <c r="F1814" s="2">
        <v>314.25</v>
      </c>
      <c r="G1814" s="2">
        <v>-308.12</v>
      </c>
      <c r="H1814" s="2">
        <v>-66.010000000000005</v>
      </c>
      <c r="I1814" s="2">
        <v>57.52</v>
      </c>
      <c r="J1814" s="2">
        <v>6.81</v>
      </c>
      <c r="K1814" s="2">
        <v>-4.6900000000000004</v>
      </c>
      <c r="L1814" s="2">
        <v>8.27</v>
      </c>
      <c r="M1814" s="2">
        <v>-0.2</v>
      </c>
      <c r="N1814" t="s">
        <v>256</v>
      </c>
      <c r="O1814">
        <v>56</v>
      </c>
    </row>
    <row r="1815" spans="1:15">
      <c r="A1815" s="1">
        <v>46020</v>
      </c>
      <c r="B1815">
        <v>13</v>
      </c>
      <c r="C1815" t="s">
        <v>99</v>
      </c>
      <c r="D1815">
        <v>13</v>
      </c>
      <c r="E1815" s="2">
        <v>18</v>
      </c>
      <c r="F1815" s="2">
        <v>396.01</v>
      </c>
      <c r="G1815" s="2">
        <v>-387.45</v>
      </c>
      <c r="H1815" s="2">
        <v>-103.47</v>
      </c>
      <c r="I1815" s="2">
        <v>95.31</v>
      </c>
      <c r="J1815" s="2">
        <v>6.51</v>
      </c>
      <c r="K1815" s="2">
        <v>-4.3899999999999997</v>
      </c>
      <c r="L1815" s="2">
        <v>7.85</v>
      </c>
      <c r="M1815" s="2">
        <v>-0.16</v>
      </c>
      <c r="N1815" t="s">
        <v>256</v>
      </c>
      <c r="O1815">
        <v>56</v>
      </c>
    </row>
    <row r="1816" spans="1:15">
      <c r="A1816" s="1">
        <v>46020</v>
      </c>
      <c r="B1816">
        <v>13</v>
      </c>
      <c r="C1816" t="s">
        <v>99</v>
      </c>
      <c r="D1816">
        <v>13</v>
      </c>
      <c r="E1816" s="2">
        <v>18.5</v>
      </c>
      <c r="F1816" s="2">
        <v>432.14</v>
      </c>
      <c r="G1816" s="2">
        <v>-425.48</v>
      </c>
      <c r="H1816" s="2">
        <v>-112.38</v>
      </c>
      <c r="I1816" s="2">
        <v>109.73</v>
      </c>
      <c r="J1816" s="2">
        <v>6.53</v>
      </c>
      <c r="K1816" s="2">
        <v>-4.3</v>
      </c>
      <c r="L1816" s="2">
        <v>7.81</v>
      </c>
      <c r="M1816" s="2">
        <v>-0.14000000000000001</v>
      </c>
      <c r="N1816" t="s">
        <v>256</v>
      </c>
      <c r="O1816">
        <v>56</v>
      </c>
    </row>
    <row r="1817" spans="1:15">
      <c r="A1817" s="1">
        <v>46020</v>
      </c>
      <c r="B1817">
        <v>13</v>
      </c>
      <c r="C1817" t="s">
        <v>99</v>
      </c>
      <c r="D1817">
        <v>13</v>
      </c>
      <c r="E1817" s="2">
        <v>19</v>
      </c>
      <c r="F1817" s="2">
        <v>425.04</v>
      </c>
      <c r="G1817" s="2">
        <v>-419.79</v>
      </c>
      <c r="H1817" s="2">
        <v>-111.42</v>
      </c>
      <c r="I1817" s="2">
        <v>99.95</v>
      </c>
      <c r="J1817" s="2">
        <v>6.36</v>
      </c>
      <c r="K1817" s="2">
        <v>-4.16</v>
      </c>
      <c r="L1817" s="2">
        <v>7.6</v>
      </c>
      <c r="M1817" s="2">
        <v>-0.15</v>
      </c>
      <c r="N1817" t="s">
        <v>256</v>
      </c>
      <c r="O1817">
        <v>56</v>
      </c>
    </row>
    <row r="1818" spans="1:15">
      <c r="A1818" s="1">
        <v>46020</v>
      </c>
      <c r="B1818">
        <v>13</v>
      </c>
      <c r="C1818" t="s">
        <v>99</v>
      </c>
      <c r="D1818">
        <v>13</v>
      </c>
      <c r="E1818" s="2">
        <v>19.5</v>
      </c>
      <c r="F1818" s="2">
        <v>315.97000000000003</v>
      </c>
      <c r="G1818" s="2">
        <v>-310.55</v>
      </c>
      <c r="H1818" s="2">
        <v>-43.14</v>
      </c>
      <c r="I1818" s="2">
        <v>46.07</v>
      </c>
      <c r="J1818" s="2">
        <v>5.79</v>
      </c>
      <c r="K1818" s="2">
        <v>-3.82</v>
      </c>
      <c r="L1818" s="2">
        <v>6.93</v>
      </c>
      <c r="M1818" s="2">
        <v>-0.13</v>
      </c>
      <c r="N1818" t="s">
        <v>256</v>
      </c>
      <c r="O1818">
        <v>56</v>
      </c>
    </row>
    <row r="1819" spans="1:15">
      <c r="A1819" s="1">
        <v>46020</v>
      </c>
      <c r="B1819">
        <v>13</v>
      </c>
      <c r="C1819" t="s">
        <v>99</v>
      </c>
      <c r="D1819">
        <v>13</v>
      </c>
      <c r="E1819" s="2">
        <v>20</v>
      </c>
      <c r="F1819" s="2">
        <v>178.63</v>
      </c>
      <c r="G1819" s="2">
        <v>-171.45</v>
      </c>
      <c r="H1819" s="2">
        <v>6.42</v>
      </c>
      <c r="I1819" s="2">
        <v>6.99</v>
      </c>
      <c r="J1819" s="2">
        <v>5.46</v>
      </c>
      <c r="K1819" s="2">
        <v>-3.7</v>
      </c>
      <c r="L1819" s="2">
        <v>6.59</v>
      </c>
      <c r="M1819" s="2">
        <v>-0.09</v>
      </c>
      <c r="N1819" t="s">
        <v>256</v>
      </c>
      <c r="O1819">
        <v>56</v>
      </c>
    </row>
    <row r="1820" spans="1:15">
      <c r="A1820" s="1">
        <v>46020</v>
      </c>
      <c r="B1820">
        <v>13</v>
      </c>
      <c r="C1820" t="s">
        <v>99</v>
      </c>
      <c r="D1820">
        <v>13</v>
      </c>
      <c r="E1820" s="2">
        <v>20.5</v>
      </c>
      <c r="F1820" s="2">
        <v>141.80000000000001</v>
      </c>
      <c r="G1820" s="2">
        <v>-136.41999999999999</v>
      </c>
      <c r="H1820" s="2">
        <v>0.86</v>
      </c>
      <c r="I1820" s="2">
        <v>10.23</v>
      </c>
      <c r="J1820" s="2">
        <v>5.01</v>
      </c>
      <c r="K1820" s="2">
        <v>-3.4</v>
      </c>
      <c r="L1820" s="2">
        <v>6.05</v>
      </c>
      <c r="M1820" s="2">
        <v>-0.04</v>
      </c>
      <c r="N1820" t="s">
        <v>256</v>
      </c>
      <c r="O1820">
        <v>56</v>
      </c>
    </row>
    <row r="1821" spans="1:15">
      <c r="A1821" s="1">
        <v>46020</v>
      </c>
      <c r="B1821">
        <v>13</v>
      </c>
      <c r="C1821" t="s">
        <v>99</v>
      </c>
      <c r="D1821">
        <v>13</v>
      </c>
      <c r="E1821" s="2">
        <v>21</v>
      </c>
      <c r="F1821" s="2">
        <v>103.68</v>
      </c>
      <c r="G1821" s="2">
        <v>-96.87</v>
      </c>
      <c r="H1821" s="2">
        <v>0.54</v>
      </c>
      <c r="I1821" s="2">
        <v>15.4</v>
      </c>
      <c r="J1821" s="2">
        <v>4.58</v>
      </c>
      <c r="K1821" s="2">
        <v>-3.12</v>
      </c>
      <c r="L1821" s="2">
        <v>5.54</v>
      </c>
      <c r="M1821" s="2">
        <v>0</v>
      </c>
      <c r="N1821" t="s">
        <v>256</v>
      </c>
      <c r="O1821">
        <v>56</v>
      </c>
    </row>
    <row r="1822" spans="1:15">
      <c r="A1822" s="1">
        <v>46020</v>
      </c>
      <c r="B1822">
        <v>13</v>
      </c>
      <c r="C1822" t="s">
        <v>99</v>
      </c>
      <c r="D1822">
        <v>13</v>
      </c>
      <c r="E1822" s="2">
        <v>21.5</v>
      </c>
      <c r="F1822" s="2">
        <v>-22.9</v>
      </c>
      <c r="G1822" s="2">
        <v>30.22</v>
      </c>
      <c r="H1822" s="2">
        <v>-10</v>
      </c>
      <c r="I1822" s="2">
        <v>15.93</v>
      </c>
      <c r="J1822" s="2">
        <v>4.09</v>
      </c>
      <c r="K1822" s="2">
        <v>-3.1</v>
      </c>
      <c r="L1822" s="2">
        <v>5.13</v>
      </c>
      <c r="M1822" s="2">
        <v>0.08</v>
      </c>
      <c r="N1822" t="s">
        <v>256</v>
      </c>
      <c r="O1822">
        <v>56</v>
      </c>
    </row>
    <row r="1823" spans="1:15">
      <c r="A1823" s="1">
        <v>46020</v>
      </c>
      <c r="B1823">
        <v>13</v>
      </c>
      <c r="C1823" t="s">
        <v>99</v>
      </c>
      <c r="D1823">
        <v>13</v>
      </c>
      <c r="E1823" s="2">
        <v>22</v>
      </c>
      <c r="F1823" s="2">
        <v>-69.900000000000006</v>
      </c>
      <c r="G1823" s="2">
        <v>75.349999999999994</v>
      </c>
      <c r="H1823" s="2">
        <v>1.1399999999999999</v>
      </c>
      <c r="I1823" s="2">
        <v>18.22</v>
      </c>
      <c r="J1823" s="2">
        <v>3.8</v>
      </c>
      <c r="K1823" s="2">
        <v>-2.71</v>
      </c>
      <c r="L1823" s="2">
        <v>4.67</v>
      </c>
      <c r="M1823" s="2">
        <v>0.09</v>
      </c>
      <c r="N1823" t="s">
        <v>256</v>
      </c>
      <c r="O1823">
        <v>56</v>
      </c>
    </row>
    <row r="1824" spans="1:15">
      <c r="A1824" s="1">
        <v>46020</v>
      </c>
      <c r="B1824">
        <v>13</v>
      </c>
      <c r="C1824" t="s">
        <v>99</v>
      </c>
      <c r="D1824">
        <v>13</v>
      </c>
      <c r="E1824" s="2">
        <v>22.5</v>
      </c>
      <c r="F1824" s="2">
        <v>-57.77</v>
      </c>
      <c r="G1824" s="2">
        <v>65.62</v>
      </c>
      <c r="H1824" s="2">
        <v>-89.46</v>
      </c>
      <c r="I1824" s="2">
        <v>117.65</v>
      </c>
      <c r="J1824" s="2">
        <v>3.49</v>
      </c>
      <c r="K1824" s="2">
        <v>-2.4500000000000002</v>
      </c>
      <c r="L1824" s="2">
        <v>4.2699999999999996</v>
      </c>
      <c r="M1824" s="2">
        <v>0.1</v>
      </c>
      <c r="N1824" t="s">
        <v>256</v>
      </c>
      <c r="O1824">
        <v>56</v>
      </c>
    </row>
    <row r="1825" spans="1:15">
      <c r="A1825" s="1">
        <v>46020</v>
      </c>
      <c r="B1825">
        <v>13</v>
      </c>
      <c r="C1825" t="s">
        <v>99</v>
      </c>
      <c r="D1825">
        <v>13</v>
      </c>
      <c r="E1825" s="2">
        <v>23</v>
      </c>
      <c r="F1825" s="2">
        <v>-70.58</v>
      </c>
      <c r="G1825" s="2">
        <v>72.98</v>
      </c>
      <c r="H1825" s="2">
        <v>-151.74</v>
      </c>
      <c r="I1825" s="2">
        <v>155.12</v>
      </c>
      <c r="J1825" s="2">
        <v>3.14</v>
      </c>
      <c r="K1825" s="2">
        <v>-1.99</v>
      </c>
      <c r="L1825" s="2">
        <v>3.72</v>
      </c>
      <c r="M1825" s="2">
        <v>7.0000000000000007E-2</v>
      </c>
      <c r="N1825" t="s">
        <v>256</v>
      </c>
      <c r="O1825">
        <v>56</v>
      </c>
    </row>
    <row r="1826" spans="1:15">
      <c r="A1826" s="1">
        <v>46020</v>
      </c>
      <c r="B1826">
        <v>13</v>
      </c>
      <c r="C1826" t="s">
        <v>99</v>
      </c>
      <c r="D1826">
        <v>13</v>
      </c>
      <c r="E1826" s="2">
        <v>23.5</v>
      </c>
      <c r="F1826" s="2">
        <v>-132.68</v>
      </c>
      <c r="G1826" s="2">
        <v>142.32</v>
      </c>
      <c r="H1826" s="2">
        <v>-188.27</v>
      </c>
      <c r="I1826" s="2">
        <v>205.03</v>
      </c>
      <c r="J1826" s="2">
        <v>2.81</v>
      </c>
      <c r="K1826" s="2">
        <v>-1.71</v>
      </c>
      <c r="L1826" s="2">
        <v>3.29</v>
      </c>
      <c r="M1826" s="2">
        <v>7.0000000000000007E-2</v>
      </c>
      <c r="N1826" t="s">
        <v>256</v>
      </c>
      <c r="O1826">
        <v>56</v>
      </c>
    </row>
    <row r="1827" spans="1:15">
      <c r="A1827" s="1">
        <v>46020</v>
      </c>
      <c r="B1827">
        <v>13</v>
      </c>
      <c r="C1827" t="s">
        <v>99</v>
      </c>
      <c r="D1827">
        <v>13</v>
      </c>
      <c r="E1827" s="2">
        <v>24</v>
      </c>
      <c r="F1827" s="2">
        <v>-166.68</v>
      </c>
      <c r="G1827" s="2">
        <v>172.74</v>
      </c>
      <c r="H1827" s="2">
        <v>-238.34</v>
      </c>
      <c r="I1827" s="2">
        <v>254.14</v>
      </c>
      <c r="J1827" s="2">
        <v>2.58</v>
      </c>
      <c r="K1827" s="2">
        <v>-1.54</v>
      </c>
      <c r="L1827" s="2">
        <v>3</v>
      </c>
      <c r="M1827" s="2">
        <v>0.06</v>
      </c>
      <c r="N1827" t="s">
        <v>256</v>
      </c>
      <c r="O1827">
        <v>56</v>
      </c>
    </row>
    <row r="1828" spans="1:15">
      <c r="A1828" s="1">
        <v>46020</v>
      </c>
      <c r="B1828">
        <v>13</v>
      </c>
      <c r="C1828" t="s">
        <v>99</v>
      </c>
      <c r="D1828">
        <v>13</v>
      </c>
      <c r="E1828" s="2">
        <v>24.5</v>
      </c>
      <c r="F1828" s="2">
        <v>-66.09</v>
      </c>
      <c r="G1828" s="2">
        <v>66.78</v>
      </c>
      <c r="H1828" s="2">
        <v>-244.88</v>
      </c>
      <c r="I1828" s="2">
        <v>233.73</v>
      </c>
      <c r="J1828" s="2">
        <v>2.3199999999999998</v>
      </c>
      <c r="K1828" s="2">
        <v>-1.2</v>
      </c>
      <c r="L1828" s="2">
        <v>2.62</v>
      </c>
      <c r="M1828" s="2">
        <v>0</v>
      </c>
      <c r="N1828" t="s">
        <v>256</v>
      </c>
      <c r="O1828">
        <v>56</v>
      </c>
    </row>
    <row r="1829" spans="1:15">
      <c r="A1829" s="1">
        <v>46020</v>
      </c>
      <c r="B1829">
        <v>13</v>
      </c>
      <c r="C1829" t="s">
        <v>99</v>
      </c>
      <c r="D1829">
        <v>13</v>
      </c>
      <c r="E1829" s="2">
        <v>25</v>
      </c>
      <c r="F1829" s="2">
        <v>27.15</v>
      </c>
      <c r="G1829" s="2">
        <v>-21.77</v>
      </c>
      <c r="H1829" s="2">
        <v>-218.91</v>
      </c>
      <c r="I1829" s="2">
        <v>217.94</v>
      </c>
      <c r="J1829" s="2">
        <v>1.96</v>
      </c>
      <c r="K1829" s="2">
        <v>-1.1599999999999999</v>
      </c>
      <c r="L1829" s="2">
        <v>2.2799999999999998</v>
      </c>
      <c r="M1829" s="2">
        <v>0.02</v>
      </c>
      <c r="N1829" t="s">
        <v>256</v>
      </c>
      <c r="O1829">
        <v>56</v>
      </c>
    </row>
    <row r="1830" spans="1:15">
      <c r="A1830" s="1">
        <v>46020</v>
      </c>
      <c r="B1830">
        <v>13</v>
      </c>
      <c r="C1830" t="s">
        <v>99</v>
      </c>
      <c r="D1830">
        <v>13</v>
      </c>
      <c r="E1830" s="2">
        <v>25.5</v>
      </c>
      <c r="F1830" s="2">
        <v>86.05</v>
      </c>
      <c r="G1830" s="2">
        <v>-82.03</v>
      </c>
      <c r="H1830" s="2">
        <v>-179.15</v>
      </c>
      <c r="I1830" s="2">
        <v>184.62</v>
      </c>
      <c r="J1830" s="2">
        <v>1.52</v>
      </c>
      <c r="K1830" s="2">
        <v>-0.8</v>
      </c>
      <c r="L1830" s="2">
        <v>1.72</v>
      </c>
      <c r="M1830" s="2">
        <v>0.01</v>
      </c>
      <c r="N1830" t="s">
        <v>256</v>
      </c>
      <c r="O1830">
        <v>56</v>
      </c>
    </row>
    <row r="1831" spans="1:15">
      <c r="A1831" s="1">
        <v>46020</v>
      </c>
      <c r="B1831">
        <v>13</v>
      </c>
      <c r="C1831" t="s">
        <v>99</v>
      </c>
      <c r="D1831">
        <v>13</v>
      </c>
      <c r="E1831" s="2">
        <v>26</v>
      </c>
      <c r="F1831" s="2">
        <v>130.66999999999999</v>
      </c>
      <c r="G1831" s="2">
        <v>-124.33</v>
      </c>
      <c r="H1831" s="2">
        <v>-234.8</v>
      </c>
      <c r="I1831" s="2">
        <v>248.71</v>
      </c>
      <c r="J1831" s="2">
        <v>1.1499999999999999</v>
      </c>
      <c r="K1831" s="2">
        <v>-0.16</v>
      </c>
      <c r="L1831" s="2">
        <v>1.1599999999999999</v>
      </c>
      <c r="M1831" s="2">
        <v>0.04</v>
      </c>
      <c r="N1831" t="s">
        <v>256</v>
      </c>
      <c r="O1831">
        <v>56</v>
      </c>
    </row>
    <row r="1832" spans="1:15">
      <c r="A1832" s="1">
        <v>46020</v>
      </c>
      <c r="B1832">
        <v>13</v>
      </c>
      <c r="C1832" t="s">
        <v>99</v>
      </c>
      <c r="D1832">
        <v>13</v>
      </c>
      <c r="E1832" s="2">
        <v>26.5</v>
      </c>
      <c r="F1832" s="2">
        <v>122.96</v>
      </c>
      <c r="G1832" s="2">
        <v>-119.25</v>
      </c>
      <c r="H1832" s="2">
        <v>-249.42</v>
      </c>
      <c r="I1832" s="2">
        <v>255.94</v>
      </c>
      <c r="J1832" s="2">
        <v>0.74</v>
      </c>
      <c r="K1832" s="2">
        <v>-0.08</v>
      </c>
      <c r="L1832" s="2">
        <v>0.74</v>
      </c>
      <c r="M1832" s="2">
        <v>0.06</v>
      </c>
      <c r="N1832" t="s">
        <v>256</v>
      </c>
      <c r="O1832">
        <v>56</v>
      </c>
    </row>
    <row r="1833" spans="1:15">
      <c r="A1833" s="1">
        <v>46020</v>
      </c>
      <c r="B1833">
        <v>13</v>
      </c>
      <c r="C1833" t="s">
        <v>100</v>
      </c>
      <c r="D1833">
        <v>12</v>
      </c>
      <c r="E1833" s="2">
        <v>0.5</v>
      </c>
      <c r="F1833" s="2">
        <v>423.62</v>
      </c>
      <c r="G1833" s="2">
        <v>-414.53</v>
      </c>
      <c r="H1833" s="2">
        <v>482.71</v>
      </c>
      <c r="I1833" s="2">
        <v>-471.86</v>
      </c>
      <c r="J1833" s="2">
        <v>2.54</v>
      </c>
      <c r="K1833" s="2">
        <v>0.8</v>
      </c>
      <c r="L1833" s="2">
        <v>2.66</v>
      </c>
      <c r="M1833" s="2">
        <v>0.09</v>
      </c>
      <c r="N1833" t="s">
        <v>256</v>
      </c>
      <c r="O1833">
        <v>80</v>
      </c>
    </row>
    <row r="1834" spans="1:15">
      <c r="A1834" s="1">
        <v>46020</v>
      </c>
      <c r="B1834">
        <v>13</v>
      </c>
      <c r="C1834" t="s">
        <v>100</v>
      </c>
      <c r="D1834">
        <v>12</v>
      </c>
      <c r="E1834" s="2">
        <v>1</v>
      </c>
      <c r="F1834" s="2">
        <v>423.88</v>
      </c>
      <c r="G1834" s="2">
        <v>-414.66</v>
      </c>
      <c r="H1834" s="2">
        <v>482.86</v>
      </c>
      <c r="I1834" s="2">
        <v>-471.85</v>
      </c>
      <c r="J1834" s="2">
        <v>2.93</v>
      </c>
      <c r="K1834" s="2">
        <v>0.6</v>
      </c>
      <c r="L1834" s="2">
        <v>2.99</v>
      </c>
      <c r="M1834" s="2">
        <v>0.1</v>
      </c>
      <c r="N1834" t="s">
        <v>256</v>
      </c>
      <c r="O1834">
        <v>80</v>
      </c>
    </row>
    <row r="1835" spans="1:15">
      <c r="A1835" s="1">
        <v>46020</v>
      </c>
      <c r="B1835">
        <v>13</v>
      </c>
      <c r="C1835" t="s">
        <v>100</v>
      </c>
      <c r="D1835">
        <v>12</v>
      </c>
      <c r="E1835" s="2">
        <v>1.5</v>
      </c>
      <c r="F1835" s="2">
        <v>459.99</v>
      </c>
      <c r="G1835" s="2">
        <v>-455.86</v>
      </c>
      <c r="H1835" s="2">
        <v>405</v>
      </c>
      <c r="I1835" s="2">
        <v>-403.37</v>
      </c>
      <c r="J1835" s="2">
        <v>3.34</v>
      </c>
      <c r="K1835" s="2">
        <v>0.41</v>
      </c>
      <c r="L1835" s="2">
        <v>3.36</v>
      </c>
      <c r="M1835" s="2">
        <v>0.09</v>
      </c>
      <c r="N1835" t="s">
        <v>256</v>
      </c>
      <c r="O1835">
        <v>80</v>
      </c>
    </row>
    <row r="1836" spans="1:15">
      <c r="A1836" s="1">
        <v>46020</v>
      </c>
      <c r="B1836">
        <v>13</v>
      </c>
      <c r="C1836" t="s">
        <v>100</v>
      </c>
      <c r="D1836">
        <v>12</v>
      </c>
      <c r="E1836" s="2">
        <v>2</v>
      </c>
      <c r="F1836" s="2">
        <v>522.16999999999996</v>
      </c>
      <c r="G1836" s="2">
        <v>-518.65</v>
      </c>
      <c r="H1836" s="2">
        <v>250.44</v>
      </c>
      <c r="I1836" s="2">
        <v>-230.68</v>
      </c>
      <c r="J1836" s="2">
        <v>3.9</v>
      </c>
      <c r="K1836" s="2">
        <v>0.26</v>
      </c>
      <c r="L1836" s="2">
        <v>3.91</v>
      </c>
      <c r="M1836" s="2">
        <v>0.15</v>
      </c>
      <c r="N1836" t="s">
        <v>256</v>
      </c>
      <c r="O1836">
        <v>80</v>
      </c>
    </row>
    <row r="1837" spans="1:15">
      <c r="A1837" s="1">
        <v>46020</v>
      </c>
      <c r="B1837">
        <v>13</v>
      </c>
      <c r="C1837" t="s">
        <v>100</v>
      </c>
      <c r="D1837">
        <v>12</v>
      </c>
      <c r="E1837" s="2">
        <v>2.5</v>
      </c>
      <c r="F1837" s="2">
        <v>475.51</v>
      </c>
      <c r="G1837" s="2">
        <v>-471.31</v>
      </c>
      <c r="H1837" s="2">
        <v>127.91</v>
      </c>
      <c r="I1837" s="2">
        <v>-112.32</v>
      </c>
      <c r="J1837" s="2">
        <v>4.5999999999999996</v>
      </c>
      <c r="K1837" s="2">
        <v>0.28000000000000003</v>
      </c>
      <c r="L1837" s="2">
        <v>4.6100000000000003</v>
      </c>
      <c r="M1837" s="2">
        <v>0.25</v>
      </c>
      <c r="N1837" t="s">
        <v>256</v>
      </c>
      <c r="O1837">
        <v>80</v>
      </c>
    </row>
    <row r="1838" spans="1:15">
      <c r="A1838" s="1">
        <v>46020</v>
      </c>
      <c r="B1838">
        <v>13</v>
      </c>
      <c r="C1838" t="s">
        <v>100</v>
      </c>
      <c r="D1838">
        <v>12</v>
      </c>
      <c r="E1838" s="2">
        <v>3</v>
      </c>
      <c r="F1838" s="2">
        <v>429.31</v>
      </c>
      <c r="G1838" s="2">
        <v>-423</v>
      </c>
      <c r="H1838" s="2">
        <v>-2.38</v>
      </c>
      <c r="I1838" s="2">
        <v>15.83</v>
      </c>
      <c r="J1838" s="2">
        <v>5.29</v>
      </c>
      <c r="K1838" s="2">
        <v>0.15</v>
      </c>
      <c r="L1838" s="2">
        <v>5.29</v>
      </c>
      <c r="M1838" s="2">
        <v>0.33</v>
      </c>
      <c r="N1838" t="s">
        <v>256</v>
      </c>
      <c r="O1838">
        <v>80</v>
      </c>
    </row>
    <row r="1839" spans="1:15">
      <c r="A1839" s="1">
        <v>46020</v>
      </c>
      <c r="B1839">
        <v>13</v>
      </c>
      <c r="C1839" t="s">
        <v>100</v>
      </c>
      <c r="D1839">
        <v>12</v>
      </c>
      <c r="E1839" s="2">
        <v>3.5</v>
      </c>
      <c r="F1839" s="2">
        <v>383.74</v>
      </c>
      <c r="G1839" s="2">
        <v>-379.34</v>
      </c>
      <c r="H1839" s="2">
        <v>-84.98</v>
      </c>
      <c r="I1839" s="2">
        <v>90.95</v>
      </c>
      <c r="J1839" s="2">
        <v>6.11</v>
      </c>
      <c r="K1839" s="2">
        <v>0.05</v>
      </c>
      <c r="L1839" s="2">
        <v>6.11</v>
      </c>
      <c r="M1839" s="2">
        <v>0.42</v>
      </c>
      <c r="N1839" t="s">
        <v>256</v>
      </c>
      <c r="O1839">
        <v>80</v>
      </c>
    </row>
    <row r="1840" spans="1:15">
      <c r="A1840" s="1">
        <v>46020</v>
      </c>
      <c r="B1840">
        <v>13</v>
      </c>
      <c r="C1840" t="s">
        <v>100</v>
      </c>
      <c r="D1840">
        <v>12</v>
      </c>
      <c r="E1840" s="2">
        <v>4</v>
      </c>
      <c r="F1840" s="2">
        <v>377.54</v>
      </c>
      <c r="G1840" s="2">
        <v>-371.1</v>
      </c>
      <c r="H1840" s="2">
        <v>-102.34</v>
      </c>
      <c r="I1840" s="2">
        <v>116.91</v>
      </c>
      <c r="J1840" s="2">
        <v>6.81</v>
      </c>
      <c r="K1840" s="2">
        <v>0.24</v>
      </c>
      <c r="L1840" s="2">
        <v>6.81</v>
      </c>
      <c r="M1840" s="2">
        <v>0.53</v>
      </c>
      <c r="N1840" t="s">
        <v>256</v>
      </c>
      <c r="O1840">
        <v>80</v>
      </c>
    </row>
    <row r="1841" spans="1:15">
      <c r="A1841" s="1">
        <v>46020</v>
      </c>
      <c r="B1841">
        <v>13</v>
      </c>
      <c r="C1841" t="s">
        <v>100</v>
      </c>
      <c r="D1841">
        <v>12</v>
      </c>
      <c r="E1841" s="2">
        <v>4.5</v>
      </c>
      <c r="F1841" s="2">
        <v>382.42</v>
      </c>
      <c r="G1841" s="2">
        <v>-374.88</v>
      </c>
      <c r="H1841" s="2">
        <v>-103.77</v>
      </c>
      <c r="I1841" s="2">
        <v>120.23</v>
      </c>
      <c r="J1841" s="2">
        <v>7.63</v>
      </c>
      <c r="K1841" s="2">
        <v>0.33</v>
      </c>
      <c r="L1841" s="2">
        <v>7.63</v>
      </c>
      <c r="M1841" s="2">
        <v>0.61</v>
      </c>
      <c r="N1841" t="s">
        <v>256</v>
      </c>
      <c r="O1841">
        <v>80</v>
      </c>
    </row>
    <row r="1842" spans="1:15">
      <c r="A1842" s="1">
        <v>46020</v>
      </c>
      <c r="B1842">
        <v>13</v>
      </c>
      <c r="C1842" t="s">
        <v>100</v>
      </c>
      <c r="D1842">
        <v>12</v>
      </c>
      <c r="E1842" s="2">
        <v>5</v>
      </c>
      <c r="F1842" s="2">
        <v>293.48</v>
      </c>
      <c r="G1842" s="2">
        <v>-287.11</v>
      </c>
      <c r="H1842" s="2">
        <v>-67.790000000000006</v>
      </c>
      <c r="I1842" s="2">
        <v>86.95</v>
      </c>
      <c r="J1842" s="2">
        <v>8.48</v>
      </c>
      <c r="K1842" s="2">
        <v>0.32</v>
      </c>
      <c r="L1842" s="2">
        <v>8.49</v>
      </c>
      <c r="M1842" s="2">
        <v>0.72</v>
      </c>
      <c r="N1842" t="s">
        <v>256</v>
      </c>
      <c r="O1842">
        <v>80</v>
      </c>
    </row>
    <row r="1843" spans="1:15">
      <c r="A1843" s="1">
        <v>46020</v>
      </c>
      <c r="B1843">
        <v>13</v>
      </c>
      <c r="C1843" t="s">
        <v>100</v>
      </c>
      <c r="D1843">
        <v>12</v>
      </c>
      <c r="E1843" s="2">
        <v>5.5</v>
      </c>
      <c r="F1843" s="2">
        <v>211.29</v>
      </c>
      <c r="G1843" s="2">
        <v>-202.51</v>
      </c>
      <c r="H1843" s="2">
        <v>-18.64</v>
      </c>
      <c r="I1843" s="2">
        <v>38.01</v>
      </c>
      <c r="J1843" s="2">
        <v>8.68</v>
      </c>
      <c r="K1843" s="2">
        <v>0.14000000000000001</v>
      </c>
      <c r="L1843" s="2">
        <v>8.68</v>
      </c>
      <c r="M1843" s="2">
        <v>0.77</v>
      </c>
      <c r="N1843" t="s">
        <v>256</v>
      </c>
      <c r="O1843">
        <v>80</v>
      </c>
    </row>
    <row r="1844" spans="1:15">
      <c r="A1844" s="1">
        <v>46020</v>
      </c>
      <c r="B1844">
        <v>13</v>
      </c>
      <c r="C1844" t="s">
        <v>100</v>
      </c>
      <c r="D1844">
        <v>12</v>
      </c>
      <c r="E1844" s="2">
        <v>6</v>
      </c>
      <c r="F1844" s="2">
        <v>183.25</v>
      </c>
      <c r="G1844" s="2">
        <v>-175.62</v>
      </c>
      <c r="H1844" s="2">
        <v>7.31</v>
      </c>
      <c r="I1844" s="2">
        <v>8.14</v>
      </c>
      <c r="J1844" s="2">
        <v>8.8800000000000008</v>
      </c>
      <c r="K1844" s="2">
        <v>0.08</v>
      </c>
      <c r="L1844" s="2">
        <v>8.8800000000000008</v>
      </c>
      <c r="M1844" s="2">
        <v>0.82</v>
      </c>
      <c r="N1844" t="s">
        <v>256</v>
      </c>
      <c r="O1844">
        <v>80</v>
      </c>
    </row>
    <row r="1845" spans="1:15">
      <c r="A1845" s="1">
        <v>46020</v>
      </c>
      <c r="B1845">
        <v>13</v>
      </c>
      <c r="C1845" t="s">
        <v>100</v>
      </c>
      <c r="D1845">
        <v>12</v>
      </c>
      <c r="E1845" s="2">
        <v>6.5</v>
      </c>
      <c r="F1845" s="2">
        <v>179.02</v>
      </c>
      <c r="G1845" s="2">
        <v>-169.5</v>
      </c>
      <c r="H1845" s="2">
        <v>73.33</v>
      </c>
      <c r="I1845" s="2">
        <v>-64.94</v>
      </c>
      <c r="J1845" s="2">
        <v>9.24</v>
      </c>
      <c r="K1845" s="2">
        <v>-0.5</v>
      </c>
      <c r="L1845" s="2">
        <v>9.26</v>
      </c>
      <c r="M1845" s="2">
        <v>0.89</v>
      </c>
      <c r="N1845" t="s">
        <v>256</v>
      </c>
      <c r="O1845">
        <v>80</v>
      </c>
    </row>
    <row r="1846" spans="1:15">
      <c r="A1846" s="1">
        <v>46020</v>
      </c>
      <c r="B1846">
        <v>13</v>
      </c>
      <c r="C1846" t="s">
        <v>100</v>
      </c>
      <c r="D1846">
        <v>12</v>
      </c>
      <c r="E1846" s="2">
        <v>7</v>
      </c>
      <c r="F1846" s="2">
        <v>135.22</v>
      </c>
      <c r="G1846" s="2">
        <v>-126.59</v>
      </c>
      <c r="H1846" s="2">
        <v>141.12</v>
      </c>
      <c r="I1846" s="2">
        <v>-133.11000000000001</v>
      </c>
      <c r="J1846" s="2">
        <v>9.39</v>
      </c>
      <c r="K1846" s="2">
        <v>-0.57999999999999996</v>
      </c>
      <c r="L1846" s="2">
        <v>9.4</v>
      </c>
      <c r="M1846" s="2">
        <v>0.97</v>
      </c>
      <c r="N1846" t="s">
        <v>256</v>
      </c>
      <c r="O1846">
        <v>80</v>
      </c>
    </row>
    <row r="1847" spans="1:15">
      <c r="A1847" s="1">
        <v>46020</v>
      </c>
      <c r="B1847">
        <v>13</v>
      </c>
      <c r="C1847" t="s">
        <v>100</v>
      </c>
      <c r="D1847">
        <v>12</v>
      </c>
      <c r="E1847" s="2">
        <v>7.5</v>
      </c>
      <c r="F1847" s="2">
        <v>79.44</v>
      </c>
      <c r="G1847" s="2">
        <v>-71.69</v>
      </c>
      <c r="H1847" s="2">
        <v>210.39</v>
      </c>
      <c r="I1847" s="2">
        <v>-206.76</v>
      </c>
      <c r="J1847" s="2">
        <v>9.3699999999999992</v>
      </c>
      <c r="K1847" s="2">
        <v>-0.52</v>
      </c>
      <c r="L1847" s="2">
        <v>9.39</v>
      </c>
      <c r="M1847" s="2">
        <v>1.03</v>
      </c>
      <c r="N1847" t="s">
        <v>256</v>
      </c>
      <c r="O1847">
        <v>80</v>
      </c>
    </row>
    <row r="1848" spans="1:15">
      <c r="A1848" s="1">
        <v>46020</v>
      </c>
      <c r="B1848">
        <v>13</v>
      </c>
      <c r="C1848" t="s">
        <v>100</v>
      </c>
      <c r="D1848">
        <v>12</v>
      </c>
      <c r="E1848" s="2">
        <v>8</v>
      </c>
      <c r="F1848" s="2">
        <v>69.040000000000006</v>
      </c>
      <c r="G1848" s="2">
        <v>-62.04</v>
      </c>
      <c r="H1848" s="2">
        <v>229.74</v>
      </c>
      <c r="I1848" s="2">
        <v>-232.64</v>
      </c>
      <c r="J1848" s="2">
        <v>8.99</v>
      </c>
      <c r="K1848" s="2">
        <v>-0.33</v>
      </c>
      <c r="L1848" s="2">
        <v>8.99</v>
      </c>
      <c r="M1848" s="2">
        <v>1.03</v>
      </c>
      <c r="N1848" t="s">
        <v>256</v>
      </c>
      <c r="O1848">
        <v>80</v>
      </c>
    </row>
    <row r="1849" spans="1:15">
      <c r="A1849" s="1">
        <v>46020</v>
      </c>
      <c r="B1849">
        <v>13</v>
      </c>
      <c r="C1849" t="s">
        <v>100</v>
      </c>
      <c r="D1849">
        <v>12</v>
      </c>
      <c r="E1849" s="2">
        <v>8.5</v>
      </c>
      <c r="F1849" s="2">
        <v>102.07</v>
      </c>
      <c r="G1849" s="2">
        <v>-95.18</v>
      </c>
      <c r="H1849" s="2">
        <v>331.63</v>
      </c>
      <c r="I1849" s="2">
        <v>-323.77</v>
      </c>
      <c r="J1849" s="2">
        <v>8.2799999999999994</v>
      </c>
      <c r="K1849" s="2">
        <v>-0.53</v>
      </c>
      <c r="L1849" s="2">
        <v>8.2899999999999991</v>
      </c>
      <c r="M1849" s="2">
        <v>0.92</v>
      </c>
      <c r="N1849" t="s">
        <v>256</v>
      </c>
      <c r="O1849">
        <v>80</v>
      </c>
    </row>
    <row r="1850" spans="1:15">
      <c r="A1850" s="1">
        <v>46020</v>
      </c>
      <c r="B1850">
        <v>13</v>
      </c>
      <c r="C1850" t="s">
        <v>100</v>
      </c>
      <c r="D1850">
        <v>12</v>
      </c>
      <c r="E1850" s="2">
        <v>9</v>
      </c>
      <c r="F1850" s="2">
        <v>158.4</v>
      </c>
      <c r="G1850" s="2">
        <v>-145.16999999999999</v>
      </c>
      <c r="H1850" s="2">
        <v>384.82</v>
      </c>
      <c r="I1850" s="2">
        <v>-379.02</v>
      </c>
      <c r="J1850" s="2">
        <v>7.64</v>
      </c>
      <c r="K1850" s="2">
        <v>-0.15</v>
      </c>
      <c r="L1850" s="2">
        <v>7.64</v>
      </c>
      <c r="M1850" s="2">
        <v>0.82</v>
      </c>
      <c r="N1850" t="s">
        <v>256</v>
      </c>
      <c r="O1850">
        <v>80</v>
      </c>
    </row>
    <row r="1851" spans="1:15">
      <c r="A1851" s="1">
        <v>46020</v>
      </c>
      <c r="B1851">
        <v>13</v>
      </c>
      <c r="C1851" t="s">
        <v>100</v>
      </c>
      <c r="D1851">
        <v>12</v>
      </c>
      <c r="E1851" s="2">
        <v>9.5</v>
      </c>
      <c r="F1851" s="2">
        <v>135.96</v>
      </c>
      <c r="G1851" s="2">
        <v>-130.21</v>
      </c>
      <c r="H1851" s="2">
        <v>445.62</v>
      </c>
      <c r="I1851" s="2">
        <v>-427.39</v>
      </c>
      <c r="J1851" s="2">
        <v>7.07</v>
      </c>
      <c r="K1851" s="2">
        <v>0.28999999999999998</v>
      </c>
      <c r="L1851" s="2">
        <v>7.08</v>
      </c>
      <c r="M1851" s="2">
        <v>0.72</v>
      </c>
      <c r="N1851" t="s">
        <v>256</v>
      </c>
      <c r="O1851">
        <v>80</v>
      </c>
    </row>
    <row r="1852" spans="1:15">
      <c r="A1852" s="1">
        <v>46020</v>
      </c>
      <c r="B1852">
        <v>13</v>
      </c>
      <c r="C1852" t="s">
        <v>100</v>
      </c>
      <c r="D1852">
        <v>12</v>
      </c>
      <c r="E1852" s="2">
        <v>10</v>
      </c>
      <c r="F1852" s="2">
        <v>132.81</v>
      </c>
      <c r="G1852" s="2">
        <v>-124.25</v>
      </c>
      <c r="H1852" s="2">
        <v>453.12</v>
      </c>
      <c r="I1852" s="2">
        <v>-437.91</v>
      </c>
      <c r="J1852" s="2">
        <v>6.35</v>
      </c>
      <c r="K1852" s="2">
        <v>0.83</v>
      </c>
      <c r="L1852" s="2">
        <v>6.41</v>
      </c>
      <c r="M1852" s="2">
        <v>0.65</v>
      </c>
      <c r="N1852" t="s">
        <v>256</v>
      </c>
      <c r="O1852">
        <v>80</v>
      </c>
    </row>
    <row r="1853" spans="1:15">
      <c r="A1853" s="1">
        <v>46020</v>
      </c>
      <c r="B1853">
        <v>13</v>
      </c>
      <c r="C1853" t="s">
        <v>100</v>
      </c>
      <c r="D1853">
        <v>12</v>
      </c>
      <c r="E1853" s="2">
        <v>10.5</v>
      </c>
      <c r="F1853" s="2">
        <v>319.45999999999998</v>
      </c>
      <c r="G1853" s="2">
        <v>-310.83</v>
      </c>
      <c r="H1853" s="2">
        <v>459.52</v>
      </c>
      <c r="I1853" s="2">
        <v>-449.74</v>
      </c>
      <c r="J1853" s="2">
        <v>6.02</v>
      </c>
      <c r="K1853" s="2">
        <v>0.92</v>
      </c>
      <c r="L1853" s="2">
        <v>6.09</v>
      </c>
      <c r="M1853" s="2">
        <v>0.59</v>
      </c>
      <c r="N1853" t="s">
        <v>256</v>
      </c>
      <c r="O1853">
        <v>80</v>
      </c>
    </row>
    <row r="1854" spans="1:15">
      <c r="A1854" s="1">
        <v>46020</v>
      </c>
      <c r="B1854">
        <v>13</v>
      </c>
      <c r="C1854" t="s">
        <v>100</v>
      </c>
      <c r="D1854">
        <v>12</v>
      </c>
      <c r="E1854" s="2">
        <v>11</v>
      </c>
      <c r="F1854" s="2">
        <v>326.08999999999997</v>
      </c>
      <c r="G1854" s="2">
        <v>-318.52999999999997</v>
      </c>
      <c r="H1854" s="2">
        <v>455.51</v>
      </c>
      <c r="I1854" s="2">
        <v>-444.3</v>
      </c>
      <c r="J1854" s="2">
        <v>5.73</v>
      </c>
      <c r="K1854" s="2">
        <v>0.76</v>
      </c>
      <c r="L1854" s="2">
        <v>5.78</v>
      </c>
      <c r="M1854" s="2">
        <v>0.53</v>
      </c>
      <c r="N1854" t="s">
        <v>256</v>
      </c>
      <c r="O1854">
        <v>80</v>
      </c>
    </row>
    <row r="1855" spans="1:15">
      <c r="A1855" s="1">
        <v>46020</v>
      </c>
      <c r="B1855">
        <v>13</v>
      </c>
      <c r="C1855" t="s">
        <v>100</v>
      </c>
      <c r="D1855">
        <v>12</v>
      </c>
      <c r="E1855" s="2">
        <v>11.5</v>
      </c>
      <c r="F1855" s="2">
        <v>299.89</v>
      </c>
      <c r="G1855" s="2">
        <v>-286.60000000000002</v>
      </c>
      <c r="H1855" s="2">
        <v>363.7</v>
      </c>
      <c r="I1855" s="2">
        <v>-357.2</v>
      </c>
      <c r="J1855" s="2">
        <v>5.24</v>
      </c>
      <c r="K1855" s="2">
        <v>0.7</v>
      </c>
      <c r="L1855" s="2">
        <v>5.29</v>
      </c>
      <c r="M1855" s="2">
        <v>0.44</v>
      </c>
      <c r="N1855" t="s">
        <v>256</v>
      </c>
      <c r="O1855">
        <v>80</v>
      </c>
    </row>
    <row r="1856" spans="1:15">
      <c r="A1856" s="1">
        <v>46020</v>
      </c>
      <c r="B1856">
        <v>13</v>
      </c>
      <c r="C1856" t="s">
        <v>100</v>
      </c>
      <c r="D1856">
        <v>12</v>
      </c>
      <c r="E1856" s="2">
        <v>12</v>
      </c>
      <c r="F1856" s="2">
        <v>279.31</v>
      </c>
      <c r="G1856" s="2">
        <v>-267.64999999999998</v>
      </c>
      <c r="H1856" s="2">
        <v>276.11</v>
      </c>
      <c r="I1856" s="2">
        <v>-263.29000000000002</v>
      </c>
      <c r="J1856" s="2">
        <v>4.7300000000000004</v>
      </c>
      <c r="K1856" s="2">
        <v>0.5</v>
      </c>
      <c r="L1856" s="2">
        <v>4.75</v>
      </c>
      <c r="M1856" s="2">
        <v>0.34</v>
      </c>
      <c r="N1856" t="s">
        <v>256</v>
      </c>
      <c r="O1856">
        <v>80</v>
      </c>
    </row>
    <row r="1857" spans="1:15">
      <c r="A1857" s="1">
        <v>46020</v>
      </c>
      <c r="B1857">
        <v>13</v>
      </c>
      <c r="C1857" t="s">
        <v>100</v>
      </c>
      <c r="D1857">
        <v>12</v>
      </c>
      <c r="E1857" s="2">
        <v>12.5</v>
      </c>
      <c r="F1857" s="2">
        <v>239.02</v>
      </c>
      <c r="G1857" s="2">
        <v>-229.23</v>
      </c>
      <c r="H1857" s="2">
        <v>177.19</v>
      </c>
      <c r="I1857" s="2">
        <v>-165.72</v>
      </c>
      <c r="J1857" s="2">
        <v>4.28</v>
      </c>
      <c r="K1857" s="2">
        <v>0.16</v>
      </c>
      <c r="L1857" s="2">
        <v>4.28</v>
      </c>
      <c r="M1857" s="2">
        <v>0.25</v>
      </c>
      <c r="N1857" t="s">
        <v>256</v>
      </c>
      <c r="O1857">
        <v>80</v>
      </c>
    </row>
    <row r="1858" spans="1:15">
      <c r="A1858" s="1">
        <v>46020</v>
      </c>
      <c r="B1858">
        <v>13</v>
      </c>
      <c r="C1858" t="s">
        <v>100</v>
      </c>
      <c r="D1858">
        <v>12</v>
      </c>
      <c r="E1858" s="2">
        <v>13</v>
      </c>
      <c r="F1858" s="2">
        <v>206.05</v>
      </c>
      <c r="G1858" s="2">
        <v>-194.04</v>
      </c>
      <c r="H1858" s="2">
        <v>134.99</v>
      </c>
      <c r="I1858" s="2">
        <v>-117.1</v>
      </c>
      <c r="J1858" s="2">
        <v>4</v>
      </c>
      <c r="K1858" s="2">
        <v>-0.33</v>
      </c>
      <c r="L1858" s="2">
        <v>4.01</v>
      </c>
      <c r="M1858" s="2">
        <v>0.21</v>
      </c>
      <c r="N1858" t="s">
        <v>256</v>
      </c>
      <c r="O1858">
        <v>80</v>
      </c>
    </row>
    <row r="1859" spans="1:15">
      <c r="A1859" s="1">
        <v>46020</v>
      </c>
      <c r="B1859">
        <v>13</v>
      </c>
      <c r="C1859" t="s">
        <v>100</v>
      </c>
      <c r="D1859">
        <v>12</v>
      </c>
      <c r="E1859" s="2">
        <v>13.5</v>
      </c>
      <c r="F1859" s="2">
        <v>171.9</v>
      </c>
      <c r="G1859" s="2">
        <v>-165.73</v>
      </c>
      <c r="H1859" s="2">
        <v>139.34</v>
      </c>
      <c r="I1859" s="2">
        <v>-130.22999999999999</v>
      </c>
      <c r="J1859" s="2">
        <v>3.58</v>
      </c>
      <c r="K1859" s="2">
        <v>-0.35</v>
      </c>
      <c r="L1859" s="2">
        <v>3.6</v>
      </c>
      <c r="M1859" s="2">
        <v>0.15</v>
      </c>
      <c r="N1859" t="s">
        <v>256</v>
      </c>
      <c r="O1859">
        <v>80</v>
      </c>
    </row>
    <row r="1860" spans="1:15">
      <c r="A1860" s="1">
        <v>46020</v>
      </c>
      <c r="B1860">
        <v>13</v>
      </c>
      <c r="C1860" t="s">
        <v>100</v>
      </c>
      <c r="D1860">
        <v>12</v>
      </c>
      <c r="E1860" s="2">
        <v>14</v>
      </c>
      <c r="F1860" s="2">
        <v>130.47999999999999</v>
      </c>
      <c r="G1860" s="2">
        <v>-124.26</v>
      </c>
      <c r="H1860" s="2">
        <v>157.68</v>
      </c>
      <c r="I1860" s="2">
        <v>-152.88</v>
      </c>
      <c r="J1860" s="2">
        <v>3.06</v>
      </c>
      <c r="K1860" s="2">
        <v>-0.18</v>
      </c>
      <c r="L1860" s="2">
        <v>3.06</v>
      </c>
      <c r="M1860" s="2">
        <v>0.1</v>
      </c>
      <c r="N1860" t="s">
        <v>256</v>
      </c>
      <c r="O1860">
        <v>80</v>
      </c>
    </row>
    <row r="1861" spans="1:15">
      <c r="A1861" s="1">
        <v>46020</v>
      </c>
      <c r="B1861">
        <v>13</v>
      </c>
      <c r="C1861" t="s">
        <v>100</v>
      </c>
      <c r="D1861">
        <v>12</v>
      </c>
      <c r="E1861" s="2">
        <v>14.5</v>
      </c>
      <c r="F1861" s="2">
        <v>128.69999999999999</v>
      </c>
      <c r="G1861" s="2">
        <v>-120.74</v>
      </c>
      <c r="H1861" s="2">
        <v>172.73</v>
      </c>
      <c r="I1861" s="2">
        <v>-175.26</v>
      </c>
      <c r="J1861" s="2">
        <v>2.65</v>
      </c>
      <c r="K1861" s="2">
        <v>-0.74</v>
      </c>
      <c r="L1861" s="2">
        <v>2.75</v>
      </c>
      <c r="M1861" s="2">
        <v>0.08</v>
      </c>
      <c r="N1861" t="s">
        <v>256</v>
      </c>
      <c r="O1861">
        <v>80</v>
      </c>
    </row>
    <row r="1862" spans="1:15">
      <c r="A1862" s="1">
        <v>46020</v>
      </c>
      <c r="B1862">
        <v>13</v>
      </c>
      <c r="C1862" t="s">
        <v>100</v>
      </c>
      <c r="D1862">
        <v>12</v>
      </c>
      <c r="E1862" s="2">
        <v>15</v>
      </c>
      <c r="F1862" s="2">
        <v>134.13</v>
      </c>
      <c r="G1862" s="2">
        <v>-127.58</v>
      </c>
      <c r="H1862" s="2">
        <v>262.68</v>
      </c>
      <c r="I1862" s="2">
        <v>-247.54</v>
      </c>
      <c r="J1862" s="2">
        <v>2.25</v>
      </c>
      <c r="K1862" s="2">
        <v>-1.1200000000000001</v>
      </c>
      <c r="L1862" s="2">
        <v>2.5099999999999998</v>
      </c>
      <c r="M1862" s="2">
        <v>0.09</v>
      </c>
      <c r="N1862" t="s">
        <v>256</v>
      </c>
      <c r="O1862">
        <v>80</v>
      </c>
    </row>
    <row r="1863" spans="1:15">
      <c r="A1863" s="1">
        <v>46020</v>
      </c>
      <c r="B1863">
        <v>13</v>
      </c>
      <c r="C1863" t="s">
        <v>100</v>
      </c>
      <c r="D1863">
        <v>12</v>
      </c>
      <c r="E1863" s="2">
        <v>15.5</v>
      </c>
      <c r="F1863" s="2">
        <v>54.48</v>
      </c>
      <c r="G1863" s="2">
        <v>-48.66</v>
      </c>
      <c r="H1863" s="2">
        <v>343.8</v>
      </c>
      <c r="I1863" s="2">
        <v>-338.4</v>
      </c>
      <c r="J1863" s="2">
        <v>1.89</v>
      </c>
      <c r="K1863" s="2">
        <v>-1.26</v>
      </c>
      <c r="L1863" s="2">
        <v>2.27</v>
      </c>
      <c r="M1863" s="2">
        <v>0.08</v>
      </c>
      <c r="N1863" t="s">
        <v>256</v>
      </c>
      <c r="O1863">
        <v>80</v>
      </c>
    </row>
    <row r="1864" spans="1:15">
      <c r="A1864" s="1">
        <v>46020</v>
      </c>
      <c r="B1864">
        <v>13</v>
      </c>
      <c r="C1864" t="s">
        <v>100</v>
      </c>
      <c r="D1864">
        <v>12</v>
      </c>
      <c r="E1864" s="2">
        <v>16</v>
      </c>
      <c r="F1864" s="2">
        <v>198.75</v>
      </c>
      <c r="G1864" s="2">
        <v>-182.96</v>
      </c>
      <c r="H1864" s="2">
        <v>202.97</v>
      </c>
      <c r="I1864" s="2">
        <v>-163.47999999999999</v>
      </c>
      <c r="J1864" s="2">
        <v>1.7</v>
      </c>
      <c r="K1864" s="2">
        <v>-1.27</v>
      </c>
      <c r="L1864" s="2">
        <v>2.12</v>
      </c>
      <c r="M1864" s="2">
        <v>0.08</v>
      </c>
      <c r="N1864" t="s">
        <v>256</v>
      </c>
      <c r="O1864">
        <v>80</v>
      </c>
    </row>
    <row r="1865" spans="1:15">
      <c r="A1865" s="1">
        <v>46020</v>
      </c>
      <c r="B1865">
        <v>13</v>
      </c>
      <c r="C1865" t="s">
        <v>100</v>
      </c>
      <c r="D1865">
        <v>12</v>
      </c>
      <c r="E1865" s="2">
        <v>16.5</v>
      </c>
      <c r="F1865" s="2">
        <v>320.32</v>
      </c>
      <c r="G1865" s="2">
        <v>-315.98</v>
      </c>
      <c r="H1865" s="2">
        <v>215.16</v>
      </c>
      <c r="I1865" s="2">
        <v>-184.81</v>
      </c>
      <c r="J1865" s="2">
        <v>1.64</v>
      </c>
      <c r="K1865" s="2">
        <v>-1.46</v>
      </c>
      <c r="L1865" s="2">
        <v>2.19</v>
      </c>
      <c r="M1865" s="2">
        <v>0.04</v>
      </c>
      <c r="N1865" t="s">
        <v>256</v>
      </c>
      <c r="O1865">
        <v>80</v>
      </c>
    </row>
    <row r="1866" spans="1:15">
      <c r="A1866" s="1">
        <v>46020</v>
      </c>
      <c r="B1866">
        <v>13</v>
      </c>
      <c r="C1866" t="s">
        <v>100</v>
      </c>
      <c r="D1866">
        <v>12</v>
      </c>
      <c r="E1866" s="2">
        <v>17</v>
      </c>
      <c r="F1866" s="2">
        <v>380.48</v>
      </c>
      <c r="G1866" s="2">
        <v>-373.31</v>
      </c>
      <c r="H1866" s="2">
        <v>240.28</v>
      </c>
      <c r="I1866" s="2">
        <v>-245.2</v>
      </c>
      <c r="J1866" s="2">
        <v>1.55</v>
      </c>
      <c r="K1866" s="2">
        <v>-1.26</v>
      </c>
      <c r="L1866" s="2">
        <v>2</v>
      </c>
      <c r="M1866" s="2">
        <v>0</v>
      </c>
      <c r="N1866" t="s">
        <v>256</v>
      </c>
      <c r="O1866">
        <v>80</v>
      </c>
    </row>
    <row r="1867" spans="1:15">
      <c r="A1867" s="1">
        <v>46020</v>
      </c>
      <c r="B1867">
        <v>13</v>
      </c>
      <c r="C1867" t="s">
        <v>100</v>
      </c>
      <c r="D1867">
        <v>12</v>
      </c>
      <c r="E1867" s="2">
        <v>17.5</v>
      </c>
      <c r="F1867" s="2">
        <v>375.43</v>
      </c>
      <c r="G1867" s="2">
        <v>-372.24</v>
      </c>
      <c r="H1867" s="2">
        <v>156.94</v>
      </c>
      <c r="I1867" s="2">
        <v>-152.75</v>
      </c>
      <c r="J1867" s="2">
        <v>1.45</v>
      </c>
      <c r="K1867" s="2">
        <v>-1.1299999999999999</v>
      </c>
      <c r="L1867" s="2">
        <v>1.84</v>
      </c>
      <c r="M1867" s="2">
        <v>0</v>
      </c>
      <c r="N1867" t="s">
        <v>256</v>
      </c>
      <c r="O1867">
        <v>80</v>
      </c>
    </row>
    <row r="1868" spans="1:15">
      <c r="A1868" s="1">
        <v>46020</v>
      </c>
      <c r="B1868">
        <v>13</v>
      </c>
      <c r="C1868" t="s">
        <v>100</v>
      </c>
      <c r="D1868">
        <v>12</v>
      </c>
      <c r="E1868" s="2">
        <v>18</v>
      </c>
      <c r="F1868" s="2">
        <v>344.23</v>
      </c>
      <c r="G1868" s="2">
        <v>-337.71</v>
      </c>
      <c r="H1868" s="2">
        <v>91.03</v>
      </c>
      <c r="I1868" s="2">
        <v>-93.38</v>
      </c>
      <c r="J1868" s="2">
        <v>1.33</v>
      </c>
      <c r="K1868" s="2">
        <v>-0.9</v>
      </c>
      <c r="L1868" s="2">
        <v>1.61</v>
      </c>
      <c r="M1868" s="2">
        <v>0.03</v>
      </c>
      <c r="N1868" t="s">
        <v>256</v>
      </c>
      <c r="O1868">
        <v>80</v>
      </c>
    </row>
    <row r="1869" spans="1:15">
      <c r="A1869" s="1">
        <v>46020</v>
      </c>
      <c r="B1869">
        <v>13</v>
      </c>
      <c r="C1869" t="s">
        <v>100</v>
      </c>
      <c r="D1869">
        <v>12</v>
      </c>
      <c r="E1869" s="2">
        <v>18.5</v>
      </c>
      <c r="F1869" s="2">
        <v>312.45</v>
      </c>
      <c r="G1869" s="2">
        <v>-308.14</v>
      </c>
      <c r="H1869" s="2">
        <v>57.95</v>
      </c>
      <c r="I1869" s="2">
        <v>-58.5</v>
      </c>
      <c r="J1869" s="2">
        <v>1.23</v>
      </c>
      <c r="K1869" s="2">
        <v>-0.99</v>
      </c>
      <c r="L1869" s="2">
        <v>1.57</v>
      </c>
      <c r="M1869" s="2">
        <v>0.09</v>
      </c>
      <c r="N1869" t="s">
        <v>256</v>
      </c>
      <c r="O1869">
        <v>80</v>
      </c>
    </row>
    <row r="1870" spans="1:15">
      <c r="A1870" s="1">
        <v>46020</v>
      </c>
      <c r="B1870">
        <v>13</v>
      </c>
      <c r="C1870" t="s">
        <v>100</v>
      </c>
      <c r="D1870">
        <v>12</v>
      </c>
      <c r="E1870" s="2">
        <v>19</v>
      </c>
      <c r="F1870" s="2">
        <v>299.42</v>
      </c>
      <c r="G1870" s="2">
        <v>-295.49</v>
      </c>
      <c r="H1870" s="2">
        <v>52.51</v>
      </c>
      <c r="I1870" s="2">
        <v>-40.770000000000003</v>
      </c>
      <c r="J1870" s="2">
        <v>1.01</v>
      </c>
      <c r="K1870" s="2">
        <v>-1.2</v>
      </c>
      <c r="L1870" s="2">
        <v>1.56</v>
      </c>
      <c r="M1870" s="2">
        <v>0.17</v>
      </c>
      <c r="N1870" t="s">
        <v>256</v>
      </c>
      <c r="O1870">
        <v>80</v>
      </c>
    </row>
    <row r="1871" spans="1:15">
      <c r="A1871" s="1">
        <v>46020</v>
      </c>
      <c r="B1871">
        <v>13</v>
      </c>
      <c r="C1871" t="s">
        <v>100</v>
      </c>
      <c r="D1871">
        <v>12</v>
      </c>
      <c r="E1871" s="2">
        <v>19.5</v>
      </c>
      <c r="F1871" s="2">
        <v>205.71</v>
      </c>
      <c r="G1871" s="2">
        <v>-200.51</v>
      </c>
      <c r="H1871" s="2">
        <v>99.29</v>
      </c>
      <c r="I1871" s="2">
        <v>-92.08</v>
      </c>
      <c r="J1871" s="2">
        <v>0.86</v>
      </c>
      <c r="K1871" s="2">
        <v>-1.39</v>
      </c>
      <c r="L1871" s="2">
        <v>1.63</v>
      </c>
      <c r="M1871" s="2">
        <v>0.2</v>
      </c>
      <c r="N1871" t="s">
        <v>256</v>
      </c>
      <c r="O1871">
        <v>80</v>
      </c>
    </row>
    <row r="1872" spans="1:15">
      <c r="A1872" s="1">
        <v>46020</v>
      </c>
      <c r="B1872">
        <v>13</v>
      </c>
      <c r="C1872" t="s">
        <v>100</v>
      </c>
      <c r="D1872">
        <v>12</v>
      </c>
      <c r="E1872" s="2">
        <v>20</v>
      </c>
      <c r="F1872" s="2">
        <v>141.94</v>
      </c>
      <c r="G1872" s="2">
        <v>-135.57</v>
      </c>
      <c r="H1872" s="2">
        <v>160.54</v>
      </c>
      <c r="I1872" s="2">
        <v>-141.01</v>
      </c>
      <c r="J1872" s="2">
        <v>0.61</v>
      </c>
      <c r="K1872" s="2">
        <v>-1.04</v>
      </c>
      <c r="L1872" s="2">
        <v>1.21</v>
      </c>
      <c r="M1872" s="2">
        <v>0.18</v>
      </c>
      <c r="N1872" t="s">
        <v>256</v>
      </c>
      <c r="O1872">
        <v>80</v>
      </c>
    </row>
    <row r="1873" spans="1:15">
      <c r="A1873" s="1">
        <v>46020</v>
      </c>
      <c r="B1873">
        <v>13</v>
      </c>
      <c r="C1873" t="s">
        <v>100</v>
      </c>
      <c r="D1873">
        <v>12</v>
      </c>
      <c r="E1873" s="2">
        <v>20.5</v>
      </c>
      <c r="F1873" s="2">
        <v>147.34</v>
      </c>
      <c r="G1873" s="2">
        <v>-142.84</v>
      </c>
      <c r="H1873" s="2">
        <v>164.04</v>
      </c>
      <c r="I1873" s="2">
        <v>-153.96</v>
      </c>
      <c r="J1873" s="2">
        <v>0.49</v>
      </c>
      <c r="K1873" s="2">
        <v>-0.71</v>
      </c>
      <c r="L1873" s="2">
        <v>0.86</v>
      </c>
      <c r="M1873" s="2">
        <v>0.08</v>
      </c>
      <c r="N1873" t="s">
        <v>256</v>
      </c>
      <c r="O1873">
        <v>80</v>
      </c>
    </row>
    <row r="1874" spans="1:15">
      <c r="A1874" s="1">
        <v>46020</v>
      </c>
      <c r="B1874">
        <v>13</v>
      </c>
      <c r="C1874" t="s">
        <v>100</v>
      </c>
      <c r="D1874">
        <v>12</v>
      </c>
      <c r="E1874" s="2">
        <v>21</v>
      </c>
      <c r="F1874" s="2">
        <v>157.5</v>
      </c>
      <c r="G1874" s="2">
        <v>-152.53</v>
      </c>
      <c r="H1874" s="2">
        <v>170.65</v>
      </c>
      <c r="I1874" s="2">
        <v>-171.95</v>
      </c>
      <c r="J1874" s="2">
        <v>0.3</v>
      </c>
      <c r="K1874" s="2">
        <v>-0.28999999999999998</v>
      </c>
      <c r="L1874" s="2">
        <v>0.41</v>
      </c>
      <c r="M1874" s="2">
        <v>0.03</v>
      </c>
      <c r="N1874" t="s">
        <v>256</v>
      </c>
      <c r="O1874">
        <v>80</v>
      </c>
    </row>
    <row r="1875" spans="1:15">
      <c r="A1875" s="1">
        <v>46020</v>
      </c>
      <c r="B1875">
        <v>13</v>
      </c>
      <c r="C1875" t="s">
        <v>100</v>
      </c>
      <c r="D1875">
        <v>12</v>
      </c>
      <c r="E1875" s="2">
        <v>21.5</v>
      </c>
      <c r="F1875" s="2">
        <v>177.64</v>
      </c>
      <c r="G1875" s="2">
        <v>-174.03</v>
      </c>
      <c r="H1875" s="2">
        <v>174.26</v>
      </c>
      <c r="I1875" s="2">
        <v>-175.34</v>
      </c>
      <c r="J1875" s="2">
        <v>0.11</v>
      </c>
      <c r="K1875" s="2">
        <v>-0.09</v>
      </c>
      <c r="L1875" s="2">
        <v>0.14000000000000001</v>
      </c>
      <c r="M1875" s="2">
        <v>-0.01</v>
      </c>
      <c r="N1875" t="s">
        <v>256</v>
      </c>
      <c r="O1875">
        <v>80</v>
      </c>
    </row>
    <row r="1876" spans="1:15">
      <c r="A1876" s="1">
        <v>46020</v>
      </c>
      <c r="B1876">
        <v>13</v>
      </c>
      <c r="C1876" t="s">
        <v>100</v>
      </c>
      <c r="D1876">
        <v>12</v>
      </c>
      <c r="E1876" s="2">
        <v>22</v>
      </c>
      <c r="F1876" s="2">
        <v>190.16</v>
      </c>
      <c r="G1876" s="2">
        <v>-183.67</v>
      </c>
      <c r="H1876" s="2">
        <v>201.5</v>
      </c>
      <c r="I1876" s="2">
        <v>-172.67</v>
      </c>
      <c r="J1876" s="2">
        <v>0.03</v>
      </c>
      <c r="K1876" s="2">
        <v>0.09</v>
      </c>
      <c r="L1876" s="2">
        <v>0.09</v>
      </c>
      <c r="M1876" s="2">
        <v>-0.05</v>
      </c>
      <c r="N1876" t="s">
        <v>256</v>
      </c>
      <c r="O1876">
        <v>80</v>
      </c>
    </row>
    <row r="1877" spans="1:15">
      <c r="A1877" s="1">
        <v>46027</v>
      </c>
      <c r="B1877">
        <v>14</v>
      </c>
      <c r="C1877" t="s">
        <v>94</v>
      </c>
      <c r="D1877">
        <v>14</v>
      </c>
      <c r="E1877" s="2">
        <v>0.5</v>
      </c>
      <c r="F1877" s="2">
        <v>-281.85000000000002</v>
      </c>
      <c r="G1877" s="2">
        <v>277.08999999999997</v>
      </c>
      <c r="H1877" s="2">
        <v>-743.57</v>
      </c>
      <c r="I1877" s="2">
        <v>783.04</v>
      </c>
      <c r="J1877" s="2">
        <v>-1.6</v>
      </c>
      <c r="K1877" s="2">
        <v>11.33</v>
      </c>
      <c r="L1877" s="2">
        <v>11.44</v>
      </c>
      <c r="M1877" s="2">
        <v>0.35</v>
      </c>
      <c r="N1877" t="s">
        <v>259</v>
      </c>
      <c r="O1877">
        <v>32</v>
      </c>
    </row>
    <row r="1878" spans="1:15">
      <c r="A1878" s="1">
        <v>46027</v>
      </c>
      <c r="B1878">
        <v>14</v>
      </c>
      <c r="C1878" t="s">
        <v>94</v>
      </c>
      <c r="D1878">
        <v>14</v>
      </c>
      <c r="E1878" s="2">
        <v>1</v>
      </c>
      <c r="F1878" s="2">
        <v>-281.55</v>
      </c>
      <c r="G1878" s="2">
        <v>277.05</v>
      </c>
      <c r="H1878" s="2">
        <v>-744.25</v>
      </c>
      <c r="I1878" s="2">
        <v>782.69</v>
      </c>
      <c r="J1878" s="2">
        <v>1.5</v>
      </c>
      <c r="K1878" s="2">
        <v>14.26</v>
      </c>
      <c r="L1878" s="2">
        <v>14.34</v>
      </c>
      <c r="M1878" s="2">
        <v>7.0000000000000007E-2</v>
      </c>
      <c r="N1878" t="s">
        <v>259</v>
      </c>
      <c r="O1878">
        <v>32</v>
      </c>
    </row>
    <row r="1879" spans="1:15">
      <c r="A1879" s="1">
        <v>46027</v>
      </c>
      <c r="B1879">
        <v>14</v>
      </c>
      <c r="C1879" t="s">
        <v>94</v>
      </c>
      <c r="D1879">
        <v>14</v>
      </c>
      <c r="E1879" s="2">
        <v>1.5</v>
      </c>
      <c r="F1879" s="2">
        <v>-17.170000000000002</v>
      </c>
      <c r="G1879" s="2">
        <v>26.25</v>
      </c>
      <c r="H1879" s="2">
        <v>-272.77</v>
      </c>
      <c r="I1879" s="2">
        <v>299.41000000000003</v>
      </c>
      <c r="J1879" s="2">
        <v>4.6500000000000004</v>
      </c>
      <c r="K1879" s="2">
        <v>16.78</v>
      </c>
      <c r="L1879" s="2">
        <v>17.420000000000002</v>
      </c>
      <c r="M1879" s="2">
        <v>-0.15</v>
      </c>
      <c r="N1879" t="s">
        <v>259</v>
      </c>
      <c r="O1879">
        <v>32</v>
      </c>
    </row>
    <row r="1880" spans="1:15">
      <c r="A1880" s="1">
        <v>46027</v>
      </c>
      <c r="B1880">
        <v>14</v>
      </c>
      <c r="C1880" t="s">
        <v>94</v>
      </c>
      <c r="D1880">
        <v>14</v>
      </c>
      <c r="E1880" s="2">
        <v>2</v>
      </c>
      <c r="F1880" s="2">
        <v>46.5</v>
      </c>
      <c r="G1880" s="2">
        <v>-41.18</v>
      </c>
      <c r="H1880" s="2">
        <v>-221.21</v>
      </c>
      <c r="I1880" s="2">
        <v>231.51</v>
      </c>
      <c r="J1880" s="2">
        <v>4.29</v>
      </c>
      <c r="K1880" s="2">
        <v>16.600000000000001</v>
      </c>
      <c r="L1880" s="2">
        <v>17.149999999999999</v>
      </c>
      <c r="M1880" s="2">
        <v>-0.33</v>
      </c>
      <c r="N1880" t="s">
        <v>259</v>
      </c>
      <c r="O1880">
        <v>32</v>
      </c>
    </row>
    <row r="1881" spans="1:15">
      <c r="A1881" s="1">
        <v>46027</v>
      </c>
      <c r="B1881">
        <v>14</v>
      </c>
      <c r="C1881" t="s">
        <v>94</v>
      </c>
      <c r="D1881">
        <v>14</v>
      </c>
      <c r="E1881" s="2">
        <v>2.5</v>
      </c>
      <c r="F1881" s="2">
        <v>55.09</v>
      </c>
      <c r="G1881" s="2">
        <v>-49.29</v>
      </c>
      <c r="H1881" s="2">
        <v>-199.23</v>
      </c>
      <c r="I1881" s="2">
        <v>210.47</v>
      </c>
      <c r="J1881" s="2">
        <v>5.65</v>
      </c>
      <c r="K1881" s="2">
        <v>16.899999999999999</v>
      </c>
      <c r="L1881" s="2">
        <v>17.82</v>
      </c>
      <c r="M1881" s="2">
        <v>-0.32</v>
      </c>
      <c r="N1881" t="s">
        <v>259</v>
      </c>
      <c r="O1881">
        <v>32</v>
      </c>
    </row>
    <row r="1882" spans="1:15">
      <c r="A1882" s="1">
        <v>46027</v>
      </c>
      <c r="B1882">
        <v>14</v>
      </c>
      <c r="C1882" t="s">
        <v>94</v>
      </c>
      <c r="D1882">
        <v>14</v>
      </c>
      <c r="E1882" s="2">
        <v>3</v>
      </c>
      <c r="F1882" s="2">
        <v>22.77</v>
      </c>
      <c r="G1882" s="2">
        <v>-14.66</v>
      </c>
      <c r="H1882" s="2">
        <v>-144.96</v>
      </c>
      <c r="I1882" s="2">
        <v>154.75</v>
      </c>
      <c r="J1882" s="2">
        <v>6.5</v>
      </c>
      <c r="K1882" s="2">
        <v>17.05</v>
      </c>
      <c r="L1882" s="2">
        <v>18.25</v>
      </c>
      <c r="M1882" s="2">
        <v>-0.28000000000000003</v>
      </c>
      <c r="N1882" t="s">
        <v>259</v>
      </c>
      <c r="O1882">
        <v>32</v>
      </c>
    </row>
    <row r="1883" spans="1:15">
      <c r="A1883" s="1">
        <v>46027</v>
      </c>
      <c r="B1883">
        <v>14</v>
      </c>
      <c r="C1883" t="s">
        <v>94</v>
      </c>
      <c r="D1883">
        <v>14</v>
      </c>
      <c r="E1883" s="2">
        <v>3.5</v>
      </c>
      <c r="F1883" s="2">
        <v>-9.68</v>
      </c>
      <c r="G1883" s="2">
        <v>15.77</v>
      </c>
      <c r="H1883" s="2">
        <v>-88</v>
      </c>
      <c r="I1883" s="2">
        <v>100.6</v>
      </c>
      <c r="J1883" s="2">
        <v>6.9</v>
      </c>
      <c r="K1883" s="2">
        <v>17.190000000000001</v>
      </c>
      <c r="L1883" s="2">
        <v>18.53</v>
      </c>
      <c r="M1883" s="2">
        <v>-0.27</v>
      </c>
      <c r="N1883" t="s">
        <v>259</v>
      </c>
      <c r="O1883">
        <v>32</v>
      </c>
    </row>
    <row r="1884" spans="1:15">
      <c r="A1884" s="1">
        <v>46027</v>
      </c>
      <c r="B1884">
        <v>14</v>
      </c>
      <c r="C1884" t="s">
        <v>94</v>
      </c>
      <c r="D1884">
        <v>14</v>
      </c>
      <c r="E1884" s="2">
        <v>4</v>
      </c>
      <c r="F1884" s="2">
        <v>55.85</v>
      </c>
      <c r="G1884" s="2">
        <v>-48.68</v>
      </c>
      <c r="H1884" s="2">
        <v>-79.66</v>
      </c>
      <c r="I1884" s="2">
        <v>70.540000000000006</v>
      </c>
      <c r="J1884" s="2">
        <v>6.92</v>
      </c>
      <c r="K1884" s="2">
        <v>17.46</v>
      </c>
      <c r="L1884" s="2">
        <v>18.78</v>
      </c>
      <c r="M1884" s="2">
        <v>-0.39</v>
      </c>
      <c r="N1884" t="s">
        <v>259</v>
      </c>
      <c r="O1884">
        <v>32</v>
      </c>
    </row>
    <row r="1885" spans="1:15">
      <c r="A1885" s="1">
        <v>46027</v>
      </c>
      <c r="B1885">
        <v>14</v>
      </c>
      <c r="C1885" t="s">
        <v>94</v>
      </c>
      <c r="D1885">
        <v>14</v>
      </c>
      <c r="E1885" s="2">
        <v>4.5</v>
      </c>
      <c r="F1885" s="2">
        <v>74.739999999999995</v>
      </c>
      <c r="G1885" s="2">
        <v>-64.67</v>
      </c>
      <c r="H1885" s="2">
        <v>-49.92</v>
      </c>
      <c r="I1885" s="2">
        <v>65.25</v>
      </c>
      <c r="J1885" s="2">
        <v>6.85</v>
      </c>
      <c r="K1885" s="2">
        <v>17.329999999999998</v>
      </c>
      <c r="L1885" s="2">
        <v>18.63</v>
      </c>
      <c r="M1885" s="2">
        <v>-0.6</v>
      </c>
      <c r="N1885" t="s">
        <v>259</v>
      </c>
      <c r="O1885">
        <v>32</v>
      </c>
    </row>
    <row r="1886" spans="1:15">
      <c r="A1886" s="1">
        <v>46027</v>
      </c>
      <c r="B1886">
        <v>14</v>
      </c>
      <c r="C1886" t="s">
        <v>94</v>
      </c>
      <c r="D1886">
        <v>14</v>
      </c>
      <c r="E1886" s="2">
        <v>5</v>
      </c>
      <c r="F1886" s="2">
        <v>18.07</v>
      </c>
      <c r="G1886" s="2">
        <v>-8.83</v>
      </c>
      <c r="H1886" s="2">
        <v>19.850000000000001</v>
      </c>
      <c r="I1886" s="2">
        <v>-7.49</v>
      </c>
      <c r="J1886" s="2">
        <v>7.46</v>
      </c>
      <c r="K1886" s="2">
        <v>16.71</v>
      </c>
      <c r="L1886" s="2">
        <v>18.309999999999999</v>
      </c>
      <c r="M1886" s="2">
        <v>-0.73</v>
      </c>
      <c r="N1886" t="s">
        <v>259</v>
      </c>
      <c r="O1886">
        <v>32</v>
      </c>
    </row>
    <row r="1887" spans="1:15">
      <c r="A1887" s="1">
        <v>46027</v>
      </c>
      <c r="B1887">
        <v>14</v>
      </c>
      <c r="C1887" t="s">
        <v>94</v>
      </c>
      <c r="D1887">
        <v>14</v>
      </c>
      <c r="E1887" s="2">
        <v>5.5</v>
      </c>
      <c r="F1887" s="2">
        <v>10.53</v>
      </c>
      <c r="G1887" s="2">
        <v>-1.24</v>
      </c>
      <c r="H1887" s="2">
        <v>27.18</v>
      </c>
      <c r="I1887" s="2">
        <v>-23.64</v>
      </c>
      <c r="J1887" s="2">
        <v>7.93</v>
      </c>
      <c r="K1887" s="2">
        <v>16.64</v>
      </c>
      <c r="L1887" s="2">
        <v>18.43</v>
      </c>
      <c r="M1887" s="2">
        <v>-0.83</v>
      </c>
      <c r="N1887" t="s">
        <v>259</v>
      </c>
      <c r="O1887">
        <v>32</v>
      </c>
    </row>
    <row r="1888" spans="1:15">
      <c r="A1888" s="1">
        <v>46027</v>
      </c>
      <c r="B1888">
        <v>14</v>
      </c>
      <c r="C1888" t="s">
        <v>94</v>
      </c>
      <c r="D1888">
        <v>14</v>
      </c>
      <c r="E1888" s="2">
        <v>6</v>
      </c>
      <c r="F1888" s="2">
        <v>21.34</v>
      </c>
      <c r="G1888" s="2">
        <v>-13.23</v>
      </c>
      <c r="H1888" s="2">
        <v>-36.78</v>
      </c>
      <c r="I1888" s="2">
        <v>39.479999999999997</v>
      </c>
      <c r="J1888" s="2">
        <v>8.24</v>
      </c>
      <c r="K1888" s="2">
        <v>17.04</v>
      </c>
      <c r="L1888" s="2">
        <v>18.920000000000002</v>
      </c>
      <c r="M1888" s="2">
        <v>-0.83</v>
      </c>
      <c r="N1888" t="s">
        <v>259</v>
      </c>
      <c r="O1888">
        <v>32</v>
      </c>
    </row>
    <row r="1889" spans="1:15">
      <c r="A1889" s="1">
        <v>46027</v>
      </c>
      <c r="B1889">
        <v>14</v>
      </c>
      <c r="C1889" t="s">
        <v>94</v>
      </c>
      <c r="D1889">
        <v>14</v>
      </c>
      <c r="E1889" s="2">
        <v>6.5</v>
      </c>
      <c r="F1889" s="2">
        <v>18.079999999999998</v>
      </c>
      <c r="G1889" s="2">
        <v>-7.14</v>
      </c>
      <c r="H1889" s="2">
        <v>-81.73</v>
      </c>
      <c r="I1889" s="2">
        <v>75.650000000000006</v>
      </c>
      <c r="J1889" s="2">
        <v>8.41</v>
      </c>
      <c r="K1889" s="2">
        <v>17.04</v>
      </c>
      <c r="L1889" s="2">
        <v>19</v>
      </c>
      <c r="M1889" s="2">
        <v>-0.85</v>
      </c>
      <c r="N1889" t="s">
        <v>259</v>
      </c>
      <c r="O1889">
        <v>32</v>
      </c>
    </row>
    <row r="1890" spans="1:15">
      <c r="A1890" s="1">
        <v>46027</v>
      </c>
      <c r="B1890">
        <v>14</v>
      </c>
      <c r="C1890" t="s">
        <v>94</v>
      </c>
      <c r="D1890">
        <v>14</v>
      </c>
      <c r="E1890" s="2">
        <v>7</v>
      </c>
      <c r="F1890" s="2">
        <v>102.92</v>
      </c>
      <c r="G1890" s="2">
        <v>-95.07</v>
      </c>
      <c r="H1890" s="2">
        <v>-62.42</v>
      </c>
      <c r="I1890" s="2">
        <v>66.77</v>
      </c>
      <c r="J1890" s="2">
        <v>7.98</v>
      </c>
      <c r="K1890" s="2">
        <v>16.61</v>
      </c>
      <c r="L1890" s="2">
        <v>18.420000000000002</v>
      </c>
      <c r="M1890" s="2">
        <v>-0.81</v>
      </c>
      <c r="N1890" t="s">
        <v>259</v>
      </c>
      <c r="O1890">
        <v>32</v>
      </c>
    </row>
    <row r="1891" spans="1:15">
      <c r="A1891" s="1">
        <v>46027</v>
      </c>
      <c r="B1891">
        <v>14</v>
      </c>
      <c r="C1891" t="s">
        <v>94</v>
      </c>
      <c r="D1891">
        <v>14</v>
      </c>
      <c r="E1891" s="2">
        <v>7.5</v>
      </c>
      <c r="F1891" s="2">
        <v>61.07</v>
      </c>
      <c r="G1891" s="2">
        <v>-52.46</v>
      </c>
      <c r="H1891" s="2">
        <v>-81.11</v>
      </c>
      <c r="I1891" s="2">
        <v>81.540000000000006</v>
      </c>
      <c r="J1891" s="2">
        <v>7.91</v>
      </c>
      <c r="K1891" s="2">
        <v>16.29</v>
      </c>
      <c r="L1891" s="2">
        <v>18.11</v>
      </c>
      <c r="M1891" s="2">
        <v>-0.71</v>
      </c>
      <c r="N1891" t="s">
        <v>259</v>
      </c>
      <c r="O1891">
        <v>32</v>
      </c>
    </row>
    <row r="1892" spans="1:15">
      <c r="A1892" s="1">
        <v>46027</v>
      </c>
      <c r="B1892">
        <v>14</v>
      </c>
      <c r="C1892" t="s">
        <v>94</v>
      </c>
      <c r="D1892">
        <v>14</v>
      </c>
      <c r="E1892" s="2">
        <v>8</v>
      </c>
      <c r="F1892" s="2">
        <v>40.340000000000003</v>
      </c>
      <c r="G1892" s="2">
        <v>-30.17</v>
      </c>
      <c r="H1892" s="2">
        <v>-88.75</v>
      </c>
      <c r="I1892" s="2">
        <v>75.02</v>
      </c>
      <c r="J1892" s="2">
        <v>7.66</v>
      </c>
      <c r="K1892" s="2">
        <v>15.43</v>
      </c>
      <c r="L1892" s="2">
        <v>17.22</v>
      </c>
      <c r="M1892" s="2">
        <v>-0.56999999999999995</v>
      </c>
      <c r="N1892" t="s">
        <v>259</v>
      </c>
      <c r="O1892">
        <v>32</v>
      </c>
    </row>
    <row r="1893" spans="1:15">
      <c r="A1893" s="1">
        <v>46027</v>
      </c>
      <c r="B1893">
        <v>14</v>
      </c>
      <c r="C1893" t="s">
        <v>94</v>
      </c>
      <c r="D1893">
        <v>14</v>
      </c>
      <c r="E1893" s="2">
        <v>8.5</v>
      </c>
      <c r="F1893" s="2">
        <v>8.31</v>
      </c>
      <c r="G1893" s="2">
        <v>2.35</v>
      </c>
      <c r="H1893" s="2">
        <v>-62.58</v>
      </c>
      <c r="I1893" s="2">
        <v>60.25</v>
      </c>
      <c r="J1893" s="2">
        <v>7.48</v>
      </c>
      <c r="K1893" s="2">
        <v>14.23</v>
      </c>
      <c r="L1893" s="2">
        <v>16.079999999999998</v>
      </c>
      <c r="M1893" s="2">
        <v>-0.42</v>
      </c>
      <c r="N1893" t="s">
        <v>259</v>
      </c>
      <c r="O1893">
        <v>32</v>
      </c>
    </row>
    <row r="1894" spans="1:15">
      <c r="A1894" s="1">
        <v>46027</v>
      </c>
      <c r="B1894">
        <v>14</v>
      </c>
      <c r="C1894" t="s">
        <v>94</v>
      </c>
      <c r="D1894">
        <v>14</v>
      </c>
      <c r="E1894" s="2">
        <v>9</v>
      </c>
      <c r="F1894" s="2">
        <v>-38.39</v>
      </c>
      <c r="G1894" s="2">
        <v>49.95</v>
      </c>
      <c r="H1894" s="2">
        <v>-53.73</v>
      </c>
      <c r="I1894" s="2">
        <v>54.5</v>
      </c>
      <c r="J1894" s="2">
        <v>7.45</v>
      </c>
      <c r="K1894" s="2">
        <v>12.98</v>
      </c>
      <c r="L1894" s="2">
        <v>14.97</v>
      </c>
      <c r="M1894" s="2">
        <v>-0.34</v>
      </c>
      <c r="N1894" t="s">
        <v>259</v>
      </c>
      <c r="O1894">
        <v>32</v>
      </c>
    </row>
    <row r="1895" spans="1:15">
      <c r="A1895" s="1">
        <v>46027</v>
      </c>
      <c r="B1895">
        <v>14</v>
      </c>
      <c r="C1895" t="s">
        <v>94</v>
      </c>
      <c r="D1895">
        <v>14</v>
      </c>
      <c r="E1895" s="2">
        <v>9.5</v>
      </c>
      <c r="F1895" s="2">
        <v>-120.91</v>
      </c>
      <c r="G1895" s="2">
        <v>129.6</v>
      </c>
      <c r="H1895" s="2">
        <v>-17.41</v>
      </c>
      <c r="I1895" s="2">
        <v>24.61</v>
      </c>
      <c r="J1895" s="2">
        <v>7.43</v>
      </c>
      <c r="K1895" s="2">
        <v>11.48</v>
      </c>
      <c r="L1895" s="2">
        <v>13.68</v>
      </c>
      <c r="M1895" s="2">
        <v>-0.38</v>
      </c>
      <c r="N1895" t="s">
        <v>259</v>
      </c>
      <c r="O1895">
        <v>32</v>
      </c>
    </row>
    <row r="1896" spans="1:15">
      <c r="A1896" s="1">
        <v>46027</v>
      </c>
      <c r="B1896">
        <v>14</v>
      </c>
      <c r="C1896" t="s">
        <v>94</v>
      </c>
      <c r="D1896">
        <v>14</v>
      </c>
      <c r="E1896" s="2">
        <v>10</v>
      </c>
      <c r="F1896" s="2">
        <v>-226.19</v>
      </c>
      <c r="G1896" s="2">
        <v>240.19</v>
      </c>
      <c r="H1896" s="2">
        <v>-102.46</v>
      </c>
      <c r="I1896" s="2">
        <v>112.2</v>
      </c>
      <c r="J1896" s="2">
        <v>6.95</v>
      </c>
      <c r="K1896" s="2">
        <v>10.39</v>
      </c>
      <c r="L1896" s="2">
        <v>12.5</v>
      </c>
      <c r="M1896" s="2">
        <v>-0.32</v>
      </c>
      <c r="N1896" t="s">
        <v>259</v>
      </c>
      <c r="O1896">
        <v>32</v>
      </c>
    </row>
    <row r="1897" spans="1:15">
      <c r="A1897" s="1">
        <v>46027</v>
      </c>
      <c r="B1897">
        <v>14</v>
      </c>
      <c r="C1897" t="s">
        <v>94</v>
      </c>
      <c r="D1897">
        <v>14</v>
      </c>
      <c r="E1897" s="2">
        <v>10.5</v>
      </c>
      <c r="F1897" s="2">
        <v>-207.45</v>
      </c>
      <c r="G1897" s="2">
        <v>219.95</v>
      </c>
      <c r="H1897" s="2">
        <v>-68.03</v>
      </c>
      <c r="I1897" s="2">
        <v>73.37</v>
      </c>
      <c r="J1897" s="2">
        <v>6.01</v>
      </c>
      <c r="K1897" s="2">
        <v>8.8699999999999992</v>
      </c>
      <c r="L1897" s="2">
        <v>10.71</v>
      </c>
      <c r="M1897" s="2">
        <v>-0.32</v>
      </c>
      <c r="N1897" t="s">
        <v>259</v>
      </c>
      <c r="O1897">
        <v>32</v>
      </c>
    </row>
    <row r="1898" spans="1:15">
      <c r="A1898" s="1">
        <v>46027</v>
      </c>
      <c r="B1898">
        <v>14</v>
      </c>
      <c r="C1898" t="s">
        <v>94</v>
      </c>
      <c r="D1898">
        <v>14</v>
      </c>
      <c r="E1898" s="2">
        <v>11</v>
      </c>
      <c r="F1898" s="2">
        <v>-181.33</v>
      </c>
      <c r="G1898" s="2">
        <v>188.32</v>
      </c>
      <c r="H1898" s="2">
        <v>-7.11</v>
      </c>
      <c r="I1898" s="2">
        <v>16.600000000000001</v>
      </c>
      <c r="J1898" s="2">
        <v>5.52</v>
      </c>
      <c r="K1898" s="2">
        <v>8.09</v>
      </c>
      <c r="L1898" s="2">
        <v>9.7899999999999991</v>
      </c>
      <c r="M1898" s="2">
        <v>-0.27</v>
      </c>
      <c r="N1898" t="s">
        <v>259</v>
      </c>
      <c r="O1898">
        <v>32</v>
      </c>
    </row>
    <row r="1899" spans="1:15">
      <c r="A1899" s="1">
        <v>46027</v>
      </c>
      <c r="B1899">
        <v>14</v>
      </c>
      <c r="C1899" t="s">
        <v>94</v>
      </c>
      <c r="D1899">
        <v>14</v>
      </c>
      <c r="E1899" s="2">
        <v>11.5</v>
      </c>
      <c r="F1899" s="2">
        <v>-80.569999999999993</v>
      </c>
      <c r="G1899" s="2">
        <v>90.38</v>
      </c>
      <c r="H1899" s="2">
        <v>3.34</v>
      </c>
      <c r="I1899" s="2">
        <v>6.46</v>
      </c>
      <c r="J1899" s="2">
        <v>5.14</v>
      </c>
      <c r="K1899" s="2">
        <v>7.66</v>
      </c>
      <c r="L1899" s="2">
        <v>9.23</v>
      </c>
      <c r="M1899" s="2">
        <v>-0.28000000000000003</v>
      </c>
      <c r="N1899" t="s">
        <v>259</v>
      </c>
      <c r="O1899">
        <v>32</v>
      </c>
    </row>
    <row r="1900" spans="1:15">
      <c r="A1900" s="1">
        <v>46027</v>
      </c>
      <c r="B1900">
        <v>14</v>
      </c>
      <c r="C1900" t="s">
        <v>94</v>
      </c>
      <c r="D1900">
        <v>14</v>
      </c>
      <c r="E1900" s="2">
        <v>12</v>
      </c>
      <c r="F1900" s="2">
        <v>-146.01</v>
      </c>
      <c r="G1900" s="2">
        <v>160.80000000000001</v>
      </c>
      <c r="H1900" s="2">
        <v>-25.73</v>
      </c>
      <c r="I1900" s="2">
        <v>33.94</v>
      </c>
      <c r="J1900" s="2">
        <v>4.91</v>
      </c>
      <c r="K1900" s="2">
        <v>7.35</v>
      </c>
      <c r="L1900" s="2">
        <v>8.84</v>
      </c>
      <c r="M1900" s="2">
        <v>-0.28000000000000003</v>
      </c>
      <c r="N1900" t="s">
        <v>259</v>
      </c>
      <c r="O1900">
        <v>32</v>
      </c>
    </row>
    <row r="1901" spans="1:15">
      <c r="A1901" s="1">
        <v>46027</v>
      </c>
      <c r="B1901">
        <v>14</v>
      </c>
      <c r="C1901" t="s">
        <v>94</v>
      </c>
      <c r="D1901">
        <v>14</v>
      </c>
      <c r="E1901" s="2">
        <v>12.5</v>
      </c>
      <c r="F1901" s="2">
        <v>-141.71</v>
      </c>
      <c r="G1901" s="2">
        <v>149.25</v>
      </c>
      <c r="H1901" s="2">
        <v>42.82</v>
      </c>
      <c r="I1901" s="2">
        <v>-29.09</v>
      </c>
      <c r="J1901" s="2">
        <v>4.79</v>
      </c>
      <c r="K1901" s="2">
        <v>6.81</v>
      </c>
      <c r="L1901" s="2">
        <v>8.33</v>
      </c>
      <c r="M1901" s="2">
        <v>-0.28999999999999998</v>
      </c>
      <c r="N1901" t="s">
        <v>259</v>
      </c>
      <c r="O1901">
        <v>32</v>
      </c>
    </row>
    <row r="1902" spans="1:15">
      <c r="A1902" s="1">
        <v>46027</v>
      </c>
      <c r="B1902">
        <v>14</v>
      </c>
      <c r="C1902" t="s">
        <v>94</v>
      </c>
      <c r="D1902">
        <v>14</v>
      </c>
      <c r="E1902" s="2">
        <v>13</v>
      </c>
      <c r="F1902" s="2">
        <v>-77.930000000000007</v>
      </c>
      <c r="G1902" s="2">
        <v>89.24</v>
      </c>
      <c r="H1902" s="2">
        <v>36.82</v>
      </c>
      <c r="I1902" s="2">
        <v>-27.51</v>
      </c>
      <c r="J1902" s="2">
        <v>4.51</v>
      </c>
      <c r="K1902" s="2">
        <v>6.49</v>
      </c>
      <c r="L1902" s="2">
        <v>7.9</v>
      </c>
      <c r="M1902" s="2">
        <v>-0.34</v>
      </c>
      <c r="N1902" t="s">
        <v>259</v>
      </c>
      <c r="O1902">
        <v>32</v>
      </c>
    </row>
    <row r="1903" spans="1:15">
      <c r="A1903" s="1">
        <v>46027</v>
      </c>
      <c r="B1903">
        <v>14</v>
      </c>
      <c r="C1903" t="s">
        <v>94</v>
      </c>
      <c r="D1903">
        <v>14</v>
      </c>
      <c r="E1903" s="2">
        <v>13.5</v>
      </c>
      <c r="F1903" s="2">
        <v>-73.069999999999993</v>
      </c>
      <c r="G1903" s="2">
        <v>82.26</v>
      </c>
      <c r="H1903" s="2">
        <v>41.47</v>
      </c>
      <c r="I1903" s="2">
        <v>-39.46</v>
      </c>
      <c r="J1903" s="2">
        <v>3.88</v>
      </c>
      <c r="K1903" s="2">
        <v>6.17</v>
      </c>
      <c r="L1903" s="2">
        <v>7.29</v>
      </c>
      <c r="M1903" s="2">
        <v>-0.37</v>
      </c>
      <c r="N1903" t="s">
        <v>259</v>
      </c>
      <c r="O1903">
        <v>32</v>
      </c>
    </row>
    <row r="1904" spans="1:15">
      <c r="A1904" s="1">
        <v>46027</v>
      </c>
      <c r="B1904">
        <v>14</v>
      </c>
      <c r="C1904" t="s">
        <v>94</v>
      </c>
      <c r="D1904">
        <v>14</v>
      </c>
      <c r="E1904" s="2">
        <v>14</v>
      </c>
      <c r="F1904" s="2">
        <v>-76.03</v>
      </c>
      <c r="G1904" s="2">
        <v>82.55</v>
      </c>
      <c r="H1904" s="2">
        <v>56.68</v>
      </c>
      <c r="I1904" s="2">
        <v>-52.63</v>
      </c>
      <c r="J1904" s="2">
        <v>2.98</v>
      </c>
      <c r="K1904" s="2">
        <v>5.64</v>
      </c>
      <c r="L1904" s="2">
        <v>6.38</v>
      </c>
      <c r="M1904" s="2">
        <v>-0.33</v>
      </c>
      <c r="N1904" t="s">
        <v>259</v>
      </c>
      <c r="O1904">
        <v>32</v>
      </c>
    </row>
    <row r="1905" spans="1:15">
      <c r="A1905" s="1">
        <v>46027</v>
      </c>
      <c r="B1905">
        <v>14</v>
      </c>
      <c r="C1905" t="s">
        <v>94</v>
      </c>
      <c r="D1905">
        <v>14</v>
      </c>
      <c r="E1905" s="2">
        <v>14.5</v>
      </c>
      <c r="F1905" s="2">
        <v>-65.010000000000005</v>
      </c>
      <c r="G1905" s="2">
        <v>71.91</v>
      </c>
      <c r="H1905" s="2">
        <v>88.68</v>
      </c>
      <c r="I1905" s="2">
        <v>-71.06</v>
      </c>
      <c r="J1905" s="2">
        <v>1.98</v>
      </c>
      <c r="K1905" s="2">
        <v>4.8499999999999996</v>
      </c>
      <c r="L1905" s="2">
        <v>5.24</v>
      </c>
      <c r="M1905" s="2">
        <v>-0.3</v>
      </c>
      <c r="N1905" t="s">
        <v>259</v>
      </c>
      <c r="O1905">
        <v>32</v>
      </c>
    </row>
    <row r="1906" spans="1:15">
      <c r="A1906" s="1">
        <v>46027</v>
      </c>
      <c r="B1906">
        <v>14</v>
      </c>
      <c r="C1906" t="s">
        <v>94</v>
      </c>
      <c r="D1906">
        <v>14</v>
      </c>
      <c r="E1906" s="2">
        <v>15</v>
      </c>
      <c r="F1906" s="2">
        <v>-23.62</v>
      </c>
      <c r="G1906" s="2">
        <v>31.81</v>
      </c>
      <c r="H1906" s="2">
        <v>104.65</v>
      </c>
      <c r="I1906" s="2">
        <v>-89.8</v>
      </c>
      <c r="J1906" s="2">
        <v>1.05</v>
      </c>
      <c r="K1906" s="2">
        <v>4.18</v>
      </c>
      <c r="L1906" s="2">
        <v>4.3099999999999996</v>
      </c>
      <c r="M1906" s="2">
        <v>-0.39</v>
      </c>
      <c r="N1906" t="s">
        <v>259</v>
      </c>
      <c r="O1906">
        <v>32</v>
      </c>
    </row>
    <row r="1907" spans="1:15">
      <c r="A1907" s="1">
        <v>46027</v>
      </c>
      <c r="B1907">
        <v>14</v>
      </c>
      <c r="C1907" t="s">
        <v>94</v>
      </c>
      <c r="D1907">
        <v>14</v>
      </c>
      <c r="E1907" s="2">
        <v>15.5</v>
      </c>
      <c r="F1907" s="2">
        <v>-88.99</v>
      </c>
      <c r="G1907" s="2">
        <v>92.08</v>
      </c>
      <c r="H1907" s="2">
        <v>54.47</v>
      </c>
      <c r="I1907" s="2">
        <v>-36.58</v>
      </c>
      <c r="J1907" s="2">
        <v>0.46</v>
      </c>
      <c r="K1907" s="2">
        <v>3.6</v>
      </c>
      <c r="L1907" s="2">
        <v>3.63</v>
      </c>
      <c r="M1907" s="2">
        <v>-0.49</v>
      </c>
      <c r="N1907" t="s">
        <v>259</v>
      </c>
      <c r="O1907">
        <v>32</v>
      </c>
    </row>
    <row r="1908" spans="1:15">
      <c r="A1908" s="1">
        <v>46027</v>
      </c>
      <c r="B1908">
        <v>14</v>
      </c>
      <c r="C1908" t="s">
        <v>94</v>
      </c>
      <c r="D1908">
        <v>14</v>
      </c>
      <c r="E1908" s="2">
        <v>16</v>
      </c>
      <c r="F1908" s="2">
        <v>-11.72</v>
      </c>
      <c r="G1908" s="2">
        <v>20.329999999999998</v>
      </c>
      <c r="H1908" s="2">
        <v>-17.71</v>
      </c>
      <c r="I1908" s="2">
        <v>27.14</v>
      </c>
      <c r="J1908" s="2">
        <v>-1.48</v>
      </c>
      <c r="K1908" s="2">
        <v>1.33</v>
      </c>
      <c r="L1908" s="2">
        <v>1.99</v>
      </c>
      <c r="M1908" s="2">
        <v>-0.23</v>
      </c>
      <c r="N1908" t="s">
        <v>259</v>
      </c>
      <c r="O1908">
        <v>32</v>
      </c>
    </row>
    <row r="1909" spans="1:15">
      <c r="A1909" s="1">
        <v>46027</v>
      </c>
      <c r="B1909">
        <v>14</v>
      </c>
      <c r="C1909" t="s">
        <v>94</v>
      </c>
      <c r="D1909">
        <v>14</v>
      </c>
      <c r="E1909" s="2">
        <v>16.5</v>
      </c>
      <c r="F1909" s="2">
        <v>6.56</v>
      </c>
      <c r="G1909" s="2">
        <v>0.43</v>
      </c>
      <c r="H1909" s="2">
        <v>-10.36</v>
      </c>
      <c r="I1909" s="2">
        <v>16.29</v>
      </c>
      <c r="J1909" s="2">
        <v>-1.41</v>
      </c>
      <c r="K1909" s="2">
        <v>1.57</v>
      </c>
      <c r="L1909" s="2">
        <v>2.11</v>
      </c>
      <c r="M1909" s="2">
        <v>-0.12</v>
      </c>
      <c r="N1909" t="s">
        <v>259</v>
      </c>
      <c r="O1909">
        <v>32</v>
      </c>
    </row>
    <row r="1910" spans="1:15">
      <c r="A1910" s="1">
        <v>46027</v>
      </c>
      <c r="B1910">
        <v>14</v>
      </c>
      <c r="C1910" t="s">
        <v>94</v>
      </c>
      <c r="D1910">
        <v>14</v>
      </c>
      <c r="E1910" s="2">
        <v>17</v>
      </c>
      <c r="F1910" s="2">
        <v>16.3</v>
      </c>
      <c r="G1910" s="2">
        <v>-11.18</v>
      </c>
      <c r="H1910" s="2">
        <v>4.03</v>
      </c>
      <c r="I1910" s="2">
        <v>-3.09</v>
      </c>
      <c r="J1910" s="2">
        <v>-1.37</v>
      </c>
      <c r="K1910" s="2">
        <v>1.65</v>
      </c>
      <c r="L1910" s="2">
        <v>2.14</v>
      </c>
      <c r="M1910" s="2">
        <v>-0.11</v>
      </c>
      <c r="N1910" t="s">
        <v>259</v>
      </c>
      <c r="O1910">
        <v>32</v>
      </c>
    </row>
    <row r="1911" spans="1:15">
      <c r="A1911" s="1">
        <v>46027</v>
      </c>
      <c r="B1911">
        <v>14</v>
      </c>
      <c r="C1911" t="s">
        <v>94</v>
      </c>
      <c r="D1911">
        <v>14</v>
      </c>
      <c r="E1911" s="2">
        <v>17.5</v>
      </c>
      <c r="F1911" s="2">
        <v>-10.39</v>
      </c>
      <c r="G1911" s="2">
        <v>17.239999999999998</v>
      </c>
      <c r="H1911" s="2">
        <v>33.75</v>
      </c>
      <c r="I1911" s="2">
        <v>-30.35</v>
      </c>
      <c r="J1911" s="2">
        <v>-1.41</v>
      </c>
      <c r="K1911" s="2">
        <v>1.81</v>
      </c>
      <c r="L1911" s="2">
        <v>2.2999999999999998</v>
      </c>
      <c r="M1911" s="2">
        <v>-0.05</v>
      </c>
      <c r="N1911" t="s">
        <v>259</v>
      </c>
      <c r="O1911">
        <v>32</v>
      </c>
    </row>
    <row r="1912" spans="1:15">
      <c r="A1912" s="1">
        <v>46027</v>
      </c>
      <c r="B1912">
        <v>14</v>
      </c>
      <c r="C1912" t="s">
        <v>94</v>
      </c>
      <c r="D1912">
        <v>14</v>
      </c>
      <c r="E1912" s="2">
        <v>18</v>
      </c>
      <c r="F1912" s="2">
        <v>-30.35</v>
      </c>
      <c r="G1912" s="2">
        <v>35.479999999999997</v>
      </c>
      <c r="H1912" s="2">
        <v>50.8</v>
      </c>
      <c r="I1912" s="2">
        <v>-39.47</v>
      </c>
      <c r="J1912" s="2">
        <v>-1.4</v>
      </c>
      <c r="K1912" s="2">
        <v>1.8</v>
      </c>
      <c r="L1912" s="2">
        <v>2.2799999999999998</v>
      </c>
      <c r="M1912" s="2">
        <v>-0.03</v>
      </c>
      <c r="N1912" t="s">
        <v>259</v>
      </c>
      <c r="O1912">
        <v>32</v>
      </c>
    </row>
    <row r="1913" spans="1:15">
      <c r="A1913" s="1">
        <v>46027</v>
      </c>
      <c r="B1913">
        <v>14</v>
      </c>
      <c r="C1913" t="s">
        <v>94</v>
      </c>
      <c r="D1913">
        <v>14</v>
      </c>
      <c r="E1913" s="2">
        <v>18.5</v>
      </c>
      <c r="F1913" s="2">
        <v>-34.29</v>
      </c>
      <c r="G1913" s="2">
        <v>45.72</v>
      </c>
      <c r="H1913" s="2">
        <v>68.099999999999994</v>
      </c>
      <c r="I1913" s="2">
        <v>-50.79</v>
      </c>
      <c r="J1913" s="2">
        <v>-1.4</v>
      </c>
      <c r="K1913" s="2">
        <v>1.81</v>
      </c>
      <c r="L1913" s="2">
        <v>2.29</v>
      </c>
      <c r="M1913" s="2">
        <v>0.02</v>
      </c>
      <c r="N1913" t="s">
        <v>259</v>
      </c>
      <c r="O1913">
        <v>32</v>
      </c>
    </row>
    <row r="1914" spans="1:15">
      <c r="A1914" s="1">
        <v>46027</v>
      </c>
      <c r="B1914">
        <v>14</v>
      </c>
      <c r="C1914" t="s">
        <v>94</v>
      </c>
      <c r="D1914">
        <v>14</v>
      </c>
      <c r="E1914" s="2">
        <v>19</v>
      </c>
      <c r="F1914" s="2">
        <v>-132.93</v>
      </c>
      <c r="G1914" s="2">
        <v>137.27000000000001</v>
      </c>
      <c r="H1914" s="2">
        <v>-40.32</v>
      </c>
      <c r="I1914" s="2">
        <v>50.95</v>
      </c>
      <c r="J1914" s="2">
        <v>-1.39</v>
      </c>
      <c r="K1914" s="2">
        <v>1.66</v>
      </c>
      <c r="L1914" s="2">
        <v>2.16</v>
      </c>
      <c r="M1914" s="2">
        <v>0.01</v>
      </c>
      <c r="N1914" t="s">
        <v>259</v>
      </c>
      <c r="O1914">
        <v>32</v>
      </c>
    </row>
    <row r="1915" spans="1:15">
      <c r="A1915" s="1">
        <v>46027</v>
      </c>
      <c r="B1915">
        <v>14</v>
      </c>
      <c r="C1915" t="s">
        <v>94</v>
      </c>
      <c r="D1915">
        <v>14</v>
      </c>
      <c r="E1915" s="2">
        <v>19.5</v>
      </c>
      <c r="F1915" s="2">
        <v>-132.96</v>
      </c>
      <c r="G1915" s="2">
        <v>137.47</v>
      </c>
      <c r="H1915" s="2">
        <v>-40.33</v>
      </c>
      <c r="I1915" s="2">
        <v>38.659999999999997</v>
      </c>
      <c r="J1915" s="2">
        <v>-1.36</v>
      </c>
      <c r="K1915" s="2">
        <v>1.47</v>
      </c>
      <c r="L1915" s="2">
        <v>2.0099999999999998</v>
      </c>
      <c r="M1915" s="2">
        <v>-0.06</v>
      </c>
      <c r="N1915" t="s">
        <v>259</v>
      </c>
      <c r="O1915">
        <v>32</v>
      </c>
    </row>
    <row r="1916" spans="1:15">
      <c r="A1916" s="1">
        <v>46027</v>
      </c>
      <c r="B1916">
        <v>14</v>
      </c>
      <c r="C1916" t="s">
        <v>94</v>
      </c>
      <c r="D1916">
        <v>14</v>
      </c>
      <c r="E1916" s="2">
        <v>20</v>
      </c>
      <c r="F1916" s="2">
        <v>-144.56</v>
      </c>
      <c r="G1916" s="2">
        <v>148.68</v>
      </c>
      <c r="H1916" s="2">
        <v>-47.91</v>
      </c>
      <c r="I1916" s="2">
        <v>40.5</v>
      </c>
      <c r="J1916" s="2">
        <v>-1.42</v>
      </c>
      <c r="K1916" s="2">
        <v>1.42</v>
      </c>
      <c r="L1916" s="2">
        <v>2</v>
      </c>
      <c r="M1916" s="2">
        <v>-0.02</v>
      </c>
      <c r="N1916" t="s">
        <v>259</v>
      </c>
      <c r="O1916">
        <v>32</v>
      </c>
    </row>
    <row r="1917" spans="1:15">
      <c r="A1917" s="1">
        <v>46027</v>
      </c>
      <c r="B1917">
        <v>14</v>
      </c>
      <c r="C1917" t="s">
        <v>94</v>
      </c>
      <c r="D1917">
        <v>14</v>
      </c>
      <c r="E1917" s="2">
        <v>20.5</v>
      </c>
      <c r="F1917" s="2">
        <v>-165.83</v>
      </c>
      <c r="G1917" s="2">
        <v>169.57</v>
      </c>
      <c r="H1917" s="2">
        <v>-18.98</v>
      </c>
      <c r="I1917" s="2">
        <v>14.63</v>
      </c>
      <c r="J1917" s="2">
        <v>-1.48</v>
      </c>
      <c r="K1917" s="2">
        <v>1.25</v>
      </c>
      <c r="L1917" s="2">
        <v>1.94</v>
      </c>
      <c r="M1917" s="2">
        <v>-0.02</v>
      </c>
      <c r="N1917" t="s">
        <v>259</v>
      </c>
      <c r="O1917">
        <v>32</v>
      </c>
    </row>
    <row r="1918" spans="1:15">
      <c r="A1918" s="1">
        <v>46027</v>
      </c>
      <c r="B1918">
        <v>14</v>
      </c>
      <c r="C1918" t="s">
        <v>94</v>
      </c>
      <c r="D1918">
        <v>14</v>
      </c>
      <c r="E1918" s="2">
        <v>21</v>
      </c>
      <c r="F1918" s="2">
        <v>-154.74</v>
      </c>
      <c r="G1918" s="2">
        <v>156.61000000000001</v>
      </c>
      <c r="H1918" s="2">
        <v>-12.28</v>
      </c>
      <c r="I1918" s="2">
        <v>12.67</v>
      </c>
      <c r="J1918" s="2">
        <v>-1.45</v>
      </c>
      <c r="K1918" s="2">
        <v>1.33</v>
      </c>
      <c r="L1918" s="2">
        <v>1.97</v>
      </c>
      <c r="M1918" s="2">
        <v>0.01</v>
      </c>
      <c r="N1918" t="s">
        <v>259</v>
      </c>
      <c r="O1918">
        <v>32</v>
      </c>
    </row>
    <row r="1919" spans="1:15">
      <c r="A1919" s="1">
        <v>46027</v>
      </c>
      <c r="B1919">
        <v>14</v>
      </c>
      <c r="C1919" t="s">
        <v>94</v>
      </c>
      <c r="D1919">
        <v>14</v>
      </c>
      <c r="E1919" s="2">
        <v>21.5</v>
      </c>
      <c r="F1919" s="2">
        <v>-74.98</v>
      </c>
      <c r="G1919" s="2">
        <v>81.23</v>
      </c>
      <c r="H1919" s="2">
        <v>-13.55</v>
      </c>
      <c r="I1919" s="2">
        <v>34.79</v>
      </c>
      <c r="J1919" s="2">
        <v>-1.42</v>
      </c>
      <c r="K1919" s="2">
        <v>1.47</v>
      </c>
      <c r="L1919" s="2">
        <v>2.04</v>
      </c>
      <c r="M1919" s="2">
        <v>0.04</v>
      </c>
      <c r="N1919" t="s">
        <v>259</v>
      </c>
      <c r="O1919">
        <v>32</v>
      </c>
    </row>
    <row r="1920" spans="1:15">
      <c r="A1920" s="1">
        <v>46027</v>
      </c>
      <c r="B1920">
        <v>14</v>
      </c>
      <c r="C1920" t="s">
        <v>94</v>
      </c>
      <c r="D1920">
        <v>14</v>
      </c>
      <c r="E1920" s="2">
        <v>22</v>
      </c>
      <c r="F1920" s="2">
        <v>-2.19</v>
      </c>
      <c r="G1920" s="2">
        <v>4.54</v>
      </c>
      <c r="H1920" s="2">
        <v>-103.8</v>
      </c>
      <c r="I1920" s="2">
        <v>118.71</v>
      </c>
      <c r="J1920" s="2">
        <v>-1.42</v>
      </c>
      <c r="K1920" s="2">
        <v>1.48</v>
      </c>
      <c r="L1920" s="2">
        <v>2.06</v>
      </c>
      <c r="M1920" s="2">
        <v>0.08</v>
      </c>
      <c r="N1920" t="s">
        <v>259</v>
      </c>
      <c r="O1920">
        <v>32</v>
      </c>
    </row>
    <row r="1921" spans="1:15">
      <c r="A1921" s="1">
        <v>46027</v>
      </c>
      <c r="B1921">
        <v>14</v>
      </c>
      <c r="C1921" t="s">
        <v>94</v>
      </c>
      <c r="D1921">
        <v>14</v>
      </c>
      <c r="E1921" s="2">
        <v>22.5</v>
      </c>
      <c r="F1921" s="2">
        <v>-38.18</v>
      </c>
      <c r="G1921" s="2">
        <v>40.22</v>
      </c>
      <c r="H1921" s="2">
        <v>-49.9</v>
      </c>
      <c r="I1921" s="2">
        <v>53.92</v>
      </c>
      <c r="J1921" s="2">
        <v>-1.69</v>
      </c>
      <c r="K1921" s="2">
        <v>1.26</v>
      </c>
      <c r="L1921" s="2">
        <v>2.1</v>
      </c>
      <c r="M1921" s="2">
        <v>0.06</v>
      </c>
      <c r="N1921" t="s">
        <v>259</v>
      </c>
      <c r="O1921">
        <v>32</v>
      </c>
    </row>
    <row r="1922" spans="1:15">
      <c r="A1922" s="1">
        <v>46027</v>
      </c>
      <c r="B1922">
        <v>14</v>
      </c>
      <c r="C1922" t="s">
        <v>94</v>
      </c>
      <c r="D1922">
        <v>14</v>
      </c>
      <c r="E1922" s="2">
        <v>23</v>
      </c>
      <c r="F1922" s="2">
        <v>-53.55</v>
      </c>
      <c r="G1922" s="2">
        <v>54.52</v>
      </c>
      <c r="H1922" s="2">
        <v>-8.77</v>
      </c>
      <c r="I1922" s="2">
        <v>12.65</v>
      </c>
      <c r="J1922" s="2">
        <v>-2.04</v>
      </c>
      <c r="K1922" s="2">
        <v>0.95</v>
      </c>
      <c r="L1922" s="2">
        <v>2.25</v>
      </c>
      <c r="M1922" s="2">
        <v>0.12</v>
      </c>
      <c r="N1922" t="s">
        <v>259</v>
      </c>
      <c r="O1922">
        <v>32</v>
      </c>
    </row>
    <row r="1923" spans="1:15">
      <c r="A1923" s="1">
        <v>46027</v>
      </c>
      <c r="B1923">
        <v>14</v>
      </c>
      <c r="C1923" t="s">
        <v>94</v>
      </c>
      <c r="D1923">
        <v>14</v>
      </c>
      <c r="E1923" s="2">
        <v>23.5</v>
      </c>
      <c r="F1923" s="2">
        <v>-62.52</v>
      </c>
      <c r="G1923" s="2">
        <v>64.42</v>
      </c>
      <c r="H1923" s="2">
        <v>12.61</v>
      </c>
      <c r="I1923" s="2">
        <v>-12.32</v>
      </c>
      <c r="J1923" s="2">
        <v>-2.1800000000000002</v>
      </c>
      <c r="K1923" s="2">
        <v>0.68</v>
      </c>
      <c r="L1923" s="2">
        <v>2.2799999999999998</v>
      </c>
      <c r="M1923" s="2">
        <v>0.11</v>
      </c>
      <c r="N1923" t="s">
        <v>259</v>
      </c>
      <c r="O1923">
        <v>32</v>
      </c>
    </row>
    <row r="1924" spans="1:15">
      <c r="A1924" s="1">
        <v>46027</v>
      </c>
      <c r="B1924">
        <v>14</v>
      </c>
      <c r="C1924" t="s">
        <v>94</v>
      </c>
      <c r="D1924">
        <v>14</v>
      </c>
      <c r="E1924" s="2">
        <v>24</v>
      </c>
      <c r="F1924" s="2">
        <v>-77.22</v>
      </c>
      <c r="G1924" s="2">
        <v>79.58</v>
      </c>
      <c r="H1924" s="2">
        <v>16.260000000000002</v>
      </c>
      <c r="I1924" s="2">
        <v>-16.88</v>
      </c>
      <c r="J1924" s="2">
        <v>-2.0699999999999998</v>
      </c>
      <c r="K1924" s="2">
        <v>0.45</v>
      </c>
      <c r="L1924" s="2">
        <v>2.12</v>
      </c>
      <c r="M1924" s="2">
        <v>0.1</v>
      </c>
      <c r="N1924" t="s">
        <v>259</v>
      </c>
      <c r="O1924">
        <v>32</v>
      </c>
    </row>
    <row r="1925" spans="1:15">
      <c r="A1925" s="1">
        <v>46027</v>
      </c>
      <c r="B1925">
        <v>14</v>
      </c>
      <c r="C1925" t="s">
        <v>94</v>
      </c>
      <c r="D1925">
        <v>14</v>
      </c>
      <c r="E1925" s="2">
        <v>24.5</v>
      </c>
      <c r="F1925" s="2">
        <v>-102.03</v>
      </c>
      <c r="G1925" s="2">
        <v>87.32</v>
      </c>
      <c r="H1925" s="2">
        <v>51.71</v>
      </c>
      <c r="I1925" s="2">
        <v>-28.16</v>
      </c>
      <c r="J1925" s="2">
        <v>-1.76</v>
      </c>
      <c r="K1925" s="2">
        <v>0.28999999999999998</v>
      </c>
      <c r="L1925" s="2">
        <v>1.78</v>
      </c>
      <c r="M1925" s="2">
        <v>0.09</v>
      </c>
      <c r="N1925" t="s">
        <v>259</v>
      </c>
      <c r="O1925">
        <v>32</v>
      </c>
    </row>
    <row r="1926" spans="1:15">
      <c r="A1926" s="1">
        <v>46027</v>
      </c>
      <c r="B1926">
        <v>14</v>
      </c>
      <c r="C1926" t="s">
        <v>94</v>
      </c>
      <c r="D1926">
        <v>14</v>
      </c>
      <c r="E1926" s="2">
        <v>25</v>
      </c>
      <c r="F1926" s="2">
        <v>-109.82</v>
      </c>
      <c r="G1926" s="2">
        <v>117.27</v>
      </c>
      <c r="H1926" s="2">
        <v>-38.520000000000003</v>
      </c>
      <c r="I1926" s="2">
        <v>57.03</v>
      </c>
      <c r="J1926" s="2">
        <v>-1.1200000000000001</v>
      </c>
      <c r="K1926" s="2">
        <v>1</v>
      </c>
      <c r="L1926" s="2">
        <v>1.5</v>
      </c>
      <c r="M1926" s="2">
        <v>0.08</v>
      </c>
      <c r="N1926" t="s">
        <v>259</v>
      </c>
      <c r="O1926">
        <v>32</v>
      </c>
    </row>
    <row r="1927" spans="1:15">
      <c r="A1927" s="1">
        <v>46027</v>
      </c>
      <c r="B1927">
        <v>14</v>
      </c>
      <c r="C1927" t="s">
        <v>94</v>
      </c>
      <c r="D1927">
        <v>14</v>
      </c>
      <c r="E1927" s="2">
        <v>25.5</v>
      </c>
      <c r="F1927" s="2">
        <v>-102.37</v>
      </c>
      <c r="G1927" s="2">
        <v>103.57</v>
      </c>
      <c r="H1927" s="2">
        <v>-46.46</v>
      </c>
      <c r="I1927" s="2">
        <v>39.58</v>
      </c>
      <c r="J1927" s="2">
        <v>-1.19</v>
      </c>
      <c r="K1927" s="2">
        <v>0.75</v>
      </c>
      <c r="L1927" s="2">
        <v>1.4</v>
      </c>
      <c r="M1927" s="2">
        <v>0.04</v>
      </c>
      <c r="N1927" t="s">
        <v>259</v>
      </c>
      <c r="O1927">
        <v>32</v>
      </c>
    </row>
    <row r="1928" spans="1:15">
      <c r="A1928" s="1">
        <v>46027</v>
      </c>
      <c r="B1928">
        <v>14</v>
      </c>
      <c r="C1928" t="s">
        <v>94</v>
      </c>
      <c r="D1928">
        <v>14</v>
      </c>
      <c r="E1928" s="2">
        <v>26</v>
      </c>
      <c r="F1928" s="2">
        <v>-57.56</v>
      </c>
      <c r="G1928" s="2">
        <v>59.12</v>
      </c>
      <c r="H1928" s="2">
        <v>-32.92</v>
      </c>
      <c r="I1928" s="2">
        <v>30.67</v>
      </c>
      <c r="J1928" s="2">
        <v>-1.42</v>
      </c>
      <c r="K1928" s="2">
        <v>0.54</v>
      </c>
      <c r="L1928" s="2">
        <v>1.52</v>
      </c>
      <c r="M1928" s="2">
        <v>0.02</v>
      </c>
      <c r="N1928" t="s">
        <v>259</v>
      </c>
      <c r="O1928">
        <v>32</v>
      </c>
    </row>
    <row r="1929" spans="1:15">
      <c r="A1929" s="1">
        <v>46027</v>
      </c>
      <c r="B1929">
        <v>14</v>
      </c>
      <c r="C1929" t="s">
        <v>94</v>
      </c>
      <c r="D1929">
        <v>14</v>
      </c>
      <c r="E1929" s="2">
        <v>26.5</v>
      </c>
      <c r="F1929" s="2">
        <v>-7.84</v>
      </c>
      <c r="G1929" s="2">
        <v>7.87</v>
      </c>
      <c r="H1929" s="2">
        <v>2.0299999999999998</v>
      </c>
      <c r="I1929" s="2">
        <v>-1.5</v>
      </c>
      <c r="J1929" s="2">
        <v>-1.33</v>
      </c>
      <c r="K1929" s="2">
        <v>0.43</v>
      </c>
      <c r="L1929" s="2">
        <v>1.39</v>
      </c>
      <c r="M1929" s="2">
        <v>0.04</v>
      </c>
      <c r="N1929" t="s">
        <v>259</v>
      </c>
      <c r="O1929">
        <v>32</v>
      </c>
    </row>
    <row r="1930" spans="1:15">
      <c r="A1930" s="1">
        <v>46027</v>
      </c>
      <c r="B1930">
        <v>14</v>
      </c>
      <c r="C1930" t="s">
        <v>94</v>
      </c>
      <c r="D1930">
        <v>14</v>
      </c>
      <c r="E1930" s="2">
        <v>27</v>
      </c>
      <c r="F1930" s="2">
        <v>45.47</v>
      </c>
      <c r="G1930" s="2">
        <v>-45.07</v>
      </c>
      <c r="H1930" s="2">
        <v>51.95</v>
      </c>
      <c r="I1930" s="2">
        <v>-45.33</v>
      </c>
      <c r="J1930" s="2">
        <v>-0.74</v>
      </c>
      <c r="K1930" s="2">
        <v>0.23</v>
      </c>
      <c r="L1930" s="2">
        <v>0.77</v>
      </c>
      <c r="M1930" s="2">
        <v>0.03</v>
      </c>
      <c r="N1930" t="s">
        <v>259</v>
      </c>
      <c r="O1930">
        <v>32</v>
      </c>
    </row>
    <row r="1931" spans="1:15">
      <c r="A1931" s="1">
        <v>46027</v>
      </c>
      <c r="B1931">
        <v>14</v>
      </c>
      <c r="C1931" t="s">
        <v>99</v>
      </c>
      <c r="D1931">
        <v>14</v>
      </c>
      <c r="E1931" s="2">
        <v>0.5</v>
      </c>
      <c r="F1931" s="2">
        <v>-381.45</v>
      </c>
      <c r="G1931" s="2">
        <v>401.49</v>
      </c>
      <c r="H1931" s="2">
        <v>-128.69999999999999</v>
      </c>
      <c r="I1931" s="2">
        <v>129.76</v>
      </c>
      <c r="J1931" s="2">
        <v>2.06</v>
      </c>
      <c r="K1931" s="2">
        <v>-5.51</v>
      </c>
      <c r="L1931" s="2">
        <v>5.89</v>
      </c>
      <c r="M1931" s="2">
        <v>-1.1000000000000001</v>
      </c>
      <c r="N1931" t="s">
        <v>259</v>
      </c>
      <c r="O1931">
        <v>60</v>
      </c>
    </row>
    <row r="1932" spans="1:15">
      <c r="A1932" s="1">
        <v>46027</v>
      </c>
      <c r="B1932">
        <v>14</v>
      </c>
      <c r="C1932" t="s">
        <v>99</v>
      </c>
      <c r="D1932">
        <v>14</v>
      </c>
      <c r="E1932" s="2">
        <v>1</v>
      </c>
      <c r="F1932" s="2">
        <v>-377.84</v>
      </c>
      <c r="G1932" s="2">
        <v>402.37</v>
      </c>
      <c r="H1932" s="2">
        <v>-127.99</v>
      </c>
      <c r="I1932" s="2">
        <v>132.01</v>
      </c>
      <c r="J1932" s="2">
        <v>2.69</v>
      </c>
      <c r="K1932" s="2">
        <v>-4.4000000000000004</v>
      </c>
      <c r="L1932" s="2">
        <v>5.16</v>
      </c>
      <c r="M1932" s="2">
        <v>-1.1200000000000001</v>
      </c>
      <c r="N1932" t="s">
        <v>259</v>
      </c>
      <c r="O1932">
        <v>60</v>
      </c>
    </row>
    <row r="1933" spans="1:15">
      <c r="A1933" s="1">
        <v>46027</v>
      </c>
      <c r="B1933">
        <v>14</v>
      </c>
      <c r="C1933" t="s">
        <v>99</v>
      </c>
      <c r="D1933">
        <v>14</v>
      </c>
      <c r="E1933" s="2">
        <v>1.5</v>
      </c>
      <c r="F1933" s="2">
        <v>-375.35</v>
      </c>
      <c r="G1933" s="2">
        <v>379.57</v>
      </c>
      <c r="H1933" s="2">
        <v>-147.84</v>
      </c>
      <c r="I1933" s="2">
        <v>142.5</v>
      </c>
      <c r="J1933" s="2">
        <v>3.43</v>
      </c>
      <c r="K1933" s="2">
        <v>-3.34</v>
      </c>
      <c r="L1933" s="2">
        <v>4.79</v>
      </c>
      <c r="M1933" s="2">
        <v>-1.04</v>
      </c>
      <c r="N1933" t="s">
        <v>259</v>
      </c>
      <c r="O1933">
        <v>60</v>
      </c>
    </row>
    <row r="1934" spans="1:15">
      <c r="A1934" s="1">
        <v>46027</v>
      </c>
      <c r="B1934">
        <v>14</v>
      </c>
      <c r="C1934" t="s">
        <v>99</v>
      </c>
      <c r="D1934">
        <v>14</v>
      </c>
      <c r="E1934" s="2">
        <v>2</v>
      </c>
      <c r="F1934" s="2">
        <v>-331.99</v>
      </c>
      <c r="G1934" s="2">
        <v>338.3</v>
      </c>
      <c r="H1934" s="2">
        <v>-214.51</v>
      </c>
      <c r="I1934" s="2">
        <v>206.32</v>
      </c>
      <c r="J1934" s="2">
        <v>3.59</v>
      </c>
      <c r="K1934" s="2">
        <v>-2.98</v>
      </c>
      <c r="L1934" s="2">
        <v>4.67</v>
      </c>
      <c r="M1934" s="2">
        <v>-0.98</v>
      </c>
      <c r="N1934" t="s">
        <v>259</v>
      </c>
      <c r="O1934">
        <v>60</v>
      </c>
    </row>
    <row r="1935" spans="1:15">
      <c r="A1935" s="1">
        <v>46027</v>
      </c>
      <c r="B1935">
        <v>14</v>
      </c>
      <c r="C1935" t="s">
        <v>99</v>
      </c>
      <c r="D1935">
        <v>14</v>
      </c>
      <c r="E1935" s="2">
        <v>2.5</v>
      </c>
      <c r="F1935" s="2">
        <v>-307.02</v>
      </c>
      <c r="G1935" s="2">
        <v>313.31</v>
      </c>
      <c r="H1935" s="2">
        <v>-193.7</v>
      </c>
      <c r="I1935" s="2">
        <v>199.22</v>
      </c>
      <c r="J1935" s="2">
        <v>3.69</v>
      </c>
      <c r="K1935" s="2">
        <v>-2.9</v>
      </c>
      <c r="L1935" s="2">
        <v>4.6900000000000004</v>
      </c>
      <c r="M1935" s="2">
        <v>-0.94</v>
      </c>
      <c r="N1935" t="s">
        <v>259</v>
      </c>
      <c r="O1935">
        <v>60</v>
      </c>
    </row>
    <row r="1936" spans="1:15">
      <c r="A1936" s="1">
        <v>46027</v>
      </c>
      <c r="B1936">
        <v>14</v>
      </c>
      <c r="C1936" t="s">
        <v>99</v>
      </c>
      <c r="D1936">
        <v>14</v>
      </c>
      <c r="E1936" s="2">
        <v>3</v>
      </c>
      <c r="F1936" s="2">
        <v>-269.11</v>
      </c>
      <c r="G1936" s="2">
        <v>275.20999999999998</v>
      </c>
      <c r="H1936" s="2">
        <v>-139.38999999999999</v>
      </c>
      <c r="I1936" s="2">
        <v>135.85</v>
      </c>
      <c r="J1936" s="2">
        <v>3.7</v>
      </c>
      <c r="K1936" s="2">
        <v>-3.07</v>
      </c>
      <c r="L1936" s="2">
        <v>4.8099999999999996</v>
      </c>
      <c r="M1936" s="2">
        <v>-0.96</v>
      </c>
      <c r="N1936" t="s">
        <v>259</v>
      </c>
      <c r="O1936">
        <v>60</v>
      </c>
    </row>
    <row r="1937" spans="1:15">
      <c r="A1937" s="1">
        <v>46027</v>
      </c>
      <c r="B1937">
        <v>14</v>
      </c>
      <c r="C1937" t="s">
        <v>99</v>
      </c>
      <c r="D1937">
        <v>14</v>
      </c>
      <c r="E1937" s="2">
        <v>3.5</v>
      </c>
      <c r="F1937" s="2">
        <v>-204.89</v>
      </c>
      <c r="G1937" s="2">
        <v>211.02</v>
      </c>
      <c r="H1937" s="2">
        <v>-82.94</v>
      </c>
      <c r="I1937" s="2">
        <v>78.84</v>
      </c>
      <c r="J1937" s="2">
        <v>3.77</v>
      </c>
      <c r="K1937" s="2">
        <v>-3.06</v>
      </c>
      <c r="L1937" s="2">
        <v>4.8600000000000003</v>
      </c>
      <c r="M1937" s="2">
        <v>-0.93</v>
      </c>
      <c r="N1937" t="s">
        <v>259</v>
      </c>
      <c r="O1937">
        <v>60</v>
      </c>
    </row>
    <row r="1938" spans="1:15">
      <c r="A1938" s="1">
        <v>46027</v>
      </c>
      <c r="B1938">
        <v>14</v>
      </c>
      <c r="C1938" t="s">
        <v>99</v>
      </c>
      <c r="D1938">
        <v>14</v>
      </c>
      <c r="E1938" s="2">
        <v>4</v>
      </c>
      <c r="F1938" s="2">
        <v>-148.22999999999999</v>
      </c>
      <c r="G1938" s="2">
        <v>156.13</v>
      </c>
      <c r="H1938" s="2">
        <v>-75.87</v>
      </c>
      <c r="I1938" s="2">
        <v>64.16</v>
      </c>
      <c r="J1938" s="2">
        <v>3.95</v>
      </c>
      <c r="K1938" s="2">
        <v>-2.92</v>
      </c>
      <c r="L1938" s="2">
        <v>4.91</v>
      </c>
      <c r="M1938" s="2">
        <v>-0.75</v>
      </c>
      <c r="N1938" t="s">
        <v>259</v>
      </c>
      <c r="O1938">
        <v>60</v>
      </c>
    </row>
    <row r="1939" spans="1:15">
      <c r="A1939" s="1">
        <v>46027</v>
      </c>
      <c r="B1939">
        <v>14</v>
      </c>
      <c r="C1939" t="s">
        <v>99</v>
      </c>
      <c r="D1939">
        <v>14</v>
      </c>
      <c r="E1939" s="2">
        <v>4.5</v>
      </c>
      <c r="F1939" s="2">
        <v>-100.44</v>
      </c>
      <c r="G1939" s="2">
        <v>105.03</v>
      </c>
      <c r="H1939" s="2">
        <v>-127.37</v>
      </c>
      <c r="I1939" s="2">
        <v>119.49</v>
      </c>
      <c r="J1939" s="2">
        <v>4.1399999999999997</v>
      </c>
      <c r="K1939" s="2">
        <v>-2.99</v>
      </c>
      <c r="L1939" s="2">
        <v>5.1100000000000003</v>
      </c>
      <c r="M1939" s="2">
        <v>-0.63</v>
      </c>
      <c r="N1939" t="s">
        <v>259</v>
      </c>
      <c r="O1939">
        <v>60</v>
      </c>
    </row>
    <row r="1940" spans="1:15">
      <c r="A1940" s="1">
        <v>46027</v>
      </c>
      <c r="B1940">
        <v>14</v>
      </c>
      <c r="C1940" t="s">
        <v>99</v>
      </c>
      <c r="D1940">
        <v>14</v>
      </c>
      <c r="E1940" s="2">
        <v>5</v>
      </c>
      <c r="F1940" s="2">
        <v>-25.76</v>
      </c>
      <c r="G1940" s="2">
        <v>31.51</v>
      </c>
      <c r="H1940" s="2">
        <v>-164.07</v>
      </c>
      <c r="I1940" s="2">
        <v>149.88999999999999</v>
      </c>
      <c r="J1940" s="2">
        <v>4.32</v>
      </c>
      <c r="K1940" s="2">
        <v>-3.16</v>
      </c>
      <c r="L1940" s="2">
        <v>5.35</v>
      </c>
      <c r="M1940" s="2">
        <v>-0.55000000000000004</v>
      </c>
      <c r="N1940" t="s">
        <v>259</v>
      </c>
      <c r="O1940">
        <v>60</v>
      </c>
    </row>
    <row r="1941" spans="1:15">
      <c r="A1941" s="1">
        <v>46027</v>
      </c>
      <c r="B1941">
        <v>14</v>
      </c>
      <c r="C1941" t="s">
        <v>99</v>
      </c>
      <c r="D1941">
        <v>14</v>
      </c>
      <c r="E1941" s="2">
        <v>5.5</v>
      </c>
      <c r="F1941" s="2">
        <v>41.23</v>
      </c>
      <c r="G1941" s="2">
        <v>-34.1</v>
      </c>
      <c r="H1941" s="2">
        <v>-165.67</v>
      </c>
      <c r="I1941" s="2">
        <v>152.79</v>
      </c>
      <c r="J1941" s="2">
        <v>4.58</v>
      </c>
      <c r="K1941" s="2">
        <v>-3.28</v>
      </c>
      <c r="L1941" s="2">
        <v>5.64</v>
      </c>
      <c r="M1941" s="2">
        <v>-0.49</v>
      </c>
      <c r="N1941" t="s">
        <v>259</v>
      </c>
      <c r="O1941">
        <v>60</v>
      </c>
    </row>
    <row r="1942" spans="1:15">
      <c r="A1942" s="1">
        <v>46027</v>
      </c>
      <c r="B1942">
        <v>14</v>
      </c>
      <c r="C1942" t="s">
        <v>99</v>
      </c>
      <c r="D1942">
        <v>14</v>
      </c>
      <c r="E1942" s="2">
        <v>6</v>
      </c>
      <c r="F1942" s="2">
        <v>77.349999999999994</v>
      </c>
      <c r="G1942" s="2">
        <v>-69.900000000000006</v>
      </c>
      <c r="H1942" s="2">
        <v>-189.87</v>
      </c>
      <c r="I1942" s="2">
        <v>183.82</v>
      </c>
      <c r="J1942" s="2">
        <v>4.84</v>
      </c>
      <c r="K1942" s="2">
        <v>-3.57</v>
      </c>
      <c r="L1942" s="2">
        <v>6.01</v>
      </c>
      <c r="M1942" s="2">
        <v>-0.37</v>
      </c>
      <c r="N1942" t="s">
        <v>259</v>
      </c>
      <c r="O1942">
        <v>60</v>
      </c>
    </row>
    <row r="1943" spans="1:15">
      <c r="A1943" s="1">
        <v>46027</v>
      </c>
      <c r="B1943">
        <v>14</v>
      </c>
      <c r="C1943" t="s">
        <v>99</v>
      </c>
      <c r="D1943">
        <v>14</v>
      </c>
      <c r="E1943" s="2">
        <v>6.5</v>
      </c>
      <c r="F1943" s="2">
        <v>181.65</v>
      </c>
      <c r="G1943" s="2">
        <v>-174.14</v>
      </c>
      <c r="H1943" s="2">
        <v>-187.22</v>
      </c>
      <c r="I1943" s="2">
        <v>172.77</v>
      </c>
      <c r="J1943" s="2">
        <v>5.04</v>
      </c>
      <c r="K1943" s="2">
        <v>-3.56</v>
      </c>
      <c r="L1943" s="2">
        <v>6.16</v>
      </c>
      <c r="M1943" s="2">
        <v>-0.32</v>
      </c>
      <c r="N1943" t="s">
        <v>259</v>
      </c>
      <c r="O1943">
        <v>60</v>
      </c>
    </row>
    <row r="1944" spans="1:15">
      <c r="A1944" s="1">
        <v>46027</v>
      </c>
      <c r="B1944">
        <v>14</v>
      </c>
      <c r="C1944" t="s">
        <v>99</v>
      </c>
      <c r="D1944">
        <v>14</v>
      </c>
      <c r="E1944" s="2">
        <v>7</v>
      </c>
      <c r="F1944" s="2">
        <v>284.83999999999997</v>
      </c>
      <c r="G1944" s="2">
        <v>-277.58</v>
      </c>
      <c r="H1944" s="2">
        <v>-191.64</v>
      </c>
      <c r="I1944" s="2">
        <v>175.42</v>
      </c>
      <c r="J1944" s="2">
        <v>5.27</v>
      </c>
      <c r="K1944" s="2">
        <v>-3.49</v>
      </c>
      <c r="L1944" s="2">
        <v>6.32</v>
      </c>
      <c r="M1944" s="2">
        <v>-0.23</v>
      </c>
      <c r="N1944" t="s">
        <v>259</v>
      </c>
      <c r="O1944">
        <v>60</v>
      </c>
    </row>
    <row r="1945" spans="1:15">
      <c r="A1945" s="1">
        <v>46027</v>
      </c>
      <c r="B1945">
        <v>14</v>
      </c>
      <c r="C1945" t="s">
        <v>99</v>
      </c>
      <c r="D1945">
        <v>14</v>
      </c>
      <c r="E1945" s="2">
        <v>7.5</v>
      </c>
      <c r="F1945" s="2">
        <v>309.85000000000002</v>
      </c>
      <c r="G1945" s="2">
        <v>-293.92</v>
      </c>
      <c r="H1945" s="2">
        <v>-170.29</v>
      </c>
      <c r="I1945" s="2">
        <v>162.63999999999999</v>
      </c>
      <c r="J1945" s="2">
        <v>5.43</v>
      </c>
      <c r="K1945" s="2">
        <v>-3.4</v>
      </c>
      <c r="L1945" s="2">
        <v>6.41</v>
      </c>
      <c r="M1945" s="2">
        <v>-0.16</v>
      </c>
      <c r="N1945" t="s">
        <v>259</v>
      </c>
      <c r="O1945">
        <v>60</v>
      </c>
    </row>
    <row r="1946" spans="1:15">
      <c r="A1946" s="1">
        <v>46027</v>
      </c>
      <c r="B1946">
        <v>14</v>
      </c>
      <c r="C1946" t="s">
        <v>99</v>
      </c>
      <c r="D1946">
        <v>14</v>
      </c>
      <c r="E1946" s="2">
        <v>8</v>
      </c>
      <c r="F1946" s="2">
        <v>276.10000000000002</v>
      </c>
      <c r="G1946" s="2">
        <v>-273.24</v>
      </c>
      <c r="H1946" s="2">
        <v>-73.150000000000006</v>
      </c>
      <c r="I1946" s="2">
        <v>80.540000000000006</v>
      </c>
      <c r="J1946" s="2">
        <v>5.69</v>
      </c>
      <c r="K1946" s="2">
        <v>-3.46</v>
      </c>
      <c r="L1946" s="2">
        <v>6.66</v>
      </c>
      <c r="M1946" s="2">
        <v>-0.21</v>
      </c>
      <c r="N1946" t="s">
        <v>259</v>
      </c>
      <c r="O1946">
        <v>60</v>
      </c>
    </row>
    <row r="1947" spans="1:15">
      <c r="A1947" s="1">
        <v>46027</v>
      </c>
      <c r="B1947">
        <v>14</v>
      </c>
      <c r="C1947" t="s">
        <v>99</v>
      </c>
      <c r="D1947">
        <v>14</v>
      </c>
      <c r="E1947" s="2">
        <v>8.5</v>
      </c>
      <c r="F1947" s="2">
        <v>340.41</v>
      </c>
      <c r="G1947" s="2">
        <v>-329.57</v>
      </c>
      <c r="H1947" s="2">
        <v>-13.91</v>
      </c>
      <c r="I1947" s="2">
        <v>20.45</v>
      </c>
      <c r="J1947" s="2">
        <v>5.94</v>
      </c>
      <c r="K1947" s="2">
        <v>-3.6</v>
      </c>
      <c r="L1947" s="2">
        <v>6.94</v>
      </c>
      <c r="M1947" s="2">
        <v>-0.19</v>
      </c>
      <c r="N1947" t="s">
        <v>259</v>
      </c>
      <c r="O1947">
        <v>60</v>
      </c>
    </row>
    <row r="1948" spans="1:15">
      <c r="A1948" s="1">
        <v>46027</v>
      </c>
      <c r="B1948">
        <v>14</v>
      </c>
      <c r="C1948" t="s">
        <v>99</v>
      </c>
      <c r="D1948">
        <v>14</v>
      </c>
      <c r="E1948" s="2">
        <v>9</v>
      </c>
      <c r="F1948" s="2">
        <v>325.82</v>
      </c>
      <c r="G1948" s="2">
        <v>-318.19</v>
      </c>
      <c r="H1948" s="2">
        <v>35.99</v>
      </c>
      <c r="I1948" s="2">
        <v>-13.46</v>
      </c>
      <c r="J1948" s="2">
        <v>6.04</v>
      </c>
      <c r="K1948" s="2">
        <v>-3.91</v>
      </c>
      <c r="L1948" s="2">
        <v>7.2</v>
      </c>
      <c r="M1948" s="2">
        <v>-0.17</v>
      </c>
      <c r="N1948" t="s">
        <v>259</v>
      </c>
      <c r="O1948">
        <v>60</v>
      </c>
    </row>
    <row r="1949" spans="1:15">
      <c r="A1949" s="1">
        <v>46027</v>
      </c>
      <c r="B1949">
        <v>14</v>
      </c>
      <c r="C1949" t="s">
        <v>99</v>
      </c>
      <c r="D1949">
        <v>14</v>
      </c>
      <c r="E1949" s="2">
        <v>9.5</v>
      </c>
      <c r="F1949" s="2">
        <v>218.12</v>
      </c>
      <c r="G1949" s="2">
        <v>-209.88</v>
      </c>
      <c r="H1949" s="2">
        <v>105.35</v>
      </c>
      <c r="I1949" s="2">
        <v>-116.79</v>
      </c>
      <c r="J1949" s="2">
        <v>6.31</v>
      </c>
      <c r="K1949" s="2">
        <v>-4.6900000000000004</v>
      </c>
      <c r="L1949" s="2">
        <v>7.86</v>
      </c>
      <c r="M1949" s="2">
        <v>-0.18</v>
      </c>
      <c r="N1949" t="s">
        <v>259</v>
      </c>
      <c r="O1949">
        <v>60</v>
      </c>
    </row>
    <row r="1950" spans="1:15">
      <c r="A1950" s="1">
        <v>46027</v>
      </c>
      <c r="B1950">
        <v>14</v>
      </c>
      <c r="C1950" t="s">
        <v>99</v>
      </c>
      <c r="D1950">
        <v>14</v>
      </c>
      <c r="E1950" s="2">
        <v>10</v>
      </c>
      <c r="F1950" s="2">
        <v>77.12</v>
      </c>
      <c r="G1950" s="2">
        <v>-58.93</v>
      </c>
      <c r="H1950" s="2">
        <v>150.15</v>
      </c>
      <c r="I1950" s="2">
        <v>-144.88999999999999</v>
      </c>
      <c r="J1950" s="2">
        <v>6.73</v>
      </c>
      <c r="K1950" s="2">
        <v>-4.8499999999999996</v>
      </c>
      <c r="L1950" s="2">
        <v>8.3000000000000007</v>
      </c>
      <c r="M1950" s="2">
        <v>-0.13</v>
      </c>
      <c r="N1950" t="s">
        <v>259</v>
      </c>
      <c r="O1950">
        <v>60</v>
      </c>
    </row>
    <row r="1951" spans="1:15">
      <c r="A1951" s="1">
        <v>46027</v>
      </c>
      <c r="B1951">
        <v>14</v>
      </c>
      <c r="C1951" t="s">
        <v>99</v>
      </c>
      <c r="D1951">
        <v>14</v>
      </c>
      <c r="E1951" s="2">
        <v>10.5</v>
      </c>
      <c r="F1951" s="2">
        <v>93.7</v>
      </c>
      <c r="G1951" s="2">
        <v>-87.69</v>
      </c>
      <c r="H1951" s="2">
        <v>62.19</v>
      </c>
      <c r="I1951" s="2">
        <v>-74.34</v>
      </c>
      <c r="J1951" s="2">
        <v>7.07</v>
      </c>
      <c r="K1951" s="2">
        <v>-5.0599999999999996</v>
      </c>
      <c r="L1951" s="2">
        <v>8.69</v>
      </c>
      <c r="M1951" s="2">
        <v>-0.14000000000000001</v>
      </c>
      <c r="N1951" t="s">
        <v>259</v>
      </c>
      <c r="O1951">
        <v>60</v>
      </c>
    </row>
    <row r="1952" spans="1:15">
      <c r="A1952" s="1">
        <v>46027</v>
      </c>
      <c r="B1952">
        <v>14</v>
      </c>
      <c r="C1952" t="s">
        <v>99</v>
      </c>
      <c r="D1952">
        <v>14</v>
      </c>
      <c r="E1952" s="2">
        <v>11</v>
      </c>
      <c r="F1952" s="2">
        <v>27.4</v>
      </c>
      <c r="G1952" s="2">
        <v>-16.920000000000002</v>
      </c>
      <c r="H1952" s="2">
        <v>8.8000000000000007</v>
      </c>
      <c r="I1952" s="2">
        <v>-30.13</v>
      </c>
      <c r="J1952" s="2">
        <v>7.43</v>
      </c>
      <c r="K1952" s="2">
        <v>-5.32</v>
      </c>
      <c r="L1952" s="2">
        <v>9.14</v>
      </c>
      <c r="M1952" s="2">
        <v>-0.05</v>
      </c>
      <c r="N1952" t="s">
        <v>259</v>
      </c>
      <c r="O1952">
        <v>60</v>
      </c>
    </row>
    <row r="1953" spans="1:15">
      <c r="A1953" s="1">
        <v>46027</v>
      </c>
      <c r="B1953">
        <v>14</v>
      </c>
      <c r="C1953" t="s">
        <v>99</v>
      </c>
      <c r="D1953">
        <v>14</v>
      </c>
      <c r="E1953" s="2">
        <v>11.5</v>
      </c>
      <c r="F1953" s="2">
        <v>-52.54</v>
      </c>
      <c r="G1953" s="2">
        <v>57.77</v>
      </c>
      <c r="H1953" s="2">
        <v>-0.15</v>
      </c>
      <c r="I1953" s="2">
        <v>-14.24</v>
      </c>
      <c r="J1953" s="2">
        <v>7.77</v>
      </c>
      <c r="K1953" s="2">
        <v>-5.82</v>
      </c>
      <c r="L1953" s="2">
        <v>9.7100000000000009</v>
      </c>
      <c r="M1953" s="2">
        <v>0</v>
      </c>
      <c r="N1953" t="s">
        <v>259</v>
      </c>
      <c r="O1953">
        <v>60</v>
      </c>
    </row>
    <row r="1954" spans="1:15">
      <c r="A1954" s="1">
        <v>46027</v>
      </c>
      <c r="B1954">
        <v>14</v>
      </c>
      <c r="C1954" t="s">
        <v>99</v>
      </c>
      <c r="D1954">
        <v>14</v>
      </c>
      <c r="E1954" s="2">
        <v>12</v>
      </c>
      <c r="F1954" s="2">
        <v>-67.78</v>
      </c>
      <c r="G1954" s="2">
        <v>79.959999999999994</v>
      </c>
      <c r="H1954" s="2">
        <v>9.56</v>
      </c>
      <c r="I1954" s="2">
        <v>-23.84</v>
      </c>
      <c r="J1954" s="2">
        <v>7.97</v>
      </c>
      <c r="K1954" s="2">
        <v>-5.79</v>
      </c>
      <c r="L1954" s="2">
        <v>9.85</v>
      </c>
      <c r="M1954" s="2">
        <v>0.11</v>
      </c>
      <c r="N1954" t="s">
        <v>259</v>
      </c>
      <c r="O1954">
        <v>60</v>
      </c>
    </row>
    <row r="1955" spans="1:15">
      <c r="A1955" s="1">
        <v>46027</v>
      </c>
      <c r="B1955">
        <v>14</v>
      </c>
      <c r="C1955" t="s">
        <v>99</v>
      </c>
      <c r="D1955">
        <v>14</v>
      </c>
      <c r="E1955" s="2">
        <v>12.5</v>
      </c>
      <c r="F1955" s="2">
        <v>-37.770000000000003</v>
      </c>
      <c r="G1955" s="2">
        <v>49.62</v>
      </c>
      <c r="H1955" s="2">
        <v>13.71</v>
      </c>
      <c r="I1955" s="2">
        <v>-20.83</v>
      </c>
      <c r="J1955" s="2">
        <v>8.09</v>
      </c>
      <c r="K1955" s="2">
        <v>-5.77</v>
      </c>
      <c r="L1955" s="2">
        <v>9.94</v>
      </c>
      <c r="M1955" s="2">
        <v>0.13</v>
      </c>
      <c r="N1955" t="s">
        <v>259</v>
      </c>
      <c r="O1955">
        <v>60</v>
      </c>
    </row>
    <row r="1956" spans="1:15">
      <c r="A1956" s="1">
        <v>46027</v>
      </c>
      <c r="B1956">
        <v>14</v>
      </c>
      <c r="C1956" t="s">
        <v>99</v>
      </c>
      <c r="D1956">
        <v>14</v>
      </c>
      <c r="E1956" s="2">
        <v>13</v>
      </c>
      <c r="F1956" s="2">
        <v>-96.1</v>
      </c>
      <c r="G1956" s="2">
        <v>105.3</v>
      </c>
      <c r="H1956" s="2">
        <v>-40.43</v>
      </c>
      <c r="I1956" s="2">
        <v>37.76</v>
      </c>
      <c r="J1956" s="2">
        <v>8.0399999999999991</v>
      </c>
      <c r="K1956" s="2">
        <v>-5.68</v>
      </c>
      <c r="L1956" s="2">
        <v>9.84</v>
      </c>
      <c r="M1956" s="2">
        <v>0.15</v>
      </c>
      <c r="N1956" t="s">
        <v>259</v>
      </c>
      <c r="O1956">
        <v>60</v>
      </c>
    </row>
    <row r="1957" spans="1:15">
      <c r="A1957" s="1">
        <v>46027</v>
      </c>
      <c r="B1957">
        <v>14</v>
      </c>
      <c r="C1957" t="s">
        <v>99</v>
      </c>
      <c r="D1957">
        <v>14</v>
      </c>
      <c r="E1957" s="2">
        <v>13.5</v>
      </c>
      <c r="F1957" s="2">
        <v>-263.52999999999997</v>
      </c>
      <c r="G1957" s="2">
        <v>274.56</v>
      </c>
      <c r="H1957" s="2">
        <v>-178.6</v>
      </c>
      <c r="I1957" s="2">
        <v>173.7</v>
      </c>
      <c r="J1957" s="2">
        <v>8.01</v>
      </c>
      <c r="K1957" s="2">
        <v>-5.7</v>
      </c>
      <c r="L1957" s="2">
        <v>9.83</v>
      </c>
      <c r="M1957" s="2">
        <v>0.21</v>
      </c>
      <c r="N1957" t="s">
        <v>259</v>
      </c>
      <c r="O1957">
        <v>60</v>
      </c>
    </row>
    <row r="1958" spans="1:15">
      <c r="A1958" s="1">
        <v>46027</v>
      </c>
      <c r="B1958">
        <v>14</v>
      </c>
      <c r="C1958" t="s">
        <v>99</v>
      </c>
      <c r="D1958">
        <v>14</v>
      </c>
      <c r="E1958" s="2">
        <v>14</v>
      </c>
      <c r="F1958" s="2">
        <v>-284.51</v>
      </c>
      <c r="G1958" s="2">
        <v>296.12</v>
      </c>
      <c r="H1958" s="2">
        <v>-299.08999999999997</v>
      </c>
      <c r="I1958" s="2">
        <v>293.81</v>
      </c>
      <c r="J1958" s="2">
        <v>7.97</v>
      </c>
      <c r="K1958" s="2">
        <v>-5.61</v>
      </c>
      <c r="L1958" s="2">
        <v>9.75</v>
      </c>
      <c r="M1958" s="2">
        <v>0.28000000000000003</v>
      </c>
      <c r="N1958" t="s">
        <v>259</v>
      </c>
      <c r="O1958">
        <v>60</v>
      </c>
    </row>
    <row r="1959" spans="1:15">
      <c r="A1959" s="1">
        <v>46027</v>
      </c>
      <c r="B1959">
        <v>14</v>
      </c>
      <c r="C1959" t="s">
        <v>99</v>
      </c>
      <c r="D1959">
        <v>14</v>
      </c>
      <c r="E1959" s="2">
        <v>14.5</v>
      </c>
      <c r="F1959" s="2">
        <v>-259.99</v>
      </c>
      <c r="G1959" s="2">
        <v>271.83</v>
      </c>
      <c r="H1959" s="2">
        <v>-256.33</v>
      </c>
      <c r="I1959" s="2">
        <v>249.73</v>
      </c>
      <c r="J1959" s="2">
        <v>8.16</v>
      </c>
      <c r="K1959" s="2">
        <v>-5.42</v>
      </c>
      <c r="L1959" s="2">
        <v>9.8000000000000007</v>
      </c>
      <c r="M1959" s="2">
        <v>0.26</v>
      </c>
      <c r="N1959" t="s">
        <v>259</v>
      </c>
      <c r="O1959">
        <v>60</v>
      </c>
    </row>
    <row r="1960" spans="1:15">
      <c r="A1960" s="1">
        <v>46027</v>
      </c>
      <c r="B1960">
        <v>14</v>
      </c>
      <c r="C1960" t="s">
        <v>99</v>
      </c>
      <c r="D1960">
        <v>14</v>
      </c>
      <c r="E1960" s="2">
        <v>15</v>
      </c>
      <c r="F1960" s="2">
        <v>-229.42</v>
      </c>
      <c r="G1960" s="2">
        <v>242.71</v>
      </c>
      <c r="H1960" s="2">
        <v>-197.18</v>
      </c>
      <c r="I1960" s="2">
        <v>188.14</v>
      </c>
      <c r="J1960" s="2">
        <v>8.08</v>
      </c>
      <c r="K1960" s="2">
        <v>-5.31</v>
      </c>
      <c r="L1960" s="2">
        <v>9.67</v>
      </c>
      <c r="M1960" s="2">
        <v>0.25</v>
      </c>
      <c r="N1960" t="s">
        <v>259</v>
      </c>
      <c r="O1960">
        <v>60</v>
      </c>
    </row>
    <row r="1961" spans="1:15">
      <c r="A1961" s="1">
        <v>46027</v>
      </c>
      <c r="B1961">
        <v>14</v>
      </c>
      <c r="C1961" t="s">
        <v>99</v>
      </c>
      <c r="D1961">
        <v>14</v>
      </c>
      <c r="E1961" s="2">
        <v>15.5</v>
      </c>
      <c r="F1961" s="2">
        <v>-158.72999999999999</v>
      </c>
      <c r="G1961" s="2">
        <v>166.9</v>
      </c>
      <c r="H1961" s="2">
        <v>-181.55</v>
      </c>
      <c r="I1961" s="2">
        <v>172.92</v>
      </c>
      <c r="J1961" s="2">
        <v>7.87</v>
      </c>
      <c r="K1961" s="2">
        <v>-5.08</v>
      </c>
      <c r="L1961" s="2">
        <v>9.3699999999999992</v>
      </c>
      <c r="M1961" s="2">
        <v>0.28999999999999998</v>
      </c>
      <c r="N1961" t="s">
        <v>259</v>
      </c>
      <c r="O1961">
        <v>60</v>
      </c>
    </row>
    <row r="1962" spans="1:15">
      <c r="A1962" s="1">
        <v>46027</v>
      </c>
      <c r="B1962">
        <v>14</v>
      </c>
      <c r="C1962" t="s">
        <v>99</v>
      </c>
      <c r="D1962">
        <v>14</v>
      </c>
      <c r="E1962" s="2">
        <v>16</v>
      </c>
      <c r="F1962" s="2">
        <v>-73.959999999999994</v>
      </c>
      <c r="G1962" s="2">
        <v>83.59</v>
      </c>
      <c r="H1962" s="2">
        <v>-166.94</v>
      </c>
      <c r="I1962" s="2">
        <v>165.32</v>
      </c>
      <c r="J1962" s="2">
        <v>7.82</v>
      </c>
      <c r="K1962" s="2">
        <v>-4.82</v>
      </c>
      <c r="L1962" s="2">
        <v>9.18</v>
      </c>
      <c r="M1962" s="2">
        <v>0.27</v>
      </c>
      <c r="N1962" t="s">
        <v>259</v>
      </c>
      <c r="O1962">
        <v>60</v>
      </c>
    </row>
    <row r="1963" spans="1:15">
      <c r="A1963" s="1">
        <v>46027</v>
      </c>
      <c r="B1963">
        <v>14</v>
      </c>
      <c r="C1963" t="s">
        <v>99</v>
      </c>
      <c r="D1963">
        <v>14</v>
      </c>
      <c r="E1963" s="2">
        <v>16.5</v>
      </c>
      <c r="F1963" s="2">
        <v>108.23</v>
      </c>
      <c r="G1963" s="2">
        <v>-100.46</v>
      </c>
      <c r="H1963" s="2">
        <v>-109.85</v>
      </c>
      <c r="I1963" s="2">
        <v>115.54</v>
      </c>
      <c r="J1963" s="2">
        <v>7.74</v>
      </c>
      <c r="K1963" s="2">
        <v>-4.6900000000000004</v>
      </c>
      <c r="L1963" s="2">
        <v>9.0500000000000007</v>
      </c>
      <c r="M1963" s="2">
        <v>0.26</v>
      </c>
      <c r="N1963" t="s">
        <v>259</v>
      </c>
      <c r="O1963">
        <v>60</v>
      </c>
    </row>
    <row r="1964" spans="1:15">
      <c r="A1964" s="1">
        <v>46027</v>
      </c>
      <c r="B1964">
        <v>14</v>
      </c>
      <c r="C1964" t="s">
        <v>99</v>
      </c>
      <c r="D1964">
        <v>14</v>
      </c>
      <c r="E1964" s="2">
        <v>17</v>
      </c>
      <c r="F1964" s="2">
        <v>260.75</v>
      </c>
      <c r="G1964" s="2">
        <v>-251.32</v>
      </c>
      <c r="H1964" s="2">
        <v>-60.52</v>
      </c>
      <c r="I1964" s="2">
        <v>48.53</v>
      </c>
      <c r="J1964" s="2">
        <v>7.63</v>
      </c>
      <c r="K1964" s="2">
        <v>-4.75</v>
      </c>
      <c r="L1964" s="2">
        <v>8.98</v>
      </c>
      <c r="M1964" s="2">
        <v>0.24</v>
      </c>
      <c r="N1964" t="s">
        <v>259</v>
      </c>
      <c r="O1964">
        <v>60</v>
      </c>
    </row>
    <row r="1965" spans="1:15">
      <c r="A1965" s="1">
        <v>46027</v>
      </c>
      <c r="B1965">
        <v>14</v>
      </c>
      <c r="C1965" t="s">
        <v>99</v>
      </c>
      <c r="D1965">
        <v>14</v>
      </c>
      <c r="E1965" s="2">
        <v>17.5</v>
      </c>
      <c r="F1965" s="2">
        <v>314.02999999999997</v>
      </c>
      <c r="G1965" s="2">
        <v>-307.06</v>
      </c>
      <c r="H1965" s="2">
        <v>-70.150000000000006</v>
      </c>
      <c r="I1965" s="2">
        <v>56.99</v>
      </c>
      <c r="J1965" s="2">
        <v>7.29</v>
      </c>
      <c r="K1965" s="2">
        <v>-4.41</v>
      </c>
      <c r="L1965" s="2">
        <v>8.52</v>
      </c>
      <c r="M1965" s="2">
        <v>0.25</v>
      </c>
      <c r="N1965" t="s">
        <v>259</v>
      </c>
      <c r="O1965">
        <v>60</v>
      </c>
    </row>
    <row r="1966" spans="1:15">
      <c r="A1966" s="1">
        <v>46027</v>
      </c>
      <c r="B1966">
        <v>14</v>
      </c>
      <c r="C1966" t="s">
        <v>99</v>
      </c>
      <c r="D1966">
        <v>14</v>
      </c>
      <c r="E1966" s="2">
        <v>18</v>
      </c>
      <c r="F1966" s="2">
        <v>396.52</v>
      </c>
      <c r="G1966" s="2">
        <v>-387.03</v>
      </c>
      <c r="H1966" s="2">
        <v>-104.48</v>
      </c>
      <c r="I1966" s="2">
        <v>96.05</v>
      </c>
      <c r="J1966" s="2">
        <v>6.97</v>
      </c>
      <c r="K1966" s="2">
        <v>-4.16</v>
      </c>
      <c r="L1966" s="2">
        <v>8.1199999999999992</v>
      </c>
      <c r="M1966" s="2">
        <v>0.26</v>
      </c>
      <c r="N1966" t="s">
        <v>259</v>
      </c>
      <c r="O1966">
        <v>60</v>
      </c>
    </row>
    <row r="1967" spans="1:15">
      <c r="A1967" s="1">
        <v>46027</v>
      </c>
      <c r="B1967">
        <v>14</v>
      </c>
      <c r="C1967" t="s">
        <v>99</v>
      </c>
      <c r="D1967">
        <v>14</v>
      </c>
      <c r="E1967" s="2">
        <v>18.5</v>
      </c>
      <c r="F1967" s="2">
        <v>432.81</v>
      </c>
      <c r="G1967" s="2">
        <v>-424.83</v>
      </c>
      <c r="H1967" s="2">
        <v>-113.88</v>
      </c>
      <c r="I1967" s="2">
        <v>109.36</v>
      </c>
      <c r="J1967" s="2">
        <v>6.99</v>
      </c>
      <c r="K1967" s="2">
        <v>-4.09</v>
      </c>
      <c r="L1967" s="2">
        <v>8.09</v>
      </c>
      <c r="M1967" s="2">
        <v>0.28000000000000003</v>
      </c>
      <c r="N1967" t="s">
        <v>259</v>
      </c>
      <c r="O1967">
        <v>60</v>
      </c>
    </row>
    <row r="1968" spans="1:15">
      <c r="A1968" s="1">
        <v>46027</v>
      </c>
      <c r="B1968">
        <v>14</v>
      </c>
      <c r="C1968" t="s">
        <v>99</v>
      </c>
      <c r="D1968">
        <v>14</v>
      </c>
      <c r="E1968" s="2">
        <v>19</v>
      </c>
      <c r="F1968" s="2">
        <v>424.9</v>
      </c>
      <c r="G1968" s="2">
        <v>-418.62</v>
      </c>
      <c r="H1968" s="2">
        <v>-111.07</v>
      </c>
      <c r="I1968" s="2">
        <v>99.03</v>
      </c>
      <c r="J1968" s="2">
        <v>6.82</v>
      </c>
      <c r="K1968" s="2">
        <v>-3.97</v>
      </c>
      <c r="L1968" s="2">
        <v>7.89</v>
      </c>
      <c r="M1968" s="2">
        <v>0.28999999999999998</v>
      </c>
      <c r="N1968" t="s">
        <v>259</v>
      </c>
      <c r="O1968">
        <v>60</v>
      </c>
    </row>
    <row r="1969" spans="1:15">
      <c r="A1969" s="1">
        <v>46027</v>
      </c>
      <c r="B1969">
        <v>14</v>
      </c>
      <c r="C1969" t="s">
        <v>99</v>
      </c>
      <c r="D1969">
        <v>14</v>
      </c>
      <c r="E1969" s="2">
        <v>19.5</v>
      </c>
      <c r="F1969" s="2">
        <v>316.36</v>
      </c>
      <c r="G1969" s="2">
        <v>-309.57</v>
      </c>
      <c r="H1969" s="2">
        <v>-40.869999999999997</v>
      </c>
      <c r="I1969" s="2">
        <v>46.9</v>
      </c>
      <c r="J1969" s="2">
        <v>6.23</v>
      </c>
      <c r="K1969" s="2">
        <v>-3.61</v>
      </c>
      <c r="L1969" s="2">
        <v>7.2</v>
      </c>
      <c r="M1969" s="2">
        <v>0.27</v>
      </c>
      <c r="N1969" t="s">
        <v>259</v>
      </c>
      <c r="O1969">
        <v>60</v>
      </c>
    </row>
    <row r="1970" spans="1:15">
      <c r="A1970" s="1">
        <v>46027</v>
      </c>
      <c r="B1970">
        <v>14</v>
      </c>
      <c r="C1970" t="s">
        <v>99</v>
      </c>
      <c r="D1970">
        <v>14</v>
      </c>
      <c r="E1970" s="2">
        <v>20</v>
      </c>
      <c r="F1970" s="2">
        <v>178.72</v>
      </c>
      <c r="G1970" s="2">
        <v>-170.11</v>
      </c>
      <c r="H1970" s="2">
        <v>7.41</v>
      </c>
      <c r="I1970" s="2">
        <v>6.03</v>
      </c>
      <c r="J1970" s="2">
        <v>5.9</v>
      </c>
      <c r="K1970" s="2">
        <v>-3.47</v>
      </c>
      <c r="L1970" s="2">
        <v>6.84</v>
      </c>
      <c r="M1970" s="2">
        <v>0.25</v>
      </c>
      <c r="N1970" t="s">
        <v>259</v>
      </c>
      <c r="O1970">
        <v>60</v>
      </c>
    </row>
    <row r="1971" spans="1:15">
      <c r="A1971" s="1">
        <v>46027</v>
      </c>
      <c r="B1971">
        <v>14</v>
      </c>
      <c r="C1971" t="s">
        <v>99</v>
      </c>
      <c r="D1971">
        <v>14</v>
      </c>
      <c r="E1971" s="2">
        <v>20.5</v>
      </c>
      <c r="F1971" s="2">
        <v>141.79</v>
      </c>
      <c r="G1971" s="2">
        <v>-134.97</v>
      </c>
      <c r="H1971" s="2">
        <v>2.72</v>
      </c>
      <c r="I1971" s="2">
        <v>10.37</v>
      </c>
      <c r="J1971" s="2">
        <v>5.43</v>
      </c>
      <c r="K1971" s="2">
        <v>-3.14</v>
      </c>
      <c r="L1971" s="2">
        <v>6.27</v>
      </c>
      <c r="M1971" s="2">
        <v>0.22</v>
      </c>
      <c r="N1971" t="s">
        <v>259</v>
      </c>
      <c r="O1971">
        <v>60</v>
      </c>
    </row>
    <row r="1972" spans="1:15">
      <c r="A1972" s="1">
        <v>46027</v>
      </c>
      <c r="B1972">
        <v>14</v>
      </c>
      <c r="C1972" t="s">
        <v>99</v>
      </c>
      <c r="D1972">
        <v>14</v>
      </c>
      <c r="E1972" s="2">
        <v>21</v>
      </c>
      <c r="F1972" s="2">
        <v>104.07</v>
      </c>
      <c r="G1972" s="2">
        <v>-95.09</v>
      </c>
      <c r="H1972" s="2">
        <v>-0.75</v>
      </c>
      <c r="I1972" s="2">
        <v>14.64</v>
      </c>
      <c r="J1972" s="2">
        <v>4.9800000000000004</v>
      </c>
      <c r="K1972" s="2">
        <v>-2.85</v>
      </c>
      <c r="L1972" s="2">
        <v>5.74</v>
      </c>
      <c r="M1972" s="2">
        <v>0.2</v>
      </c>
      <c r="N1972" t="s">
        <v>259</v>
      </c>
      <c r="O1972">
        <v>60</v>
      </c>
    </row>
    <row r="1973" spans="1:15">
      <c r="A1973" s="1">
        <v>46027</v>
      </c>
      <c r="B1973">
        <v>14</v>
      </c>
      <c r="C1973" t="s">
        <v>99</v>
      </c>
      <c r="D1973">
        <v>14</v>
      </c>
      <c r="E1973" s="2">
        <v>21.5</v>
      </c>
      <c r="F1973" s="2">
        <v>-23.09</v>
      </c>
      <c r="G1973" s="2">
        <v>32.51</v>
      </c>
      <c r="H1973" s="2">
        <v>-9.83</v>
      </c>
      <c r="I1973" s="2">
        <v>13.78</v>
      </c>
      <c r="J1973" s="2">
        <v>4.4800000000000004</v>
      </c>
      <c r="K1973" s="2">
        <v>-2.83</v>
      </c>
      <c r="L1973" s="2">
        <v>5.3</v>
      </c>
      <c r="M1973" s="2">
        <v>0.16</v>
      </c>
      <c r="N1973" t="s">
        <v>259</v>
      </c>
      <c r="O1973">
        <v>60</v>
      </c>
    </row>
    <row r="1974" spans="1:15">
      <c r="A1974" s="1">
        <v>46027</v>
      </c>
      <c r="B1974">
        <v>14</v>
      </c>
      <c r="C1974" t="s">
        <v>99</v>
      </c>
      <c r="D1974">
        <v>14</v>
      </c>
      <c r="E1974" s="2">
        <v>22</v>
      </c>
      <c r="F1974" s="2">
        <v>-70.400000000000006</v>
      </c>
      <c r="G1974" s="2">
        <v>77.290000000000006</v>
      </c>
      <c r="H1974" s="2">
        <v>1.24</v>
      </c>
      <c r="I1974" s="2">
        <v>17.98</v>
      </c>
      <c r="J1974" s="2">
        <v>4.16</v>
      </c>
      <c r="K1974" s="2">
        <v>-2.41</v>
      </c>
      <c r="L1974" s="2">
        <v>4.8099999999999996</v>
      </c>
      <c r="M1974" s="2">
        <v>0.14000000000000001</v>
      </c>
      <c r="N1974" t="s">
        <v>259</v>
      </c>
      <c r="O1974">
        <v>60</v>
      </c>
    </row>
    <row r="1975" spans="1:15">
      <c r="A1975" s="1">
        <v>46027</v>
      </c>
      <c r="B1975">
        <v>14</v>
      </c>
      <c r="C1975" t="s">
        <v>99</v>
      </c>
      <c r="D1975">
        <v>14</v>
      </c>
      <c r="E1975" s="2">
        <v>22.5</v>
      </c>
      <c r="F1975" s="2">
        <v>-58.3</v>
      </c>
      <c r="G1975" s="2">
        <v>68.010000000000005</v>
      </c>
      <c r="H1975" s="2">
        <v>-101.64</v>
      </c>
      <c r="I1975" s="2">
        <v>117.21</v>
      </c>
      <c r="J1975" s="2">
        <v>3.82</v>
      </c>
      <c r="K1975" s="2">
        <v>-2.15</v>
      </c>
      <c r="L1975" s="2">
        <v>4.38</v>
      </c>
      <c r="M1975" s="2">
        <v>0.11</v>
      </c>
      <c r="N1975" t="s">
        <v>259</v>
      </c>
      <c r="O1975">
        <v>60</v>
      </c>
    </row>
    <row r="1976" spans="1:15">
      <c r="A1976" s="1">
        <v>46027</v>
      </c>
      <c r="B1976">
        <v>14</v>
      </c>
      <c r="C1976" t="s">
        <v>99</v>
      </c>
      <c r="D1976">
        <v>14</v>
      </c>
      <c r="E1976" s="2">
        <v>23</v>
      </c>
      <c r="F1976" s="2">
        <v>-70.86</v>
      </c>
      <c r="G1976" s="2">
        <v>75.03</v>
      </c>
      <c r="H1976" s="2">
        <v>-156.71</v>
      </c>
      <c r="I1976" s="2">
        <v>152.97</v>
      </c>
      <c r="J1976" s="2">
        <v>3.43</v>
      </c>
      <c r="K1976" s="2">
        <v>-1.83</v>
      </c>
      <c r="L1976" s="2">
        <v>3.89</v>
      </c>
      <c r="M1976" s="2">
        <v>0.17</v>
      </c>
      <c r="N1976" t="s">
        <v>259</v>
      </c>
      <c r="O1976">
        <v>60</v>
      </c>
    </row>
    <row r="1977" spans="1:15">
      <c r="A1977" s="1">
        <v>46027</v>
      </c>
      <c r="B1977">
        <v>14</v>
      </c>
      <c r="C1977" t="s">
        <v>99</v>
      </c>
      <c r="D1977">
        <v>14</v>
      </c>
      <c r="E1977" s="2">
        <v>23.5</v>
      </c>
      <c r="F1977" s="2">
        <v>-132.76</v>
      </c>
      <c r="G1977" s="2">
        <v>144.28</v>
      </c>
      <c r="H1977" s="2">
        <v>-188.39</v>
      </c>
      <c r="I1977" s="2">
        <v>207.42</v>
      </c>
      <c r="J1977" s="2">
        <v>3.07</v>
      </c>
      <c r="K1977" s="2">
        <v>-1.59</v>
      </c>
      <c r="L1977" s="2">
        <v>3.45</v>
      </c>
      <c r="M1977" s="2">
        <v>0.17</v>
      </c>
      <c r="N1977" t="s">
        <v>259</v>
      </c>
      <c r="O1977">
        <v>60</v>
      </c>
    </row>
    <row r="1978" spans="1:15">
      <c r="A1978" s="1">
        <v>46027</v>
      </c>
      <c r="B1978">
        <v>14</v>
      </c>
      <c r="C1978" t="s">
        <v>99</v>
      </c>
      <c r="D1978">
        <v>14</v>
      </c>
      <c r="E1978" s="2">
        <v>24</v>
      </c>
      <c r="F1978" s="2">
        <v>-166.39</v>
      </c>
      <c r="G1978" s="2">
        <v>174.46</v>
      </c>
      <c r="H1978" s="2">
        <v>-243.86</v>
      </c>
      <c r="I1978" s="2">
        <v>254.2</v>
      </c>
      <c r="J1978" s="2">
        <v>2.81</v>
      </c>
      <c r="K1978" s="2">
        <v>-1.45</v>
      </c>
      <c r="L1978" s="2">
        <v>3.16</v>
      </c>
      <c r="M1978" s="2">
        <v>0.16</v>
      </c>
      <c r="N1978" t="s">
        <v>259</v>
      </c>
      <c r="O1978">
        <v>60</v>
      </c>
    </row>
    <row r="1979" spans="1:15">
      <c r="A1979" s="1">
        <v>46027</v>
      </c>
      <c r="B1979">
        <v>14</v>
      </c>
      <c r="C1979" t="s">
        <v>99</v>
      </c>
      <c r="D1979">
        <v>14</v>
      </c>
      <c r="E1979" s="2">
        <v>24.5</v>
      </c>
      <c r="F1979" s="2">
        <v>-65.87</v>
      </c>
      <c r="G1979" s="2">
        <v>69.23</v>
      </c>
      <c r="H1979" s="2">
        <v>-245.24</v>
      </c>
      <c r="I1979" s="2">
        <v>234.96</v>
      </c>
      <c r="J1979" s="2">
        <v>2.54</v>
      </c>
      <c r="K1979" s="2">
        <v>-1.18</v>
      </c>
      <c r="L1979" s="2">
        <v>2.8</v>
      </c>
      <c r="M1979" s="2">
        <v>0.18</v>
      </c>
      <c r="N1979" t="s">
        <v>259</v>
      </c>
      <c r="O1979">
        <v>60</v>
      </c>
    </row>
    <row r="1980" spans="1:15">
      <c r="A1980" s="1">
        <v>46027</v>
      </c>
      <c r="B1980">
        <v>14</v>
      </c>
      <c r="C1980" t="s">
        <v>99</v>
      </c>
      <c r="D1980">
        <v>14</v>
      </c>
      <c r="E1980" s="2">
        <v>25</v>
      </c>
      <c r="F1980" s="2">
        <v>26.99</v>
      </c>
      <c r="G1980" s="2">
        <v>-19.13</v>
      </c>
      <c r="H1980" s="2">
        <v>-228.49</v>
      </c>
      <c r="I1980" s="2">
        <v>218.01</v>
      </c>
      <c r="J1980" s="2">
        <v>2.15</v>
      </c>
      <c r="K1980" s="2">
        <v>-1.1499999999999999</v>
      </c>
      <c r="L1980" s="2">
        <v>2.44</v>
      </c>
      <c r="M1980" s="2">
        <v>0.16</v>
      </c>
      <c r="N1980" t="s">
        <v>259</v>
      </c>
      <c r="O1980">
        <v>60</v>
      </c>
    </row>
    <row r="1981" spans="1:15">
      <c r="A1981" s="1">
        <v>46027</v>
      </c>
      <c r="B1981">
        <v>14</v>
      </c>
      <c r="C1981" t="s">
        <v>99</v>
      </c>
      <c r="D1981">
        <v>14</v>
      </c>
      <c r="E1981" s="2">
        <v>25.5</v>
      </c>
      <c r="F1981" s="2">
        <v>85.55</v>
      </c>
      <c r="G1981" s="2">
        <v>-79.41</v>
      </c>
      <c r="H1981" s="2">
        <v>-183.2</v>
      </c>
      <c r="I1981" s="2">
        <v>188.88</v>
      </c>
      <c r="J1981" s="2">
        <v>1.68</v>
      </c>
      <c r="K1981" s="2">
        <v>-0.92</v>
      </c>
      <c r="L1981" s="2">
        <v>1.91</v>
      </c>
      <c r="M1981" s="2">
        <v>0.19</v>
      </c>
      <c r="N1981" t="s">
        <v>259</v>
      </c>
      <c r="O1981">
        <v>60</v>
      </c>
    </row>
    <row r="1982" spans="1:15">
      <c r="A1982" s="1">
        <v>46027</v>
      </c>
      <c r="B1982">
        <v>14</v>
      </c>
      <c r="C1982" t="s">
        <v>99</v>
      </c>
      <c r="D1982">
        <v>14</v>
      </c>
      <c r="E1982" s="2">
        <v>26</v>
      </c>
      <c r="F1982" s="2">
        <v>129.9</v>
      </c>
      <c r="G1982" s="2">
        <v>-121.8</v>
      </c>
      <c r="H1982" s="2">
        <v>-226.81</v>
      </c>
      <c r="I1982" s="2">
        <v>246.62</v>
      </c>
      <c r="J1982" s="2">
        <v>1.27</v>
      </c>
      <c r="K1982" s="2">
        <v>-0.39</v>
      </c>
      <c r="L1982" s="2">
        <v>1.32</v>
      </c>
      <c r="M1982" s="2">
        <v>0.16</v>
      </c>
      <c r="N1982" t="s">
        <v>259</v>
      </c>
      <c r="O1982">
        <v>60</v>
      </c>
    </row>
    <row r="1983" spans="1:15">
      <c r="A1983" s="1">
        <v>46027</v>
      </c>
      <c r="B1983">
        <v>14</v>
      </c>
      <c r="C1983" t="s">
        <v>99</v>
      </c>
      <c r="D1983">
        <v>14</v>
      </c>
      <c r="E1983" s="2">
        <v>26.5</v>
      </c>
      <c r="F1983" s="2">
        <v>120.61</v>
      </c>
      <c r="G1983" s="2">
        <v>-115.75</v>
      </c>
      <c r="H1983" s="2">
        <v>-241.37</v>
      </c>
      <c r="I1983" s="2">
        <v>256.19</v>
      </c>
      <c r="J1983" s="2">
        <v>0.81</v>
      </c>
      <c r="K1983" s="2">
        <v>-0.18</v>
      </c>
      <c r="L1983" s="2">
        <v>0.83</v>
      </c>
      <c r="M1983" s="2">
        <v>0.09</v>
      </c>
      <c r="N1983" t="s">
        <v>259</v>
      </c>
      <c r="O1983">
        <v>60</v>
      </c>
    </row>
    <row r="1984" spans="1:15">
      <c r="A1984" s="1">
        <v>46027</v>
      </c>
      <c r="B1984">
        <v>14</v>
      </c>
      <c r="C1984" t="s">
        <v>100</v>
      </c>
      <c r="D1984">
        <v>13</v>
      </c>
      <c r="E1984" s="2">
        <v>0.5</v>
      </c>
      <c r="F1984" s="2">
        <v>423.69</v>
      </c>
      <c r="G1984" s="2">
        <v>-417.36</v>
      </c>
      <c r="H1984" s="2">
        <v>475.73</v>
      </c>
      <c r="I1984" s="2">
        <v>-472.29</v>
      </c>
      <c r="J1984" s="2">
        <v>1.53</v>
      </c>
      <c r="K1984" s="2">
        <v>2.63</v>
      </c>
      <c r="L1984" s="2">
        <v>3.05</v>
      </c>
      <c r="M1984" s="2">
        <v>0.39</v>
      </c>
      <c r="N1984" t="s">
        <v>259</v>
      </c>
      <c r="O1984">
        <v>86</v>
      </c>
    </row>
    <row r="1985" spans="1:15">
      <c r="A1985" s="1">
        <v>46027</v>
      </c>
      <c r="B1985">
        <v>14</v>
      </c>
      <c r="C1985" t="s">
        <v>100</v>
      </c>
      <c r="D1985">
        <v>13</v>
      </c>
      <c r="E1985" s="2">
        <v>1</v>
      </c>
      <c r="F1985" s="2">
        <v>423.99</v>
      </c>
      <c r="G1985" s="2">
        <v>-417.17</v>
      </c>
      <c r="H1985" s="2">
        <v>476.15</v>
      </c>
      <c r="I1985" s="2">
        <v>-472</v>
      </c>
      <c r="J1985" s="2">
        <v>1.96</v>
      </c>
      <c r="K1985" s="2">
        <v>2.35</v>
      </c>
      <c r="L1985" s="2">
        <v>3.06</v>
      </c>
      <c r="M1985" s="2">
        <v>7.0000000000000007E-2</v>
      </c>
      <c r="N1985" t="s">
        <v>259</v>
      </c>
      <c r="O1985">
        <v>86</v>
      </c>
    </row>
    <row r="1986" spans="1:15">
      <c r="A1986" s="1">
        <v>46027</v>
      </c>
      <c r="B1986">
        <v>14</v>
      </c>
      <c r="C1986" t="s">
        <v>100</v>
      </c>
      <c r="D1986">
        <v>13</v>
      </c>
      <c r="E1986" s="2">
        <v>1.5</v>
      </c>
      <c r="F1986" s="2">
        <v>462.3</v>
      </c>
      <c r="G1986" s="2">
        <v>-459.84</v>
      </c>
      <c r="H1986" s="2">
        <v>406.78</v>
      </c>
      <c r="I1986" s="2">
        <v>-402.27</v>
      </c>
      <c r="J1986" s="2">
        <v>2.4</v>
      </c>
      <c r="K1986" s="2">
        <v>2.08</v>
      </c>
      <c r="L1986" s="2">
        <v>3.17</v>
      </c>
      <c r="M1986" s="2">
        <v>-0.19</v>
      </c>
      <c r="N1986" t="s">
        <v>259</v>
      </c>
      <c r="O1986">
        <v>86</v>
      </c>
    </row>
    <row r="1987" spans="1:15">
      <c r="A1987" s="1">
        <v>46027</v>
      </c>
      <c r="B1987">
        <v>14</v>
      </c>
      <c r="C1987" t="s">
        <v>100</v>
      </c>
      <c r="D1987">
        <v>13</v>
      </c>
      <c r="E1987" s="2">
        <v>2</v>
      </c>
      <c r="F1987" s="2">
        <v>527.98</v>
      </c>
      <c r="G1987" s="2">
        <v>-524.38</v>
      </c>
      <c r="H1987" s="2">
        <v>229.55</v>
      </c>
      <c r="I1987" s="2">
        <v>-224.66</v>
      </c>
      <c r="J1987" s="2">
        <v>3.04</v>
      </c>
      <c r="K1987" s="2">
        <v>1.94</v>
      </c>
      <c r="L1987" s="2">
        <v>3.6</v>
      </c>
      <c r="M1987" s="2">
        <v>-0.3</v>
      </c>
      <c r="N1987" t="s">
        <v>259</v>
      </c>
      <c r="O1987">
        <v>86</v>
      </c>
    </row>
    <row r="1988" spans="1:15">
      <c r="A1988" s="1">
        <v>46027</v>
      </c>
      <c r="B1988">
        <v>14</v>
      </c>
      <c r="C1988" t="s">
        <v>100</v>
      </c>
      <c r="D1988">
        <v>13</v>
      </c>
      <c r="E1988" s="2">
        <v>2.5</v>
      </c>
      <c r="F1988" s="2">
        <v>480.77</v>
      </c>
      <c r="G1988" s="2">
        <v>-477.29</v>
      </c>
      <c r="H1988" s="2">
        <v>110.64</v>
      </c>
      <c r="I1988" s="2">
        <v>-113.03</v>
      </c>
      <c r="J1988" s="2">
        <v>3.89</v>
      </c>
      <c r="K1988" s="2">
        <v>1.62</v>
      </c>
      <c r="L1988" s="2">
        <v>4.21</v>
      </c>
      <c r="M1988" s="2">
        <v>-0.4</v>
      </c>
      <c r="N1988" t="s">
        <v>259</v>
      </c>
      <c r="O1988">
        <v>86</v>
      </c>
    </row>
    <row r="1989" spans="1:15">
      <c r="A1989" s="1">
        <v>46027</v>
      </c>
      <c r="B1989">
        <v>14</v>
      </c>
      <c r="C1989" t="s">
        <v>100</v>
      </c>
      <c r="D1989">
        <v>13</v>
      </c>
      <c r="E1989" s="2">
        <v>3</v>
      </c>
      <c r="F1989" s="2">
        <v>434.45</v>
      </c>
      <c r="G1989" s="2">
        <v>-430.47</v>
      </c>
      <c r="H1989" s="2">
        <v>-7.15</v>
      </c>
      <c r="I1989" s="2">
        <v>17.39</v>
      </c>
      <c r="J1989" s="2">
        <v>4.72</v>
      </c>
      <c r="K1989" s="2">
        <v>1.29</v>
      </c>
      <c r="L1989" s="2">
        <v>4.8899999999999997</v>
      </c>
      <c r="M1989" s="2">
        <v>-0.4</v>
      </c>
      <c r="N1989" t="s">
        <v>259</v>
      </c>
      <c r="O1989">
        <v>86</v>
      </c>
    </row>
    <row r="1990" spans="1:15">
      <c r="A1990" s="1">
        <v>46027</v>
      </c>
      <c r="B1990">
        <v>14</v>
      </c>
      <c r="C1990" t="s">
        <v>100</v>
      </c>
      <c r="D1990">
        <v>13</v>
      </c>
      <c r="E1990" s="2">
        <v>3.5</v>
      </c>
      <c r="F1990" s="2">
        <v>388.54</v>
      </c>
      <c r="G1990" s="2">
        <v>-386.45</v>
      </c>
      <c r="H1990" s="2">
        <v>-84.04</v>
      </c>
      <c r="I1990" s="2">
        <v>93.21</v>
      </c>
      <c r="J1990" s="2">
        <v>5.69</v>
      </c>
      <c r="K1990" s="2">
        <v>1.1000000000000001</v>
      </c>
      <c r="L1990" s="2">
        <v>5.8</v>
      </c>
      <c r="M1990" s="2">
        <v>-0.31</v>
      </c>
      <c r="N1990" t="s">
        <v>259</v>
      </c>
      <c r="O1990">
        <v>86</v>
      </c>
    </row>
    <row r="1991" spans="1:15">
      <c r="A1991" s="1">
        <v>46027</v>
      </c>
      <c r="B1991">
        <v>14</v>
      </c>
      <c r="C1991" t="s">
        <v>100</v>
      </c>
      <c r="D1991">
        <v>13</v>
      </c>
      <c r="E1991" s="2">
        <v>4</v>
      </c>
      <c r="F1991" s="2">
        <v>382.71</v>
      </c>
      <c r="G1991" s="2">
        <v>-378.77</v>
      </c>
      <c r="H1991" s="2">
        <v>-103.78</v>
      </c>
      <c r="I1991" s="2">
        <v>118.42</v>
      </c>
      <c r="J1991" s="2">
        <v>6.54</v>
      </c>
      <c r="K1991" s="2">
        <v>1.28</v>
      </c>
      <c r="L1991" s="2">
        <v>6.66</v>
      </c>
      <c r="M1991" s="2">
        <v>-0.15</v>
      </c>
      <c r="N1991" t="s">
        <v>259</v>
      </c>
      <c r="O1991">
        <v>86</v>
      </c>
    </row>
    <row r="1992" spans="1:15">
      <c r="A1992" s="1">
        <v>46027</v>
      </c>
      <c r="B1992">
        <v>14</v>
      </c>
      <c r="C1992" t="s">
        <v>100</v>
      </c>
      <c r="D1992">
        <v>13</v>
      </c>
      <c r="E1992" s="2">
        <v>4.5</v>
      </c>
      <c r="F1992" s="2">
        <v>388.31</v>
      </c>
      <c r="G1992" s="2">
        <v>-382.53</v>
      </c>
      <c r="H1992" s="2">
        <v>-107.32</v>
      </c>
      <c r="I1992" s="2">
        <v>120.41</v>
      </c>
      <c r="J1992" s="2">
        <v>7.52</v>
      </c>
      <c r="K1992" s="2">
        <v>1.33</v>
      </c>
      <c r="L1992" s="2">
        <v>7.64</v>
      </c>
      <c r="M1992" s="2">
        <v>0</v>
      </c>
      <c r="N1992" t="s">
        <v>259</v>
      </c>
      <c r="O1992">
        <v>86</v>
      </c>
    </row>
    <row r="1993" spans="1:15">
      <c r="A1993" s="1">
        <v>46027</v>
      </c>
      <c r="B1993">
        <v>14</v>
      </c>
      <c r="C1993" t="s">
        <v>100</v>
      </c>
      <c r="D1993">
        <v>13</v>
      </c>
      <c r="E1993" s="2">
        <v>5</v>
      </c>
      <c r="F1993" s="2">
        <v>296.7</v>
      </c>
      <c r="G1993" s="2">
        <v>-292.73</v>
      </c>
      <c r="H1993" s="2">
        <v>-69.540000000000006</v>
      </c>
      <c r="I1993" s="2">
        <v>85.13</v>
      </c>
      <c r="J1993" s="2">
        <v>8.5399999999999991</v>
      </c>
      <c r="K1993" s="2">
        <v>1.28</v>
      </c>
      <c r="L1993" s="2">
        <v>8.64</v>
      </c>
      <c r="M1993" s="2">
        <v>0.15</v>
      </c>
      <c r="N1993" t="s">
        <v>259</v>
      </c>
      <c r="O1993">
        <v>86</v>
      </c>
    </row>
    <row r="1994" spans="1:15">
      <c r="A1994" s="1">
        <v>46027</v>
      </c>
      <c r="B1994">
        <v>14</v>
      </c>
      <c r="C1994" t="s">
        <v>100</v>
      </c>
      <c r="D1994">
        <v>13</v>
      </c>
      <c r="E1994" s="2">
        <v>5.5</v>
      </c>
      <c r="F1994" s="2">
        <v>214.67</v>
      </c>
      <c r="G1994" s="2">
        <v>-206.41</v>
      </c>
      <c r="H1994" s="2">
        <v>-19.09</v>
      </c>
      <c r="I1994" s="2">
        <v>36.26</v>
      </c>
      <c r="J1994" s="2">
        <v>8.85</v>
      </c>
      <c r="K1994" s="2">
        <v>1.1000000000000001</v>
      </c>
      <c r="L1994" s="2">
        <v>8.92</v>
      </c>
      <c r="M1994" s="2">
        <v>0.24</v>
      </c>
      <c r="N1994" t="s">
        <v>259</v>
      </c>
      <c r="O1994">
        <v>86</v>
      </c>
    </row>
    <row r="1995" spans="1:15">
      <c r="A1995" s="1">
        <v>46027</v>
      </c>
      <c r="B1995">
        <v>14</v>
      </c>
      <c r="C1995" t="s">
        <v>100</v>
      </c>
      <c r="D1995">
        <v>13</v>
      </c>
      <c r="E1995" s="2">
        <v>6</v>
      </c>
      <c r="F1995" s="2">
        <v>187.65</v>
      </c>
      <c r="G1995" s="2">
        <v>-180.96</v>
      </c>
      <c r="H1995" s="2">
        <v>4.8899999999999997</v>
      </c>
      <c r="I1995" s="2">
        <v>12.84</v>
      </c>
      <c r="J1995" s="2">
        <v>9.14</v>
      </c>
      <c r="K1995" s="2">
        <v>1.05</v>
      </c>
      <c r="L1995" s="2">
        <v>9.1999999999999993</v>
      </c>
      <c r="M1995" s="2">
        <v>0.32</v>
      </c>
      <c r="N1995" t="s">
        <v>259</v>
      </c>
      <c r="O1995">
        <v>86</v>
      </c>
    </row>
    <row r="1996" spans="1:15">
      <c r="A1996" s="1">
        <v>46027</v>
      </c>
      <c r="B1996">
        <v>14</v>
      </c>
      <c r="C1996" t="s">
        <v>100</v>
      </c>
      <c r="D1996">
        <v>13</v>
      </c>
      <c r="E1996" s="2">
        <v>6.5</v>
      </c>
      <c r="F1996" s="2">
        <v>181.91</v>
      </c>
      <c r="G1996" s="2">
        <v>-174.78</v>
      </c>
      <c r="H1996" s="2">
        <v>72.86</v>
      </c>
      <c r="I1996" s="2">
        <v>-51.37</v>
      </c>
      <c r="J1996" s="2">
        <v>9.6300000000000008</v>
      </c>
      <c r="K1996" s="2">
        <v>0.38</v>
      </c>
      <c r="L1996" s="2">
        <v>9.64</v>
      </c>
      <c r="M1996" s="2">
        <v>0.38</v>
      </c>
      <c r="N1996" t="s">
        <v>259</v>
      </c>
      <c r="O1996">
        <v>86</v>
      </c>
    </row>
    <row r="1997" spans="1:15">
      <c r="A1997" s="1">
        <v>46027</v>
      </c>
      <c r="B1997">
        <v>14</v>
      </c>
      <c r="C1997" t="s">
        <v>100</v>
      </c>
      <c r="D1997">
        <v>13</v>
      </c>
      <c r="E1997" s="2">
        <v>7</v>
      </c>
      <c r="F1997" s="2">
        <v>138.18</v>
      </c>
      <c r="G1997" s="2">
        <v>-130.58000000000001</v>
      </c>
      <c r="H1997" s="2">
        <v>140.63</v>
      </c>
      <c r="I1997" s="2">
        <v>-138.5</v>
      </c>
      <c r="J1997" s="2">
        <v>9.8699999999999992</v>
      </c>
      <c r="K1997" s="2">
        <v>0.13</v>
      </c>
      <c r="L1997" s="2">
        <v>9.8800000000000008</v>
      </c>
      <c r="M1997" s="2">
        <v>0.47</v>
      </c>
      <c r="N1997" t="s">
        <v>259</v>
      </c>
      <c r="O1997">
        <v>86</v>
      </c>
    </row>
    <row r="1998" spans="1:15">
      <c r="A1998" s="1">
        <v>46027</v>
      </c>
      <c r="B1998">
        <v>14</v>
      </c>
      <c r="C1998" t="s">
        <v>100</v>
      </c>
      <c r="D1998">
        <v>13</v>
      </c>
      <c r="E1998" s="2">
        <v>7.5</v>
      </c>
      <c r="F1998" s="2">
        <v>80.08</v>
      </c>
      <c r="G1998" s="2">
        <v>-73.89</v>
      </c>
      <c r="H1998" s="2">
        <v>210.94</v>
      </c>
      <c r="I1998" s="2">
        <v>-205.65</v>
      </c>
      <c r="J1998" s="2">
        <v>9.9499999999999993</v>
      </c>
      <c r="K1998" s="2">
        <v>0.25</v>
      </c>
      <c r="L1998" s="2">
        <v>9.9499999999999993</v>
      </c>
      <c r="M1998" s="2">
        <v>0.56000000000000005</v>
      </c>
      <c r="N1998" t="s">
        <v>259</v>
      </c>
      <c r="O1998">
        <v>86</v>
      </c>
    </row>
    <row r="1999" spans="1:15">
      <c r="A1999" s="1">
        <v>46027</v>
      </c>
      <c r="B1999">
        <v>14</v>
      </c>
      <c r="C1999" t="s">
        <v>100</v>
      </c>
      <c r="D1999">
        <v>13</v>
      </c>
      <c r="E1999" s="2">
        <v>8</v>
      </c>
      <c r="F1999" s="2">
        <v>65.22</v>
      </c>
      <c r="G1999" s="2">
        <v>-59.91</v>
      </c>
      <c r="H1999" s="2">
        <v>230.56</v>
      </c>
      <c r="I1999" s="2">
        <v>-226.96</v>
      </c>
      <c r="J1999" s="2">
        <v>9.6</v>
      </c>
      <c r="K1999" s="2">
        <v>0.43</v>
      </c>
      <c r="L1999" s="2">
        <v>9.61</v>
      </c>
      <c r="M1999" s="2">
        <v>0.61</v>
      </c>
      <c r="N1999" t="s">
        <v>259</v>
      </c>
      <c r="O1999">
        <v>86</v>
      </c>
    </row>
    <row r="2000" spans="1:15">
      <c r="A2000" s="1">
        <v>46027</v>
      </c>
      <c r="B2000">
        <v>14</v>
      </c>
      <c r="C2000" t="s">
        <v>100</v>
      </c>
      <c r="D2000">
        <v>13</v>
      </c>
      <c r="E2000" s="2">
        <v>8.5</v>
      </c>
      <c r="F2000" s="2">
        <v>100.52</v>
      </c>
      <c r="G2000" s="2">
        <v>-94.36</v>
      </c>
      <c r="H2000" s="2">
        <v>330.36</v>
      </c>
      <c r="I2000" s="2">
        <v>-329.77</v>
      </c>
      <c r="J2000" s="2">
        <v>8.81</v>
      </c>
      <c r="K2000" s="2">
        <v>0.17</v>
      </c>
      <c r="L2000" s="2">
        <v>8.82</v>
      </c>
      <c r="M2000" s="2">
        <v>0.52</v>
      </c>
      <c r="N2000" t="s">
        <v>259</v>
      </c>
      <c r="O2000">
        <v>86</v>
      </c>
    </row>
    <row r="2001" spans="1:15">
      <c r="A2001" s="1">
        <v>46027</v>
      </c>
      <c r="B2001">
        <v>14</v>
      </c>
      <c r="C2001" t="s">
        <v>100</v>
      </c>
      <c r="D2001">
        <v>13</v>
      </c>
      <c r="E2001" s="2">
        <v>9</v>
      </c>
      <c r="F2001" s="2">
        <v>157.24</v>
      </c>
      <c r="G2001" s="2">
        <v>-146.37</v>
      </c>
      <c r="H2001" s="2">
        <v>385.21</v>
      </c>
      <c r="I2001" s="2">
        <v>-384.06</v>
      </c>
      <c r="J2001" s="2">
        <v>8.15</v>
      </c>
      <c r="K2001" s="2">
        <v>0.61</v>
      </c>
      <c r="L2001" s="2">
        <v>8.17</v>
      </c>
      <c r="M2001" s="2">
        <v>0.53</v>
      </c>
      <c r="N2001" t="s">
        <v>259</v>
      </c>
      <c r="O2001">
        <v>86</v>
      </c>
    </row>
    <row r="2002" spans="1:15">
      <c r="A2002" s="1">
        <v>46027</v>
      </c>
      <c r="B2002">
        <v>14</v>
      </c>
      <c r="C2002" t="s">
        <v>100</v>
      </c>
      <c r="D2002">
        <v>13</v>
      </c>
      <c r="E2002" s="2">
        <v>9.5</v>
      </c>
      <c r="F2002" s="2">
        <v>133.22999999999999</v>
      </c>
      <c r="G2002" s="2">
        <v>-129.76</v>
      </c>
      <c r="H2002" s="2">
        <v>448.74</v>
      </c>
      <c r="I2002" s="2">
        <v>-427.8</v>
      </c>
      <c r="J2002" s="2">
        <v>7.58</v>
      </c>
      <c r="K2002" s="2">
        <v>1.1200000000000001</v>
      </c>
      <c r="L2002" s="2">
        <v>7.66</v>
      </c>
      <c r="M2002" s="2">
        <v>0.57999999999999996</v>
      </c>
      <c r="N2002" t="s">
        <v>259</v>
      </c>
      <c r="O2002">
        <v>86</v>
      </c>
    </row>
    <row r="2003" spans="1:15">
      <c r="A2003" s="1">
        <v>46027</v>
      </c>
      <c r="B2003">
        <v>14</v>
      </c>
      <c r="C2003" t="s">
        <v>100</v>
      </c>
      <c r="D2003">
        <v>13</v>
      </c>
      <c r="E2003" s="2">
        <v>10</v>
      </c>
      <c r="F2003" s="2">
        <v>131.41</v>
      </c>
      <c r="G2003" s="2">
        <v>-123.53</v>
      </c>
      <c r="H2003" s="2">
        <v>451.89</v>
      </c>
      <c r="I2003" s="2">
        <v>-437.35</v>
      </c>
      <c r="J2003" s="2">
        <v>6.82</v>
      </c>
      <c r="K2003" s="2">
        <v>1.7</v>
      </c>
      <c r="L2003" s="2">
        <v>7.03</v>
      </c>
      <c r="M2003" s="2">
        <v>0.62</v>
      </c>
      <c r="N2003" t="s">
        <v>259</v>
      </c>
      <c r="O2003">
        <v>86</v>
      </c>
    </row>
    <row r="2004" spans="1:15">
      <c r="A2004" s="1">
        <v>46027</v>
      </c>
      <c r="B2004">
        <v>14</v>
      </c>
      <c r="C2004" t="s">
        <v>100</v>
      </c>
      <c r="D2004">
        <v>13</v>
      </c>
      <c r="E2004" s="2">
        <v>10.5</v>
      </c>
      <c r="F2004" s="2">
        <v>316.77</v>
      </c>
      <c r="G2004" s="2">
        <v>-309.64</v>
      </c>
      <c r="H2004" s="2">
        <v>461.69</v>
      </c>
      <c r="I2004" s="2">
        <v>-450.02</v>
      </c>
      <c r="J2004" s="2">
        <v>6.46</v>
      </c>
      <c r="K2004" s="2">
        <v>1.77</v>
      </c>
      <c r="L2004" s="2">
        <v>6.69</v>
      </c>
      <c r="M2004" s="2">
        <v>0.61</v>
      </c>
      <c r="N2004" t="s">
        <v>259</v>
      </c>
      <c r="O2004">
        <v>86</v>
      </c>
    </row>
    <row r="2005" spans="1:15">
      <c r="A2005" s="1">
        <v>46027</v>
      </c>
      <c r="B2005">
        <v>14</v>
      </c>
      <c r="C2005" t="s">
        <v>100</v>
      </c>
      <c r="D2005">
        <v>13</v>
      </c>
      <c r="E2005" s="2">
        <v>11</v>
      </c>
      <c r="F2005" s="2">
        <v>324.27999999999997</v>
      </c>
      <c r="G2005" s="2">
        <v>-315.52999999999997</v>
      </c>
      <c r="H2005" s="2">
        <v>447.82</v>
      </c>
      <c r="I2005" s="2">
        <v>-444.86</v>
      </c>
      <c r="J2005" s="2">
        <v>6.12</v>
      </c>
      <c r="K2005" s="2">
        <v>1.64</v>
      </c>
      <c r="L2005" s="2">
        <v>6.34</v>
      </c>
      <c r="M2005" s="2">
        <v>0.56000000000000005</v>
      </c>
      <c r="N2005" t="s">
        <v>259</v>
      </c>
      <c r="O2005">
        <v>86</v>
      </c>
    </row>
    <row r="2006" spans="1:15">
      <c r="A2006" s="1">
        <v>46027</v>
      </c>
      <c r="B2006">
        <v>14</v>
      </c>
      <c r="C2006" t="s">
        <v>100</v>
      </c>
      <c r="D2006">
        <v>13</v>
      </c>
      <c r="E2006" s="2">
        <v>11.5</v>
      </c>
      <c r="F2006" s="2">
        <v>297.55</v>
      </c>
      <c r="G2006" s="2">
        <v>-284.08</v>
      </c>
      <c r="H2006" s="2">
        <v>363.32</v>
      </c>
      <c r="I2006" s="2">
        <v>-358.16</v>
      </c>
      <c r="J2006" s="2">
        <v>5.58</v>
      </c>
      <c r="K2006" s="2">
        <v>1.49</v>
      </c>
      <c r="L2006" s="2">
        <v>5.77</v>
      </c>
      <c r="M2006" s="2">
        <v>0.48</v>
      </c>
      <c r="N2006" t="s">
        <v>259</v>
      </c>
      <c r="O2006">
        <v>86</v>
      </c>
    </row>
    <row r="2007" spans="1:15">
      <c r="A2007" s="1">
        <v>46027</v>
      </c>
      <c r="B2007">
        <v>14</v>
      </c>
      <c r="C2007" t="s">
        <v>100</v>
      </c>
      <c r="D2007">
        <v>13</v>
      </c>
      <c r="E2007" s="2">
        <v>12</v>
      </c>
      <c r="F2007" s="2">
        <v>277.69</v>
      </c>
      <c r="G2007" s="2">
        <v>-265.8</v>
      </c>
      <c r="H2007" s="2">
        <v>265.14999999999998</v>
      </c>
      <c r="I2007" s="2">
        <v>-264.13</v>
      </c>
      <c r="J2007" s="2">
        <v>5</v>
      </c>
      <c r="K2007" s="2">
        <v>1.3</v>
      </c>
      <c r="L2007" s="2">
        <v>5.16</v>
      </c>
      <c r="M2007" s="2">
        <v>0.41</v>
      </c>
      <c r="N2007" t="s">
        <v>259</v>
      </c>
      <c r="O2007">
        <v>86</v>
      </c>
    </row>
    <row r="2008" spans="1:15">
      <c r="A2008" s="1">
        <v>46027</v>
      </c>
      <c r="B2008">
        <v>14</v>
      </c>
      <c r="C2008" t="s">
        <v>100</v>
      </c>
      <c r="D2008">
        <v>13</v>
      </c>
      <c r="E2008" s="2">
        <v>12.5</v>
      </c>
      <c r="F2008" s="2">
        <v>237.55</v>
      </c>
      <c r="G2008" s="2">
        <v>-228.05</v>
      </c>
      <c r="H2008" s="2">
        <v>184.32</v>
      </c>
      <c r="I2008" s="2">
        <v>-167.3</v>
      </c>
      <c r="J2008" s="2">
        <v>4.51</v>
      </c>
      <c r="K2008" s="2">
        <v>0.83</v>
      </c>
      <c r="L2008" s="2">
        <v>4.58</v>
      </c>
      <c r="M2008" s="2">
        <v>0.3</v>
      </c>
      <c r="N2008" t="s">
        <v>259</v>
      </c>
      <c r="O2008">
        <v>86</v>
      </c>
    </row>
    <row r="2009" spans="1:15">
      <c r="A2009" s="1">
        <v>46027</v>
      </c>
      <c r="B2009">
        <v>14</v>
      </c>
      <c r="C2009" t="s">
        <v>100</v>
      </c>
      <c r="D2009">
        <v>13</v>
      </c>
      <c r="E2009" s="2">
        <v>13</v>
      </c>
      <c r="F2009" s="2">
        <v>204.29</v>
      </c>
      <c r="G2009" s="2">
        <v>-195.36</v>
      </c>
      <c r="H2009" s="2">
        <v>131.18</v>
      </c>
      <c r="I2009" s="2">
        <v>-117.48</v>
      </c>
      <c r="J2009" s="2">
        <v>4.1900000000000004</v>
      </c>
      <c r="K2009" s="2">
        <v>0.45</v>
      </c>
      <c r="L2009" s="2">
        <v>4.22</v>
      </c>
      <c r="M2009" s="2">
        <v>0.21</v>
      </c>
      <c r="N2009" t="s">
        <v>259</v>
      </c>
      <c r="O2009">
        <v>86</v>
      </c>
    </row>
    <row r="2010" spans="1:15">
      <c r="A2010" s="1">
        <v>46027</v>
      </c>
      <c r="B2010">
        <v>14</v>
      </c>
      <c r="C2010" t="s">
        <v>100</v>
      </c>
      <c r="D2010">
        <v>13</v>
      </c>
      <c r="E2010" s="2">
        <v>13.5</v>
      </c>
      <c r="F2010" s="2">
        <v>169.64</v>
      </c>
      <c r="G2010" s="2">
        <v>-163.04</v>
      </c>
      <c r="H2010" s="2">
        <v>138.54</v>
      </c>
      <c r="I2010" s="2">
        <v>-131.63</v>
      </c>
      <c r="J2010" s="2">
        <v>3.77</v>
      </c>
      <c r="K2010" s="2">
        <v>0.39</v>
      </c>
      <c r="L2010" s="2">
        <v>3.79</v>
      </c>
      <c r="M2010" s="2">
        <v>0.19</v>
      </c>
      <c r="N2010" t="s">
        <v>259</v>
      </c>
      <c r="O2010">
        <v>86</v>
      </c>
    </row>
    <row r="2011" spans="1:15">
      <c r="A2011" s="1">
        <v>46027</v>
      </c>
      <c r="B2011">
        <v>14</v>
      </c>
      <c r="C2011" t="s">
        <v>100</v>
      </c>
      <c r="D2011">
        <v>13</v>
      </c>
      <c r="E2011" s="2">
        <v>14</v>
      </c>
      <c r="F2011" s="2">
        <v>128.68</v>
      </c>
      <c r="G2011" s="2">
        <v>-122.55</v>
      </c>
      <c r="H2011" s="2">
        <v>151.68</v>
      </c>
      <c r="I2011" s="2">
        <v>-152.93</v>
      </c>
      <c r="J2011" s="2">
        <v>3.19</v>
      </c>
      <c r="K2011" s="2">
        <v>0.56000000000000005</v>
      </c>
      <c r="L2011" s="2">
        <v>3.24</v>
      </c>
      <c r="M2011" s="2">
        <v>0.17</v>
      </c>
      <c r="N2011" t="s">
        <v>259</v>
      </c>
      <c r="O2011">
        <v>86</v>
      </c>
    </row>
    <row r="2012" spans="1:15">
      <c r="A2012" s="1">
        <v>46027</v>
      </c>
      <c r="B2012">
        <v>14</v>
      </c>
      <c r="C2012" t="s">
        <v>100</v>
      </c>
      <c r="D2012">
        <v>13</v>
      </c>
      <c r="E2012" s="2">
        <v>14.5</v>
      </c>
      <c r="F2012" s="2">
        <v>126.31</v>
      </c>
      <c r="G2012" s="2">
        <v>-120.28</v>
      </c>
      <c r="H2012" s="2">
        <v>173.35</v>
      </c>
      <c r="I2012" s="2">
        <v>-174.76</v>
      </c>
      <c r="J2012" s="2">
        <v>2.73</v>
      </c>
      <c r="K2012" s="2">
        <v>-7.0000000000000007E-2</v>
      </c>
      <c r="L2012" s="2">
        <v>2.73</v>
      </c>
      <c r="M2012" s="2">
        <v>-0.02</v>
      </c>
      <c r="N2012" t="s">
        <v>259</v>
      </c>
      <c r="O2012">
        <v>86</v>
      </c>
    </row>
    <row r="2013" spans="1:15">
      <c r="A2013" s="1">
        <v>46027</v>
      </c>
      <c r="B2013">
        <v>14</v>
      </c>
      <c r="C2013" t="s">
        <v>100</v>
      </c>
      <c r="D2013">
        <v>13</v>
      </c>
      <c r="E2013" s="2">
        <v>15</v>
      </c>
      <c r="F2013" s="2">
        <v>132.47999999999999</v>
      </c>
      <c r="G2013" s="2">
        <v>-126.41</v>
      </c>
      <c r="H2013" s="2">
        <v>252.77</v>
      </c>
      <c r="I2013" s="2">
        <v>-255.5</v>
      </c>
      <c r="J2013" s="2">
        <v>2.2999999999999998</v>
      </c>
      <c r="K2013" s="2">
        <v>-0.44</v>
      </c>
      <c r="L2013" s="2">
        <v>2.34</v>
      </c>
      <c r="M2013" s="2">
        <v>-0.17</v>
      </c>
      <c r="N2013" t="s">
        <v>259</v>
      </c>
      <c r="O2013">
        <v>86</v>
      </c>
    </row>
    <row r="2014" spans="1:15">
      <c r="A2014" s="1">
        <v>46027</v>
      </c>
      <c r="B2014">
        <v>14</v>
      </c>
      <c r="C2014" t="s">
        <v>100</v>
      </c>
      <c r="D2014">
        <v>13</v>
      </c>
      <c r="E2014" s="2">
        <v>15.5</v>
      </c>
      <c r="F2014" s="2">
        <v>54.21</v>
      </c>
      <c r="G2014" s="2">
        <v>-48.7</v>
      </c>
      <c r="H2014" s="2">
        <v>355.3</v>
      </c>
      <c r="I2014" s="2">
        <v>-339.64</v>
      </c>
      <c r="J2014" s="2">
        <v>1.9</v>
      </c>
      <c r="K2014" s="2">
        <v>-0.61</v>
      </c>
      <c r="L2014" s="2">
        <v>2</v>
      </c>
      <c r="M2014" s="2">
        <v>-0.27</v>
      </c>
      <c r="N2014" t="s">
        <v>259</v>
      </c>
      <c r="O2014">
        <v>86</v>
      </c>
    </row>
    <row r="2015" spans="1:15">
      <c r="A2015" s="1">
        <v>46027</v>
      </c>
      <c r="B2015">
        <v>14</v>
      </c>
      <c r="C2015" t="s">
        <v>100</v>
      </c>
      <c r="D2015">
        <v>13</v>
      </c>
      <c r="E2015" s="2">
        <v>16</v>
      </c>
      <c r="F2015" s="2">
        <v>197.51</v>
      </c>
      <c r="G2015" s="2">
        <v>-185.73</v>
      </c>
      <c r="H2015" s="2">
        <v>187.1</v>
      </c>
      <c r="I2015" s="2">
        <v>-184.82</v>
      </c>
      <c r="J2015" s="2">
        <v>1.71</v>
      </c>
      <c r="K2015" s="2">
        <v>-0.46</v>
      </c>
      <c r="L2015" s="2">
        <v>1.77</v>
      </c>
      <c r="M2015" s="2">
        <v>-0.35</v>
      </c>
      <c r="N2015" t="s">
        <v>259</v>
      </c>
      <c r="O2015">
        <v>86</v>
      </c>
    </row>
    <row r="2016" spans="1:15">
      <c r="A2016" s="1">
        <v>46027</v>
      </c>
      <c r="B2016">
        <v>14</v>
      </c>
      <c r="C2016" t="s">
        <v>100</v>
      </c>
      <c r="D2016">
        <v>13</v>
      </c>
      <c r="E2016" s="2">
        <v>16.5</v>
      </c>
      <c r="F2016" s="2">
        <v>319.45</v>
      </c>
      <c r="G2016" s="2">
        <v>-316.94</v>
      </c>
      <c r="H2016" s="2">
        <v>207.11</v>
      </c>
      <c r="I2016" s="2">
        <v>-193.42</v>
      </c>
      <c r="J2016" s="2">
        <v>1.67</v>
      </c>
      <c r="K2016" s="2">
        <v>-0.57999999999999996</v>
      </c>
      <c r="L2016" s="2">
        <v>1.77</v>
      </c>
      <c r="M2016" s="2">
        <v>-0.43</v>
      </c>
      <c r="N2016" t="s">
        <v>259</v>
      </c>
      <c r="O2016">
        <v>86</v>
      </c>
    </row>
    <row r="2017" spans="1:15">
      <c r="A2017" s="1">
        <v>46027</v>
      </c>
      <c r="B2017">
        <v>14</v>
      </c>
      <c r="C2017" t="s">
        <v>100</v>
      </c>
      <c r="D2017">
        <v>13</v>
      </c>
      <c r="E2017" s="2">
        <v>17</v>
      </c>
      <c r="F2017" s="2">
        <v>379.75</v>
      </c>
      <c r="G2017" s="2">
        <v>-373.34</v>
      </c>
      <c r="H2017" s="2">
        <v>242.6</v>
      </c>
      <c r="I2017" s="2">
        <v>-248.41</v>
      </c>
      <c r="J2017" s="2">
        <v>1.58</v>
      </c>
      <c r="K2017" s="2">
        <v>-0.38</v>
      </c>
      <c r="L2017" s="2">
        <v>1.63</v>
      </c>
      <c r="M2017" s="2">
        <v>-0.37</v>
      </c>
      <c r="N2017" t="s">
        <v>259</v>
      </c>
      <c r="O2017">
        <v>86</v>
      </c>
    </row>
    <row r="2018" spans="1:15">
      <c r="A2018" s="1">
        <v>46027</v>
      </c>
      <c r="B2018">
        <v>14</v>
      </c>
      <c r="C2018" t="s">
        <v>100</v>
      </c>
      <c r="D2018">
        <v>13</v>
      </c>
      <c r="E2018" s="2">
        <v>17.5</v>
      </c>
      <c r="F2018" s="2">
        <v>375.28</v>
      </c>
      <c r="G2018" s="2">
        <v>-372.92</v>
      </c>
      <c r="H2018" s="2">
        <v>162.61000000000001</v>
      </c>
      <c r="I2018" s="2">
        <v>-162.04</v>
      </c>
      <c r="J2018" s="2">
        <v>1.47</v>
      </c>
      <c r="K2018" s="2">
        <v>-0.18</v>
      </c>
      <c r="L2018" s="2">
        <v>1.48</v>
      </c>
      <c r="M2018" s="2">
        <v>-0.36</v>
      </c>
      <c r="N2018" t="s">
        <v>259</v>
      </c>
      <c r="O2018">
        <v>86</v>
      </c>
    </row>
    <row r="2019" spans="1:15">
      <c r="A2019" s="1">
        <v>46027</v>
      </c>
      <c r="B2019">
        <v>14</v>
      </c>
      <c r="C2019" t="s">
        <v>100</v>
      </c>
      <c r="D2019">
        <v>13</v>
      </c>
      <c r="E2019" s="2">
        <v>18</v>
      </c>
      <c r="F2019" s="2">
        <v>343.29</v>
      </c>
      <c r="G2019" s="2">
        <v>-338.75</v>
      </c>
      <c r="H2019" s="2">
        <v>91.98</v>
      </c>
      <c r="I2019" s="2">
        <v>-94.99</v>
      </c>
      <c r="J2019" s="2">
        <v>1.36</v>
      </c>
      <c r="K2019" s="2">
        <v>0.24</v>
      </c>
      <c r="L2019" s="2">
        <v>1.38</v>
      </c>
      <c r="M2019" s="2">
        <v>-0.23</v>
      </c>
      <c r="N2019" t="s">
        <v>259</v>
      </c>
      <c r="O2019">
        <v>86</v>
      </c>
    </row>
    <row r="2020" spans="1:15">
      <c r="A2020" s="1">
        <v>46027</v>
      </c>
      <c r="B2020">
        <v>14</v>
      </c>
      <c r="C2020" t="s">
        <v>100</v>
      </c>
      <c r="D2020">
        <v>13</v>
      </c>
      <c r="E2020" s="2">
        <v>18.5</v>
      </c>
      <c r="F2020" s="2">
        <v>312.16000000000003</v>
      </c>
      <c r="G2020" s="2">
        <v>-308.94</v>
      </c>
      <c r="H2020" s="2">
        <v>51.53</v>
      </c>
      <c r="I2020" s="2">
        <v>-56.24</v>
      </c>
      <c r="J2020" s="2">
        <v>1.26</v>
      </c>
      <c r="K2020" s="2">
        <v>0.19</v>
      </c>
      <c r="L2020" s="2">
        <v>1.27</v>
      </c>
      <c r="M2020" s="2">
        <v>-0.3</v>
      </c>
      <c r="N2020" t="s">
        <v>259</v>
      </c>
      <c r="O2020">
        <v>86</v>
      </c>
    </row>
    <row r="2021" spans="1:15">
      <c r="A2021" s="1">
        <v>46027</v>
      </c>
      <c r="B2021">
        <v>14</v>
      </c>
      <c r="C2021" t="s">
        <v>100</v>
      </c>
      <c r="D2021">
        <v>13</v>
      </c>
      <c r="E2021" s="2">
        <v>19</v>
      </c>
      <c r="F2021" s="2">
        <v>298.57</v>
      </c>
      <c r="G2021" s="2">
        <v>-296.60000000000002</v>
      </c>
      <c r="H2021" s="2">
        <v>51.73</v>
      </c>
      <c r="I2021" s="2">
        <v>-42.86</v>
      </c>
      <c r="J2021" s="2">
        <v>1.04</v>
      </c>
      <c r="K2021" s="2">
        <v>-0.13</v>
      </c>
      <c r="L2021" s="2">
        <v>1.05</v>
      </c>
      <c r="M2021" s="2">
        <v>-0.51</v>
      </c>
      <c r="N2021" t="s">
        <v>259</v>
      </c>
      <c r="O2021">
        <v>86</v>
      </c>
    </row>
    <row r="2022" spans="1:15">
      <c r="A2022" s="1">
        <v>46027</v>
      </c>
      <c r="B2022">
        <v>14</v>
      </c>
      <c r="C2022" t="s">
        <v>100</v>
      </c>
      <c r="D2022">
        <v>13</v>
      </c>
      <c r="E2022" s="2">
        <v>19.5</v>
      </c>
      <c r="F2022" s="2">
        <v>205.61</v>
      </c>
      <c r="G2022" s="2">
        <v>-201.46</v>
      </c>
      <c r="H2022" s="2">
        <v>99.07</v>
      </c>
      <c r="I2022" s="2">
        <v>-88.45</v>
      </c>
      <c r="J2022" s="2">
        <v>0.89</v>
      </c>
      <c r="K2022" s="2">
        <v>-0.31</v>
      </c>
      <c r="L2022" s="2">
        <v>0.95</v>
      </c>
      <c r="M2022" s="2">
        <v>-0.69</v>
      </c>
      <c r="N2022" t="s">
        <v>259</v>
      </c>
      <c r="O2022">
        <v>86</v>
      </c>
    </row>
    <row r="2023" spans="1:15">
      <c r="A2023" s="1">
        <v>46027</v>
      </c>
      <c r="B2023">
        <v>14</v>
      </c>
      <c r="C2023" t="s">
        <v>100</v>
      </c>
      <c r="D2023">
        <v>13</v>
      </c>
      <c r="E2023" s="2">
        <v>20</v>
      </c>
      <c r="F2023" s="2">
        <v>138.63999999999999</v>
      </c>
      <c r="G2023" s="2">
        <v>-136.22</v>
      </c>
      <c r="H2023" s="2">
        <v>134.13</v>
      </c>
      <c r="I2023" s="2">
        <v>-144.72999999999999</v>
      </c>
      <c r="J2023" s="2">
        <v>0.66</v>
      </c>
      <c r="K2023" s="2">
        <v>-0.01</v>
      </c>
      <c r="L2023" s="2">
        <v>0.66</v>
      </c>
      <c r="M2023" s="2">
        <v>-0.55000000000000004</v>
      </c>
      <c r="N2023" t="s">
        <v>259</v>
      </c>
      <c r="O2023">
        <v>86</v>
      </c>
    </row>
    <row r="2024" spans="1:15">
      <c r="A2024" s="1">
        <v>46027</v>
      </c>
      <c r="B2024">
        <v>14</v>
      </c>
      <c r="C2024" t="s">
        <v>100</v>
      </c>
      <c r="D2024">
        <v>13</v>
      </c>
      <c r="E2024" s="2">
        <v>20.5</v>
      </c>
      <c r="F2024" s="2">
        <v>144.84</v>
      </c>
      <c r="G2024" s="2">
        <v>-143.76</v>
      </c>
      <c r="H2024" s="2">
        <v>149.1</v>
      </c>
      <c r="I2024" s="2">
        <v>-156.4</v>
      </c>
      <c r="J2024" s="2">
        <v>0.51</v>
      </c>
      <c r="K2024" s="2">
        <v>0.04</v>
      </c>
      <c r="L2024" s="2">
        <v>0.51</v>
      </c>
      <c r="M2024" s="2">
        <v>-0.35</v>
      </c>
      <c r="N2024" t="s">
        <v>259</v>
      </c>
      <c r="O2024">
        <v>86</v>
      </c>
    </row>
    <row r="2025" spans="1:15">
      <c r="A2025" s="1">
        <v>46027</v>
      </c>
      <c r="B2025">
        <v>14</v>
      </c>
      <c r="C2025" t="s">
        <v>100</v>
      </c>
      <c r="D2025">
        <v>13</v>
      </c>
      <c r="E2025" s="2">
        <v>21</v>
      </c>
      <c r="F2025" s="2">
        <v>155.74</v>
      </c>
      <c r="G2025" s="2">
        <v>-154.53</v>
      </c>
      <c r="H2025" s="2">
        <v>159.52000000000001</v>
      </c>
      <c r="I2025" s="2">
        <v>-170.81</v>
      </c>
      <c r="J2025" s="2">
        <v>0.28999999999999998</v>
      </c>
      <c r="K2025" s="2">
        <v>0.3</v>
      </c>
      <c r="L2025" s="2">
        <v>0.42</v>
      </c>
      <c r="M2025" s="2">
        <v>0.01</v>
      </c>
      <c r="N2025" t="s">
        <v>259</v>
      </c>
      <c r="O2025">
        <v>86</v>
      </c>
    </row>
    <row r="2026" spans="1:15">
      <c r="A2026" s="1">
        <v>46027</v>
      </c>
      <c r="B2026">
        <v>14</v>
      </c>
      <c r="C2026" t="s">
        <v>100</v>
      </c>
      <c r="D2026">
        <v>13</v>
      </c>
      <c r="E2026" s="2">
        <v>21.5</v>
      </c>
      <c r="F2026" s="2">
        <v>175.72</v>
      </c>
      <c r="G2026" s="2">
        <v>-174.84</v>
      </c>
      <c r="H2026" s="2">
        <v>161.04</v>
      </c>
      <c r="I2026" s="2">
        <v>-168.73</v>
      </c>
      <c r="J2026" s="2">
        <v>0.11</v>
      </c>
      <c r="K2026" s="2">
        <v>0.35</v>
      </c>
      <c r="L2026" s="2">
        <v>0.37</v>
      </c>
      <c r="M2026" s="2">
        <v>0.23</v>
      </c>
      <c r="N2026" t="s">
        <v>259</v>
      </c>
      <c r="O2026">
        <v>86</v>
      </c>
    </row>
    <row r="2027" spans="1:15">
      <c r="A2027" s="1">
        <v>46027</v>
      </c>
      <c r="B2027">
        <v>14</v>
      </c>
      <c r="C2027" t="s">
        <v>100</v>
      </c>
      <c r="D2027">
        <v>13</v>
      </c>
      <c r="E2027" s="2">
        <v>22</v>
      </c>
      <c r="F2027" s="2">
        <v>187.94</v>
      </c>
      <c r="G2027" s="2">
        <v>-186.99</v>
      </c>
      <c r="H2027" s="2">
        <v>184.34</v>
      </c>
      <c r="I2027" s="2">
        <v>-174.72</v>
      </c>
      <c r="J2027" s="2">
        <v>0.01</v>
      </c>
      <c r="K2027" s="2">
        <v>0.28000000000000003</v>
      </c>
      <c r="L2027" s="2">
        <v>0.28000000000000003</v>
      </c>
      <c r="M2027" s="2">
        <v>0.19</v>
      </c>
      <c r="N2027" t="s">
        <v>259</v>
      </c>
      <c r="O2027">
        <v>86</v>
      </c>
    </row>
    <row r="2028" spans="1:15">
      <c r="A2028" s="1">
        <v>46034</v>
      </c>
      <c r="B2028">
        <v>15</v>
      </c>
      <c r="C2028" t="s">
        <v>94</v>
      </c>
      <c r="D2028">
        <v>15</v>
      </c>
      <c r="E2028" s="2">
        <v>0.5</v>
      </c>
      <c r="F2028" s="2">
        <v>-276.27</v>
      </c>
      <c r="G2028" s="2">
        <v>274.64999999999998</v>
      </c>
      <c r="H2028" s="2">
        <v>-729.4</v>
      </c>
      <c r="I2028" s="2">
        <v>785.55</v>
      </c>
      <c r="J2028" s="2">
        <v>-1.51</v>
      </c>
      <c r="K2028" s="2">
        <v>11</v>
      </c>
      <c r="L2028" s="2">
        <v>11.1</v>
      </c>
      <c r="M2028" s="2">
        <v>-0.34</v>
      </c>
      <c r="N2028" t="s">
        <v>262</v>
      </c>
      <c r="O2028">
        <v>34</v>
      </c>
    </row>
    <row r="2029" spans="1:15">
      <c r="A2029" s="1">
        <v>46034</v>
      </c>
      <c r="B2029">
        <v>15</v>
      </c>
      <c r="C2029" t="s">
        <v>94</v>
      </c>
      <c r="D2029">
        <v>15</v>
      </c>
      <c r="E2029" s="2">
        <v>1</v>
      </c>
      <c r="F2029" s="2">
        <v>-275.81</v>
      </c>
      <c r="G2029" s="2">
        <v>274.67</v>
      </c>
      <c r="H2029" s="2">
        <v>-729.46</v>
      </c>
      <c r="I2029" s="2">
        <v>785.36</v>
      </c>
      <c r="J2029" s="2">
        <v>1.69</v>
      </c>
      <c r="K2029" s="2">
        <v>14.08</v>
      </c>
      <c r="L2029" s="2">
        <v>14.18</v>
      </c>
      <c r="M2029" s="2">
        <v>-0.16</v>
      </c>
      <c r="N2029" t="s">
        <v>262</v>
      </c>
      <c r="O2029">
        <v>34</v>
      </c>
    </row>
    <row r="2030" spans="1:15">
      <c r="A2030" s="1">
        <v>46034</v>
      </c>
      <c r="B2030">
        <v>15</v>
      </c>
      <c r="C2030" t="s">
        <v>94</v>
      </c>
      <c r="D2030">
        <v>15</v>
      </c>
      <c r="E2030" s="2">
        <v>1.5</v>
      </c>
      <c r="F2030" s="2">
        <v>-14.79</v>
      </c>
      <c r="G2030" s="2">
        <v>25.3</v>
      </c>
      <c r="H2030" s="2">
        <v>-269.5</v>
      </c>
      <c r="I2030" s="2">
        <v>296.89999999999998</v>
      </c>
      <c r="J2030" s="2">
        <v>4.9400000000000004</v>
      </c>
      <c r="K2030" s="2">
        <v>16.75</v>
      </c>
      <c r="L2030" s="2">
        <v>17.47</v>
      </c>
      <c r="M2030" s="2">
        <v>0.05</v>
      </c>
      <c r="N2030" t="s">
        <v>262</v>
      </c>
      <c r="O2030">
        <v>34</v>
      </c>
    </row>
    <row r="2031" spans="1:15">
      <c r="A2031" s="1">
        <v>46034</v>
      </c>
      <c r="B2031">
        <v>15</v>
      </c>
      <c r="C2031" t="s">
        <v>94</v>
      </c>
      <c r="D2031">
        <v>15</v>
      </c>
      <c r="E2031" s="2">
        <v>2</v>
      </c>
      <c r="F2031" s="2">
        <v>50.15</v>
      </c>
      <c r="G2031" s="2">
        <v>-44.88</v>
      </c>
      <c r="H2031" s="2">
        <v>-221.3</v>
      </c>
      <c r="I2031" s="2">
        <v>236.64</v>
      </c>
      <c r="J2031" s="2">
        <v>4.62</v>
      </c>
      <c r="K2031" s="2">
        <v>16.64</v>
      </c>
      <c r="L2031" s="2">
        <v>17.27</v>
      </c>
      <c r="M2031" s="2">
        <v>0.13</v>
      </c>
      <c r="N2031" t="s">
        <v>262</v>
      </c>
      <c r="O2031">
        <v>34</v>
      </c>
    </row>
    <row r="2032" spans="1:15">
      <c r="A2032" s="1">
        <v>46034</v>
      </c>
      <c r="B2032">
        <v>15</v>
      </c>
      <c r="C2032" t="s">
        <v>94</v>
      </c>
      <c r="D2032">
        <v>15</v>
      </c>
      <c r="E2032" s="2">
        <v>2.5</v>
      </c>
      <c r="F2032" s="2">
        <v>57.89</v>
      </c>
      <c r="G2032" s="2">
        <v>-52.4</v>
      </c>
      <c r="H2032" s="2">
        <v>-198.1</v>
      </c>
      <c r="I2032" s="2">
        <v>211.29</v>
      </c>
      <c r="J2032" s="2">
        <v>6.08</v>
      </c>
      <c r="K2032" s="2">
        <v>16.88</v>
      </c>
      <c r="L2032" s="2">
        <v>17.940000000000001</v>
      </c>
      <c r="M2032" s="2">
        <v>0.12</v>
      </c>
      <c r="N2032" t="s">
        <v>262</v>
      </c>
      <c r="O2032">
        <v>34</v>
      </c>
    </row>
    <row r="2033" spans="1:15">
      <c r="A2033" s="1">
        <v>46034</v>
      </c>
      <c r="B2033">
        <v>15</v>
      </c>
      <c r="C2033" t="s">
        <v>94</v>
      </c>
      <c r="D2033">
        <v>15</v>
      </c>
      <c r="E2033" s="2">
        <v>3</v>
      </c>
      <c r="F2033" s="2">
        <v>24.79</v>
      </c>
      <c r="G2033" s="2">
        <v>-16.25</v>
      </c>
      <c r="H2033" s="2">
        <v>-143.4</v>
      </c>
      <c r="I2033" s="2">
        <v>158.69999999999999</v>
      </c>
      <c r="J2033" s="2">
        <v>7</v>
      </c>
      <c r="K2033" s="2">
        <v>17.03</v>
      </c>
      <c r="L2033" s="2">
        <v>18.41</v>
      </c>
      <c r="M2033" s="2">
        <v>0.16</v>
      </c>
      <c r="N2033" t="s">
        <v>262</v>
      </c>
      <c r="O2033">
        <v>34</v>
      </c>
    </row>
    <row r="2034" spans="1:15">
      <c r="A2034" s="1">
        <v>46034</v>
      </c>
      <c r="B2034">
        <v>15</v>
      </c>
      <c r="C2034" t="s">
        <v>94</v>
      </c>
      <c r="D2034">
        <v>15</v>
      </c>
      <c r="E2034" s="2">
        <v>3.5</v>
      </c>
      <c r="F2034" s="2">
        <v>-7.84</v>
      </c>
      <c r="G2034" s="2">
        <v>13.51</v>
      </c>
      <c r="H2034" s="2">
        <v>-82.18</v>
      </c>
      <c r="I2034" s="2">
        <v>94.88</v>
      </c>
      <c r="J2034" s="2">
        <v>7.44</v>
      </c>
      <c r="K2034" s="2">
        <v>17.14</v>
      </c>
      <c r="L2034" s="2">
        <v>18.690000000000001</v>
      </c>
      <c r="M2034" s="2">
        <v>0.16</v>
      </c>
      <c r="N2034" t="s">
        <v>262</v>
      </c>
      <c r="O2034">
        <v>34</v>
      </c>
    </row>
    <row r="2035" spans="1:15">
      <c r="A2035" s="1">
        <v>46034</v>
      </c>
      <c r="B2035">
        <v>15</v>
      </c>
      <c r="C2035" t="s">
        <v>94</v>
      </c>
      <c r="D2035">
        <v>15</v>
      </c>
      <c r="E2035" s="2">
        <v>4</v>
      </c>
      <c r="F2035" s="2">
        <v>59.33</v>
      </c>
      <c r="G2035" s="2">
        <v>-51.42</v>
      </c>
      <c r="H2035" s="2">
        <v>-69.62</v>
      </c>
      <c r="I2035" s="2">
        <v>55.86</v>
      </c>
      <c r="J2035" s="2">
        <v>7.51</v>
      </c>
      <c r="K2035" s="2">
        <v>17.55</v>
      </c>
      <c r="L2035" s="2">
        <v>19.09</v>
      </c>
      <c r="M2035" s="2">
        <v>0.31</v>
      </c>
      <c r="N2035" t="s">
        <v>262</v>
      </c>
      <c r="O2035">
        <v>34</v>
      </c>
    </row>
    <row r="2036" spans="1:15">
      <c r="A2036" s="1">
        <v>46034</v>
      </c>
      <c r="B2036">
        <v>15</v>
      </c>
      <c r="C2036" t="s">
        <v>94</v>
      </c>
      <c r="D2036">
        <v>15</v>
      </c>
      <c r="E2036" s="2">
        <v>4.5</v>
      </c>
      <c r="F2036" s="2">
        <v>77.72</v>
      </c>
      <c r="G2036" s="2">
        <v>-69.239999999999995</v>
      </c>
      <c r="H2036" s="2">
        <v>-45.55</v>
      </c>
      <c r="I2036" s="2">
        <v>59.46</v>
      </c>
      <c r="J2036" s="2">
        <v>7.52</v>
      </c>
      <c r="K2036" s="2">
        <v>17.73</v>
      </c>
      <c r="L2036" s="2">
        <v>19.260000000000002</v>
      </c>
      <c r="M2036" s="2">
        <v>0.63</v>
      </c>
      <c r="N2036" t="s">
        <v>262</v>
      </c>
      <c r="O2036">
        <v>34</v>
      </c>
    </row>
    <row r="2037" spans="1:15">
      <c r="A2037" s="1">
        <v>46034</v>
      </c>
      <c r="B2037">
        <v>15</v>
      </c>
      <c r="C2037" t="s">
        <v>94</v>
      </c>
      <c r="D2037">
        <v>15</v>
      </c>
      <c r="E2037" s="2">
        <v>5</v>
      </c>
      <c r="F2037" s="2">
        <v>21.24</v>
      </c>
      <c r="G2037" s="2">
        <v>-11.78</v>
      </c>
      <c r="H2037" s="2">
        <v>21.96</v>
      </c>
      <c r="I2037" s="2">
        <v>-14.23</v>
      </c>
      <c r="J2037" s="2">
        <v>8.23</v>
      </c>
      <c r="K2037" s="2">
        <v>17.25</v>
      </c>
      <c r="L2037" s="2">
        <v>19.11</v>
      </c>
      <c r="M2037" s="2">
        <v>0.8</v>
      </c>
      <c r="N2037" t="s">
        <v>262</v>
      </c>
      <c r="O2037">
        <v>34</v>
      </c>
    </row>
    <row r="2038" spans="1:15">
      <c r="A2038" s="1">
        <v>46034</v>
      </c>
      <c r="B2038">
        <v>15</v>
      </c>
      <c r="C2038" t="s">
        <v>94</v>
      </c>
      <c r="D2038">
        <v>15</v>
      </c>
      <c r="E2038" s="2">
        <v>5.5</v>
      </c>
      <c r="F2038" s="2">
        <v>13.11</v>
      </c>
      <c r="G2038" s="2">
        <v>-2.86</v>
      </c>
      <c r="H2038" s="2">
        <v>33.840000000000003</v>
      </c>
      <c r="I2038" s="2">
        <v>-20.99</v>
      </c>
      <c r="J2038" s="2">
        <v>8.77</v>
      </c>
      <c r="K2038" s="2">
        <v>17.28</v>
      </c>
      <c r="L2038" s="2">
        <v>19.38</v>
      </c>
      <c r="M2038" s="2">
        <v>0.95</v>
      </c>
      <c r="N2038" t="s">
        <v>262</v>
      </c>
      <c r="O2038">
        <v>34</v>
      </c>
    </row>
    <row r="2039" spans="1:15">
      <c r="A2039" s="1">
        <v>46034</v>
      </c>
      <c r="B2039">
        <v>15</v>
      </c>
      <c r="C2039" t="s">
        <v>94</v>
      </c>
      <c r="D2039">
        <v>15</v>
      </c>
      <c r="E2039" s="2">
        <v>6</v>
      </c>
      <c r="F2039" s="2">
        <v>23.59</v>
      </c>
      <c r="G2039" s="2">
        <v>-14.16</v>
      </c>
      <c r="H2039" s="2">
        <v>-24.1</v>
      </c>
      <c r="I2039" s="2">
        <v>41.23</v>
      </c>
      <c r="J2039" s="2">
        <v>9.1300000000000008</v>
      </c>
      <c r="K2039" s="2">
        <v>17.73</v>
      </c>
      <c r="L2039" s="2">
        <v>19.940000000000001</v>
      </c>
      <c r="M2039" s="2">
        <v>1.02</v>
      </c>
      <c r="N2039" t="s">
        <v>262</v>
      </c>
      <c r="O2039">
        <v>34</v>
      </c>
    </row>
    <row r="2040" spans="1:15">
      <c r="A2040" s="1">
        <v>46034</v>
      </c>
      <c r="B2040">
        <v>15</v>
      </c>
      <c r="C2040" t="s">
        <v>94</v>
      </c>
      <c r="D2040">
        <v>15</v>
      </c>
      <c r="E2040" s="2">
        <v>6.5</v>
      </c>
      <c r="F2040" s="2">
        <v>19.350000000000001</v>
      </c>
      <c r="G2040" s="2">
        <v>-6.51</v>
      </c>
      <c r="H2040" s="2">
        <v>-76.739999999999995</v>
      </c>
      <c r="I2040" s="2">
        <v>85.1</v>
      </c>
      <c r="J2040" s="2">
        <v>9.34</v>
      </c>
      <c r="K2040" s="2">
        <v>17.86</v>
      </c>
      <c r="L2040" s="2">
        <v>20.16</v>
      </c>
      <c r="M2040" s="2">
        <v>1.1599999999999999</v>
      </c>
      <c r="N2040" t="s">
        <v>262</v>
      </c>
      <c r="O2040">
        <v>34</v>
      </c>
    </row>
    <row r="2041" spans="1:15">
      <c r="A2041" s="1">
        <v>46034</v>
      </c>
      <c r="B2041">
        <v>15</v>
      </c>
      <c r="C2041" t="s">
        <v>94</v>
      </c>
      <c r="D2041">
        <v>15</v>
      </c>
      <c r="E2041" s="2">
        <v>7</v>
      </c>
      <c r="F2041" s="2">
        <v>104.59</v>
      </c>
      <c r="G2041" s="2">
        <v>-94.67</v>
      </c>
      <c r="H2041" s="2">
        <v>-61.84</v>
      </c>
      <c r="I2041" s="2">
        <v>73.77</v>
      </c>
      <c r="J2041" s="2">
        <v>8.92</v>
      </c>
      <c r="K2041" s="2">
        <v>17.38</v>
      </c>
      <c r="L2041" s="2">
        <v>19.53</v>
      </c>
      <c r="M2041" s="2">
        <v>1.1100000000000001</v>
      </c>
      <c r="N2041" t="s">
        <v>262</v>
      </c>
      <c r="O2041">
        <v>34</v>
      </c>
    </row>
    <row r="2042" spans="1:15">
      <c r="A2042" s="1">
        <v>46034</v>
      </c>
      <c r="B2042">
        <v>15</v>
      </c>
      <c r="C2042" t="s">
        <v>94</v>
      </c>
      <c r="D2042">
        <v>15</v>
      </c>
      <c r="E2042" s="2">
        <v>7.5</v>
      </c>
      <c r="F2042" s="2">
        <v>62.56</v>
      </c>
      <c r="G2042" s="2">
        <v>-52.63</v>
      </c>
      <c r="H2042" s="2">
        <v>-78.28</v>
      </c>
      <c r="I2042" s="2">
        <v>86.79</v>
      </c>
      <c r="J2042" s="2">
        <v>8.8699999999999992</v>
      </c>
      <c r="K2042" s="2">
        <v>16.98</v>
      </c>
      <c r="L2042" s="2">
        <v>19.16</v>
      </c>
      <c r="M2042" s="2">
        <v>1.05</v>
      </c>
      <c r="N2042" t="s">
        <v>262</v>
      </c>
      <c r="O2042">
        <v>34</v>
      </c>
    </row>
    <row r="2043" spans="1:15">
      <c r="A2043" s="1">
        <v>46034</v>
      </c>
      <c r="B2043">
        <v>15</v>
      </c>
      <c r="C2043" t="s">
        <v>94</v>
      </c>
      <c r="D2043">
        <v>15</v>
      </c>
      <c r="E2043" s="2">
        <v>8</v>
      </c>
      <c r="F2043" s="2">
        <v>42.68</v>
      </c>
      <c r="G2043" s="2">
        <v>-29.53</v>
      </c>
      <c r="H2043" s="2">
        <v>-80.58</v>
      </c>
      <c r="I2043" s="2">
        <v>86.33</v>
      </c>
      <c r="J2043" s="2">
        <v>8.64</v>
      </c>
      <c r="K2043" s="2">
        <v>16.09</v>
      </c>
      <c r="L2043" s="2">
        <v>18.260000000000002</v>
      </c>
      <c r="M2043" s="2">
        <v>1.04</v>
      </c>
      <c r="N2043" t="s">
        <v>262</v>
      </c>
      <c r="O2043">
        <v>34</v>
      </c>
    </row>
    <row r="2044" spans="1:15">
      <c r="A2044" s="1">
        <v>46034</v>
      </c>
      <c r="B2044">
        <v>15</v>
      </c>
      <c r="C2044" t="s">
        <v>94</v>
      </c>
      <c r="D2044">
        <v>15</v>
      </c>
      <c r="E2044" s="2">
        <v>8.5</v>
      </c>
      <c r="F2044" s="2">
        <v>9.0299999999999994</v>
      </c>
      <c r="G2044" s="2">
        <v>3.06</v>
      </c>
      <c r="H2044" s="2">
        <v>-59.45</v>
      </c>
      <c r="I2044" s="2">
        <v>67.91</v>
      </c>
      <c r="J2044" s="2">
        <v>8.48</v>
      </c>
      <c r="K2044" s="2">
        <v>14.85</v>
      </c>
      <c r="L2044" s="2">
        <v>17.100000000000001</v>
      </c>
      <c r="M2044" s="2">
        <v>1.03</v>
      </c>
      <c r="N2044" t="s">
        <v>262</v>
      </c>
      <c r="O2044">
        <v>34</v>
      </c>
    </row>
    <row r="2045" spans="1:15">
      <c r="A2045" s="1">
        <v>46034</v>
      </c>
      <c r="B2045">
        <v>15</v>
      </c>
      <c r="C2045" t="s">
        <v>94</v>
      </c>
      <c r="D2045">
        <v>15</v>
      </c>
      <c r="E2045" s="2">
        <v>9</v>
      </c>
      <c r="F2045" s="2">
        <v>-36.81</v>
      </c>
      <c r="G2045" s="2">
        <v>50.39</v>
      </c>
      <c r="H2045" s="2">
        <v>-44.77</v>
      </c>
      <c r="I2045" s="2">
        <v>55.92</v>
      </c>
      <c r="J2045" s="2">
        <v>8.4499999999999993</v>
      </c>
      <c r="K2045" s="2">
        <v>13.55</v>
      </c>
      <c r="L2045" s="2">
        <v>15.97</v>
      </c>
      <c r="M2045" s="2">
        <v>1</v>
      </c>
      <c r="N2045" t="s">
        <v>262</v>
      </c>
      <c r="O2045">
        <v>34</v>
      </c>
    </row>
    <row r="2046" spans="1:15">
      <c r="A2046" s="1">
        <v>46034</v>
      </c>
      <c r="B2046">
        <v>15</v>
      </c>
      <c r="C2046" t="s">
        <v>94</v>
      </c>
      <c r="D2046">
        <v>15</v>
      </c>
      <c r="E2046" s="2">
        <v>9.5</v>
      </c>
      <c r="F2046" s="2">
        <v>-121.07</v>
      </c>
      <c r="G2046" s="2">
        <v>130.57</v>
      </c>
      <c r="H2046" s="2">
        <v>-15.71</v>
      </c>
      <c r="I2046" s="2">
        <v>30.43</v>
      </c>
      <c r="J2046" s="2">
        <v>8.4499999999999993</v>
      </c>
      <c r="K2046" s="2">
        <v>12.14</v>
      </c>
      <c r="L2046" s="2">
        <v>14.79</v>
      </c>
      <c r="M2046" s="2">
        <v>1.1100000000000001</v>
      </c>
      <c r="N2046" t="s">
        <v>262</v>
      </c>
      <c r="O2046">
        <v>34</v>
      </c>
    </row>
    <row r="2047" spans="1:15">
      <c r="A2047" s="1">
        <v>46034</v>
      </c>
      <c r="B2047">
        <v>15</v>
      </c>
      <c r="C2047" t="s">
        <v>94</v>
      </c>
      <c r="D2047">
        <v>15</v>
      </c>
      <c r="E2047" s="2">
        <v>10</v>
      </c>
      <c r="F2047" s="2">
        <v>-226.85</v>
      </c>
      <c r="G2047" s="2">
        <v>241.46</v>
      </c>
      <c r="H2047" s="2">
        <v>-101.68</v>
      </c>
      <c r="I2047" s="2">
        <v>105.99</v>
      </c>
      <c r="J2047" s="2">
        <v>7.95</v>
      </c>
      <c r="K2047" s="2">
        <v>11</v>
      </c>
      <c r="L2047" s="2">
        <v>13.57</v>
      </c>
      <c r="M2047" s="2">
        <v>1.07</v>
      </c>
      <c r="N2047" t="s">
        <v>262</v>
      </c>
      <c r="O2047">
        <v>34</v>
      </c>
    </row>
    <row r="2048" spans="1:15">
      <c r="A2048" s="1">
        <v>46034</v>
      </c>
      <c r="B2048">
        <v>15</v>
      </c>
      <c r="C2048" t="s">
        <v>94</v>
      </c>
      <c r="D2048">
        <v>15</v>
      </c>
      <c r="E2048" s="2">
        <v>10.5</v>
      </c>
      <c r="F2048" s="2">
        <v>-207.19</v>
      </c>
      <c r="G2048" s="2">
        <v>220.7</v>
      </c>
      <c r="H2048" s="2">
        <v>-65.13</v>
      </c>
      <c r="I2048" s="2">
        <v>73.52</v>
      </c>
      <c r="J2048" s="2">
        <v>6.99</v>
      </c>
      <c r="K2048" s="2">
        <v>9.56</v>
      </c>
      <c r="L2048" s="2">
        <v>11.85</v>
      </c>
      <c r="M2048" s="2">
        <v>1.1299999999999999</v>
      </c>
      <c r="N2048" t="s">
        <v>262</v>
      </c>
      <c r="O2048">
        <v>34</v>
      </c>
    </row>
    <row r="2049" spans="1:15">
      <c r="A2049" s="1">
        <v>46034</v>
      </c>
      <c r="B2049">
        <v>15</v>
      </c>
      <c r="C2049" t="s">
        <v>94</v>
      </c>
      <c r="D2049">
        <v>15</v>
      </c>
      <c r="E2049" s="2">
        <v>11</v>
      </c>
      <c r="F2049" s="2">
        <v>-181.66</v>
      </c>
      <c r="G2049" s="2">
        <v>189.96</v>
      </c>
      <c r="H2049" s="2">
        <v>-5.77</v>
      </c>
      <c r="I2049" s="2">
        <v>13.33</v>
      </c>
      <c r="J2049" s="2">
        <v>6.49</v>
      </c>
      <c r="K2049" s="2">
        <v>8.82</v>
      </c>
      <c r="L2049" s="2">
        <v>10.95</v>
      </c>
      <c r="M2049" s="2">
        <v>1.1599999999999999</v>
      </c>
      <c r="N2049" t="s">
        <v>262</v>
      </c>
      <c r="O2049">
        <v>34</v>
      </c>
    </row>
    <row r="2050" spans="1:15">
      <c r="A2050" s="1">
        <v>46034</v>
      </c>
      <c r="B2050">
        <v>15</v>
      </c>
      <c r="C2050" t="s">
        <v>94</v>
      </c>
      <c r="D2050">
        <v>15</v>
      </c>
      <c r="E2050" s="2">
        <v>11.5</v>
      </c>
      <c r="F2050" s="2">
        <v>-80.92</v>
      </c>
      <c r="G2050" s="2">
        <v>91.44</v>
      </c>
      <c r="H2050" s="2">
        <v>4.2699999999999996</v>
      </c>
      <c r="I2050" s="2">
        <v>5.16</v>
      </c>
      <c r="J2050" s="2">
        <v>6.09</v>
      </c>
      <c r="K2050" s="2">
        <v>8.4499999999999993</v>
      </c>
      <c r="L2050" s="2">
        <v>10.41</v>
      </c>
      <c r="M2050" s="2">
        <v>1.19</v>
      </c>
      <c r="N2050" t="s">
        <v>262</v>
      </c>
      <c r="O2050">
        <v>34</v>
      </c>
    </row>
    <row r="2051" spans="1:15">
      <c r="A2051" s="1">
        <v>46034</v>
      </c>
      <c r="B2051">
        <v>15</v>
      </c>
      <c r="C2051" t="s">
        <v>94</v>
      </c>
      <c r="D2051">
        <v>15</v>
      </c>
      <c r="E2051" s="2">
        <v>12</v>
      </c>
      <c r="F2051" s="2">
        <v>-146.13999999999999</v>
      </c>
      <c r="G2051" s="2">
        <v>161.05000000000001</v>
      </c>
      <c r="H2051" s="2">
        <v>-23.83</v>
      </c>
      <c r="I2051" s="2">
        <v>34.51</v>
      </c>
      <c r="J2051" s="2">
        <v>5.84</v>
      </c>
      <c r="K2051" s="2">
        <v>8.16</v>
      </c>
      <c r="L2051" s="2">
        <v>10.039999999999999</v>
      </c>
      <c r="M2051" s="2">
        <v>1.2</v>
      </c>
      <c r="N2051" t="s">
        <v>262</v>
      </c>
      <c r="O2051">
        <v>34</v>
      </c>
    </row>
    <row r="2052" spans="1:15">
      <c r="A2052" s="1">
        <v>46034</v>
      </c>
      <c r="B2052">
        <v>15</v>
      </c>
      <c r="C2052" t="s">
        <v>94</v>
      </c>
      <c r="D2052">
        <v>15</v>
      </c>
      <c r="E2052" s="2">
        <v>12.5</v>
      </c>
      <c r="F2052" s="2">
        <v>-142.22</v>
      </c>
      <c r="G2052" s="2">
        <v>150.83000000000001</v>
      </c>
      <c r="H2052" s="2">
        <v>39.61</v>
      </c>
      <c r="I2052" s="2">
        <v>-28.97</v>
      </c>
      <c r="J2052" s="2">
        <v>5.71</v>
      </c>
      <c r="K2052" s="2">
        <v>7.65</v>
      </c>
      <c r="L2052" s="2">
        <v>9.5399999999999991</v>
      </c>
      <c r="M2052" s="2">
        <v>1.22</v>
      </c>
      <c r="N2052" t="s">
        <v>262</v>
      </c>
      <c r="O2052">
        <v>34</v>
      </c>
    </row>
    <row r="2053" spans="1:15">
      <c r="A2053" s="1">
        <v>46034</v>
      </c>
      <c r="B2053">
        <v>15</v>
      </c>
      <c r="C2053" t="s">
        <v>94</v>
      </c>
      <c r="D2053">
        <v>15</v>
      </c>
      <c r="E2053" s="2">
        <v>13</v>
      </c>
      <c r="F2053" s="2">
        <v>-79.900000000000006</v>
      </c>
      <c r="G2053" s="2">
        <v>91.08</v>
      </c>
      <c r="H2053" s="2">
        <v>34.22</v>
      </c>
      <c r="I2053" s="2">
        <v>-29.2</v>
      </c>
      <c r="J2053" s="2">
        <v>5.41</v>
      </c>
      <c r="K2053" s="2">
        <v>7.28</v>
      </c>
      <c r="L2053" s="2">
        <v>9.07</v>
      </c>
      <c r="M2053" s="2">
        <v>1.17</v>
      </c>
      <c r="N2053" t="s">
        <v>262</v>
      </c>
      <c r="O2053">
        <v>34</v>
      </c>
    </row>
    <row r="2054" spans="1:15">
      <c r="A2054" s="1">
        <v>46034</v>
      </c>
      <c r="B2054">
        <v>15</v>
      </c>
      <c r="C2054" t="s">
        <v>94</v>
      </c>
      <c r="D2054">
        <v>15</v>
      </c>
      <c r="E2054" s="2">
        <v>13.5</v>
      </c>
      <c r="F2054" s="2">
        <v>-74.5</v>
      </c>
      <c r="G2054" s="2">
        <v>84.92</v>
      </c>
      <c r="H2054" s="2">
        <v>37.06</v>
      </c>
      <c r="I2054" s="2">
        <v>-35.130000000000003</v>
      </c>
      <c r="J2054" s="2">
        <v>4.7300000000000004</v>
      </c>
      <c r="K2054" s="2">
        <v>6.95</v>
      </c>
      <c r="L2054" s="2">
        <v>8.41</v>
      </c>
      <c r="M2054" s="2">
        <v>1.1200000000000001</v>
      </c>
      <c r="N2054" t="s">
        <v>262</v>
      </c>
      <c r="O2054">
        <v>34</v>
      </c>
    </row>
    <row r="2055" spans="1:15">
      <c r="A2055" s="1">
        <v>46034</v>
      </c>
      <c r="B2055">
        <v>15</v>
      </c>
      <c r="C2055" t="s">
        <v>94</v>
      </c>
      <c r="D2055">
        <v>15</v>
      </c>
      <c r="E2055" s="2">
        <v>14</v>
      </c>
      <c r="F2055" s="2">
        <v>-77.62</v>
      </c>
      <c r="G2055" s="2">
        <v>85.72</v>
      </c>
      <c r="H2055" s="2">
        <v>55.19</v>
      </c>
      <c r="I2055" s="2">
        <v>-47.01</v>
      </c>
      <c r="J2055" s="2">
        <v>3.78</v>
      </c>
      <c r="K2055" s="2">
        <v>6.31</v>
      </c>
      <c r="L2055" s="2">
        <v>7.35</v>
      </c>
      <c r="M2055" s="2">
        <v>0.98</v>
      </c>
      <c r="N2055" t="s">
        <v>262</v>
      </c>
      <c r="O2055">
        <v>34</v>
      </c>
    </row>
    <row r="2056" spans="1:15">
      <c r="A2056" s="1">
        <v>46034</v>
      </c>
      <c r="B2056">
        <v>15</v>
      </c>
      <c r="C2056" t="s">
        <v>94</v>
      </c>
      <c r="D2056">
        <v>15</v>
      </c>
      <c r="E2056" s="2">
        <v>14.5</v>
      </c>
      <c r="F2056" s="2">
        <v>-66.400000000000006</v>
      </c>
      <c r="G2056" s="2">
        <v>74.81</v>
      </c>
      <c r="H2056" s="2">
        <v>87.54</v>
      </c>
      <c r="I2056" s="2">
        <v>-72.78</v>
      </c>
      <c r="J2056" s="2">
        <v>2.72</v>
      </c>
      <c r="K2056" s="2">
        <v>5.43</v>
      </c>
      <c r="L2056" s="2">
        <v>6.07</v>
      </c>
      <c r="M2056" s="2">
        <v>0.84</v>
      </c>
      <c r="N2056" t="s">
        <v>262</v>
      </c>
      <c r="O2056">
        <v>34</v>
      </c>
    </row>
    <row r="2057" spans="1:15">
      <c r="A2057" s="1">
        <v>46034</v>
      </c>
      <c r="B2057">
        <v>15</v>
      </c>
      <c r="C2057" t="s">
        <v>94</v>
      </c>
      <c r="D2057">
        <v>15</v>
      </c>
      <c r="E2057" s="2">
        <v>15</v>
      </c>
      <c r="F2057" s="2">
        <v>-24.14</v>
      </c>
      <c r="G2057" s="2">
        <v>34.380000000000003</v>
      </c>
      <c r="H2057" s="2">
        <v>101.64</v>
      </c>
      <c r="I2057" s="2">
        <v>-96.17</v>
      </c>
      <c r="J2057" s="2">
        <v>1.74</v>
      </c>
      <c r="K2057" s="2">
        <v>4.7699999999999996</v>
      </c>
      <c r="L2057" s="2">
        <v>5.07</v>
      </c>
      <c r="M2057" s="2">
        <v>0.76</v>
      </c>
      <c r="N2057" t="s">
        <v>262</v>
      </c>
      <c r="O2057">
        <v>34</v>
      </c>
    </row>
    <row r="2058" spans="1:15">
      <c r="A2058" s="1">
        <v>46034</v>
      </c>
      <c r="B2058">
        <v>15</v>
      </c>
      <c r="C2058" t="s">
        <v>94</v>
      </c>
      <c r="D2058">
        <v>15</v>
      </c>
      <c r="E2058" s="2">
        <v>15.5</v>
      </c>
      <c r="F2058" s="2">
        <v>-92.15</v>
      </c>
      <c r="G2058" s="2">
        <v>96.64</v>
      </c>
      <c r="H2058" s="2">
        <v>50.41</v>
      </c>
      <c r="I2058" s="2">
        <v>-32.08</v>
      </c>
      <c r="J2058" s="2">
        <v>1.1100000000000001</v>
      </c>
      <c r="K2058" s="2">
        <v>4.2300000000000004</v>
      </c>
      <c r="L2058" s="2">
        <v>4.37</v>
      </c>
      <c r="M2058" s="2">
        <v>0.74</v>
      </c>
      <c r="N2058" t="s">
        <v>262</v>
      </c>
      <c r="O2058">
        <v>34</v>
      </c>
    </row>
    <row r="2059" spans="1:15">
      <c r="A2059" s="1">
        <v>46034</v>
      </c>
      <c r="B2059">
        <v>15</v>
      </c>
      <c r="C2059" t="s">
        <v>94</v>
      </c>
      <c r="D2059">
        <v>15</v>
      </c>
      <c r="E2059" s="2">
        <v>16</v>
      </c>
      <c r="F2059" s="2">
        <v>-12.02</v>
      </c>
      <c r="G2059" s="2">
        <v>21.69</v>
      </c>
      <c r="H2059" s="2">
        <v>-27.16</v>
      </c>
      <c r="I2059" s="2">
        <v>26.97</v>
      </c>
      <c r="J2059" s="2">
        <v>-0.93</v>
      </c>
      <c r="K2059" s="2">
        <v>1.86</v>
      </c>
      <c r="L2059" s="2">
        <v>2.08</v>
      </c>
      <c r="M2059" s="2">
        <v>0.08</v>
      </c>
      <c r="N2059" t="s">
        <v>262</v>
      </c>
      <c r="O2059">
        <v>34</v>
      </c>
    </row>
    <row r="2060" spans="1:15">
      <c r="A2060" s="1">
        <v>46034</v>
      </c>
      <c r="B2060">
        <v>15</v>
      </c>
      <c r="C2060" t="s">
        <v>94</v>
      </c>
      <c r="D2060">
        <v>15</v>
      </c>
      <c r="E2060" s="2">
        <v>16.5</v>
      </c>
      <c r="F2060" s="2">
        <v>6.83</v>
      </c>
      <c r="G2060" s="2">
        <v>1.84</v>
      </c>
      <c r="H2060" s="2">
        <v>-11.33</v>
      </c>
      <c r="I2060" s="2">
        <v>14.43</v>
      </c>
      <c r="J2060" s="2">
        <v>-0.88</v>
      </c>
      <c r="K2060" s="2">
        <v>1.98</v>
      </c>
      <c r="L2060" s="2">
        <v>2.17</v>
      </c>
      <c r="M2060" s="2">
        <v>0.05</v>
      </c>
      <c r="N2060" t="s">
        <v>262</v>
      </c>
      <c r="O2060">
        <v>34</v>
      </c>
    </row>
    <row r="2061" spans="1:15">
      <c r="A2061" s="1">
        <v>46034</v>
      </c>
      <c r="B2061">
        <v>15</v>
      </c>
      <c r="C2061" t="s">
        <v>94</v>
      </c>
      <c r="D2061">
        <v>15</v>
      </c>
      <c r="E2061" s="2">
        <v>17</v>
      </c>
      <c r="F2061" s="2">
        <v>16.45</v>
      </c>
      <c r="G2061" s="2">
        <v>-9.59</v>
      </c>
      <c r="H2061" s="2">
        <v>2.86</v>
      </c>
      <c r="I2061" s="2">
        <v>-2.68</v>
      </c>
      <c r="J2061" s="2">
        <v>-0.85</v>
      </c>
      <c r="K2061" s="2">
        <v>2.0699999999999998</v>
      </c>
      <c r="L2061" s="2">
        <v>2.2400000000000002</v>
      </c>
      <c r="M2061" s="2">
        <v>0.09</v>
      </c>
      <c r="N2061" t="s">
        <v>262</v>
      </c>
      <c r="O2061">
        <v>34</v>
      </c>
    </row>
    <row r="2062" spans="1:15">
      <c r="A2062" s="1">
        <v>46034</v>
      </c>
      <c r="B2062">
        <v>15</v>
      </c>
      <c r="C2062" t="s">
        <v>94</v>
      </c>
      <c r="D2062">
        <v>15</v>
      </c>
      <c r="E2062" s="2">
        <v>17.5</v>
      </c>
      <c r="F2062" s="2">
        <v>-9.92</v>
      </c>
      <c r="G2062" s="2">
        <v>18.25</v>
      </c>
      <c r="H2062" s="2">
        <v>35.770000000000003</v>
      </c>
      <c r="I2062" s="2">
        <v>-31.13</v>
      </c>
      <c r="J2062" s="2">
        <v>-0.91</v>
      </c>
      <c r="K2062" s="2">
        <v>2.21</v>
      </c>
      <c r="L2062" s="2">
        <v>2.39</v>
      </c>
      <c r="M2062" s="2">
        <v>0.1</v>
      </c>
      <c r="N2062" t="s">
        <v>262</v>
      </c>
      <c r="O2062">
        <v>34</v>
      </c>
    </row>
    <row r="2063" spans="1:15">
      <c r="A2063" s="1">
        <v>46034</v>
      </c>
      <c r="B2063">
        <v>15</v>
      </c>
      <c r="C2063" t="s">
        <v>94</v>
      </c>
      <c r="D2063">
        <v>15</v>
      </c>
      <c r="E2063" s="2">
        <v>18</v>
      </c>
      <c r="F2063" s="2">
        <v>-30.24</v>
      </c>
      <c r="G2063" s="2">
        <v>36.520000000000003</v>
      </c>
      <c r="H2063" s="2">
        <v>48.98</v>
      </c>
      <c r="I2063" s="2">
        <v>-42.36</v>
      </c>
      <c r="J2063" s="2">
        <v>-0.91</v>
      </c>
      <c r="K2063" s="2">
        <v>2.2400000000000002</v>
      </c>
      <c r="L2063" s="2">
        <v>2.42</v>
      </c>
      <c r="M2063" s="2">
        <v>0.13</v>
      </c>
      <c r="N2063" t="s">
        <v>262</v>
      </c>
      <c r="O2063">
        <v>34</v>
      </c>
    </row>
    <row r="2064" spans="1:15">
      <c r="A2064" s="1">
        <v>46034</v>
      </c>
      <c r="B2064">
        <v>15</v>
      </c>
      <c r="C2064" t="s">
        <v>94</v>
      </c>
      <c r="D2064">
        <v>15</v>
      </c>
      <c r="E2064" s="2">
        <v>18.5</v>
      </c>
      <c r="F2064" s="2">
        <v>-33.42</v>
      </c>
      <c r="G2064" s="2">
        <v>46.9</v>
      </c>
      <c r="H2064" s="2">
        <v>48.42</v>
      </c>
      <c r="I2064" s="2">
        <v>-55.12</v>
      </c>
      <c r="J2064" s="2">
        <v>-0.92</v>
      </c>
      <c r="K2064" s="2">
        <v>2.2599999999999998</v>
      </c>
      <c r="L2064" s="2">
        <v>2.44</v>
      </c>
      <c r="M2064" s="2">
        <v>0.15</v>
      </c>
      <c r="N2064" t="s">
        <v>262</v>
      </c>
      <c r="O2064">
        <v>34</v>
      </c>
    </row>
    <row r="2065" spans="1:15">
      <c r="A2065" s="1">
        <v>46034</v>
      </c>
      <c r="B2065">
        <v>15</v>
      </c>
      <c r="C2065" t="s">
        <v>94</v>
      </c>
      <c r="D2065">
        <v>15</v>
      </c>
      <c r="E2065" s="2">
        <v>19</v>
      </c>
      <c r="F2065" s="2">
        <v>-137.72999999999999</v>
      </c>
      <c r="G2065" s="2">
        <v>138.16999999999999</v>
      </c>
      <c r="H2065" s="2">
        <v>-37.67</v>
      </c>
      <c r="I2065" s="2">
        <v>50.11</v>
      </c>
      <c r="J2065" s="2">
        <v>-0.91</v>
      </c>
      <c r="K2065" s="2">
        <v>1.92</v>
      </c>
      <c r="L2065" s="2">
        <v>2.12</v>
      </c>
      <c r="M2065" s="2">
        <v>-0.04</v>
      </c>
      <c r="N2065" t="s">
        <v>262</v>
      </c>
      <c r="O2065">
        <v>34</v>
      </c>
    </row>
    <row r="2066" spans="1:15">
      <c r="A2066" s="1">
        <v>46034</v>
      </c>
      <c r="B2066">
        <v>15</v>
      </c>
      <c r="C2066" t="s">
        <v>94</v>
      </c>
      <c r="D2066">
        <v>15</v>
      </c>
      <c r="E2066" s="2">
        <v>19.5</v>
      </c>
      <c r="F2066" s="2">
        <v>-132.85</v>
      </c>
      <c r="G2066" s="2">
        <v>138.74</v>
      </c>
      <c r="H2066" s="2">
        <v>-41.15</v>
      </c>
      <c r="I2066" s="2">
        <v>45.16</v>
      </c>
      <c r="J2066" s="2">
        <v>-0.96</v>
      </c>
      <c r="K2066" s="2">
        <v>1.77</v>
      </c>
      <c r="L2066" s="2">
        <v>2.0099999999999998</v>
      </c>
      <c r="M2066" s="2">
        <v>0.01</v>
      </c>
      <c r="N2066" t="s">
        <v>262</v>
      </c>
      <c r="O2066">
        <v>34</v>
      </c>
    </row>
    <row r="2067" spans="1:15">
      <c r="A2067" s="1">
        <v>46034</v>
      </c>
      <c r="B2067">
        <v>15</v>
      </c>
      <c r="C2067" t="s">
        <v>94</v>
      </c>
      <c r="D2067">
        <v>15</v>
      </c>
      <c r="E2067" s="2">
        <v>20</v>
      </c>
      <c r="F2067" s="2">
        <v>-144.03</v>
      </c>
      <c r="G2067" s="2">
        <v>150.15</v>
      </c>
      <c r="H2067" s="2">
        <v>-48.55</v>
      </c>
      <c r="I2067" s="2">
        <v>40</v>
      </c>
      <c r="J2067" s="2">
        <v>-1.03</v>
      </c>
      <c r="K2067" s="2">
        <v>1.63</v>
      </c>
      <c r="L2067" s="2">
        <v>1.92</v>
      </c>
      <c r="M2067" s="2">
        <v>-0.08</v>
      </c>
      <c r="N2067" t="s">
        <v>262</v>
      </c>
      <c r="O2067">
        <v>34</v>
      </c>
    </row>
    <row r="2068" spans="1:15">
      <c r="A2068" s="1">
        <v>46034</v>
      </c>
      <c r="B2068">
        <v>15</v>
      </c>
      <c r="C2068" t="s">
        <v>94</v>
      </c>
      <c r="D2068">
        <v>15</v>
      </c>
      <c r="E2068" s="2">
        <v>20.5</v>
      </c>
      <c r="F2068" s="2">
        <v>-164.88</v>
      </c>
      <c r="G2068" s="2">
        <v>171.34</v>
      </c>
      <c r="H2068" s="2">
        <v>-16.399999999999999</v>
      </c>
      <c r="I2068" s="2">
        <v>21.1</v>
      </c>
      <c r="J2068" s="2">
        <v>-1.1100000000000001</v>
      </c>
      <c r="K2068" s="2">
        <v>1.45</v>
      </c>
      <c r="L2068" s="2">
        <v>1.83</v>
      </c>
      <c r="M2068" s="2">
        <v>-0.11</v>
      </c>
      <c r="N2068" t="s">
        <v>262</v>
      </c>
      <c r="O2068">
        <v>34</v>
      </c>
    </row>
    <row r="2069" spans="1:15">
      <c r="A2069" s="1">
        <v>46034</v>
      </c>
      <c r="B2069">
        <v>15</v>
      </c>
      <c r="C2069" t="s">
        <v>94</v>
      </c>
      <c r="D2069">
        <v>15</v>
      </c>
      <c r="E2069" s="2">
        <v>21</v>
      </c>
      <c r="F2069" s="2">
        <v>-154</v>
      </c>
      <c r="G2069" s="2">
        <v>158.47999999999999</v>
      </c>
      <c r="H2069" s="2">
        <v>-13.92</v>
      </c>
      <c r="I2069" s="2">
        <v>14.31</v>
      </c>
      <c r="J2069" s="2">
        <v>-1.08</v>
      </c>
      <c r="K2069" s="2">
        <v>1.49</v>
      </c>
      <c r="L2069" s="2">
        <v>1.84</v>
      </c>
      <c r="M2069" s="2">
        <v>-0.13</v>
      </c>
      <c r="N2069" t="s">
        <v>262</v>
      </c>
      <c r="O2069">
        <v>34</v>
      </c>
    </row>
    <row r="2070" spans="1:15">
      <c r="A2070" s="1">
        <v>46034</v>
      </c>
      <c r="B2070">
        <v>15</v>
      </c>
      <c r="C2070" t="s">
        <v>94</v>
      </c>
      <c r="D2070">
        <v>15</v>
      </c>
      <c r="E2070" s="2">
        <v>21.5</v>
      </c>
      <c r="F2070" s="2">
        <v>-75.290000000000006</v>
      </c>
      <c r="G2070" s="2">
        <v>83.14</v>
      </c>
      <c r="H2070" s="2">
        <v>-21.54</v>
      </c>
      <c r="I2070" s="2">
        <v>33.85</v>
      </c>
      <c r="J2070" s="2">
        <v>-1.06</v>
      </c>
      <c r="K2070" s="2">
        <v>1.59</v>
      </c>
      <c r="L2070" s="2">
        <v>1.91</v>
      </c>
      <c r="M2070" s="2">
        <v>-0.13</v>
      </c>
      <c r="N2070" t="s">
        <v>262</v>
      </c>
      <c r="O2070">
        <v>34</v>
      </c>
    </row>
    <row r="2071" spans="1:15">
      <c r="A2071" s="1">
        <v>46034</v>
      </c>
      <c r="B2071">
        <v>15</v>
      </c>
      <c r="C2071" t="s">
        <v>94</v>
      </c>
      <c r="D2071">
        <v>15</v>
      </c>
      <c r="E2071" s="2">
        <v>22</v>
      </c>
      <c r="F2071" s="2">
        <v>-1.29</v>
      </c>
      <c r="G2071" s="2">
        <v>7.63</v>
      </c>
      <c r="H2071" s="2">
        <v>-104.58</v>
      </c>
      <c r="I2071" s="2">
        <v>130.87</v>
      </c>
      <c r="J2071" s="2">
        <v>-1.1000000000000001</v>
      </c>
      <c r="K2071" s="2">
        <v>1.51</v>
      </c>
      <c r="L2071" s="2">
        <v>1.87</v>
      </c>
      <c r="M2071" s="2">
        <v>-0.19</v>
      </c>
      <c r="N2071" t="s">
        <v>262</v>
      </c>
      <c r="O2071">
        <v>34</v>
      </c>
    </row>
    <row r="2072" spans="1:15">
      <c r="A2072" s="1">
        <v>46034</v>
      </c>
      <c r="B2072">
        <v>15</v>
      </c>
      <c r="C2072" t="s">
        <v>94</v>
      </c>
      <c r="D2072">
        <v>15</v>
      </c>
      <c r="E2072" s="2">
        <v>22.5</v>
      </c>
      <c r="F2072" s="2">
        <v>-37.44</v>
      </c>
      <c r="G2072" s="2">
        <v>41.66</v>
      </c>
      <c r="H2072" s="2">
        <v>-48.55</v>
      </c>
      <c r="I2072" s="2">
        <v>50.56</v>
      </c>
      <c r="J2072" s="2">
        <v>-1.39</v>
      </c>
      <c r="K2072" s="2">
        <v>1.1200000000000001</v>
      </c>
      <c r="L2072" s="2">
        <v>1.79</v>
      </c>
      <c r="M2072" s="2">
        <v>-0.32</v>
      </c>
      <c r="N2072" t="s">
        <v>262</v>
      </c>
      <c r="O2072">
        <v>34</v>
      </c>
    </row>
    <row r="2073" spans="1:15">
      <c r="A2073" s="1">
        <v>46034</v>
      </c>
      <c r="B2073">
        <v>15</v>
      </c>
      <c r="C2073" t="s">
        <v>94</v>
      </c>
      <c r="D2073">
        <v>15</v>
      </c>
      <c r="E2073" s="2">
        <v>23</v>
      </c>
      <c r="F2073" s="2">
        <v>-52.59</v>
      </c>
      <c r="G2073" s="2">
        <v>56.4</v>
      </c>
      <c r="H2073" s="2">
        <v>-4.13</v>
      </c>
      <c r="I2073" s="2">
        <v>14.28</v>
      </c>
      <c r="J2073" s="2">
        <v>-1.75</v>
      </c>
      <c r="K2073" s="2">
        <v>0.87</v>
      </c>
      <c r="L2073" s="2">
        <v>1.95</v>
      </c>
      <c r="M2073" s="2">
        <v>-0.28999999999999998</v>
      </c>
      <c r="N2073" t="s">
        <v>262</v>
      </c>
      <c r="O2073">
        <v>34</v>
      </c>
    </row>
    <row r="2074" spans="1:15">
      <c r="A2074" s="1">
        <v>46034</v>
      </c>
      <c r="B2074">
        <v>15</v>
      </c>
      <c r="C2074" t="s">
        <v>94</v>
      </c>
      <c r="D2074">
        <v>15</v>
      </c>
      <c r="E2074" s="2">
        <v>23.5</v>
      </c>
      <c r="F2074" s="2">
        <v>-61.61</v>
      </c>
      <c r="G2074" s="2">
        <v>66.48</v>
      </c>
      <c r="H2074" s="2">
        <v>10.07</v>
      </c>
      <c r="I2074" s="2">
        <v>-16.02</v>
      </c>
      <c r="J2074" s="2">
        <v>-1.9</v>
      </c>
      <c r="K2074" s="2">
        <v>0.64</v>
      </c>
      <c r="L2074" s="2">
        <v>2.0099999999999998</v>
      </c>
      <c r="M2074" s="2">
        <v>-0.28000000000000003</v>
      </c>
      <c r="N2074" t="s">
        <v>262</v>
      </c>
      <c r="O2074">
        <v>34</v>
      </c>
    </row>
    <row r="2075" spans="1:15">
      <c r="A2075" s="1">
        <v>46034</v>
      </c>
      <c r="B2075">
        <v>15</v>
      </c>
      <c r="C2075" t="s">
        <v>94</v>
      </c>
      <c r="D2075">
        <v>15</v>
      </c>
      <c r="E2075" s="2">
        <v>24</v>
      </c>
      <c r="F2075" s="2">
        <v>-76.7</v>
      </c>
      <c r="G2075" s="2">
        <v>81.52</v>
      </c>
      <c r="H2075" s="2">
        <v>17.059999999999999</v>
      </c>
      <c r="I2075" s="2">
        <v>-13.5</v>
      </c>
      <c r="J2075" s="2">
        <v>-1.81</v>
      </c>
      <c r="K2075" s="2">
        <v>0.43</v>
      </c>
      <c r="L2075" s="2">
        <v>1.86</v>
      </c>
      <c r="M2075" s="2">
        <v>-0.26</v>
      </c>
      <c r="N2075" t="s">
        <v>262</v>
      </c>
      <c r="O2075">
        <v>34</v>
      </c>
    </row>
    <row r="2076" spans="1:15">
      <c r="A2076" s="1">
        <v>46034</v>
      </c>
      <c r="B2076">
        <v>15</v>
      </c>
      <c r="C2076" t="s">
        <v>94</v>
      </c>
      <c r="D2076">
        <v>15</v>
      </c>
      <c r="E2076" s="2">
        <v>24.5</v>
      </c>
      <c r="F2076" s="2">
        <v>-103.2</v>
      </c>
      <c r="G2076" s="2">
        <v>88.12</v>
      </c>
      <c r="H2076" s="2">
        <v>52.57</v>
      </c>
      <c r="I2076" s="2">
        <v>-33.700000000000003</v>
      </c>
      <c r="J2076" s="2">
        <v>-1.51</v>
      </c>
      <c r="K2076" s="2">
        <v>0.24</v>
      </c>
      <c r="L2076" s="2">
        <v>1.53</v>
      </c>
      <c r="M2076" s="2">
        <v>-0.25</v>
      </c>
      <c r="N2076" t="s">
        <v>262</v>
      </c>
      <c r="O2076">
        <v>34</v>
      </c>
    </row>
    <row r="2077" spans="1:15">
      <c r="A2077" s="1">
        <v>46034</v>
      </c>
      <c r="B2077">
        <v>15</v>
      </c>
      <c r="C2077" t="s">
        <v>94</v>
      </c>
      <c r="D2077">
        <v>15</v>
      </c>
      <c r="E2077" s="2">
        <v>25</v>
      </c>
      <c r="F2077" s="2">
        <v>-107.59</v>
      </c>
      <c r="G2077" s="2">
        <v>126.96</v>
      </c>
      <c r="H2077" s="2">
        <v>-43.65</v>
      </c>
      <c r="I2077" s="2">
        <v>59.95</v>
      </c>
      <c r="J2077" s="2">
        <v>-0.9</v>
      </c>
      <c r="K2077" s="2">
        <v>1.02</v>
      </c>
      <c r="L2077" s="2">
        <v>1.36</v>
      </c>
      <c r="M2077" s="2">
        <v>-0.14000000000000001</v>
      </c>
      <c r="N2077" t="s">
        <v>262</v>
      </c>
      <c r="O2077">
        <v>34</v>
      </c>
    </row>
    <row r="2078" spans="1:15">
      <c r="A2078" s="1">
        <v>46034</v>
      </c>
      <c r="B2078">
        <v>15</v>
      </c>
      <c r="C2078" t="s">
        <v>94</v>
      </c>
      <c r="D2078">
        <v>15</v>
      </c>
      <c r="E2078" s="2">
        <v>25.5</v>
      </c>
      <c r="F2078" s="2">
        <v>-102.14</v>
      </c>
      <c r="G2078" s="2">
        <v>107.21</v>
      </c>
      <c r="H2078" s="2">
        <v>-49</v>
      </c>
      <c r="I2078" s="2">
        <v>39.520000000000003</v>
      </c>
      <c r="J2078" s="2">
        <v>-1.06</v>
      </c>
      <c r="K2078" s="2">
        <v>0.67</v>
      </c>
      <c r="L2078" s="2">
        <v>1.26</v>
      </c>
      <c r="M2078" s="2">
        <v>-0.15</v>
      </c>
      <c r="N2078" t="s">
        <v>262</v>
      </c>
      <c r="O2078">
        <v>34</v>
      </c>
    </row>
    <row r="2079" spans="1:15">
      <c r="A2079" s="1">
        <v>46034</v>
      </c>
      <c r="B2079">
        <v>15</v>
      </c>
      <c r="C2079" t="s">
        <v>94</v>
      </c>
      <c r="D2079">
        <v>15</v>
      </c>
      <c r="E2079" s="2">
        <v>26</v>
      </c>
      <c r="F2079" s="2">
        <v>-56.17</v>
      </c>
      <c r="G2079" s="2">
        <v>62.1</v>
      </c>
      <c r="H2079" s="2">
        <v>-35.520000000000003</v>
      </c>
      <c r="I2079" s="2">
        <v>36.659999999999997</v>
      </c>
      <c r="J2079" s="2">
        <v>-1.33</v>
      </c>
      <c r="K2079" s="2">
        <v>0.43</v>
      </c>
      <c r="L2079" s="2">
        <v>1.4</v>
      </c>
      <c r="M2079" s="2">
        <v>-0.12</v>
      </c>
      <c r="N2079" t="s">
        <v>262</v>
      </c>
      <c r="O2079">
        <v>34</v>
      </c>
    </row>
    <row r="2080" spans="1:15">
      <c r="A2080" s="1">
        <v>46034</v>
      </c>
      <c r="B2080">
        <v>15</v>
      </c>
      <c r="C2080" t="s">
        <v>94</v>
      </c>
      <c r="D2080">
        <v>15</v>
      </c>
      <c r="E2080" s="2">
        <v>26.5</v>
      </c>
      <c r="F2080" s="2">
        <v>-7.83</v>
      </c>
      <c r="G2080" s="2">
        <v>11.37</v>
      </c>
      <c r="H2080" s="2">
        <v>2.4300000000000002</v>
      </c>
      <c r="I2080" s="2">
        <v>-6.17</v>
      </c>
      <c r="J2080" s="2">
        <v>-1.26</v>
      </c>
      <c r="K2080" s="2">
        <v>0.22</v>
      </c>
      <c r="L2080" s="2">
        <v>1.28</v>
      </c>
      <c r="M2080" s="2">
        <v>-0.12</v>
      </c>
      <c r="N2080" t="s">
        <v>262</v>
      </c>
      <c r="O2080">
        <v>34</v>
      </c>
    </row>
    <row r="2081" spans="1:15">
      <c r="A2081" s="1">
        <v>46034</v>
      </c>
      <c r="B2081">
        <v>15</v>
      </c>
      <c r="C2081" t="s">
        <v>94</v>
      </c>
      <c r="D2081">
        <v>15</v>
      </c>
      <c r="E2081" s="2">
        <v>27</v>
      </c>
      <c r="F2081" s="2">
        <v>47.01</v>
      </c>
      <c r="G2081" s="2">
        <v>-41.78</v>
      </c>
      <c r="H2081" s="2">
        <v>52.99</v>
      </c>
      <c r="I2081" s="2">
        <v>-56.35</v>
      </c>
      <c r="J2081" s="2">
        <v>-0.72</v>
      </c>
      <c r="K2081" s="2">
        <v>0.08</v>
      </c>
      <c r="L2081" s="2">
        <v>0.72</v>
      </c>
      <c r="M2081" s="2">
        <v>-0.05</v>
      </c>
      <c r="N2081" t="s">
        <v>262</v>
      </c>
      <c r="O2081">
        <v>34</v>
      </c>
    </row>
    <row r="2082" spans="1:15">
      <c r="A2082" s="1">
        <v>46034</v>
      </c>
      <c r="B2082">
        <v>15</v>
      </c>
      <c r="C2082" t="s">
        <v>99</v>
      </c>
      <c r="D2082">
        <v>15</v>
      </c>
      <c r="E2082" s="2">
        <v>0.5</v>
      </c>
      <c r="F2082" s="2">
        <v>-385.4</v>
      </c>
      <c r="G2082" s="2">
        <v>389.73</v>
      </c>
      <c r="H2082" s="2">
        <v>-126.21</v>
      </c>
      <c r="I2082" s="2">
        <v>126.4</v>
      </c>
      <c r="J2082" s="2">
        <v>2.63</v>
      </c>
      <c r="K2082" s="2">
        <v>-5.99</v>
      </c>
      <c r="L2082" s="2">
        <v>6.54</v>
      </c>
      <c r="M2082" s="2">
        <v>0.65</v>
      </c>
      <c r="N2082" t="s">
        <v>262</v>
      </c>
      <c r="O2082">
        <v>64</v>
      </c>
    </row>
    <row r="2083" spans="1:15">
      <c r="A2083" s="1">
        <v>46034</v>
      </c>
      <c r="B2083">
        <v>15</v>
      </c>
      <c r="C2083" t="s">
        <v>99</v>
      </c>
      <c r="D2083">
        <v>15</v>
      </c>
      <c r="E2083" s="2">
        <v>1</v>
      </c>
      <c r="F2083" s="2">
        <v>-405.19</v>
      </c>
      <c r="G2083" s="2">
        <v>389.23</v>
      </c>
      <c r="H2083" s="2">
        <v>-128.43</v>
      </c>
      <c r="I2083" s="2">
        <v>123.96</v>
      </c>
      <c r="J2083" s="2">
        <v>3.36</v>
      </c>
      <c r="K2083" s="2">
        <v>-4.8099999999999996</v>
      </c>
      <c r="L2083" s="2">
        <v>5.86</v>
      </c>
      <c r="M2083" s="2">
        <v>0.7</v>
      </c>
      <c r="N2083" t="s">
        <v>262</v>
      </c>
      <c r="O2083">
        <v>64</v>
      </c>
    </row>
    <row r="2084" spans="1:15">
      <c r="A2084" s="1">
        <v>46034</v>
      </c>
      <c r="B2084">
        <v>15</v>
      </c>
      <c r="C2084" t="s">
        <v>99</v>
      </c>
      <c r="D2084">
        <v>15</v>
      </c>
      <c r="E2084" s="2">
        <v>1.5</v>
      </c>
      <c r="F2084" s="2">
        <v>-374.92</v>
      </c>
      <c r="G2084" s="2">
        <v>379.3</v>
      </c>
      <c r="H2084" s="2">
        <v>-151.87</v>
      </c>
      <c r="I2084" s="2">
        <v>144.66999999999999</v>
      </c>
      <c r="J2084" s="2">
        <v>3.92</v>
      </c>
      <c r="K2084" s="2">
        <v>-3.65</v>
      </c>
      <c r="L2084" s="2">
        <v>5.36</v>
      </c>
      <c r="M2084" s="2">
        <v>0.56000000000000005</v>
      </c>
      <c r="N2084" t="s">
        <v>262</v>
      </c>
      <c r="O2084">
        <v>64</v>
      </c>
    </row>
    <row r="2085" spans="1:15">
      <c r="A2085" s="1">
        <v>46034</v>
      </c>
      <c r="B2085">
        <v>15</v>
      </c>
      <c r="C2085" t="s">
        <v>99</v>
      </c>
      <c r="D2085">
        <v>15</v>
      </c>
      <c r="E2085" s="2">
        <v>2</v>
      </c>
      <c r="F2085" s="2">
        <v>-331.33</v>
      </c>
      <c r="G2085" s="2">
        <v>338.35</v>
      </c>
      <c r="H2085" s="2">
        <v>-210.77</v>
      </c>
      <c r="I2085" s="2">
        <v>206.14</v>
      </c>
      <c r="J2085" s="2">
        <v>4.08</v>
      </c>
      <c r="K2085" s="2">
        <v>-3.36</v>
      </c>
      <c r="L2085" s="2">
        <v>5.29</v>
      </c>
      <c r="M2085" s="2">
        <v>0.63</v>
      </c>
      <c r="N2085" t="s">
        <v>262</v>
      </c>
      <c r="O2085">
        <v>64</v>
      </c>
    </row>
    <row r="2086" spans="1:15">
      <c r="A2086" s="1">
        <v>46034</v>
      </c>
      <c r="B2086">
        <v>15</v>
      </c>
      <c r="C2086" t="s">
        <v>99</v>
      </c>
      <c r="D2086">
        <v>15</v>
      </c>
      <c r="E2086" s="2">
        <v>2.5</v>
      </c>
      <c r="F2086" s="2">
        <v>-306.37</v>
      </c>
      <c r="G2086" s="2">
        <v>313.14</v>
      </c>
      <c r="H2086" s="2">
        <v>-195.03</v>
      </c>
      <c r="I2086" s="2">
        <v>198.05</v>
      </c>
      <c r="J2086" s="2">
        <v>4.1900000000000004</v>
      </c>
      <c r="K2086" s="2">
        <v>-3.24</v>
      </c>
      <c r="L2086" s="2">
        <v>5.3</v>
      </c>
      <c r="M2086" s="2">
        <v>0.6</v>
      </c>
      <c r="N2086" t="s">
        <v>262</v>
      </c>
      <c r="O2086">
        <v>64</v>
      </c>
    </row>
    <row r="2087" spans="1:15">
      <c r="A2087" s="1">
        <v>46034</v>
      </c>
      <c r="B2087">
        <v>15</v>
      </c>
      <c r="C2087" t="s">
        <v>99</v>
      </c>
      <c r="D2087">
        <v>15</v>
      </c>
      <c r="E2087" s="2">
        <v>3</v>
      </c>
      <c r="F2087" s="2">
        <v>-268.86</v>
      </c>
      <c r="G2087" s="2">
        <v>274.83999999999997</v>
      </c>
      <c r="H2087" s="2">
        <v>-139.63999999999999</v>
      </c>
      <c r="I2087" s="2">
        <v>137.28</v>
      </c>
      <c r="J2087" s="2">
        <v>4.22</v>
      </c>
      <c r="K2087" s="2">
        <v>-3.41</v>
      </c>
      <c r="L2087" s="2">
        <v>5.42</v>
      </c>
      <c r="M2087" s="2">
        <v>0.61</v>
      </c>
      <c r="N2087" t="s">
        <v>262</v>
      </c>
      <c r="O2087">
        <v>64</v>
      </c>
    </row>
    <row r="2088" spans="1:15">
      <c r="A2088" s="1">
        <v>46034</v>
      </c>
      <c r="B2088">
        <v>15</v>
      </c>
      <c r="C2088" t="s">
        <v>99</v>
      </c>
      <c r="D2088">
        <v>15</v>
      </c>
      <c r="E2088" s="2">
        <v>3.5</v>
      </c>
      <c r="F2088" s="2">
        <v>-205.1</v>
      </c>
      <c r="G2088" s="2">
        <v>211.04</v>
      </c>
      <c r="H2088" s="2">
        <v>-83.38</v>
      </c>
      <c r="I2088" s="2">
        <v>73.88</v>
      </c>
      <c r="J2088" s="2">
        <v>4.29</v>
      </c>
      <c r="K2088" s="2">
        <v>-3.42</v>
      </c>
      <c r="L2088" s="2">
        <v>5.49</v>
      </c>
      <c r="M2088" s="2">
        <v>0.63</v>
      </c>
      <c r="N2088" t="s">
        <v>262</v>
      </c>
      <c r="O2088">
        <v>64</v>
      </c>
    </row>
    <row r="2089" spans="1:15">
      <c r="A2089" s="1">
        <v>46034</v>
      </c>
      <c r="B2089">
        <v>15</v>
      </c>
      <c r="C2089" t="s">
        <v>99</v>
      </c>
      <c r="D2089">
        <v>15</v>
      </c>
      <c r="E2089" s="2">
        <v>4</v>
      </c>
      <c r="F2089" s="2">
        <v>-148.82</v>
      </c>
      <c r="G2089" s="2">
        <v>157.07</v>
      </c>
      <c r="H2089" s="2">
        <v>-75.260000000000005</v>
      </c>
      <c r="I2089" s="2">
        <v>70.510000000000005</v>
      </c>
      <c r="J2089" s="2">
        <v>4.47</v>
      </c>
      <c r="K2089" s="2">
        <v>-3.22</v>
      </c>
      <c r="L2089" s="2">
        <v>5.51</v>
      </c>
      <c r="M2089" s="2">
        <v>0.6</v>
      </c>
      <c r="N2089" t="s">
        <v>262</v>
      </c>
      <c r="O2089">
        <v>64</v>
      </c>
    </row>
    <row r="2090" spans="1:15">
      <c r="A2090" s="1">
        <v>46034</v>
      </c>
      <c r="B2090">
        <v>15</v>
      </c>
      <c r="C2090" t="s">
        <v>99</v>
      </c>
      <c r="D2090">
        <v>15</v>
      </c>
      <c r="E2090" s="2">
        <v>4.5</v>
      </c>
      <c r="F2090" s="2">
        <v>-100.56</v>
      </c>
      <c r="G2090" s="2">
        <v>105.01</v>
      </c>
      <c r="H2090" s="2">
        <v>-125.64</v>
      </c>
      <c r="I2090" s="2">
        <v>129.77000000000001</v>
      </c>
      <c r="J2090" s="2">
        <v>4.63</v>
      </c>
      <c r="K2090" s="2">
        <v>-3.37</v>
      </c>
      <c r="L2090" s="2">
        <v>5.73</v>
      </c>
      <c r="M2090" s="2">
        <v>0.62</v>
      </c>
      <c r="N2090" t="s">
        <v>262</v>
      </c>
      <c r="O2090">
        <v>64</v>
      </c>
    </row>
    <row r="2091" spans="1:15">
      <c r="A2091" s="1">
        <v>46034</v>
      </c>
      <c r="B2091">
        <v>15</v>
      </c>
      <c r="C2091" t="s">
        <v>99</v>
      </c>
      <c r="D2091">
        <v>15</v>
      </c>
      <c r="E2091" s="2">
        <v>5</v>
      </c>
      <c r="F2091" s="2">
        <v>-25.83</v>
      </c>
      <c r="G2091" s="2">
        <v>33.130000000000003</v>
      </c>
      <c r="H2091" s="2">
        <v>-162.47</v>
      </c>
      <c r="I2091" s="2">
        <v>174.5</v>
      </c>
      <c r="J2091" s="2">
        <v>4.8099999999999996</v>
      </c>
      <c r="K2091" s="2">
        <v>-3.64</v>
      </c>
      <c r="L2091" s="2">
        <v>6.03</v>
      </c>
      <c r="M2091" s="2">
        <v>0.68</v>
      </c>
      <c r="N2091" t="s">
        <v>262</v>
      </c>
      <c r="O2091">
        <v>64</v>
      </c>
    </row>
    <row r="2092" spans="1:15">
      <c r="A2092" s="1">
        <v>46034</v>
      </c>
      <c r="B2092">
        <v>15</v>
      </c>
      <c r="C2092" t="s">
        <v>99</v>
      </c>
      <c r="D2092">
        <v>15</v>
      </c>
      <c r="E2092" s="2">
        <v>5.5</v>
      </c>
      <c r="F2092" s="2">
        <v>41.84</v>
      </c>
      <c r="G2092" s="2">
        <v>-34.06</v>
      </c>
      <c r="H2092" s="2">
        <v>-162.53</v>
      </c>
      <c r="I2092" s="2">
        <v>154.38</v>
      </c>
      <c r="J2092" s="2">
        <v>5.0599999999999996</v>
      </c>
      <c r="K2092" s="2">
        <v>-4.05</v>
      </c>
      <c r="L2092" s="2">
        <v>6.48</v>
      </c>
      <c r="M2092" s="2">
        <v>0.84</v>
      </c>
      <c r="N2092" t="s">
        <v>262</v>
      </c>
      <c r="O2092">
        <v>64</v>
      </c>
    </row>
    <row r="2093" spans="1:15">
      <c r="A2093" s="1">
        <v>46034</v>
      </c>
      <c r="B2093">
        <v>15</v>
      </c>
      <c r="C2093" t="s">
        <v>99</v>
      </c>
      <c r="D2093">
        <v>15</v>
      </c>
      <c r="E2093" s="2">
        <v>6</v>
      </c>
      <c r="F2093" s="2">
        <v>77.41</v>
      </c>
      <c r="G2093" s="2">
        <v>-70.66</v>
      </c>
      <c r="H2093" s="2">
        <v>-191.77</v>
      </c>
      <c r="I2093" s="2">
        <v>181.81</v>
      </c>
      <c r="J2093" s="2">
        <v>5.32</v>
      </c>
      <c r="K2093" s="2">
        <v>-4.32</v>
      </c>
      <c r="L2093" s="2">
        <v>6.85</v>
      </c>
      <c r="M2093" s="2">
        <v>0.84</v>
      </c>
      <c r="N2093" t="s">
        <v>262</v>
      </c>
      <c r="O2093">
        <v>64</v>
      </c>
    </row>
    <row r="2094" spans="1:15">
      <c r="A2094" s="1">
        <v>46034</v>
      </c>
      <c r="B2094">
        <v>15</v>
      </c>
      <c r="C2094" t="s">
        <v>99</v>
      </c>
      <c r="D2094">
        <v>15</v>
      </c>
      <c r="E2094" s="2">
        <v>6.5</v>
      </c>
      <c r="F2094" s="2">
        <v>181.14</v>
      </c>
      <c r="G2094" s="2">
        <v>-174.36</v>
      </c>
      <c r="H2094" s="2">
        <v>-185.83</v>
      </c>
      <c r="I2094" s="2">
        <v>171.35</v>
      </c>
      <c r="J2094" s="2">
        <v>5.53</v>
      </c>
      <c r="K2094" s="2">
        <v>-4.3</v>
      </c>
      <c r="L2094" s="2">
        <v>7</v>
      </c>
      <c r="M2094" s="2">
        <v>0.84</v>
      </c>
      <c r="N2094" t="s">
        <v>262</v>
      </c>
      <c r="O2094">
        <v>64</v>
      </c>
    </row>
    <row r="2095" spans="1:15">
      <c r="A2095" s="1">
        <v>46034</v>
      </c>
      <c r="B2095">
        <v>15</v>
      </c>
      <c r="C2095" t="s">
        <v>99</v>
      </c>
      <c r="D2095">
        <v>15</v>
      </c>
      <c r="E2095" s="2">
        <v>7</v>
      </c>
      <c r="F2095" s="2">
        <v>284.32</v>
      </c>
      <c r="G2095" s="2">
        <v>-277.49</v>
      </c>
      <c r="H2095" s="2">
        <v>-191.47</v>
      </c>
      <c r="I2095" s="2">
        <v>173.68</v>
      </c>
      <c r="J2095" s="2">
        <v>5.76</v>
      </c>
      <c r="K2095" s="2">
        <v>-4.2</v>
      </c>
      <c r="L2095" s="2">
        <v>7.13</v>
      </c>
      <c r="M2095" s="2">
        <v>0.81</v>
      </c>
      <c r="N2095" t="s">
        <v>262</v>
      </c>
      <c r="O2095">
        <v>64</v>
      </c>
    </row>
    <row r="2096" spans="1:15">
      <c r="A2096" s="1">
        <v>46034</v>
      </c>
      <c r="B2096">
        <v>15</v>
      </c>
      <c r="C2096" t="s">
        <v>99</v>
      </c>
      <c r="D2096">
        <v>15</v>
      </c>
      <c r="E2096" s="2">
        <v>7.5</v>
      </c>
      <c r="F2096" s="2">
        <v>309.49</v>
      </c>
      <c r="G2096" s="2">
        <v>-294.11</v>
      </c>
      <c r="H2096" s="2">
        <v>-169.76</v>
      </c>
      <c r="I2096" s="2">
        <v>162.44</v>
      </c>
      <c r="J2096" s="2">
        <v>5.91</v>
      </c>
      <c r="K2096" s="2">
        <v>-4.09</v>
      </c>
      <c r="L2096" s="2">
        <v>7.19</v>
      </c>
      <c r="M2096" s="2">
        <v>0.78</v>
      </c>
      <c r="N2096" t="s">
        <v>262</v>
      </c>
      <c r="O2096">
        <v>64</v>
      </c>
    </row>
    <row r="2097" spans="1:15">
      <c r="A2097" s="1">
        <v>46034</v>
      </c>
      <c r="B2097">
        <v>15</v>
      </c>
      <c r="C2097" t="s">
        <v>99</v>
      </c>
      <c r="D2097">
        <v>15</v>
      </c>
      <c r="E2097" s="2">
        <v>8</v>
      </c>
      <c r="F2097" s="2">
        <v>275.87</v>
      </c>
      <c r="G2097" s="2">
        <v>-273.04000000000002</v>
      </c>
      <c r="H2097" s="2">
        <v>-69.69</v>
      </c>
      <c r="I2097" s="2">
        <v>79.37</v>
      </c>
      <c r="J2097" s="2">
        <v>6.17</v>
      </c>
      <c r="K2097" s="2">
        <v>-4.1399999999999997</v>
      </c>
      <c r="L2097" s="2">
        <v>7.43</v>
      </c>
      <c r="M2097" s="2">
        <v>0.77</v>
      </c>
      <c r="N2097" t="s">
        <v>262</v>
      </c>
      <c r="O2097">
        <v>64</v>
      </c>
    </row>
    <row r="2098" spans="1:15">
      <c r="A2098" s="1">
        <v>46034</v>
      </c>
      <c r="B2098">
        <v>15</v>
      </c>
      <c r="C2098" t="s">
        <v>99</v>
      </c>
      <c r="D2098">
        <v>15</v>
      </c>
      <c r="E2098" s="2">
        <v>8.5</v>
      </c>
      <c r="F2098" s="2">
        <v>339.97</v>
      </c>
      <c r="G2098" s="2">
        <v>-329.82</v>
      </c>
      <c r="H2098" s="2">
        <v>-12.17</v>
      </c>
      <c r="I2098" s="2">
        <v>24.27</v>
      </c>
      <c r="J2098" s="2">
        <v>6.41</v>
      </c>
      <c r="K2098" s="2">
        <v>-4.22</v>
      </c>
      <c r="L2098" s="2">
        <v>7.67</v>
      </c>
      <c r="M2098" s="2">
        <v>0.73</v>
      </c>
      <c r="N2098" t="s">
        <v>262</v>
      </c>
      <c r="O2098">
        <v>64</v>
      </c>
    </row>
    <row r="2099" spans="1:15">
      <c r="A2099" s="1">
        <v>46034</v>
      </c>
      <c r="B2099">
        <v>15</v>
      </c>
      <c r="C2099" t="s">
        <v>99</v>
      </c>
      <c r="D2099">
        <v>15</v>
      </c>
      <c r="E2099" s="2">
        <v>9</v>
      </c>
      <c r="F2099" s="2">
        <v>326.11</v>
      </c>
      <c r="G2099" s="2">
        <v>-318.58999999999997</v>
      </c>
      <c r="H2099" s="2">
        <v>34.479999999999997</v>
      </c>
      <c r="I2099" s="2">
        <v>-23.74</v>
      </c>
      <c r="J2099" s="2">
        <v>6.51</v>
      </c>
      <c r="K2099" s="2">
        <v>-4.5599999999999996</v>
      </c>
      <c r="L2099" s="2">
        <v>7.95</v>
      </c>
      <c r="M2099" s="2">
        <v>0.75</v>
      </c>
      <c r="N2099" t="s">
        <v>262</v>
      </c>
      <c r="O2099">
        <v>64</v>
      </c>
    </row>
    <row r="2100" spans="1:15">
      <c r="A2100" s="1">
        <v>46034</v>
      </c>
      <c r="B2100">
        <v>15</v>
      </c>
      <c r="C2100" t="s">
        <v>99</v>
      </c>
      <c r="D2100">
        <v>15</v>
      </c>
      <c r="E2100" s="2">
        <v>9.5</v>
      </c>
      <c r="F2100" s="2">
        <v>217.55</v>
      </c>
      <c r="G2100" s="2">
        <v>-210.71</v>
      </c>
      <c r="H2100" s="2">
        <v>106.8</v>
      </c>
      <c r="I2100" s="2">
        <v>-110.04</v>
      </c>
      <c r="J2100" s="2">
        <v>6.79</v>
      </c>
      <c r="K2100" s="2">
        <v>-5.23</v>
      </c>
      <c r="L2100" s="2">
        <v>8.56</v>
      </c>
      <c r="M2100" s="2">
        <v>0.71</v>
      </c>
      <c r="N2100" t="s">
        <v>262</v>
      </c>
      <c r="O2100">
        <v>64</v>
      </c>
    </row>
    <row r="2101" spans="1:15">
      <c r="A2101" s="1">
        <v>46034</v>
      </c>
      <c r="B2101">
        <v>15</v>
      </c>
      <c r="C2101" t="s">
        <v>99</v>
      </c>
      <c r="D2101">
        <v>15</v>
      </c>
      <c r="E2101" s="2">
        <v>10</v>
      </c>
      <c r="F2101" s="2">
        <v>78.06</v>
      </c>
      <c r="G2101" s="2">
        <v>-58.88</v>
      </c>
      <c r="H2101" s="2">
        <v>147.5</v>
      </c>
      <c r="I2101" s="2">
        <v>-143.79</v>
      </c>
      <c r="J2101" s="2">
        <v>7.21</v>
      </c>
      <c r="K2101" s="2">
        <v>-5.46</v>
      </c>
      <c r="L2101" s="2">
        <v>9.0500000000000007</v>
      </c>
      <c r="M2101" s="2">
        <v>0.75</v>
      </c>
      <c r="N2101" t="s">
        <v>262</v>
      </c>
      <c r="O2101">
        <v>64</v>
      </c>
    </row>
    <row r="2102" spans="1:15">
      <c r="A2102" s="1">
        <v>46034</v>
      </c>
      <c r="B2102">
        <v>15</v>
      </c>
      <c r="C2102" t="s">
        <v>99</v>
      </c>
      <c r="D2102">
        <v>15</v>
      </c>
      <c r="E2102" s="2">
        <v>10.5</v>
      </c>
      <c r="F2102" s="2">
        <v>94.13</v>
      </c>
      <c r="G2102" s="2">
        <v>-87.39</v>
      </c>
      <c r="H2102" s="2">
        <v>60.47</v>
      </c>
      <c r="I2102" s="2">
        <v>-73.8</v>
      </c>
      <c r="J2102" s="2">
        <v>7.56</v>
      </c>
      <c r="K2102" s="2">
        <v>-5.71</v>
      </c>
      <c r="L2102" s="2">
        <v>9.48</v>
      </c>
      <c r="M2102" s="2">
        <v>0.78</v>
      </c>
      <c r="N2102" t="s">
        <v>262</v>
      </c>
      <c r="O2102">
        <v>64</v>
      </c>
    </row>
    <row r="2103" spans="1:15">
      <c r="A2103" s="1">
        <v>46034</v>
      </c>
      <c r="B2103">
        <v>15</v>
      </c>
      <c r="C2103" t="s">
        <v>99</v>
      </c>
      <c r="D2103">
        <v>15</v>
      </c>
      <c r="E2103" s="2">
        <v>11</v>
      </c>
      <c r="F2103" s="2">
        <v>28.17</v>
      </c>
      <c r="G2103" s="2">
        <v>-17.8</v>
      </c>
      <c r="H2103" s="2">
        <v>11.67</v>
      </c>
      <c r="I2103" s="2">
        <v>-29.69</v>
      </c>
      <c r="J2103" s="2">
        <v>7.93</v>
      </c>
      <c r="K2103" s="2">
        <v>-6</v>
      </c>
      <c r="L2103" s="2">
        <v>9.94</v>
      </c>
      <c r="M2103" s="2">
        <v>0.8</v>
      </c>
      <c r="N2103" t="s">
        <v>262</v>
      </c>
      <c r="O2103">
        <v>64</v>
      </c>
    </row>
    <row r="2104" spans="1:15">
      <c r="A2104" s="1">
        <v>46034</v>
      </c>
      <c r="B2104">
        <v>15</v>
      </c>
      <c r="C2104" t="s">
        <v>99</v>
      </c>
      <c r="D2104">
        <v>15</v>
      </c>
      <c r="E2104" s="2">
        <v>11.5</v>
      </c>
      <c r="F2104" s="2">
        <v>-51.17</v>
      </c>
      <c r="G2104" s="2">
        <v>57.18</v>
      </c>
      <c r="H2104" s="2">
        <v>0.88</v>
      </c>
      <c r="I2104" s="2">
        <v>-13.52</v>
      </c>
      <c r="J2104" s="2">
        <v>8.2899999999999991</v>
      </c>
      <c r="K2104" s="2">
        <v>-6.47</v>
      </c>
      <c r="L2104" s="2">
        <v>10.51</v>
      </c>
      <c r="M2104" s="2">
        <v>0.8</v>
      </c>
      <c r="N2104" t="s">
        <v>262</v>
      </c>
      <c r="O2104">
        <v>64</v>
      </c>
    </row>
    <row r="2105" spans="1:15">
      <c r="A2105" s="1">
        <v>46034</v>
      </c>
      <c r="B2105">
        <v>15</v>
      </c>
      <c r="C2105" t="s">
        <v>99</v>
      </c>
      <c r="D2105">
        <v>15</v>
      </c>
      <c r="E2105" s="2">
        <v>12</v>
      </c>
      <c r="F2105" s="2">
        <v>-66.680000000000007</v>
      </c>
      <c r="G2105" s="2">
        <v>79.66</v>
      </c>
      <c r="H2105" s="2">
        <v>16.39</v>
      </c>
      <c r="I2105" s="2">
        <v>-22.21</v>
      </c>
      <c r="J2105" s="2">
        <v>8.51</v>
      </c>
      <c r="K2105" s="2">
        <v>-6.44</v>
      </c>
      <c r="L2105" s="2">
        <v>10.67</v>
      </c>
      <c r="M2105" s="2">
        <v>0.82</v>
      </c>
      <c r="N2105" t="s">
        <v>262</v>
      </c>
      <c r="O2105">
        <v>64</v>
      </c>
    </row>
    <row r="2106" spans="1:15">
      <c r="A2106" s="1">
        <v>46034</v>
      </c>
      <c r="B2106">
        <v>15</v>
      </c>
      <c r="C2106" t="s">
        <v>99</v>
      </c>
      <c r="D2106">
        <v>15</v>
      </c>
      <c r="E2106" s="2">
        <v>12.5</v>
      </c>
      <c r="F2106" s="2">
        <v>-37.44</v>
      </c>
      <c r="G2106" s="2">
        <v>48.97</v>
      </c>
      <c r="H2106" s="2">
        <v>15.58</v>
      </c>
      <c r="I2106" s="2">
        <v>-24.39</v>
      </c>
      <c r="J2106" s="2">
        <v>8.65</v>
      </c>
      <c r="K2106" s="2">
        <v>-6.35</v>
      </c>
      <c r="L2106" s="2">
        <v>10.73</v>
      </c>
      <c r="M2106" s="2">
        <v>0.79</v>
      </c>
      <c r="N2106" t="s">
        <v>262</v>
      </c>
      <c r="O2106">
        <v>64</v>
      </c>
    </row>
    <row r="2107" spans="1:15">
      <c r="A2107" s="1">
        <v>46034</v>
      </c>
      <c r="B2107">
        <v>15</v>
      </c>
      <c r="C2107" t="s">
        <v>99</v>
      </c>
      <c r="D2107">
        <v>15</v>
      </c>
      <c r="E2107" s="2">
        <v>13</v>
      </c>
      <c r="F2107" s="2">
        <v>-95.5</v>
      </c>
      <c r="G2107" s="2">
        <v>105.31</v>
      </c>
      <c r="H2107" s="2">
        <v>-38.549999999999997</v>
      </c>
      <c r="I2107" s="2">
        <v>37.85</v>
      </c>
      <c r="J2107" s="2">
        <v>8.6</v>
      </c>
      <c r="K2107" s="2">
        <v>-6.2</v>
      </c>
      <c r="L2107" s="2">
        <v>10.6</v>
      </c>
      <c r="M2107" s="2">
        <v>0.76</v>
      </c>
      <c r="N2107" t="s">
        <v>262</v>
      </c>
      <c r="O2107">
        <v>64</v>
      </c>
    </row>
    <row r="2108" spans="1:15">
      <c r="A2108" s="1">
        <v>46034</v>
      </c>
      <c r="B2108">
        <v>15</v>
      </c>
      <c r="C2108" t="s">
        <v>99</v>
      </c>
      <c r="D2108">
        <v>15</v>
      </c>
      <c r="E2108" s="2">
        <v>13.5</v>
      </c>
      <c r="F2108" s="2">
        <v>-263.08</v>
      </c>
      <c r="G2108" s="2">
        <v>275.29000000000002</v>
      </c>
      <c r="H2108" s="2">
        <v>-157.6</v>
      </c>
      <c r="I2108" s="2">
        <v>175.89</v>
      </c>
      <c r="J2108" s="2">
        <v>8.58</v>
      </c>
      <c r="K2108" s="2">
        <v>-6.19</v>
      </c>
      <c r="L2108" s="2">
        <v>10.59</v>
      </c>
      <c r="M2108" s="2">
        <v>0.76</v>
      </c>
      <c r="N2108" t="s">
        <v>262</v>
      </c>
      <c r="O2108">
        <v>64</v>
      </c>
    </row>
    <row r="2109" spans="1:15">
      <c r="A2109" s="1">
        <v>46034</v>
      </c>
      <c r="B2109">
        <v>15</v>
      </c>
      <c r="C2109" t="s">
        <v>99</v>
      </c>
      <c r="D2109">
        <v>15</v>
      </c>
      <c r="E2109" s="2">
        <v>14</v>
      </c>
      <c r="F2109" s="2">
        <v>-284.43</v>
      </c>
      <c r="G2109" s="2">
        <v>295.77</v>
      </c>
      <c r="H2109" s="2">
        <v>-299</v>
      </c>
      <c r="I2109" s="2">
        <v>296.02</v>
      </c>
      <c r="J2109" s="2">
        <v>8.5500000000000007</v>
      </c>
      <c r="K2109" s="2">
        <v>-5.87</v>
      </c>
      <c r="L2109" s="2">
        <v>10.37</v>
      </c>
      <c r="M2109" s="2">
        <v>0.62</v>
      </c>
      <c r="N2109" t="s">
        <v>262</v>
      </c>
      <c r="O2109">
        <v>64</v>
      </c>
    </row>
    <row r="2110" spans="1:15">
      <c r="A2110" s="1">
        <v>46034</v>
      </c>
      <c r="B2110">
        <v>15</v>
      </c>
      <c r="C2110" t="s">
        <v>99</v>
      </c>
      <c r="D2110">
        <v>15</v>
      </c>
      <c r="E2110" s="2">
        <v>14.5</v>
      </c>
      <c r="F2110" s="2">
        <v>-260.2</v>
      </c>
      <c r="G2110" s="2">
        <v>272.06</v>
      </c>
      <c r="H2110" s="2">
        <v>-252.62</v>
      </c>
      <c r="I2110" s="2">
        <v>251.99</v>
      </c>
      <c r="J2110" s="2">
        <v>8.74</v>
      </c>
      <c r="K2110" s="2">
        <v>-5.71</v>
      </c>
      <c r="L2110" s="2">
        <v>10.44</v>
      </c>
      <c r="M2110" s="2">
        <v>0.64</v>
      </c>
      <c r="N2110" t="s">
        <v>262</v>
      </c>
      <c r="O2110">
        <v>64</v>
      </c>
    </row>
    <row r="2111" spans="1:15">
      <c r="A2111" s="1">
        <v>46034</v>
      </c>
      <c r="B2111">
        <v>15</v>
      </c>
      <c r="C2111" t="s">
        <v>99</v>
      </c>
      <c r="D2111">
        <v>15</v>
      </c>
      <c r="E2111" s="2">
        <v>15</v>
      </c>
      <c r="F2111" s="2">
        <v>-229.57</v>
      </c>
      <c r="G2111" s="2">
        <v>243.52</v>
      </c>
      <c r="H2111" s="2">
        <v>-191.55</v>
      </c>
      <c r="I2111" s="2">
        <v>189.38</v>
      </c>
      <c r="J2111" s="2">
        <v>8.65</v>
      </c>
      <c r="K2111" s="2">
        <v>-5.58</v>
      </c>
      <c r="L2111" s="2">
        <v>10.3</v>
      </c>
      <c r="M2111" s="2">
        <v>0.62</v>
      </c>
      <c r="N2111" t="s">
        <v>262</v>
      </c>
      <c r="O2111">
        <v>64</v>
      </c>
    </row>
    <row r="2112" spans="1:15">
      <c r="A2112" s="1">
        <v>46034</v>
      </c>
      <c r="B2112">
        <v>15</v>
      </c>
      <c r="C2112" t="s">
        <v>99</v>
      </c>
      <c r="D2112">
        <v>15</v>
      </c>
      <c r="E2112" s="2">
        <v>15.5</v>
      </c>
      <c r="F2112" s="2">
        <v>-159.66999999999999</v>
      </c>
      <c r="G2112" s="2">
        <v>167.45</v>
      </c>
      <c r="H2112" s="2">
        <v>-184.43</v>
      </c>
      <c r="I2112" s="2">
        <v>184.35</v>
      </c>
      <c r="J2112" s="2">
        <v>8.43</v>
      </c>
      <c r="K2112" s="2">
        <v>-5.29</v>
      </c>
      <c r="L2112" s="2">
        <v>9.9499999999999993</v>
      </c>
      <c r="M2112" s="2">
        <v>0.59</v>
      </c>
      <c r="N2112" t="s">
        <v>262</v>
      </c>
      <c r="O2112">
        <v>64</v>
      </c>
    </row>
    <row r="2113" spans="1:15">
      <c r="A2113" s="1">
        <v>46034</v>
      </c>
      <c r="B2113">
        <v>15</v>
      </c>
      <c r="C2113" t="s">
        <v>99</v>
      </c>
      <c r="D2113">
        <v>15</v>
      </c>
      <c r="E2113" s="2">
        <v>16</v>
      </c>
      <c r="F2113" s="2">
        <v>-74.319999999999993</v>
      </c>
      <c r="G2113" s="2">
        <v>85.19</v>
      </c>
      <c r="H2113" s="2">
        <v>-165.57</v>
      </c>
      <c r="I2113" s="2">
        <v>171.14</v>
      </c>
      <c r="J2113" s="2">
        <v>8.36</v>
      </c>
      <c r="K2113" s="2">
        <v>-5.2</v>
      </c>
      <c r="L2113" s="2">
        <v>9.85</v>
      </c>
      <c r="M2113" s="2">
        <v>0.67</v>
      </c>
      <c r="N2113" t="s">
        <v>262</v>
      </c>
      <c r="O2113">
        <v>64</v>
      </c>
    </row>
    <row r="2114" spans="1:15">
      <c r="A2114" s="1">
        <v>46034</v>
      </c>
      <c r="B2114">
        <v>15</v>
      </c>
      <c r="C2114" t="s">
        <v>99</v>
      </c>
      <c r="D2114">
        <v>15</v>
      </c>
      <c r="E2114" s="2">
        <v>16.5</v>
      </c>
      <c r="F2114" s="2">
        <v>107.95</v>
      </c>
      <c r="G2114" s="2">
        <v>-98.02</v>
      </c>
      <c r="H2114" s="2">
        <v>-109.09</v>
      </c>
      <c r="I2114" s="2">
        <v>117.43</v>
      </c>
      <c r="J2114" s="2">
        <v>8.25</v>
      </c>
      <c r="K2114" s="2">
        <v>-5.13</v>
      </c>
      <c r="L2114" s="2">
        <v>9.7200000000000006</v>
      </c>
      <c r="M2114" s="2">
        <v>0.67</v>
      </c>
      <c r="N2114" t="s">
        <v>262</v>
      </c>
      <c r="O2114">
        <v>64</v>
      </c>
    </row>
    <row r="2115" spans="1:15">
      <c r="A2115" s="1">
        <v>46034</v>
      </c>
      <c r="B2115">
        <v>15</v>
      </c>
      <c r="C2115" t="s">
        <v>99</v>
      </c>
      <c r="D2115">
        <v>15</v>
      </c>
      <c r="E2115" s="2">
        <v>17</v>
      </c>
      <c r="F2115" s="2">
        <v>259.8</v>
      </c>
      <c r="G2115" s="2">
        <v>-249.98</v>
      </c>
      <c r="H2115" s="2">
        <v>-59.43</v>
      </c>
      <c r="I2115" s="2">
        <v>49.17</v>
      </c>
      <c r="J2115" s="2">
        <v>8.11</v>
      </c>
      <c r="K2115" s="2">
        <v>-5.2</v>
      </c>
      <c r="L2115" s="2">
        <v>9.64</v>
      </c>
      <c r="M2115" s="2">
        <v>0.65</v>
      </c>
      <c r="N2115" t="s">
        <v>262</v>
      </c>
      <c r="O2115">
        <v>64</v>
      </c>
    </row>
    <row r="2116" spans="1:15">
      <c r="A2116" s="1">
        <v>46034</v>
      </c>
      <c r="B2116">
        <v>15</v>
      </c>
      <c r="C2116" t="s">
        <v>99</v>
      </c>
      <c r="D2116">
        <v>15</v>
      </c>
      <c r="E2116" s="2">
        <v>17.5</v>
      </c>
      <c r="F2116" s="2">
        <v>313.12</v>
      </c>
      <c r="G2116" s="2">
        <v>-305.41000000000003</v>
      </c>
      <c r="H2116" s="2">
        <v>-66.510000000000005</v>
      </c>
      <c r="I2116" s="2">
        <v>56.87</v>
      </c>
      <c r="J2116" s="2">
        <v>7.74</v>
      </c>
      <c r="K2116" s="2">
        <v>-4.87</v>
      </c>
      <c r="L2116" s="2">
        <v>9.14</v>
      </c>
      <c r="M2116" s="2">
        <v>0.63</v>
      </c>
      <c r="N2116" t="s">
        <v>262</v>
      </c>
      <c r="O2116">
        <v>64</v>
      </c>
    </row>
    <row r="2117" spans="1:15">
      <c r="A2117" s="1">
        <v>46034</v>
      </c>
      <c r="B2117">
        <v>15</v>
      </c>
      <c r="C2117" t="s">
        <v>99</v>
      </c>
      <c r="D2117">
        <v>15</v>
      </c>
      <c r="E2117" s="2">
        <v>18</v>
      </c>
      <c r="F2117" s="2">
        <v>397.01</v>
      </c>
      <c r="G2117" s="2">
        <v>-386.41</v>
      </c>
      <c r="H2117" s="2">
        <v>-100.69</v>
      </c>
      <c r="I2117" s="2">
        <v>96.41</v>
      </c>
      <c r="J2117" s="2">
        <v>7.39</v>
      </c>
      <c r="K2117" s="2">
        <v>-4.5599999999999996</v>
      </c>
      <c r="L2117" s="2">
        <v>8.69</v>
      </c>
      <c r="M2117" s="2">
        <v>0.56999999999999995</v>
      </c>
      <c r="N2117" t="s">
        <v>262</v>
      </c>
      <c r="O2117">
        <v>64</v>
      </c>
    </row>
    <row r="2118" spans="1:15">
      <c r="A2118" s="1">
        <v>46034</v>
      </c>
      <c r="B2118">
        <v>15</v>
      </c>
      <c r="C2118" t="s">
        <v>99</v>
      </c>
      <c r="D2118">
        <v>15</v>
      </c>
      <c r="E2118" s="2">
        <v>18.5</v>
      </c>
      <c r="F2118" s="2">
        <v>431.73</v>
      </c>
      <c r="G2118" s="2">
        <v>-423.14</v>
      </c>
      <c r="H2118" s="2">
        <v>-111.36</v>
      </c>
      <c r="I2118" s="2">
        <v>108.72</v>
      </c>
      <c r="J2118" s="2">
        <v>7.41</v>
      </c>
      <c r="K2118" s="2">
        <v>-4.45</v>
      </c>
      <c r="L2118" s="2">
        <v>8.64</v>
      </c>
      <c r="M2118" s="2">
        <v>0.55000000000000004</v>
      </c>
      <c r="N2118" t="s">
        <v>262</v>
      </c>
      <c r="O2118">
        <v>64</v>
      </c>
    </row>
    <row r="2119" spans="1:15">
      <c r="A2119" s="1">
        <v>46034</v>
      </c>
      <c r="B2119">
        <v>15</v>
      </c>
      <c r="C2119" t="s">
        <v>99</v>
      </c>
      <c r="D2119">
        <v>15</v>
      </c>
      <c r="E2119" s="2">
        <v>19</v>
      </c>
      <c r="F2119" s="2">
        <v>424.2</v>
      </c>
      <c r="G2119" s="2">
        <v>-417.24</v>
      </c>
      <c r="H2119" s="2">
        <v>-101.66</v>
      </c>
      <c r="I2119" s="2">
        <v>98.43</v>
      </c>
      <c r="J2119" s="2">
        <v>7.21</v>
      </c>
      <c r="K2119" s="2">
        <v>-4.29</v>
      </c>
      <c r="L2119" s="2">
        <v>8.39</v>
      </c>
      <c r="M2119" s="2">
        <v>0.5</v>
      </c>
      <c r="N2119" t="s">
        <v>262</v>
      </c>
      <c r="O2119">
        <v>64</v>
      </c>
    </row>
    <row r="2120" spans="1:15">
      <c r="A2120" s="1">
        <v>46034</v>
      </c>
      <c r="B2120">
        <v>15</v>
      </c>
      <c r="C2120" t="s">
        <v>99</v>
      </c>
      <c r="D2120">
        <v>15</v>
      </c>
      <c r="E2120" s="2">
        <v>19.5</v>
      </c>
      <c r="F2120" s="2">
        <v>316.41000000000003</v>
      </c>
      <c r="G2120" s="2">
        <v>-309.11</v>
      </c>
      <c r="H2120" s="2">
        <v>-41.24</v>
      </c>
      <c r="I2120" s="2">
        <v>45.92</v>
      </c>
      <c r="J2120" s="2">
        <v>6.59</v>
      </c>
      <c r="K2120" s="2">
        <v>-3.8</v>
      </c>
      <c r="L2120" s="2">
        <v>7.61</v>
      </c>
      <c r="M2120" s="2">
        <v>0.41</v>
      </c>
      <c r="N2120" t="s">
        <v>262</v>
      </c>
      <c r="O2120">
        <v>64</v>
      </c>
    </row>
    <row r="2121" spans="1:15">
      <c r="A2121" s="1">
        <v>46034</v>
      </c>
      <c r="B2121">
        <v>15</v>
      </c>
      <c r="C2121" t="s">
        <v>99</v>
      </c>
      <c r="D2121">
        <v>15</v>
      </c>
      <c r="E2121" s="2">
        <v>20</v>
      </c>
      <c r="F2121" s="2">
        <v>178.01</v>
      </c>
      <c r="G2121" s="2">
        <v>-169.03</v>
      </c>
      <c r="H2121" s="2">
        <v>9.01</v>
      </c>
      <c r="I2121" s="2">
        <v>5.69</v>
      </c>
      <c r="J2121" s="2">
        <v>6.25</v>
      </c>
      <c r="K2121" s="2">
        <v>-3.66</v>
      </c>
      <c r="L2121" s="2">
        <v>7.25</v>
      </c>
      <c r="M2121" s="2">
        <v>0.4</v>
      </c>
      <c r="N2121" t="s">
        <v>262</v>
      </c>
      <c r="O2121">
        <v>64</v>
      </c>
    </row>
    <row r="2122" spans="1:15">
      <c r="A2122" s="1">
        <v>46034</v>
      </c>
      <c r="B2122">
        <v>15</v>
      </c>
      <c r="C2122" t="s">
        <v>99</v>
      </c>
      <c r="D2122">
        <v>15</v>
      </c>
      <c r="E2122" s="2">
        <v>20.5</v>
      </c>
      <c r="F2122" s="2">
        <v>141.16</v>
      </c>
      <c r="G2122" s="2">
        <v>-133.82</v>
      </c>
      <c r="H2122" s="2">
        <v>3.51</v>
      </c>
      <c r="I2122" s="2">
        <v>8.1300000000000008</v>
      </c>
      <c r="J2122" s="2">
        <v>5.76</v>
      </c>
      <c r="K2122" s="2">
        <v>-3.31</v>
      </c>
      <c r="L2122" s="2">
        <v>6.64</v>
      </c>
      <c r="M2122" s="2">
        <v>0.37</v>
      </c>
      <c r="N2122" t="s">
        <v>262</v>
      </c>
      <c r="O2122">
        <v>64</v>
      </c>
    </row>
    <row r="2123" spans="1:15">
      <c r="A2123" s="1">
        <v>46034</v>
      </c>
      <c r="B2123">
        <v>15</v>
      </c>
      <c r="C2123" t="s">
        <v>99</v>
      </c>
      <c r="D2123">
        <v>15</v>
      </c>
      <c r="E2123" s="2">
        <v>21</v>
      </c>
      <c r="F2123" s="2">
        <v>103.84</v>
      </c>
      <c r="G2123" s="2">
        <v>-94.39</v>
      </c>
      <c r="H2123" s="2">
        <v>4.4400000000000004</v>
      </c>
      <c r="I2123" s="2">
        <v>13.09</v>
      </c>
      <c r="J2123" s="2">
        <v>5.29</v>
      </c>
      <c r="K2123" s="2">
        <v>-2.97</v>
      </c>
      <c r="L2123" s="2">
        <v>6.07</v>
      </c>
      <c r="M2123" s="2">
        <v>0.33</v>
      </c>
      <c r="N2123" t="s">
        <v>262</v>
      </c>
      <c r="O2123">
        <v>64</v>
      </c>
    </row>
    <row r="2124" spans="1:15">
      <c r="A2124" s="1">
        <v>46034</v>
      </c>
      <c r="B2124">
        <v>15</v>
      </c>
      <c r="C2124" t="s">
        <v>99</v>
      </c>
      <c r="D2124">
        <v>15</v>
      </c>
      <c r="E2124" s="2">
        <v>21.5</v>
      </c>
      <c r="F2124" s="2">
        <v>-23.39</v>
      </c>
      <c r="G2124" s="2">
        <v>32.729999999999997</v>
      </c>
      <c r="H2124" s="2">
        <v>-10.220000000000001</v>
      </c>
      <c r="I2124" s="2">
        <v>16.329999999999998</v>
      </c>
      <c r="J2124" s="2">
        <v>4.78</v>
      </c>
      <c r="K2124" s="2">
        <v>-2.88</v>
      </c>
      <c r="L2124" s="2">
        <v>5.58</v>
      </c>
      <c r="M2124" s="2">
        <v>0.28000000000000003</v>
      </c>
      <c r="N2124" t="s">
        <v>262</v>
      </c>
      <c r="O2124">
        <v>64</v>
      </c>
    </row>
    <row r="2125" spans="1:15">
      <c r="A2125" s="1">
        <v>46034</v>
      </c>
      <c r="B2125">
        <v>15</v>
      </c>
      <c r="C2125" t="s">
        <v>99</v>
      </c>
      <c r="D2125">
        <v>15</v>
      </c>
      <c r="E2125" s="2">
        <v>22</v>
      </c>
      <c r="F2125" s="2">
        <v>-71.040000000000006</v>
      </c>
      <c r="G2125" s="2">
        <v>78.72</v>
      </c>
      <c r="H2125" s="2">
        <v>1.55</v>
      </c>
      <c r="I2125" s="2">
        <v>17.46</v>
      </c>
      <c r="J2125" s="2">
        <v>4.45</v>
      </c>
      <c r="K2125" s="2">
        <v>-2.4900000000000002</v>
      </c>
      <c r="L2125" s="2">
        <v>5.0999999999999996</v>
      </c>
      <c r="M2125" s="2">
        <v>0.28999999999999998</v>
      </c>
      <c r="N2125" t="s">
        <v>262</v>
      </c>
      <c r="O2125">
        <v>64</v>
      </c>
    </row>
    <row r="2126" spans="1:15">
      <c r="A2126" s="1">
        <v>46034</v>
      </c>
      <c r="B2126">
        <v>15</v>
      </c>
      <c r="C2126" t="s">
        <v>99</v>
      </c>
      <c r="D2126">
        <v>15</v>
      </c>
      <c r="E2126" s="2">
        <v>22.5</v>
      </c>
      <c r="F2126" s="2">
        <v>-58.95</v>
      </c>
      <c r="G2126" s="2">
        <v>68.66</v>
      </c>
      <c r="H2126" s="2">
        <v>-93.55</v>
      </c>
      <c r="I2126" s="2">
        <v>116.14</v>
      </c>
      <c r="J2126" s="2">
        <v>4.09</v>
      </c>
      <c r="K2126" s="2">
        <v>-2.2200000000000002</v>
      </c>
      <c r="L2126" s="2">
        <v>4.6500000000000004</v>
      </c>
      <c r="M2126" s="2">
        <v>0.27</v>
      </c>
      <c r="N2126" t="s">
        <v>262</v>
      </c>
      <c r="O2126">
        <v>64</v>
      </c>
    </row>
    <row r="2127" spans="1:15">
      <c r="A2127" s="1">
        <v>46034</v>
      </c>
      <c r="B2127">
        <v>15</v>
      </c>
      <c r="C2127" t="s">
        <v>99</v>
      </c>
      <c r="D2127">
        <v>15</v>
      </c>
      <c r="E2127" s="2">
        <v>23</v>
      </c>
      <c r="F2127" s="2">
        <v>-71.569999999999993</v>
      </c>
      <c r="G2127" s="2">
        <v>75.989999999999995</v>
      </c>
      <c r="H2127" s="2">
        <v>-153.18</v>
      </c>
      <c r="I2127" s="2">
        <v>152.47999999999999</v>
      </c>
      <c r="J2127" s="2">
        <v>3.68</v>
      </c>
      <c r="K2127" s="2">
        <v>-1.78</v>
      </c>
      <c r="L2127" s="2">
        <v>4.09</v>
      </c>
      <c r="M2127" s="2">
        <v>0.2</v>
      </c>
      <c r="N2127" t="s">
        <v>262</v>
      </c>
      <c r="O2127">
        <v>64</v>
      </c>
    </row>
    <row r="2128" spans="1:15">
      <c r="A2128" s="1">
        <v>46034</v>
      </c>
      <c r="B2128">
        <v>15</v>
      </c>
      <c r="C2128" t="s">
        <v>99</v>
      </c>
      <c r="D2128">
        <v>15</v>
      </c>
      <c r="E2128" s="2">
        <v>23.5</v>
      </c>
      <c r="F2128" s="2">
        <v>-133.02000000000001</v>
      </c>
      <c r="G2128" s="2">
        <v>144.66</v>
      </c>
      <c r="H2128" s="2">
        <v>-187.47</v>
      </c>
      <c r="I2128" s="2">
        <v>202.96</v>
      </c>
      <c r="J2128" s="2">
        <v>3.3</v>
      </c>
      <c r="K2128" s="2">
        <v>-1.49</v>
      </c>
      <c r="L2128" s="2">
        <v>3.62</v>
      </c>
      <c r="M2128" s="2">
        <v>0.17</v>
      </c>
      <c r="N2128" t="s">
        <v>262</v>
      </c>
      <c r="O2128">
        <v>64</v>
      </c>
    </row>
    <row r="2129" spans="1:15">
      <c r="A2129" s="1">
        <v>46034</v>
      </c>
      <c r="B2129">
        <v>15</v>
      </c>
      <c r="C2129" t="s">
        <v>99</v>
      </c>
      <c r="D2129">
        <v>15</v>
      </c>
      <c r="E2129" s="2">
        <v>24</v>
      </c>
      <c r="F2129" s="2">
        <v>-167.13</v>
      </c>
      <c r="G2129" s="2">
        <v>175.76</v>
      </c>
      <c r="H2129" s="2">
        <v>-248.62</v>
      </c>
      <c r="I2129" s="2">
        <v>253.04</v>
      </c>
      <c r="J2129" s="2">
        <v>3.04</v>
      </c>
      <c r="K2129" s="2">
        <v>-1.28</v>
      </c>
      <c r="L2129" s="2">
        <v>3.3</v>
      </c>
      <c r="M2129" s="2">
        <v>0.13</v>
      </c>
      <c r="N2129" t="s">
        <v>262</v>
      </c>
      <c r="O2129">
        <v>64</v>
      </c>
    </row>
    <row r="2130" spans="1:15">
      <c r="A2130" s="1">
        <v>46034</v>
      </c>
      <c r="B2130">
        <v>15</v>
      </c>
      <c r="C2130" t="s">
        <v>99</v>
      </c>
      <c r="D2130">
        <v>15</v>
      </c>
      <c r="E2130" s="2">
        <v>24.5</v>
      </c>
      <c r="F2130" s="2">
        <v>-66.97</v>
      </c>
      <c r="G2130" s="2">
        <v>70.849999999999994</v>
      </c>
      <c r="H2130" s="2">
        <v>-245.34</v>
      </c>
      <c r="I2130" s="2">
        <v>233.15</v>
      </c>
      <c r="J2130" s="2">
        <v>2.74</v>
      </c>
      <c r="K2130" s="2">
        <v>-1.07</v>
      </c>
      <c r="L2130" s="2">
        <v>2.94</v>
      </c>
      <c r="M2130" s="2">
        <v>0.14000000000000001</v>
      </c>
      <c r="N2130" t="s">
        <v>262</v>
      </c>
      <c r="O2130">
        <v>64</v>
      </c>
    </row>
    <row r="2131" spans="1:15">
      <c r="A2131" s="1">
        <v>46034</v>
      </c>
      <c r="B2131">
        <v>15</v>
      </c>
      <c r="C2131" t="s">
        <v>99</v>
      </c>
      <c r="D2131">
        <v>15</v>
      </c>
      <c r="E2131" s="2">
        <v>25</v>
      </c>
      <c r="F2131" s="2">
        <v>25.97</v>
      </c>
      <c r="G2131" s="2">
        <v>-17.100000000000001</v>
      </c>
      <c r="H2131" s="2">
        <v>-224.38</v>
      </c>
      <c r="I2131" s="2">
        <v>217.54</v>
      </c>
      <c r="J2131" s="2">
        <v>2.31</v>
      </c>
      <c r="K2131" s="2">
        <v>-1.02</v>
      </c>
      <c r="L2131" s="2">
        <v>2.5299999999999998</v>
      </c>
      <c r="M2131" s="2">
        <v>0.09</v>
      </c>
      <c r="N2131" t="s">
        <v>262</v>
      </c>
      <c r="O2131">
        <v>64</v>
      </c>
    </row>
    <row r="2132" spans="1:15">
      <c r="A2132" s="1">
        <v>46034</v>
      </c>
      <c r="B2132">
        <v>15</v>
      </c>
      <c r="C2132" t="s">
        <v>99</v>
      </c>
      <c r="D2132">
        <v>15</v>
      </c>
      <c r="E2132" s="2">
        <v>25.5</v>
      </c>
      <c r="F2132" s="2">
        <v>84.13</v>
      </c>
      <c r="G2132" s="2">
        <v>-77.599999999999994</v>
      </c>
      <c r="H2132" s="2">
        <v>-180.44</v>
      </c>
      <c r="I2132" s="2">
        <v>187.75</v>
      </c>
      <c r="J2132" s="2">
        <v>1.8</v>
      </c>
      <c r="K2132" s="2">
        <v>-0.73</v>
      </c>
      <c r="L2132" s="2">
        <v>1.94</v>
      </c>
      <c r="M2132" s="2">
        <v>0.03</v>
      </c>
      <c r="N2132" t="s">
        <v>262</v>
      </c>
      <c r="O2132">
        <v>64</v>
      </c>
    </row>
    <row r="2133" spans="1:15">
      <c r="A2133" s="1">
        <v>46034</v>
      </c>
      <c r="B2133">
        <v>15</v>
      </c>
      <c r="C2133" t="s">
        <v>99</v>
      </c>
      <c r="D2133">
        <v>15</v>
      </c>
      <c r="E2133" s="2">
        <v>26</v>
      </c>
      <c r="F2133" s="2">
        <v>128.56</v>
      </c>
      <c r="G2133" s="2">
        <v>-120.16</v>
      </c>
      <c r="H2133" s="2">
        <v>-230.33</v>
      </c>
      <c r="I2133" s="2">
        <v>248.8</v>
      </c>
      <c r="J2133" s="2">
        <v>1.35</v>
      </c>
      <c r="K2133" s="2">
        <v>-0.14000000000000001</v>
      </c>
      <c r="L2133" s="2">
        <v>1.36</v>
      </c>
      <c r="M2133" s="2">
        <v>0.03</v>
      </c>
      <c r="N2133" t="s">
        <v>262</v>
      </c>
      <c r="O2133">
        <v>64</v>
      </c>
    </row>
    <row r="2134" spans="1:15">
      <c r="A2134" s="1">
        <v>46034</v>
      </c>
      <c r="B2134">
        <v>15</v>
      </c>
      <c r="C2134" t="s">
        <v>99</v>
      </c>
      <c r="D2134">
        <v>15</v>
      </c>
      <c r="E2134" s="2">
        <v>26.5</v>
      </c>
      <c r="F2134" s="2">
        <v>119.26</v>
      </c>
      <c r="G2134" s="2">
        <v>-113.31</v>
      </c>
      <c r="H2134" s="2">
        <v>-255.63</v>
      </c>
      <c r="I2134" s="2">
        <v>255.76</v>
      </c>
      <c r="J2134" s="2">
        <v>0.86</v>
      </c>
      <c r="K2134" s="2">
        <v>0</v>
      </c>
      <c r="L2134" s="2">
        <v>0.86</v>
      </c>
      <c r="M2134" s="2">
        <v>0.03</v>
      </c>
      <c r="N2134" t="s">
        <v>262</v>
      </c>
      <c r="O2134">
        <v>64</v>
      </c>
    </row>
    <row r="2135" spans="1:15">
      <c r="A2135" s="1">
        <v>46034</v>
      </c>
      <c r="B2135">
        <v>15</v>
      </c>
      <c r="C2135" t="s">
        <v>100</v>
      </c>
      <c r="D2135">
        <v>14</v>
      </c>
      <c r="E2135" s="2">
        <v>0.5</v>
      </c>
      <c r="F2135" s="2">
        <v>422.5</v>
      </c>
      <c r="G2135" s="2">
        <v>-416.39</v>
      </c>
      <c r="H2135" s="2">
        <v>473.13</v>
      </c>
      <c r="I2135" s="2">
        <v>-472.1</v>
      </c>
      <c r="J2135" s="2">
        <v>2.19</v>
      </c>
      <c r="K2135" s="2">
        <v>1.53</v>
      </c>
      <c r="L2135" s="2">
        <v>2.67</v>
      </c>
      <c r="M2135" s="2">
        <v>-0.38</v>
      </c>
      <c r="N2135" t="s">
        <v>262</v>
      </c>
      <c r="O2135">
        <v>92</v>
      </c>
    </row>
    <row r="2136" spans="1:15">
      <c r="A2136" s="1">
        <v>46034</v>
      </c>
      <c r="B2136">
        <v>15</v>
      </c>
      <c r="C2136" t="s">
        <v>100</v>
      </c>
      <c r="D2136">
        <v>14</v>
      </c>
      <c r="E2136" s="2">
        <v>1</v>
      </c>
      <c r="F2136" s="2">
        <v>422.05</v>
      </c>
      <c r="G2136" s="2">
        <v>-416.21</v>
      </c>
      <c r="H2136" s="2">
        <v>473.09</v>
      </c>
      <c r="I2136" s="2">
        <v>-472.22</v>
      </c>
      <c r="J2136" s="2">
        <v>2.59</v>
      </c>
      <c r="K2136" s="2">
        <v>1.22</v>
      </c>
      <c r="L2136" s="2">
        <v>2.86</v>
      </c>
      <c r="M2136" s="2">
        <v>-0.2</v>
      </c>
      <c r="N2136" t="s">
        <v>262</v>
      </c>
      <c r="O2136">
        <v>92</v>
      </c>
    </row>
    <row r="2137" spans="1:15">
      <c r="A2137" s="1">
        <v>46034</v>
      </c>
      <c r="B2137">
        <v>15</v>
      </c>
      <c r="C2137" t="s">
        <v>100</v>
      </c>
      <c r="D2137">
        <v>14</v>
      </c>
      <c r="E2137" s="2">
        <v>1.5</v>
      </c>
      <c r="F2137" s="2">
        <v>461.66</v>
      </c>
      <c r="G2137" s="2">
        <v>-460.73</v>
      </c>
      <c r="H2137" s="2">
        <v>408.77</v>
      </c>
      <c r="I2137" s="2">
        <v>-405.22</v>
      </c>
      <c r="J2137" s="2">
        <v>2.99</v>
      </c>
      <c r="K2137" s="2">
        <v>0.91</v>
      </c>
      <c r="L2137" s="2">
        <v>3.13</v>
      </c>
      <c r="M2137" s="2">
        <v>-0.05</v>
      </c>
      <c r="N2137" t="s">
        <v>262</v>
      </c>
      <c r="O2137">
        <v>92</v>
      </c>
    </row>
    <row r="2138" spans="1:15">
      <c r="A2138" s="1">
        <v>46034</v>
      </c>
      <c r="B2138">
        <v>15</v>
      </c>
      <c r="C2138" t="s">
        <v>100</v>
      </c>
      <c r="D2138">
        <v>14</v>
      </c>
      <c r="E2138" s="2">
        <v>2</v>
      </c>
      <c r="F2138" s="2">
        <v>528.61</v>
      </c>
      <c r="G2138" s="2">
        <v>-525.99</v>
      </c>
      <c r="H2138" s="2">
        <v>233.61</v>
      </c>
      <c r="I2138" s="2">
        <v>-224.24</v>
      </c>
      <c r="J2138" s="2">
        <v>3.63</v>
      </c>
      <c r="K2138" s="2">
        <v>0.83</v>
      </c>
      <c r="L2138" s="2">
        <v>3.73</v>
      </c>
      <c r="M2138" s="2">
        <v>0.12</v>
      </c>
      <c r="N2138" t="s">
        <v>262</v>
      </c>
      <c r="O2138">
        <v>92</v>
      </c>
    </row>
    <row r="2139" spans="1:15">
      <c r="A2139" s="1">
        <v>46034</v>
      </c>
      <c r="B2139">
        <v>15</v>
      </c>
      <c r="C2139" t="s">
        <v>100</v>
      </c>
      <c r="D2139">
        <v>14</v>
      </c>
      <c r="E2139" s="2">
        <v>2.5</v>
      </c>
      <c r="F2139" s="2">
        <v>483.63</v>
      </c>
      <c r="G2139" s="2">
        <v>-478.82</v>
      </c>
      <c r="H2139" s="2">
        <v>115.25</v>
      </c>
      <c r="I2139" s="2">
        <v>-121</v>
      </c>
      <c r="J2139" s="2">
        <v>4.51</v>
      </c>
      <c r="K2139" s="2">
        <v>0.56000000000000005</v>
      </c>
      <c r="L2139" s="2">
        <v>4.54</v>
      </c>
      <c r="M2139" s="2">
        <v>0.33</v>
      </c>
      <c r="N2139" t="s">
        <v>262</v>
      </c>
      <c r="O2139">
        <v>92</v>
      </c>
    </row>
    <row r="2140" spans="1:15">
      <c r="A2140" s="1">
        <v>46034</v>
      </c>
      <c r="B2140">
        <v>15</v>
      </c>
      <c r="C2140" t="s">
        <v>100</v>
      </c>
      <c r="D2140">
        <v>14</v>
      </c>
      <c r="E2140" s="2">
        <v>3</v>
      </c>
      <c r="F2140" s="2">
        <v>437.17</v>
      </c>
      <c r="G2140" s="2">
        <v>-430.34</v>
      </c>
      <c r="H2140" s="2">
        <v>-7.88</v>
      </c>
      <c r="I2140" s="2">
        <v>14.11</v>
      </c>
      <c r="J2140" s="2">
        <v>5.39</v>
      </c>
      <c r="K2140" s="2">
        <v>0.38</v>
      </c>
      <c r="L2140" s="2">
        <v>5.41</v>
      </c>
      <c r="M2140" s="2">
        <v>0.52</v>
      </c>
      <c r="N2140" t="s">
        <v>262</v>
      </c>
      <c r="O2140">
        <v>92</v>
      </c>
    </row>
    <row r="2141" spans="1:15">
      <c r="A2141" s="1">
        <v>46034</v>
      </c>
      <c r="B2141">
        <v>15</v>
      </c>
      <c r="C2141" t="s">
        <v>100</v>
      </c>
      <c r="D2141">
        <v>14</v>
      </c>
      <c r="E2141" s="2">
        <v>3.5</v>
      </c>
      <c r="F2141" s="2">
        <v>391.32</v>
      </c>
      <c r="G2141" s="2">
        <v>-386.18</v>
      </c>
      <c r="H2141" s="2">
        <v>-85.26</v>
      </c>
      <c r="I2141" s="2">
        <v>93.99</v>
      </c>
      <c r="J2141" s="2">
        <v>6.4</v>
      </c>
      <c r="K2141" s="2">
        <v>0.23</v>
      </c>
      <c r="L2141" s="2">
        <v>6.41</v>
      </c>
      <c r="M2141" s="2">
        <v>0.61</v>
      </c>
      <c r="N2141" t="s">
        <v>262</v>
      </c>
      <c r="O2141">
        <v>92</v>
      </c>
    </row>
    <row r="2142" spans="1:15">
      <c r="A2142" s="1">
        <v>46034</v>
      </c>
      <c r="B2142">
        <v>15</v>
      </c>
      <c r="C2142" t="s">
        <v>100</v>
      </c>
      <c r="D2142">
        <v>14</v>
      </c>
      <c r="E2142" s="2">
        <v>4</v>
      </c>
      <c r="F2142" s="2">
        <v>384.41</v>
      </c>
      <c r="G2142" s="2">
        <v>-379.55</v>
      </c>
      <c r="H2142" s="2">
        <v>-104.22</v>
      </c>
      <c r="I2142" s="2">
        <v>118.24</v>
      </c>
      <c r="J2142" s="2">
        <v>7.28</v>
      </c>
      <c r="K2142" s="2">
        <v>0.38</v>
      </c>
      <c r="L2142" s="2">
        <v>7.29</v>
      </c>
      <c r="M2142" s="2">
        <v>0.63</v>
      </c>
      <c r="N2142" t="s">
        <v>262</v>
      </c>
      <c r="O2142">
        <v>92</v>
      </c>
    </row>
    <row r="2143" spans="1:15">
      <c r="A2143" s="1">
        <v>46034</v>
      </c>
      <c r="B2143">
        <v>15</v>
      </c>
      <c r="C2143" t="s">
        <v>100</v>
      </c>
      <c r="D2143">
        <v>14</v>
      </c>
      <c r="E2143" s="2">
        <v>4.5</v>
      </c>
      <c r="F2143" s="2">
        <v>390.48</v>
      </c>
      <c r="G2143" s="2">
        <v>-382.05</v>
      </c>
      <c r="H2143" s="2">
        <v>-106.67</v>
      </c>
      <c r="I2143" s="2">
        <v>123.11</v>
      </c>
      <c r="J2143" s="2">
        <v>8.2899999999999991</v>
      </c>
      <c r="K2143" s="2">
        <v>0.42</v>
      </c>
      <c r="L2143" s="2">
        <v>8.3000000000000007</v>
      </c>
      <c r="M2143" s="2">
        <v>0.67</v>
      </c>
      <c r="N2143" t="s">
        <v>262</v>
      </c>
      <c r="O2143">
        <v>92</v>
      </c>
    </row>
    <row r="2144" spans="1:15">
      <c r="A2144" s="1">
        <v>46034</v>
      </c>
      <c r="B2144">
        <v>15</v>
      </c>
      <c r="C2144" t="s">
        <v>100</v>
      </c>
      <c r="D2144">
        <v>14</v>
      </c>
      <c r="E2144" s="2">
        <v>5</v>
      </c>
      <c r="F2144" s="2">
        <v>298.42</v>
      </c>
      <c r="G2144" s="2">
        <v>-292.27</v>
      </c>
      <c r="H2144" s="2">
        <v>-69.06</v>
      </c>
      <c r="I2144" s="2">
        <v>85.55</v>
      </c>
      <c r="J2144" s="2">
        <v>9.34</v>
      </c>
      <c r="K2144" s="2">
        <v>0.35</v>
      </c>
      <c r="L2144" s="2">
        <v>9.34</v>
      </c>
      <c r="M2144" s="2">
        <v>0.71</v>
      </c>
      <c r="N2144" t="s">
        <v>262</v>
      </c>
      <c r="O2144">
        <v>92</v>
      </c>
    </row>
    <row r="2145" spans="1:15">
      <c r="A2145" s="1">
        <v>46034</v>
      </c>
      <c r="B2145">
        <v>15</v>
      </c>
      <c r="C2145" t="s">
        <v>100</v>
      </c>
      <c r="D2145">
        <v>14</v>
      </c>
      <c r="E2145" s="2">
        <v>5.5</v>
      </c>
      <c r="F2145" s="2">
        <v>216.49</v>
      </c>
      <c r="G2145" s="2">
        <v>-207.15</v>
      </c>
      <c r="H2145" s="2">
        <v>-19.7</v>
      </c>
      <c r="I2145" s="2">
        <v>38.04</v>
      </c>
      <c r="J2145" s="2">
        <v>9.66</v>
      </c>
      <c r="K2145" s="2">
        <v>0.17</v>
      </c>
      <c r="L2145" s="2">
        <v>9.66</v>
      </c>
      <c r="M2145" s="2">
        <v>0.74</v>
      </c>
      <c r="N2145" t="s">
        <v>262</v>
      </c>
      <c r="O2145">
        <v>92</v>
      </c>
    </row>
    <row r="2146" spans="1:15">
      <c r="A2146" s="1">
        <v>46034</v>
      </c>
      <c r="B2146">
        <v>15</v>
      </c>
      <c r="C2146" t="s">
        <v>100</v>
      </c>
      <c r="D2146">
        <v>14</v>
      </c>
      <c r="E2146" s="2">
        <v>6</v>
      </c>
      <c r="F2146" s="2">
        <v>189.29</v>
      </c>
      <c r="G2146" s="2">
        <v>-180.85</v>
      </c>
      <c r="H2146" s="2">
        <v>4.99</v>
      </c>
      <c r="I2146" s="2">
        <v>12.47</v>
      </c>
      <c r="J2146" s="2">
        <v>9.98</v>
      </c>
      <c r="K2146" s="2">
        <v>0.09</v>
      </c>
      <c r="L2146" s="2">
        <v>9.98</v>
      </c>
      <c r="M2146" s="2">
        <v>0.78</v>
      </c>
      <c r="N2146" t="s">
        <v>262</v>
      </c>
      <c r="O2146">
        <v>92</v>
      </c>
    </row>
    <row r="2147" spans="1:15">
      <c r="A2147" s="1">
        <v>46034</v>
      </c>
      <c r="B2147">
        <v>15</v>
      </c>
      <c r="C2147" t="s">
        <v>100</v>
      </c>
      <c r="D2147">
        <v>14</v>
      </c>
      <c r="E2147" s="2">
        <v>6.5</v>
      </c>
      <c r="F2147" s="2">
        <v>183.74</v>
      </c>
      <c r="G2147" s="2">
        <v>-174.51</v>
      </c>
      <c r="H2147" s="2">
        <v>73.12</v>
      </c>
      <c r="I2147" s="2">
        <v>-64.88</v>
      </c>
      <c r="J2147" s="2">
        <v>10.49</v>
      </c>
      <c r="K2147" s="2">
        <v>-0.56999999999999995</v>
      </c>
      <c r="L2147" s="2">
        <v>10.5</v>
      </c>
      <c r="M2147" s="2">
        <v>0.87</v>
      </c>
      <c r="N2147" t="s">
        <v>262</v>
      </c>
      <c r="O2147">
        <v>92</v>
      </c>
    </row>
    <row r="2148" spans="1:15">
      <c r="A2148" s="1">
        <v>46034</v>
      </c>
      <c r="B2148">
        <v>15</v>
      </c>
      <c r="C2148" t="s">
        <v>100</v>
      </c>
      <c r="D2148">
        <v>14</v>
      </c>
      <c r="E2148" s="2">
        <v>7</v>
      </c>
      <c r="F2148" s="2">
        <v>139.26</v>
      </c>
      <c r="G2148" s="2">
        <v>-129.77000000000001</v>
      </c>
      <c r="H2148" s="2">
        <v>140.62</v>
      </c>
      <c r="I2148" s="2">
        <v>-138.38999999999999</v>
      </c>
      <c r="J2148" s="2">
        <v>10.75</v>
      </c>
      <c r="K2148" s="2">
        <v>-0.65</v>
      </c>
      <c r="L2148" s="2">
        <v>10.77</v>
      </c>
      <c r="M2148" s="2">
        <v>0.9</v>
      </c>
      <c r="N2148" t="s">
        <v>262</v>
      </c>
      <c r="O2148">
        <v>92</v>
      </c>
    </row>
    <row r="2149" spans="1:15">
      <c r="A2149" s="1">
        <v>46034</v>
      </c>
      <c r="B2149">
        <v>15</v>
      </c>
      <c r="C2149" t="s">
        <v>100</v>
      </c>
      <c r="D2149">
        <v>14</v>
      </c>
      <c r="E2149" s="2">
        <v>7.5</v>
      </c>
      <c r="F2149" s="2">
        <v>79.959999999999994</v>
      </c>
      <c r="G2149" s="2">
        <v>-72.25</v>
      </c>
      <c r="H2149" s="2">
        <v>212.7</v>
      </c>
      <c r="I2149" s="2">
        <v>-206.49</v>
      </c>
      <c r="J2149" s="2">
        <v>10.83</v>
      </c>
      <c r="K2149" s="2">
        <v>-0.53</v>
      </c>
      <c r="L2149" s="2">
        <v>10.85</v>
      </c>
      <c r="M2149" s="2">
        <v>0.89</v>
      </c>
      <c r="N2149" t="s">
        <v>262</v>
      </c>
      <c r="O2149">
        <v>92</v>
      </c>
    </row>
    <row r="2150" spans="1:15">
      <c r="A2150" s="1">
        <v>46034</v>
      </c>
      <c r="B2150">
        <v>15</v>
      </c>
      <c r="C2150" t="s">
        <v>100</v>
      </c>
      <c r="D2150">
        <v>14</v>
      </c>
      <c r="E2150" s="2">
        <v>8</v>
      </c>
      <c r="F2150" s="2">
        <v>64.03</v>
      </c>
      <c r="G2150" s="2">
        <v>-56.66</v>
      </c>
      <c r="H2150" s="2">
        <v>232.62</v>
      </c>
      <c r="I2150" s="2">
        <v>-230.96</v>
      </c>
      <c r="J2150" s="2">
        <v>10.46</v>
      </c>
      <c r="K2150" s="2">
        <v>-0.31</v>
      </c>
      <c r="L2150" s="2">
        <v>10.46</v>
      </c>
      <c r="M2150" s="2">
        <v>0.86</v>
      </c>
      <c r="N2150" t="s">
        <v>262</v>
      </c>
      <c r="O2150">
        <v>92</v>
      </c>
    </row>
    <row r="2151" spans="1:15">
      <c r="A2151" s="1">
        <v>46034</v>
      </c>
      <c r="B2151">
        <v>15</v>
      </c>
      <c r="C2151" t="s">
        <v>100</v>
      </c>
      <c r="D2151">
        <v>14</v>
      </c>
      <c r="E2151" s="2">
        <v>8.5</v>
      </c>
      <c r="F2151" s="2">
        <v>99.21</v>
      </c>
      <c r="G2151" s="2">
        <v>-91.6</v>
      </c>
      <c r="H2151" s="2">
        <v>334.57</v>
      </c>
      <c r="I2151" s="2">
        <v>-327.22000000000003</v>
      </c>
      <c r="J2151" s="2">
        <v>9.6199999999999992</v>
      </c>
      <c r="K2151" s="2">
        <v>-0.5</v>
      </c>
      <c r="L2151" s="2">
        <v>9.6300000000000008</v>
      </c>
      <c r="M2151" s="2">
        <v>0.82</v>
      </c>
      <c r="N2151" t="s">
        <v>262</v>
      </c>
      <c r="O2151">
        <v>92</v>
      </c>
    </row>
    <row r="2152" spans="1:15">
      <c r="A2152" s="1">
        <v>46034</v>
      </c>
      <c r="B2152">
        <v>15</v>
      </c>
      <c r="C2152" t="s">
        <v>100</v>
      </c>
      <c r="D2152">
        <v>14</v>
      </c>
      <c r="E2152" s="2">
        <v>9</v>
      </c>
      <c r="F2152" s="2">
        <v>157.04</v>
      </c>
      <c r="G2152" s="2">
        <v>-145.22</v>
      </c>
      <c r="H2152" s="2">
        <v>389.36</v>
      </c>
      <c r="I2152" s="2">
        <v>-380.61</v>
      </c>
      <c r="J2152" s="2">
        <v>8.9</v>
      </c>
      <c r="K2152" s="2">
        <v>-0.05</v>
      </c>
      <c r="L2152" s="2">
        <v>8.9</v>
      </c>
      <c r="M2152" s="2">
        <v>0.73</v>
      </c>
      <c r="N2152" t="s">
        <v>262</v>
      </c>
      <c r="O2152">
        <v>92</v>
      </c>
    </row>
    <row r="2153" spans="1:15">
      <c r="A2153" s="1">
        <v>46034</v>
      </c>
      <c r="B2153">
        <v>15</v>
      </c>
      <c r="C2153" t="s">
        <v>100</v>
      </c>
      <c r="D2153">
        <v>14</v>
      </c>
      <c r="E2153" s="2">
        <v>9.5</v>
      </c>
      <c r="F2153" s="2">
        <v>132.5</v>
      </c>
      <c r="G2153" s="2">
        <v>-127.66</v>
      </c>
      <c r="H2153" s="2">
        <v>451.36</v>
      </c>
      <c r="I2153" s="2">
        <v>-429.03</v>
      </c>
      <c r="J2153" s="2">
        <v>8.32</v>
      </c>
      <c r="K2153" s="2">
        <v>0.47</v>
      </c>
      <c r="L2153" s="2">
        <v>8.33</v>
      </c>
      <c r="M2153" s="2">
        <v>0.67</v>
      </c>
      <c r="N2153" t="s">
        <v>262</v>
      </c>
      <c r="O2153">
        <v>92</v>
      </c>
    </row>
    <row r="2154" spans="1:15">
      <c r="A2154" s="1">
        <v>46034</v>
      </c>
      <c r="B2154">
        <v>15</v>
      </c>
      <c r="C2154" t="s">
        <v>100</v>
      </c>
      <c r="D2154">
        <v>14</v>
      </c>
      <c r="E2154" s="2">
        <v>10</v>
      </c>
      <c r="F2154" s="2">
        <v>130.74</v>
      </c>
      <c r="G2154" s="2">
        <v>-121.69</v>
      </c>
      <c r="H2154" s="2">
        <v>453.49</v>
      </c>
      <c r="I2154" s="2">
        <v>-438.08</v>
      </c>
      <c r="J2154" s="2">
        <v>7.53</v>
      </c>
      <c r="K2154" s="2">
        <v>1.1000000000000001</v>
      </c>
      <c r="L2154" s="2">
        <v>7.61</v>
      </c>
      <c r="M2154" s="2">
        <v>0.57999999999999996</v>
      </c>
      <c r="N2154" t="s">
        <v>262</v>
      </c>
      <c r="O2154">
        <v>92</v>
      </c>
    </row>
    <row r="2155" spans="1:15">
      <c r="A2155" s="1">
        <v>46034</v>
      </c>
      <c r="B2155">
        <v>15</v>
      </c>
      <c r="C2155" t="s">
        <v>100</v>
      </c>
      <c r="D2155">
        <v>14</v>
      </c>
      <c r="E2155" s="2">
        <v>10.5</v>
      </c>
      <c r="F2155" s="2">
        <v>316.37</v>
      </c>
      <c r="G2155" s="2">
        <v>-307.85000000000002</v>
      </c>
      <c r="H2155" s="2">
        <v>462.83</v>
      </c>
      <c r="I2155" s="2">
        <v>-450.09</v>
      </c>
      <c r="J2155" s="2">
        <v>7.13</v>
      </c>
      <c r="K2155" s="2">
        <v>1.2</v>
      </c>
      <c r="L2155" s="2">
        <v>7.23</v>
      </c>
      <c r="M2155" s="2">
        <v>0.53</v>
      </c>
      <c r="N2155" t="s">
        <v>262</v>
      </c>
      <c r="O2155">
        <v>92</v>
      </c>
    </row>
    <row r="2156" spans="1:15">
      <c r="A2156" s="1">
        <v>46034</v>
      </c>
      <c r="B2156">
        <v>15</v>
      </c>
      <c r="C2156" t="s">
        <v>100</v>
      </c>
      <c r="D2156">
        <v>14</v>
      </c>
      <c r="E2156" s="2">
        <v>11</v>
      </c>
      <c r="F2156" s="2">
        <v>324.93</v>
      </c>
      <c r="G2156" s="2">
        <v>-313.56</v>
      </c>
      <c r="H2156" s="2">
        <v>440.77</v>
      </c>
      <c r="I2156" s="2">
        <v>-443.14</v>
      </c>
      <c r="J2156" s="2">
        <v>6.77</v>
      </c>
      <c r="K2156" s="2">
        <v>1.0900000000000001</v>
      </c>
      <c r="L2156" s="2">
        <v>6.86</v>
      </c>
      <c r="M2156" s="2">
        <v>0.52</v>
      </c>
      <c r="N2156" t="s">
        <v>262</v>
      </c>
      <c r="O2156">
        <v>92</v>
      </c>
    </row>
    <row r="2157" spans="1:15">
      <c r="A2157" s="1">
        <v>46034</v>
      </c>
      <c r="B2157">
        <v>15</v>
      </c>
      <c r="C2157" t="s">
        <v>100</v>
      </c>
      <c r="D2157">
        <v>14</v>
      </c>
      <c r="E2157" s="2">
        <v>11.5</v>
      </c>
      <c r="F2157" s="2">
        <v>297.85000000000002</v>
      </c>
      <c r="G2157" s="2">
        <v>-282.02999999999997</v>
      </c>
      <c r="H2157" s="2">
        <v>358.16</v>
      </c>
      <c r="I2157" s="2">
        <v>-355.99</v>
      </c>
      <c r="J2157" s="2">
        <v>6.21</v>
      </c>
      <c r="K2157" s="2">
        <v>0.83</v>
      </c>
      <c r="L2157" s="2">
        <v>6.26</v>
      </c>
      <c r="M2157" s="2">
        <v>0.49</v>
      </c>
      <c r="N2157" t="s">
        <v>262</v>
      </c>
      <c r="O2157">
        <v>92</v>
      </c>
    </row>
    <row r="2158" spans="1:15">
      <c r="A2158" s="1">
        <v>46034</v>
      </c>
      <c r="B2158">
        <v>15</v>
      </c>
      <c r="C2158" t="s">
        <v>100</v>
      </c>
      <c r="D2158">
        <v>14</v>
      </c>
      <c r="E2158" s="2">
        <v>12</v>
      </c>
      <c r="F2158" s="2">
        <v>278.06</v>
      </c>
      <c r="G2158" s="2">
        <v>-263.54000000000002</v>
      </c>
      <c r="H2158" s="2">
        <v>263.67</v>
      </c>
      <c r="I2158" s="2">
        <v>-262.98</v>
      </c>
      <c r="J2158" s="2">
        <v>5.6</v>
      </c>
      <c r="K2158" s="2">
        <v>0.55000000000000004</v>
      </c>
      <c r="L2158" s="2">
        <v>5.63</v>
      </c>
      <c r="M2158" s="2">
        <v>0.47</v>
      </c>
      <c r="N2158" t="s">
        <v>262</v>
      </c>
      <c r="O2158">
        <v>92</v>
      </c>
    </row>
    <row r="2159" spans="1:15">
      <c r="A2159" s="1">
        <v>46034</v>
      </c>
      <c r="B2159">
        <v>15</v>
      </c>
      <c r="C2159" t="s">
        <v>100</v>
      </c>
      <c r="D2159">
        <v>14</v>
      </c>
      <c r="E2159" s="2">
        <v>12.5</v>
      </c>
      <c r="F2159" s="2">
        <v>237.99</v>
      </c>
      <c r="G2159" s="2">
        <v>-226.91</v>
      </c>
      <c r="H2159" s="2">
        <v>173.87</v>
      </c>
      <c r="I2159" s="2">
        <v>-168.2</v>
      </c>
      <c r="J2159" s="2">
        <v>5.09</v>
      </c>
      <c r="K2159" s="2">
        <v>0.05</v>
      </c>
      <c r="L2159" s="2">
        <v>5.09</v>
      </c>
      <c r="M2159" s="2">
        <v>0.51</v>
      </c>
      <c r="N2159" t="s">
        <v>262</v>
      </c>
      <c r="O2159">
        <v>92</v>
      </c>
    </row>
    <row r="2160" spans="1:15">
      <c r="A2160" s="1">
        <v>46034</v>
      </c>
      <c r="B2160">
        <v>15</v>
      </c>
      <c r="C2160" t="s">
        <v>100</v>
      </c>
      <c r="D2160">
        <v>14</v>
      </c>
      <c r="E2160" s="2">
        <v>13</v>
      </c>
      <c r="F2160" s="2">
        <v>204.5</v>
      </c>
      <c r="G2160" s="2">
        <v>-193.3</v>
      </c>
      <c r="H2160" s="2">
        <v>132.6</v>
      </c>
      <c r="I2160" s="2">
        <v>-115.91</v>
      </c>
      <c r="J2160" s="2">
        <v>4.76</v>
      </c>
      <c r="K2160" s="2">
        <v>-0.45</v>
      </c>
      <c r="L2160" s="2">
        <v>4.79</v>
      </c>
      <c r="M2160" s="2">
        <v>0.56999999999999995</v>
      </c>
      <c r="N2160" t="s">
        <v>262</v>
      </c>
      <c r="O2160">
        <v>92</v>
      </c>
    </row>
    <row r="2161" spans="1:15">
      <c r="A2161" s="1">
        <v>46034</v>
      </c>
      <c r="B2161">
        <v>15</v>
      </c>
      <c r="C2161" t="s">
        <v>100</v>
      </c>
      <c r="D2161">
        <v>14</v>
      </c>
      <c r="E2161" s="2">
        <v>13.5</v>
      </c>
      <c r="F2161" s="2">
        <v>169.06</v>
      </c>
      <c r="G2161" s="2">
        <v>-160.72</v>
      </c>
      <c r="H2161" s="2">
        <v>140.41999999999999</v>
      </c>
      <c r="I2161" s="2">
        <v>-131</v>
      </c>
      <c r="J2161" s="2">
        <v>4.32</v>
      </c>
      <c r="K2161" s="2">
        <v>-0.52</v>
      </c>
      <c r="L2161" s="2">
        <v>4.3499999999999996</v>
      </c>
      <c r="M2161" s="2">
        <v>0.56000000000000005</v>
      </c>
      <c r="N2161" t="s">
        <v>262</v>
      </c>
      <c r="O2161">
        <v>92</v>
      </c>
    </row>
    <row r="2162" spans="1:15">
      <c r="A2162" s="1">
        <v>46034</v>
      </c>
      <c r="B2162">
        <v>15</v>
      </c>
      <c r="C2162" t="s">
        <v>100</v>
      </c>
      <c r="D2162">
        <v>14</v>
      </c>
      <c r="E2162" s="2">
        <v>14</v>
      </c>
      <c r="F2162" s="2">
        <v>128.47999999999999</v>
      </c>
      <c r="G2162" s="2">
        <v>-120.64</v>
      </c>
      <c r="H2162" s="2">
        <v>159.43</v>
      </c>
      <c r="I2162" s="2">
        <v>-153.65</v>
      </c>
      <c r="J2162" s="2">
        <v>3.7</v>
      </c>
      <c r="K2162" s="2">
        <v>-0.33</v>
      </c>
      <c r="L2162" s="2">
        <v>3.71</v>
      </c>
      <c r="M2162" s="2">
        <v>0.48</v>
      </c>
      <c r="N2162" t="s">
        <v>262</v>
      </c>
      <c r="O2162">
        <v>92</v>
      </c>
    </row>
    <row r="2163" spans="1:15">
      <c r="A2163" s="1">
        <v>46034</v>
      </c>
      <c r="B2163">
        <v>15</v>
      </c>
      <c r="C2163" t="s">
        <v>100</v>
      </c>
      <c r="D2163">
        <v>14</v>
      </c>
      <c r="E2163" s="2">
        <v>14.5</v>
      </c>
      <c r="F2163" s="2">
        <v>126.57</v>
      </c>
      <c r="G2163" s="2">
        <v>-118.43</v>
      </c>
      <c r="H2163" s="2">
        <v>173.22</v>
      </c>
      <c r="I2163" s="2">
        <v>-173.22</v>
      </c>
      <c r="J2163" s="2">
        <v>3.22</v>
      </c>
      <c r="K2163" s="2">
        <v>-0.86</v>
      </c>
      <c r="L2163" s="2">
        <v>3.33</v>
      </c>
      <c r="M2163" s="2">
        <v>0.6</v>
      </c>
      <c r="N2163" t="s">
        <v>262</v>
      </c>
      <c r="O2163">
        <v>92</v>
      </c>
    </row>
    <row r="2164" spans="1:15">
      <c r="A2164" s="1">
        <v>46034</v>
      </c>
      <c r="B2164">
        <v>15</v>
      </c>
      <c r="C2164" t="s">
        <v>100</v>
      </c>
      <c r="D2164">
        <v>14</v>
      </c>
      <c r="E2164" s="2">
        <v>15</v>
      </c>
      <c r="F2164" s="2">
        <v>132.77000000000001</v>
      </c>
      <c r="G2164" s="2">
        <v>-125.27</v>
      </c>
      <c r="H2164" s="2">
        <v>252.87</v>
      </c>
      <c r="I2164" s="2">
        <v>-248</v>
      </c>
      <c r="J2164" s="2">
        <v>2.77</v>
      </c>
      <c r="K2164" s="2">
        <v>-1.25</v>
      </c>
      <c r="L2164" s="2">
        <v>3.04</v>
      </c>
      <c r="M2164" s="2">
        <v>0.69</v>
      </c>
      <c r="N2164" t="s">
        <v>262</v>
      </c>
      <c r="O2164">
        <v>92</v>
      </c>
    </row>
    <row r="2165" spans="1:15">
      <c r="A2165" s="1">
        <v>46034</v>
      </c>
      <c r="B2165">
        <v>15</v>
      </c>
      <c r="C2165" t="s">
        <v>100</v>
      </c>
      <c r="D2165">
        <v>14</v>
      </c>
      <c r="E2165" s="2">
        <v>15.5</v>
      </c>
      <c r="F2165" s="2">
        <v>54.19</v>
      </c>
      <c r="G2165" s="2">
        <v>-47.33</v>
      </c>
      <c r="H2165" s="2">
        <v>350.19</v>
      </c>
      <c r="I2165" s="2">
        <v>-339.07</v>
      </c>
      <c r="J2165" s="2">
        <v>2.36</v>
      </c>
      <c r="K2165" s="2">
        <v>-1.51</v>
      </c>
      <c r="L2165" s="2">
        <v>2.8</v>
      </c>
      <c r="M2165" s="2">
        <v>0.8</v>
      </c>
      <c r="N2165" t="s">
        <v>262</v>
      </c>
      <c r="O2165">
        <v>92</v>
      </c>
    </row>
    <row r="2166" spans="1:15">
      <c r="A2166" s="1">
        <v>46034</v>
      </c>
      <c r="B2166">
        <v>15</v>
      </c>
      <c r="C2166" t="s">
        <v>100</v>
      </c>
      <c r="D2166">
        <v>14</v>
      </c>
      <c r="E2166" s="2">
        <v>16</v>
      </c>
      <c r="F2166" s="2">
        <v>197.08</v>
      </c>
      <c r="G2166" s="2">
        <v>-184.04</v>
      </c>
      <c r="H2166" s="2">
        <v>190.51</v>
      </c>
      <c r="I2166" s="2">
        <v>-190.42</v>
      </c>
      <c r="J2166" s="2">
        <v>2.15</v>
      </c>
      <c r="K2166" s="2">
        <v>-1.43</v>
      </c>
      <c r="L2166" s="2">
        <v>2.58</v>
      </c>
      <c r="M2166" s="2">
        <v>0.81</v>
      </c>
      <c r="N2166" t="s">
        <v>262</v>
      </c>
      <c r="O2166">
        <v>92</v>
      </c>
    </row>
    <row r="2167" spans="1:15">
      <c r="A2167" s="1">
        <v>46034</v>
      </c>
      <c r="B2167">
        <v>15</v>
      </c>
      <c r="C2167" t="s">
        <v>100</v>
      </c>
      <c r="D2167">
        <v>14</v>
      </c>
      <c r="E2167" s="2">
        <v>16.5</v>
      </c>
      <c r="F2167" s="2">
        <v>319.19</v>
      </c>
      <c r="G2167" s="2">
        <v>-315.33</v>
      </c>
      <c r="H2167" s="2">
        <v>204.9</v>
      </c>
      <c r="I2167" s="2">
        <v>-186.74</v>
      </c>
      <c r="J2167" s="2">
        <v>2.08</v>
      </c>
      <c r="K2167" s="2">
        <v>-1.44</v>
      </c>
      <c r="L2167" s="2">
        <v>2.5299999999999998</v>
      </c>
      <c r="M2167" s="2">
        <v>0.76</v>
      </c>
      <c r="N2167" t="s">
        <v>262</v>
      </c>
      <c r="O2167">
        <v>92</v>
      </c>
    </row>
    <row r="2168" spans="1:15">
      <c r="A2168" s="1">
        <v>46034</v>
      </c>
      <c r="B2168">
        <v>15</v>
      </c>
      <c r="C2168" t="s">
        <v>100</v>
      </c>
      <c r="D2168">
        <v>14</v>
      </c>
      <c r="E2168" s="2">
        <v>17</v>
      </c>
      <c r="F2168" s="2">
        <v>380.28</v>
      </c>
      <c r="G2168" s="2">
        <v>-370.69</v>
      </c>
      <c r="H2168" s="2">
        <v>247.97</v>
      </c>
      <c r="I2168" s="2">
        <v>-244.46</v>
      </c>
      <c r="J2168" s="2">
        <v>1.97</v>
      </c>
      <c r="K2168" s="2">
        <v>-1.35</v>
      </c>
      <c r="L2168" s="2">
        <v>2.39</v>
      </c>
      <c r="M2168" s="2">
        <v>0.76</v>
      </c>
      <c r="N2168" t="s">
        <v>262</v>
      </c>
      <c r="O2168">
        <v>92</v>
      </c>
    </row>
    <row r="2169" spans="1:15">
      <c r="A2169" s="1">
        <v>46034</v>
      </c>
      <c r="B2169">
        <v>15</v>
      </c>
      <c r="C2169" t="s">
        <v>100</v>
      </c>
      <c r="D2169">
        <v>14</v>
      </c>
      <c r="E2169" s="2">
        <v>17.5</v>
      </c>
      <c r="F2169" s="2">
        <v>375.77</v>
      </c>
      <c r="G2169" s="2">
        <v>-370.04</v>
      </c>
      <c r="H2169" s="2">
        <v>162.80000000000001</v>
      </c>
      <c r="I2169" s="2">
        <v>-153.81</v>
      </c>
      <c r="J2169" s="2">
        <v>1.83</v>
      </c>
      <c r="K2169" s="2">
        <v>-1.1299999999999999</v>
      </c>
      <c r="L2169" s="2">
        <v>2.15</v>
      </c>
      <c r="M2169" s="2">
        <v>0.67</v>
      </c>
      <c r="N2169" t="s">
        <v>262</v>
      </c>
      <c r="O2169">
        <v>92</v>
      </c>
    </row>
    <row r="2170" spans="1:15">
      <c r="A2170" s="1">
        <v>46034</v>
      </c>
      <c r="B2170">
        <v>15</v>
      </c>
      <c r="C2170" t="s">
        <v>100</v>
      </c>
      <c r="D2170">
        <v>14</v>
      </c>
      <c r="E2170" s="2">
        <v>18</v>
      </c>
      <c r="F2170" s="2">
        <v>344.19</v>
      </c>
      <c r="G2170" s="2">
        <v>-336.26</v>
      </c>
      <c r="H2170" s="2">
        <v>93.59</v>
      </c>
      <c r="I2170" s="2">
        <v>-92.01</v>
      </c>
      <c r="J2170" s="2">
        <v>1.7</v>
      </c>
      <c r="K2170" s="2">
        <v>-0.81</v>
      </c>
      <c r="L2170" s="2">
        <v>1.88</v>
      </c>
      <c r="M2170" s="2">
        <v>0.5</v>
      </c>
      <c r="N2170" t="s">
        <v>262</v>
      </c>
      <c r="O2170">
        <v>92</v>
      </c>
    </row>
    <row r="2171" spans="1:15">
      <c r="A2171" s="1">
        <v>46034</v>
      </c>
      <c r="B2171">
        <v>15</v>
      </c>
      <c r="C2171" t="s">
        <v>100</v>
      </c>
      <c r="D2171">
        <v>14</v>
      </c>
      <c r="E2171" s="2">
        <v>18.5</v>
      </c>
      <c r="F2171" s="2">
        <v>312.52999999999997</v>
      </c>
      <c r="G2171" s="2">
        <v>-306.81</v>
      </c>
      <c r="H2171" s="2">
        <v>59.14</v>
      </c>
      <c r="I2171" s="2">
        <v>-58.12</v>
      </c>
      <c r="J2171" s="2">
        <v>1.57</v>
      </c>
      <c r="K2171" s="2">
        <v>-0.88</v>
      </c>
      <c r="L2171" s="2">
        <v>1.8</v>
      </c>
      <c r="M2171" s="2">
        <v>0.53</v>
      </c>
      <c r="N2171" t="s">
        <v>262</v>
      </c>
      <c r="O2171">
        <v>92</v>
      </c>
    </row>
    <row r="2172" spans="1:15">
      <c r="A2172" s="1">
        <v>46034</v>
      </c>
      <c r="B2172">
        <v>15</v>
      </c>
      <c r="C2172" t="s">
        <v>100</v>
      </c>
      <c r="D2172">
        <v>14</v>
      </c>
      <c r="E2172" s="2">
        <v>19</v>
      </c>
      <c r="F2172" s="2">
        <v>298.49</v>
      </c>
      <c r="G2172" s="2">
        <v>-294.19</v>
      </c>
      <c r="H2172" s="2">
        <v>53.15</v>
      </c>
      <c r="I2172" s="2">
        <v>-42.93</v>
      </c>
      <c r="J2172" s="2">
        <v>1.34</v>
      </c>
      <c r="K2172" s="2">
        <v>-1.08</v>
      </c>
      <c r="L2172" s="2">
        <v>1.72</v>
      </c>
      <c r="M2172" s="2">
        <v>0.67</v>
      </c>
      <c r="N2172" t="s">
        <v>262</v>
      </c>
      <c r="O2172">
        <v>92</v>
      </c>
    </row>
    <row r="2173" spans="1:15">
      <c r="A2173" s="1">
        <v>46034</v>
      </c>
      <c r="B2173">
        <v>15</v>
      </c>
      <c r="C2173" t="s">
        <v>100</v>
      </c>
      <c r="D2173">
        <v>14</v>
      </c>
      <c r="E2173" s="2">
        <v>19.5</v>
      </c>
      <c r="F2173" s="2">
        <v>204.23</v>
      </c>
      <c r="G2173" s="2">
        <v>-199.32</v>
      </c>
      <c r="H2173" s="2">
        <v>95.68</v>
      </c>
      <c r="I2173" s="2">
        <v>-92.41</v>
      </c>
      <c r="J2173" s="2">
        <v>1.1599999999999999</v>
      </c>
      <c r="K2173" s="2">
        <v>-1.24</v>
      </c>
      <c r="L2173" s="2">
        <v>1.7</v>
      </c>
      <c r="M2173" s="2">
        <v>0.75</v>
      </c>
      <c r="N2173" t="s">
        <v>262</v>
      </c>
      <c r="O2173">
        <v>92</v>
      </c>
    </row>
    <row r="2174" spans="1:15">
      <c r="A2174" s="1">
        <v>46034</v>
      </c>
      <c r="B2174">
        <v>15</v>
      </c>
      <c r="C2174" t="s">
        <v>100</v>
      </c>
      <c r="D2174">
        <v>14</v>
      </c>
      <c r="E2174" s="2">
        <v>20</v>
      </c>
      <c r="F2174" s="2">
        <v>138.84</v>
      </c>
      <c r="G2174" s="2">
        <v>-133.9</v>
      </c>
      <c r="H2174" s="2">
        <v>156.63</v>
      </c>
      <c r="I2174" s="2">
        <v>-144</v>
      </c>
      <c r="J2174" s="2">
        <v>0.88</v>
      </c>
      <c r="K2174" s="2">
        <v>-0.93</v>
      </c>
      <c r="L2174" s="2">
        <v>1.28</v>
      </c>
      <c r="M2174" s="2">
        <v>0.62</v>
      </c>
      <c r="N2174" t="s">
        <v>262</v>
      </c>
      <c r="O2174">
        <v>92</v>
      </c>
    </row>
    <row r="2175" spans="1:15">
      <c r="A2175" s="1">
        <v>46034</v>
      </c>
      <c r="B2175">
        <v>15</v>
      </c>
      <c r="C2175" t="s">
        <v>100</v>
      </c>
      <c r="D2175">
        <v>14</v>
      </c>
      <c r="E2175" s="2">
        <v>20.5</v>
      </c>
      <c r="F2175" s="2">
        <v>143.22999999999999</v>
      </c>
      <c r="G2175" s="2">
        <v>-141.13999999999999</v>
      </c>
      <c r="H2175" s="2">
        <v>166.35</v>
      </c>
      <c r="I2175" s="2">
        <v>-153.75</v>
      </c>
      <c r="J2175" s="2">
        <v>0.7</v>
      </c>
      <c r="K2175" s="2">
        <v>-0.61</v>
      </c>
      <c r="L2175" s="2">
        <v>0.93</v>
      </c>
      <c r="M2175" s="2">
        <v>0.42</v>
      </c>
      <c r="N2175" t="s">
        <v>262</v>
      </c>
      <c r="O2175">
        <v>92</v>
      </c>
    </row>
    <row r="2176" spans="1:15">
      <c r="A2176" s="1">
        <v>46034</v>
      </c>
      <c r="B2176">
        <v>15</v>
      </c>
      <c r="C2176" t="s">
        <v>100</v>
      </c>
      <c r="D2176">
        <v>14</v>
      </c>
      <c r="E2176" s="2">
        <v>21</v>
      </c>
      <c r="F2176" s="2">
        <v>153.54</v>
      </c>
      <c r="G2176" s="2">
        <v>-151.58000000000001</v>
      </c>
      <c r="H2176" s="2">
        <v>175.17</v>
      </c>
      <c r="I2176" s="2">
        <v>-171.64</v>
      </c>
      <c r="J2176" s="2">
        <v>0.43</v>
      </c>
      <c r="K2176" s="2">
        <v>-0.16</v>
      </c>
      <c r="L2176" s="2">
        <v>0.46</v>
      </c>
      <c r="M2176" s="2">
        <v>0.04</v>
      </c>
      <c r="N2176" t="s">
        <v>262</v>
      </c>
      <c r="O2176">
        <v>92</v>
      </c>
    </row>
    <row r="2177" spans="1:15">
      <c r="A2177" s="1">
        <v>46034</v>
      </c>
      <c r="B2177">
        <v>15</v>
      </c>
      <c r="C2177" t="s">
        <v>100</v>
      </c>
      <c r="D2177">
        <v>14</v>
      </c>
      <c r="E2177" s="2">
        <v>21.5</v>
      </c>
      <c r="F2177" s="2">
        <v>173.98</v>
      </c>
      <c r="G2177" s="2">
        <v>-173.2</v>
      </c>
      <c r="H2177" s="2">
        <v>176.32</v>
      </c>
      <c r="I2177" s="2">
        <v>-175.45</v>
      </c>
      <c r="J2177" s="2">
        <v>0.18</v>
      </c>
      <c r="K2177" s="2">
        <v>0.09</v>
      </c>
      <c r="L2177" s="2">
        <v>0.2</v>
      </c>
      <c r="M2177" s="2">
        <v>-0.17</v>
      </c>
      <c r="N2177" t="s">
        <v>262</v>
      </c>
      <c r="O2177">
        <v>92</v>
      </c>
    </row>
    <row r="2178" spans="1:15">
      <c r="A2178" s="1">
        <v>46034</v>
      </c>
      <c r="B2178">
        <v>15</v>
      </c>
      <c r="C2178" t="s">
        <v>100</v>
      </c>
      <c r="D2178">
        <v>14</v>
      </c>
      <c r="E2178" s="2">
        <v>22</v>
      </c>
      <c r="F2178" s="2">
        <v>188.54</v>
      </c>
      <c r="G2178" s="2">
        <v>-183.93</v>
      </c>
      <c r="H2178" s="2">
        <v>184.98</v>
      </c>
      <c r="I2178" s="2">
        <v>-173.1</v>
      </c>
      <c r="J2178" s="2">
        <v>0.04</v>
      </c>
      <c r="K2178" s="2">
        <v>0.28999999999999998</v>
      </c>
      <c r="L2178" s="2">
        <v>0.28999999999999998</v>
      </c>
      <c r="M2178" s="2">
        <v>0.02</v>
      </c>
      <c r="N2178" t="s">
        <v>262</v>
      </c>
      <c r="O2178">
        <v>92</v>
      </c>
    </row>
    <row r="2179" spans="1:15">
      <c r="A2179" s="1">
        <v>46041</v>
      </c>
      <c r="B2179">
        <v>16</v>
      </c>
      <c r="C2179" t="s">
        <v>94</v>
      </c>
      <c r="D2179">
        <v>16</v>
      </c>
      <c r="E2179" s="2">
        <v>0.5</v>
      </c>
      <c r="F2179" s="2">
        <v>-279.77</v>
      </c>
      <c r="G2179" s="2">
        <v>262.61</v>
      </c>
      <c r="H2179" s="2">
        <v>-751.38</v>
      </c>
      <c r="I2179" s="2">
        <v>791.25</v>
      </c>
      <c r="J2179" s="2">
        <v>-1.1599999999999999</v>
      </c>
      <c r="K2179" s="2">
        <v>15.47</v>
      </c>
      <c r="L2179" s="2">
        <v>15.51</v>
      </c>
      <c r="M2179" s="2">
        <v>4.41</v>
      </c>
      <c r="N2179" t="s">
        <v>274</v>
      </c>
      <c r="O2179">
        <v>36</v>
      </c>
    </row>
    <row r="2180" spans="1:15">
      <c r="A2180" s="1">
        <v>46041</v>
      </c>
      <c r="B2180">
        <v>16</v>
      </c>
      <c r="C2180" t="s">
        <v>94</v>
      </c>
      <c r="D2180">
        <v>16</v>
      </c>
      <c r="E2180" s="2">
        <v>1</v>
      </c>
      <c r="F2180" s="2">
        <v>-274.44</v>
      </c>
      <c r="G2180" s="2">
        <v>268.52999999999997</v>
      </c>
      <c r="H2180" s="2">
        <v>-744.4</v>
      </c>
      <c r="I2180" s="2">
        <v>779.77</v>
      </c>
      <c r="J2180" s="2">
        <v>2.15</v>
      </c>
      <c r="K2180" s="2">
        <v>18.2</v>
      </c>
      <c r="L2180" s="2">
        <v>18.329999999999998</v>
      </c>
      <c r="M2180" s="2">
        <v>4.1500000000000004</v>
      </c>
      <c r="N2180" t="s">
        <v>274</v>
      </c>
      <c r="O2180">
        <v>36</v>
      </c>
    </row>
    <row r="2181" spans="1:15">
      <c r="A2181" s="1">
        <v>46041</v>
      </c>
      <c r="B2181">
        <v>16</v>
      </c>
      <c r="C2181" t="s">
        <v>94</v>
      </c>
      <c r="D2181">
        <v>16</v>
      </c>
      <c r="E2181" s="2">
        <v>1.5</v>
      </c>
      <c r="F2181" s="2">
        <v>-19.329999999999998</v>
      </c>
      <c r="G2181" s="2">
        <v>26.52</v>
      </c>
      <c r="H2181" s="2">
        <v>-295.17</v>
      </c>
      <c r="I2181" s="2">
        <v>305.23</v>
      </c>
      <c r="J2181" s="2">
        <v>5.5</v>
      </c>
      <c r="K2181" s="2">
        <v>20.76</v>
      </c>
      <c r="L2181" s="2">
        <v>21.47</v>
      </c>
      <c r="M2181" s="2">
        <v>4.01</v>
      </c>
      <c r="N2181" t="s">
        <v>274</v>
      </c>
      <c r="O2181">
        <v>36</v>
      </c>
    </row>
    <row r="2182" spans="1:15">
      <c r="A2182" s="1">
        <v>46041</v>
      </c>
      <c r="B2182">
        <v>16</v>
      </c>
      <c r="C2182" t="s">
        <v>94</v>
      </c>
      <c r="D2182">
        <v>16</v>
      </c>
      <c r="E2182" s="2">
        <v>2</v>
      </c>
      <c r="F2182" s="2">
        <v>50.16</v>
      </c>
      <c r="G2182" s="2">
        <v>-49.73</v>
      </c>
      <c r="H2182" s="2">
        <v>-227.19</v>
      </c>
      <c r="I2182" s="2">
        <v>232.61</v>
      </c>
      <c r="J2182" s="2">
        <v>5.0999999999999996</v>
      </c>
      <c r="K2182" s="2">
        <v>20.22</v>
      </c>
      <c r="L2182" s="2">
        <v>20.86</v>
      </c>
      <c r="M2182" s="2">
        <v>3.59</v>
      </c>
      <c r="N2182" t="s">
        <v>274</v>
      </c>
      <c r="O2182">
        <v>36</v>
      </c>
    </row>
    <row r="2183" spans="1:15">
      <c r="A2183" s="1">
        <v>46041</v>
      </c>
      <c r="B2183">
        <v>16</v>
      </c>
      <c r="C2183" t="s">
        <v>94</v>
      </c>
      <c r="D2183">
        <v>16</v>
      </c>
      <c r="E2183" s="2">
        <v>2.5</v>
      </c>
      <c r="F2183" s="2">
        <v>57.45</v>
      </c>
      <c r="G2183" s="2">
        <v>-55.17</v>
      </c>
      <c r="H2183" s="2">
        <v>-208.36</v>
      </c>
      <c r="I2183" s="2">
        <v>225.86</v>
      </c>
      <c r="J2183" s="2">
        <v>6.62</v>
      </c>
      <c r="K2183" s="2">
        <v>20.440000000000001</v>
      </c>
      <c r="L2183" s="2">
        <v>21.48</v>
      </c>
      <c r="M2183" s="2">
        <v>3.54</v>
      </c>
      <c r="N2183" t="s">
        <v>274</v>
      </c>
      <c r="O2183">
        <v>36</v>
      </c>
    </row>
    <row r="2184" spans="1:15">
      <c r="A2184" s="1">
        <v>46041</v>
      </c>
      <c r="B2184">
        <v>16</v>
      </c>
      <c r="C2184" t="s">
        <v>94</v>
      </c>
      <c r="D2184">
        <v>16</v>
      </c>
      <c r="E2184" s="2">
        <v>3</v>
      </c>
      <c r="F2184" s="2">
        <v>23.64</v>
      </c>
      <c r="G2184" s="2">
        <v>-19.2</v>
      </c>
      <c r="H2184" s="2">
        <v>-148.77000000000001</v>
      </c>
      <c r="I2184" s="2">
        <v>170.01</v>
      </c>
      <c r="J2184" s="2">
        <v>7.57</v>
      </c>
      <c r="K2184" s="2">
        <v>20.28</v>
      </c>
      <c r="L2184" s="2">
        <v>21.65</v>
      </c>
      <c r="M2184" s="2">
        <v>3.23</v>
      </c>
      <c r="N2184" t="s">
        <v>274</v>
      </c>
      <c r="O2184">
        <v>36</v>
      </c>
    </row>
    <row r="2185" spans="1:15">
      <c r="A2185" s="1">
        <v>46041</v>
      </c>
      <c r="B2185">
        <v>16</v>
      </c>
      <c r="C2185" t="s">
        <v>94</v>
      </c>
      <c r="D2185">
        <v>16</v>
      </c>
      <c r="E2185" s="2">
        <v>3.5</v>
      </c>
      <c r="F2185" s="2">
        <v>-10.29</v>
      </c>
      <c r="G2185" s="2">
        <v>12.15</v>
      </c>
      <c r="H2185" s="2">
        <v>-88.27</v>
      </c>
      <c r="I2185" s="2">
        <v>108.95</v>
      </c>
      <c r="J2185" s="2">
        <v>8.0299999999999994</v>
      </c>
      <c r="K2185" s="2">
        <v>20.18</v>
      </c>
      <c r="L2185" s="2">
        <v>21.72</v>
      </c>
      <c r="M2185" s="2">
        <v>3.03</v>
      </c>
      <c r="N2185" t="s">
        <v>274</v>
      </c>
      <c r="O2185">
        <v>36</v>
      </c>
    </row>
    <row r="2186" spans="1:15">
      <c r="A2186" s="1">
        <v>46041</v>
      </c>
      <c r="B2186">
        <v>16</v>
      </c>
      <c r="C2186" t="s">
        <v>94</v>
      </c>
      <c r="D2186">
        <v>16</v>
      </c>
      <c r="E2186" s="2">
        <v>4</v>
      </c>
      <c r="F2186" s="2">
        <v>57.11</v>
      </c>
      <c r="G2186" s="2">
        <v>-52.8</v>
      </c>
      <c r="H2186" s="2">
        <v>-70.39</v>
      </c>
      <c r="I2186" s="2">
        <v>67.64</v>
      </c>
      <c r="J2186" s="2">
        <v>8.09</v>
      </c>
      <c r="K2186" s="2">
        <v>20.34</v>
      </c>
      <c r="L2186" s="2">
        <v>21.89</v>
      </c>
      <c r="M2186" s="2">
        <v>2.8</v>
      </c>
      <c r="N2186" t="s">
        <v>274</v>
      </c>
      <c r="O2186">
        <v>36</v>
      </c>
    </row>
    <row r="2187" spans="1:15">
      <c r="A2187" s="1">
        <v>46041</v>
      </c>
      <c r="B2187">
        <v>16</v>
      </c>
      <c r="C2187" t="s">
        <v>94</v>
      </c>
      <c r="D2187">
        <v>16</v>
      </c>
      <c r="E2187" s="2">
        <v>4.5</v>
      </c>
      <c r="F2187" s="2">
        <v>78.88</v>
      </c>
      <c r="G2187" s="2">
        <v>-73.22</v>
      </c>
      <c r="H2187" s="2">
        <v>-49.49</v>
      </c>
      <c r="I2187" s="2">
        <v>73.2</v>
      </c>
      <c r="J2187" s="2">
        <v>8.09</v>
      </c>
      <c r="K2187" s="2">
        <v>20.36</v>
      </c>
      <c r="L2187" s="2">
        <v>21.91</v>
      </c>
      <c r="M2187" s="2">
        <v>2.65</v>
      </c>
      <c r="N2187" t="s">
        <v>274</v>
      </c>
      <c r="O2187">
        <v>36</v>
      </c>
    </row>
    <row r="2188" spans="1:15">
      <c r="A2188" s="1">
        <v>46041</v>
      </c>
      <c r="B2188">
        <v>16</v>
      </c>
      <c r="C2188" t="s">
        <v>94</v>
      </c>
      <c r="D2188">
        <v>16</v>
      </c>
      <c r="E2188" s="2">
        <v>5</v>
      </c>
      <c r="F2188" s="2">
        <v>22.39</v>
      </c>
      <c r="G2188" s="2">
        <v>-15.83</v>
      </c>
      <c r="H2188" s="2">
        <v>21.03</v>
      </c>
      <c r="I2188" s="2">
        <v>-10.7</v>
      </c>
      <c r="J2188" s="2">
        <v>8.86</v>
      </c>
      <c r="K2188" s="2">
        <v>19.66</v>
      </c>
      <c r="L2188" s="2">
        <v>21.56</v>
      </c>
      <c r="M2188" s="2">
        <v>2.4500000000000002</v>
      </c>
      <c r="N2188" t="s">
        <v>274</v>
      </c>
      <c r="O2188">
        <v>36</v>
      </c>
    </row>
    <row r="2189" spans="1:15">
      <c r="A2189" s="1">
        <v>46041</v>
      </c>
      <c r="B2189">
        <v>16</v>
      </c>
      <c r="C2189" t="s">
        <v>94</v>
      </c>
      <c r="D2189">
        <v>16</v>
      </c>
      <c r="E2189" s="2">
        <v>5.5</v>
      </c>
      <c r="F2189" s="2">
        <v>13.24</v>
      </c>
      <c r="G2189" s="2">
        <v>-6.13</v>
      </c>
      <c r="H2189" s="2">
        <v>44.74</v>
      </c>
      <c r="I2189" s="2">
        <v>-24.37</v>
      </c>
      <c r="J2189" s="2">
        <v>9.4700000000000006</v>
      </c>
      <c r="K2189" s="2">
        <v>19.63</v>
      </c>
      <c r="L2189" s="2">
        <v>21.8</v>
      </c>
      <c r="M2189" s="2">
        <v>2.42</v>
      </c>
      <c r="N2189" t="s">
        <v>274</v>
      </c>
      <c r="O2189">
        <v>36</v>
      </c>
    </row>
    <row r="2190" spans="1:15">
      <c r="A2190" s="1">
        <v>46041</v>
      </c>
      <c r="B2190">
        <v>16</v>
      </c>
      <c r="C2190" t="s">
        <v>94</v>
      </c>
      <c r="D2190">
        <v>16</v>
      </c>
      <c r="E2190" s="2">
        <v>6</v>
      </c>
      <c r="F2190" s="2">
        <v>22.81</v>
      </c>
      <c r="G2190" s="2">
        <v>-16.79</v>
      </c>
      <c r="H2190" s="2">
        <v>-10.72</v>
      </c>
      <c r="I2190" s="2">
        <v>34.96</v>
      </c>
      <c r="J2190" s="2">
        <v>9.8699999999999992</v>
      </c>
      <c r="K2190" s="2">
        <v>20.260000000000002</v>
      </c>
      <c r="L2190" s="2">
        <v>22.54</v>
      </c>
      <c r="M2190" s="2">
        <v>2.6</v>
      </c>
      <c r="N2190" t="s">
        <v>274</v>
      </c>
      <c r="O2190">
        <v>36</v>
      </c>
    </row>
    <row r="2191" spans="1:15">
      <c r="A2191" s="1">
        <v>46041</v>
      </c>
      <c r="B2191">
        <v>16</v>
      </c>
      <c r="C2191" t="s">
        <v>94</v>
      </c>
      <c r="D2191">
        <v>16</v>
      </c>
      <c r="E2191" s="2">
        <v>6.5</v>
      </c>
      <c r="F2191" s="2">
        <v>19.850000000000001</v>
      </c>
      <c r="G2191" s="2">
        <v>-11.56</v>
      </c>
      <c r="H2191" s="2">
        <v>-69.39</v>
      </c>
      <c r="I2191" s="2">
        <v>77.31</v>
      </c>
      <c r="J2191" s="2">
        <v>10.11</v>
      </c>
      <c r="K2191" s="2">
        <v>20.64</v>
      </c>
      <c r="L2191" s="2">
        <v>22.98</v>
      </c>
      <c r="M2191" s="2">
        <v>2.82</v>
      </c>
      <c r="N2191" t="s">
        <v>274</v>
      </c>
      <c r="O2191">
        <v>36</v>
      </c>
    </row>
    <row r="2192" spans="1:15">
      <c r="A2192" s="1">
        <v>46041</v>
      </c>
      <c r="B2192">
        <v>16</v>
      </c>
      <c r="C2192" t="s">
        <v>94</v>
      </c>
      <c r="D2192">
        <v>16</v>
      </c>
      <c r="E2192" s="2">
        <v>7</v>
      </c>
      <c r="F2192" s="2">
        <v>106.94</v>
      </c>
      <c r="G2192" s="2">
        <v>-101.11</v>
      </c>
      <c r="H2192" s="2">
        <v>-50.12</v>
      </c>
      <c r="I2192" s="2">
        <v>78.959999999999994</v>
      </c>
      <c r="J2192" s="2">
        <v>9.75</v>
      </c>
      <c r="K2192" s="2">
        <v>20.350000000000001</v>
      </c>
      <c r="L2192" s="2">
        <v>22.56</v>
      </c>
      <c r="M2192" s="2">
        <v>3.03</v>
      </c>
      <c r="N2192" t="s">
        <v>274</v>
      </c>
      <c r="O2192">
        <v>36</v>
      </c>
    </row>
    <row r="2193" spans="1:15">
      <c r="A2193" s="1">
        <v>46041</v>
      </c>
      <c r="B2193">
        <v>16</v>
      </c>
      <c r="C2193" t="s">
        <v>94</v>
      </c>
      <c r="D2193">
        <v>16</v>
      </c>
      <c r="E2193" s="2">
        <v>7.5</v>
      </c>
      <c r="F2193" s="2">
        <v>67.650000000000006</v>
      </c>
      <c r="G2193" s="2">
        <v>-61.81</v>
      </c>
      <c r="H2193" s="2">
        <v>-77.37</v>
      </c>
      <c r="I2193" s="2">
        <v>87.55</v>
      </c>
      <c r="J2193" s="2">
        <v>9.81</v>
      </c>
      <c r="K2193" s="2">
        <v>20.03</v>
      </c>
      <c r="L2193" s="2">
        <v>22.31</v>
      </c>
      <c r="M2193" s="2">
        <v>3.15</v>
      </c>
      <c r="N2193" t="s">
        <v>274</v>
      </c>
      <c r="O2193">
        <v>36</v>
      </c>
    </row>
    <row r="2194" spans="1:15">
      <c r="A2194" s="1">
        <v>46041</v>
      </c>
      <c r="B2194">
        <v>16</v>
      </c>
      <c r="C2194" t="s">
        <v>94</v>
      </c>
      <c r="D2194">
        <v>16</v>
      </c>
      <c r="E2194" s="2">
        <v>8</v>
      </c>
      <c r="F2194" s="2">
        <v>50.58</v>
      </c>
      <c r="G2194" s="2">
        <v>-42.09</v>
      </c>
      <c r="H2194" s="2">
        <v>-82.18</v>
      </c>
      <c r="I2194" s="2">
        <v>95.69</v>
      </c>
      <c r="J2194" s="2">
        <v>9.76</v>
      </c>
      <c r="K2194" s="2">
        <v>19.14</v>
      </c>
      <c r="L2194" s="2">
        <v>21.49</v>
      </c>
      <c r="M2194" s="2">
        <v>3.22</v>
      </c>
      <c r="N2194" t="s">
        <v>274</v>
      </c>
      <c r="O2194">
        <v>36</v>
      </c>
    </row>
    <row r="2195" spans="1:15">
      <c r="A2195" s="1">
        <v>46041</v>
      </c>
      <c r="B2195">
        <v>16</v>
      </c>
      <c r="C2195" t="s">
        <v>94</v>
      </c>
      <c r="D2195">
        <v>16</v>
      </c>
      <c r="E2195" s="2">
        <v>8.5</v>
      </c>
      <c r="F2195" s="2">
        <v>16.59</v>
      </c>
      <c r="G2195" s="2">
        <v>-8.25</v>
      </c>
      <c r="H2195" s="2">
        <v>-54.1</v>
      </c>
      <c r="I2195" s="2">
        <v>78.239999999999995</v>
      </c>
      <c r="J2195" s="2">
        <v>9.85</v>
      </c>
      <c r="K2195" s="2">
        <v>17.77</v>
      </c>
      <c r="L2195" s="2">
        <v>20.32</v>
      </c>
      <c r="M2195" s="2">
        <v>3.22</v>
      </c>
      <c r="N2195" t="s">
        <v>274</v>
      </c>
      <c r="O2195">
        <v>36</v>
      </c>
    </row>
    <row r="2196" spans="1:15">
      <c r="A2196" s="1">
        <v>46041</v>
      </c>
      <c r="B2196">
        <v>16</v>
      </c>
      <c r="C2196" t="s">
        <v>94</v>
      </c>
      <c r="D2196">
        <v>16</v>
      </c>
      <c r="E2196" s="2">
        <v>9</v>
      </c>
      <c r="F2196" s="2">
        <v>-32.18</v>
      </c>
      <c r="G2196" s="2">
        <v>42.34</v>
      </c>
      <c r="H2196" s="2">
        <v>-40.15</v>
      </c>
      <c r="I2196" s="2">
        <v>66.86</v>
      </c>
      <c r="J2196" s="2">
        <v>10.07</v>
      </c>
      <c r="K2196" s="2">
        <v>16.399999999999999</v>
      </c>
      <c r="L2196" s="2">
        <v>19.239999999999998</v>
      </c>
      <c r="M2196" s="2">
        <v>3.27</v>
      </c>
      <c r="N2196" t="s">
        <v>274</v>
      </c>
      <c r="O2196">
        <v>36</v>
      </c>
    </row>
    <row r="2197" spans="1:15">
      <c r="A2197" s="1">
        <v>46041</v>
      </c>
      <c r="B2197">
        <v>16</v>
      </c>
      <c r="C2197" t="s">
        <v>94</v>
      </c>
      <c r="D2197">
        <v>16</v>
      </c>
      <c r="E2197" s="2">
        <v>9.5</v>
      </c>
      <c r="F2197" s="2">
        <v>-114.37</v>
      </c>
      <c r="G2197" s="2">
        <v>120.58</v>
      </c>
      <c r="H2197" s="2">
        <v>-6.7</v>
      </c>
      <c r="I2197" s="2">
        <v>26.5</v>
      </c>
      <c r="J2197" s="2">
        <v>10.220000000000001</v>
      </c>
      <c r="K2197" s="2">
        <v>14.92</v>
      </c>
      <c r="L2197" s="2">
        <v>18.079999999999998</v>
      </c>
      <c r="M2197" s="2">
        <v>3.29</v>
      </c>
      <c r="N2197" t="s">
        <v>274</v>
      </c>
      <c r="O2197">
        <v>36</v>
      </c>
    </row>
    <row r="2198" spans="1:15">
      <c r="A2198" s="1">
        <v>46041</v>
      </c>
      <c r="B2198">
        <v>16</v>
      </c>
      <c r="C2198" t="s">
        <v>94</v>
      </c>
      <c r="D2198">
        <v>16</v>
      </c>
      <c r="E2198" s="2">
        <v>10</v>
      </c>
      <c r="F2198" s="2">
        <v>-219.98</v>
      </c>
      <c r="G2198" s="2">
        <v>230.36</v>
      </c>
      <c r="H2198" s="2">
        <v>-95.98</v>
      </c>
      <c r="I2198" s="2">
        <v>111.69</v>
      </c>
      <c r="J2198" s="2">
        <v>9.93</v>
      </c>
      <c r="K2198" s="2">
        <v>13.94</v>
      </c>
      <c r="L2198" s="2">
        <v>17.11</v>
      </c>
      <c r="M2198" s="2">
        <v>3.54</v>
      </c>
      <c r="N2198" t="s">
        <v>274</v>
      </c>
      <c r="O2198">
        <v>36</v>
      </c>
    </row>
    <row r="2199" spans="1:15">
      <c r="A2199" s="1">
        <v>46041</v>
      </c>
      <c r="B2199">
        <v>16</v>
      </c>
      <c r="C2199" t="s">
        <v>94</v>
      </c>
      <c r="D2199">
        <v>16</v>
      </c>
      <c r="E2199" s="2">
        <v>10.5</v>
      </c>
      <c r="F2199" s="2">
        <v>-206.09</v>
      </c>
      <c r="G2199" s="2">
        <v>215.7</v>
      </c>
      <c r="H2199" s="2">
        <v>-74.98</v>
      </c>
      <c r="I2199" s="2">
        <v>81.16</v>
      </c>
      <c r="J2199" s="2">
        <v>9.19</v>
      </c>
      <c r="K2199" s="2">
        <v>12.5</v>
      </c>
      <c r="L2199" s="2">
        <v>15.52</v>
      </c>
      <c r="M2199" s="2">
        <v>3.67</v>
      </c>
      <c r="N2199" t="s">
        <v>274</v>
      </c>
      <c r="O2199">
        <v>36</v>
      </c>
    </row>
    <row r="2200" spans="1:15">
      <c r="A2200" s="1">
        <v>46041</v>
      </c>
      <c r="B2200">
        <v>16</v>
      </c>
      <c r="C2200" t="s">
        <v>94</v>
      </c>
      <c r="D2200">
        <v>16</v>
      </c>
      <c r="E2200" s="2">
        <v>11</v>
      </c>
      <c r="F2200" s="2">
        <v>-187.19</v>
      </c>
      <c r="G2200" s="2">
        <v>192.83</v>
      </c>
      <c r="H2200" s="2">
        <v>-13.46</v>
      </c>
      <c r="I2200" s="2">
        <v>41.51</v>
      </c>
      <c r="J2200" s="2">
        <v>8.77</v>
      </c>
      <c r="K2200" s="2">
        <v>11.53</v>
      </c>
      <c r="L2200" s="2">
        <v>14.49</v>
      </c>
      <c r="M2200" s="2">
        <v>3.54</v>
      </c>
      <c r="N2200" t="s">
        <v>274</v>
      </c>
      <c r="O2200">
        <v>36</v>
      </c>
    </row>
    <row r="2201" spans="1:15">
      <c r="A2201" s="1">
        <v>46041</v>
      </c>
      <c r="B2201">
        <v>16</v>
      </c>
      <c r="C2201" t="s">
        <v>94</v>
      </c>
      <c r="D2201">
        <v>16</v>
      </c>
      <c r="E2201" s="2">
        <v>11.5</v>
      </c>
      <c r="F2201" s="2">
        <v>-86.93</v>
      </c>
      <c r="G2201" s="2">
        <v>94.32</v>
      </c>
      <c r="H2201" s="2">
        <v>-1.32</v>
      </c>
      <c r="I2201" s="2">
        <v>17.989999999999998</v>
      </c>
      <c r="J2201" s="2">
        <v>8.26</v>
      </c>
      <c r="K2201" s="2">
        <v>10.72</v>
      </c>
      <c r="L2201" s="2">
        <v>13.53</v>
      </c>
      <c r="M2201" s="2">
        <v>3.12</v>
      </c>
      <c r="N2201" t="s">
        <v>274</v>
      </c>
      <c r="O2201">
        <v>36</v>
      </c>
    </row>
    <row r="2202" spans="1:15">
      <c r="A2202" s="1">
        <v>46041</v>
      </c>
      <c r="B2202">
        <v>16</v>
      </c>
      <c r="C2202" t="s">
        <v>94</v>
      </c>
      <c r="D2202">
        <v>16</v>
      </c>
      <c r="E2202" s="2">
        <v>12</v>
      </c>
      <c r="F2202" s="2">
        <v>-147.43</v>
      </c>
      <c r="G2202" s="2">
        <v>159.88999999999999</v>
      </c>
      <c r="H2202" s="2">
        <v>-26.49</v>
      </c>
      <c r="I2202" s="2">
        <v>42.7</v>
      </c>
      <c r="J2202" s="2">
        <v>7.9</v>
      </c>
      <c r="K2202" s="2">
        <v>10.199999999999999</v>
      </c>
      <c r="L2202" s="2">
        <v>12.9</v>
      </c>
      <c r="M2202" s="2">
        <v>2.87</v>
      </c>
      <c r="N2202" t="s">
        <v>274</v>
      </c>
      <c r="O2202">
        <v>36</v>
      </c>
    </row>
    <row r="2203" spans="1:15">
      <c r="A2203" s="1">
        <v>46041</v>
      </c>
      <c r="B2203">
        <v>16</v>
      </c>
      <c r="C2203" t="s">
        <v>94</v>
      </c>
      <c r="D2203">
        <v>16</v>
      </c>
      <c r="E2203" s="2">
        <v>12.5</v>
      </c>
      <c r="F2203" s="2">
        <v>-145.87</v>
      </c>
      <c r="G2203" s="2">
        <v>152.75</v>
      </c>
      <c r="H2203" s="2">
        <v>34.99</v>
      </c>
      <c r="I2203" s="2">
        <v>-16.489999999999998</v>
      </c>
      <c r="J2203" s="2">
        <v>7.78</v>
      </c>
      <c r="K2203" s="2">
        <v>9.5500000000000007</v>
      </c>
      <c r="L2203" s="2">
        <v>12.31</v>
      </c>
      <c r="M2203" s="2">
        <v>2.77</v>
      </c>
      <c r="N2203" t="s">
        <v>274</v>
      </c>
      <c r="O2203">
        <v>36</v>
      </c>
    </row>
    <row r="2204" spans="1:15">
      <c r="A2204" s="1">
        <v>46041</v>
      </c>
      <c r="B2204">
        <v>16</v>
      </c>
      <c r="C2204" t="s">
        <v>94</v>
      </c>
      <c r="D2204">
        <v>16</v>
      </c>
      <c r="E2204" s="2">
        <v>13</v>
      </c>
      <c r="F2204" s="2">
        <v>-91.9</v>
      </c>
      <c r="G2204" s="2">
        <v>100.71</v>
      </c>
      <c r="H2204" s="2">
        <v>28.36</v>
      </c>
      <c r="I2204" s="2">
        <v>-13.09</v>
      </c>
      <c r="J2204" s="2">
        <v>7.4</v>
      </c>
      <c r="K2204" s="2">
        <v>8.9600000000000009</v>
      </c>
      <c r="L2204" s="2">
        <v>11.63</v>
      </c>
      <c r="M2204" s="2">
        <v>2.56</v>
      </c>
      <c r="N2204" t="s">
        <v>274</v>
      </c>
      <c r="O2204">
        <v>36</v>
      </c>
    </row>
    <row r="2205" spans="1:15">
      <c r="A2205" s="1">
        <v>46041</v>
      </c>
      <c r="B2205">
        <v>16</v>
      </c>
      <c r="C2205" t="s">
        <v>94</v>
      </c>
      <c r="D2205">
        <v>16</v>
      </c>
      <c r="E2205" s="2">
        <v>13.5</v>
      </c>
      <c r="F2205" s="2">
        <v>-91.07</v>
      </c>
      <c r="G2205" s="2">
        <v>97.75</v>
      </c>
      <c r="H2205" s="2">
        <v>33.79</v>
      </c>
      <c r="I2205" s="2">
        <v>-24.74</v>
      </c>
      <c r="J2205" s="2">
        <v>6.46</v>
      </c>
      <c r="K2205" s="2">
        <v>8.36</v>
      </c>
      <c r="L2205" s="2">
        <v>10.57</v>
      </c>
      <c r="M2205" s="2">
        <v>2.16</v>
      </c>
      <c r="N2205" t="s">
        <v>274</v>
      </c>
      <c r="O2205">
        <v>36</v>
      </c>
    </row>
    <row r="2206" spans="1:15">
      <c r="A2206" s="1">
        <v>46041</v>
      </c>
      <c r="B2206">
        <v>16</v>
      </c>
      <c r="C2206" t="s">
        <v>94</v>
      </c>
      <c r="D2206">
        <v>16</v>
      </c>
      <c r="E2206" s="2">
        <v>14</v>
      </c>
      <c r="F2206" s="2">
        <v>-96.23</v>
      </c>
      <c r="G2206" s="2">
        <v>102.21</v>
      </c>
      <c r="H2206" s="2">
        <v>43.78</v>
      </c>
      <c r="I2206" s="2">
        <v>-23.53</v>
      </c>
      <c r="J2206" s="2">
        <v>5.13</v>
      </c>
      <c r="K2206" s="2">
        <v>7.55</v>
      </c>
      <c r="L2206" s="2">
        <v>9.1300000000000008</v>
      </c>
      <c r="M2206" s="2">
        <v>1.78</v>
      </c>
      <c r="N2206" t="s">
        <v>274</v>
      </c>
      <c r="O2206">
        <v>36</v>
      </c>
    </row>
    <row r="2207" spans="1:15">
      <c r="A2207" s="1">
        <v>46041</v>
      </c>
      <c r="B2207">
        <v>16</v>
      </c>
      <c r="C2207" t="s">
        <v>94</v>
      </c>
      <c r="D2207">
        <v>16</v>
      </c>
      <c r="E2207" s="2">
        <v>14.5</v>
      </c>
      <c r="F2207" s="2">
        <v>-80.48</v>
      </c>
      <c r="G2207" s="2">
        <v>86.45</v>
      </c>
      <c r="H2207" s="2">
        <v>79.63</v>
      </c>
      <c r="I2207" s="2">
        <v>-55.38</v>
      </c>
      <c r="J2207" s="2">
        <v>3.64</v>
      </c>
      <c r="K2207" s="2">
        <v>6.23</v>
      </c>
      <c r="L2207" s="2">
        <v>7.22</v>
      </c>
      <c r="M2207" s="2">
        <v>1.1499999999999999</v>
      </c>
      <c r="N2207" t="s">
        <v>274</v>
      </c>
      <c r="O2207">
        <v>36</v>
      </c>
    </row>
    <row r="2208" spans="1:15">
      <c r="A2208" s="1">
        <v>46041</v>
      </c>
      <c r="B2208">
        <v>16</v>
      </c>
      <c r="C2208" t="s">
        <v>94</v>
      </c>
      <c r="D2208">
        <v>16</v>
      </c>
      <c r="E2208" s="2">
        <v>15</v>
      </c>
      <c r="F2208" s="2">
        <v>-34.299999999999997</v>
      </c>
      <c r="G2208" s="2">
        <v>42.11</v>
      </c>
      <c r="H2208" s="2">
        <v>99.3</v>
      </c>
      <c r="I2208" s="2">
        <v>-84.87</v>
      </c>
      <c r="J2208" s="2">
        <v>2.33</v>
      </c>
      <c r="K2208" s="2">
        <v>5.26</v>
      </c>
      <c r="L2208" s="2">
        <v>5.75</v>
      </c>
      <c r="M2208" s="2">
        <v>0.68</v>
      </c>
      <c r="N2208" t="s">
        <v>274</v>
      </c>
      <c r="O2208">
        <v>36</v>
      </c>
    </row>
    <row r="2209" spans="1:15">
      <c r="A2209" s="1">
        <v>46041</v>
      </c>
      <c r="B2209">
        <v>16</v>
      </c>
      <c r="C2209" t="s">
        <v>94</v>
      </c>
      <c r="D2209">
        <v>16</v>
      </c>
      <c r="E2209" s="2">
        <v>15.5</v>
      </c>
      <c r="F2209" s="2">
        <v>-120.83</v>
      </c>
      <c r="G2209" s="2">
        <v>122.41</v>
      </c>
      <c r="H2209" s="2">
        <v>25.12</v>
      </c>
      <c r="I2209" s="2">
        <v>-7.97</v>
      </c>
      <c r="J2209" s="2">
        <v>1.48</v>
      </c>
      <c r="K2209" s="2">
        <v>4.55</v>
      </c>
      <c r="L2209" s="2">
        <v>4.78</v>
      </c>
      <c r="M2209" s="2">
        <v>0.41</v>
      </c>
      <c r="N2209" t="s">
        <v>274</v>
      </c>
      <c r="O2209">
        <v>36</v>
      </c>
    </row>
    <row r="2210" spans="1:15">
      <c r="A2210" s="1">
        <v>46041</v>
      </c>
      <c r="B2210">
        <v>16</v>
      </c>
      <c r="C2210" t="s">
        <v>94</v>
      </c>
      <c r="D2210">
        <v>16</v>
      </c>
      <c r="E2210" s="2">
        <v>16</v>
      </c>
      <c r="F2210" s="2">
        <v>-11.74</v>
      </c>
      <c r="G2210" s="2">
        <v>20.149999999999999</v>
      </c>
      <c r="H2210" s="2">
        <v>-17.059999999999999</v>
      </c>
      <c r="I2210" s="2">
        <v>26.55</v>
      </c>
      <c r="J2210" s="2">
        <v>-1.24</v>
      </c>
      <c r="K2210" s="2">
        <v>1.56</v>
      </c>
      <c r="L2210" s="2">
        <v>1.99</v>
      </c>
      <c r="M2210" s="2">
        <v>-0.09</v>
      </c>
      <c r="N2210" t="s">
        <v>274</v>
      </c>
      <c r="O2210">
        <v>36</v>
      </c>
    </row>
    <row r="2211" spans="1:15">
      <c r="A2211" s="1">
        <v>46041</v>
      </c>
      <c r="B2211">
        <v>16</v>
      </c>
      <c r="C2211" t="s">
        <v>94</v>
      </c>
      <c r="D2211">
        <v>16</v>
      </c>
      <c r="E2211" s="2">
        <v>16.5</v>
      </c>
      <c r="F2211" s="2">
        <v>6.17</v>
      </c>
      <c r="G2211" s="2">
        <v>-0.15</v>
      </c>
      <c r="H2211" s="2">
        <v>2.21</v>
      </c>
      <c r="I2211" s="2">
        <v>21.52</v>
      </c>
      <c r="J2211" s="2">
        <v>-1.17</v>
      </c>
      <c r="K2211" s="2">
        <v>1.81</v>
      </c>
      <c r="L2211" s="2">
        <v>2.15</v>
      </c>
      <c r="M2211" s="2">
        <v>-0.01</v>
      </c>
      <c r="N2211" t="s">
        <v>274</v>
      </c>
      <c r="O2211">
        <v>36</v>
      </c>
    </row>
    <row r="2212" spans="1:15">
      <c r="A2212" s="1">
        <v>46041</v>
      </c>
      <c r="B2212">
        <v>16</v>
      </c>
      <c r="C2212" t="s">
        <v>94</v>
      </c>
      <c r="D2212">
        <v>16</v>
      </c>
      <c r="E2212" s="2">
        <v>17</v>
      </c>
      <c r="F2212" s="2">
        <v>16.010000000000002</v>
      </c>
      <c r="G2212" s="2">
        <v>-12.11</v>
      </c>
      <c r="H2212" s="2">
        <v>3.78</v>
      </c>
      <c r="I2212" s="2">
        <v>6.49</v>
      </c>
      <c r="J2212" s="2">
        <v>-1.1200000000000001</v>
      </c>
      <c r="K2212" s="2">
        <v>1.98</v>
      </c>
      <c r="L2212" s="2">
        <v>2.2799999999999998</v>
      </c>
      <c r="M2212" s="2">
        <v>0.04</v>
      </c>
      <c r="N2212" t="s">
        <v>274</v>
      </c>
      <c r="O2212">
        <v>36</v>
      </c>
    </row>
    <row r="2213" spans="1:15">
      <c r="A2213" s="1">
        <v>46041</v>
      </c>
      <c r="B2213">
        <v>16</v>
      </c>
      <c r="C2213" t="s">
        <v>94</v>
      </c>
      <c r="D2213">
        <v>16</v>
      </c>
      <c r="E2213" s="2">
        <v>17.5</v>
      </c>
      <c r="F2213" s="2">
        <v>-11.21</v>
      </c>
      <c r="G2213" s="2">
        <v>16.2</v>
      </c>
      <c r="H2213" s="2">
        <v>35.61</v>
      </c>
      <c r="I2213" s="2">
        <v>-26.82</v>
      </c>
      <c r="J2213" s="2">
        <v>-1.1499999999999999</v>
      </c>
      <c r="K2213" s="2">
        <v>2.02</v>
      </c>
      <c r="L2213" s="2">
        <v>2.33</v>
      </c>
      <c r="M2213" s="2">
        <v>-0.06</v>
      </c>
      <c r="N2213" t="s">
        <v>274</v>
      </c>
      <c r="O2213">
        <v>36</v>
      </c>
    </row>
    <row r="2214" spans="1:15">
      <c r="A2214" s="1">
        <v>46041</v>
      </c>
      <c r="B2214">
        <v>16</v>
      </c>
      <c r="C2214" t="s">
        <v>94</v>
      </c>
      <c r="D2214">
        <v>16</v>
      </c>
      <c r="E2214" s="2">
        <v>18</v>
      </c>
      <c r="F2214" s="2">
        <v>-30.48</v>
      </c>
      <c r="G2214" s="2">
        <v>34.57</v>
      </c>
      <c r="H2214" s="2">
        <v>55.78</v>
      </c>
      <c r="I2214" s="2">
        <v>-37.46</v>
      </c>
      <c r="J2214" s="2">
        <v>-1.1499999999999999</v>
      </c>
      <c r="K2214" s="2">
        <v>1.99</v>
      </c>
      <c r="L2214" s="2">
        <v>2.2999999999999998</v>
      </c>
      <c r="M2214" s="2">
        <v>-0.12</v>
      </c>
      <c r="N2214" t="s">
        <v>274</v>
      </c>
      <c r="O2214">
        <v>36</v>
      </c>
    </row>
    <row r="2215" spans="1:15">
      <c r="A2215" s="1">
        <v>46041</v>
      </c>
      <c r="B2215">
        <v>16</v>
      </c>
      <c r="C2215" t="s">
        <v>94</v>
      </c>
      <c r="D2215">
        <v>16</v>
      </c>
      <c r="E2215" s="2">
        <v>18.5</v>
      </c>
      <c r="F2215" s="2">
        <v>-34.700000000000003</v>
      </c>
      <c r="G2215" s="2">
        <v>45.19</v>
      </c>
      <c r="H2215" s="2">
        <v>72.599999999999994</v>
      </c>
      <c r="I2215" s="2">
        <v>-50.88</v>
      </c>
      <c r="J2215" s="2">
        <v>-1.1299999999999999</v>
      </c>
      <c r="K2215" s="2">
        <v>2.0299999999999998</v>
      </c>
      <c r="L2215" s="2">
        <v>2.33</v>
      </c>
      <c r="M2215" s="2">
        <v>-0.11</v>
      </c>
      <c r="N2215" t="s">
        <v>274</v>
      </c>
      <c r="O2215">
        <v>36</v>
      </c>
    </row>
    <row r="2216" spans="1:15">
      <c r="A2216" s="1">
        <v>46041</v>
      </c>
      <c r="B2216">
        <v>16</v>
      </c>
      <c r="C2216" t="s">
        <v>94</v>
      </c>
      <c r="D2216">
        <v>16</v>
      </c>
      <c r="E2216" s="2">
        <v>19</v>
      </c>
      <c r="F2216" s="2">
        <v>-139.97</v>
      </c>
      <c r="G2216" s="2">
        <v>137.47999999999999</v>
      </c>
      <c r="H2216" s="2">
        <v>-35.409999999999997</v>
      </c>
      <c r="I2216" s="2">
        <v>53.69</v>
      </c>
      <c r="J2216" s="2">
        <v>-1.1200000000000001</v>
      </c>
      <c r="K2216" s="2">
        <v>1.95</v>
      </c>
      <c r="L2216" s="2">
        <v>2.2400000000000002</v>
      </c>
      <c r="M2216" s="2">
        <v>0.12</v>
      </c>
      <c r="N2216" t="s">
        <v>274</v>
      </c>
      <c r="O2216">
        <v>36</v>
      </c>
    </row>
    <row r="2217" spans="1:15">
      <c r="A2217" s="1">
        <v>46041</v>
      </c>
      <c r="B2217">
        <v>16</v>
      </c>
      <c r="C2217" t="s">
        <v>94</v>
      </c>
      <c r="D2217">
        <v>16</v>
      </c>
      <c r="E2217" s="2">
        <v>19.5</v>
      </c>
      <c r="F2217" s="2">
        <v>-133.59</v>
      </c>
      <c r="G2217" s="2">
        <v>137.38999999999999</v>
      </c>
      <c r="H2217" s="2">
        <v>-34.950000000000003</v>
      </c>
      <c r="I2217" s="2">
        <v>44.89</v>
      </c>
      <c r="J2217" s="2">
        <v>-1.18</v>
      </c>
      <c r="K2217" s="2">
        <v>1.78</v>
      </c>
      <c r="L2217" s="2">
        <v>2.14</v>
      </c>
      <c r="M2217" s="2">
        <v>0.13</v>
      </c>
      <c r="N2217" t="s">
        <v>274</v>
      </c>
      <c r="O2217">
        <v>36</v>
      </c>
    </row>
    <row r="2218" spans="1:15">
      <c r="A2218" s="1">
        <v>46041</v>
      </c>
      <c r="B2218">
        <v>16</v>
      </c>
      <c r="C2218" t="s">
        <v>94</v>
      </c>
      <c r="D2218">
        <v>16</v>
      </c>
      <c r="E2218" s="2">
        <v>20</v>
      </c>
      <c r="F2218" s="2">
        <v>-146.38999999999999</v>
      </c>
      <c r="G2218" s="2">
        <v>150.88999999999999</v>
      </c>
      <c r="H2218" s="2">
        <v>-37.04</v>
      </c>
      <c r="I2218" s="2">
        <v>50.19</v>
      </c>
      <c r="J2218" s="2">
        <v>-1.24</v>
      </c>
      <c r="K2218" s="2">
        <v>1.72</v>
      </c>
      <c r="L2218" s="2">
        <v>2.12</v>
      </c>
      <c r="M2218" s="2">
        <v>0.2</v>
      </c>
      <c r="N2218" t="s">
        <v>274</v>
      </c>
      <c r="O2218">
        <v>36</v>
      </c>
    </row>
    <row r="2219" spans="1:15">
      <c r="A2219" s="1">
        <v>46041</v>
      </c>
      <c r="B2219">
        <v>16</v>
      </c>
      <c r="C2219" t="s">
        <v>94</v>
      </c>
      <c r="D2219">
        <v>16</v>
      </c>
      <c r="E2219" s="2">
        <v>20.5</v>
      </c>
      <c r="F2219" s="2">
        <v>-165.96</v>
      </c>
      <c r="G2219" s="2">
        <v>169.71</v>
      </c>
      <c r="H2219" s="2">
        <v>-17.57</v>
      </c>
      <c r="I2219" s="2">
        <v>31.25</v>
      </c>
      <c r="J2219" s="2">
        <v>-1.36</v>
      </c>
      <c r="K2219" s="2">
        <v>1.56</v>
      </c>
      <c r="L2219" s="2">
        <v>2.0699999999999998</v>
      </c>
      <c r="M2219" s="2">
        <v>0.25</v>
      </c>
      <c r="N2219" t="s">
        <v>274</v>
      </c>
      <c r="O2219">
        <v>36</v>
      </c>
    </row>
    <row r="2220" spans="1:15">
      <c r="A2220" s="1">
        <v>46041</v>
      </c>
      <c r="B2220">
        <v>16</v>
      </c>
      <c r="C2220" t="s">
        <v>94</v>
      </c>
      <c r="D2220">
        <v>16</v>
      </c>
      <c r="E2220" s="2">
        <v>21</v>
      </c>
      <c r="F2220" s="2">
        <v>-154.35</v>
      </c>
      <c r="G2220" s="2">
        <v>157.32</v>
      </c>
      <c r="H2220" s="2">
        <v>4.5199999999999996</v>
      </c>
      <c r="I2220" s="2">
        <v>22.32</v>
      </c>
      <c r="J2220" s="2">
        <v>-1.33</v>
      </c>
      <c r="K2220" s="2">
        <v>1.45</v>
      </c>
      <c r="L2220" s="2">
        <v>1.97</v>
      </c>
      <c r="M2220" s="2">
        <v>0.13</v>
      </c>
      <c r="N2220" t="s">
        <v>274</v>
      </c>
      <c r="O2220">
        <v>36</v>
      </c>
    </row>
    <row r="2221" spans="1:15">
      <c r="A2221" s="1">
        <v>46041</v>
      </c>
      <c r="B2221">
        <v>16</v>
      </c>
      <c r="C2221" t="s">
        <v>94</v>
      </c>
      <c r="D2221">
        <v>16</v>
      </c>
      <c r="E2221" s="2">
        <v>21.5</v>
      </c>
      <c r="F2221" s="2">
        <v>-77.03</v>
      </c>
      <c r="G2221" s="2">
        <v>82.95</v>
      </c>
      <c r="H2221" s="2">
        <v>-13.42</v>
      </c>
      <c r="I2221" s="2">
        <v>35.71</v>
      </c>
      <c r="J2221" s="2">
        <v>-1.3</v>
      </c>
      <c r="K2221" s="2">
        <v>1.69</v>
      </c>
      <c r="L2221" s="2">
        <v>2.13</v>
      </c>
      <c r="M2221" s="2">
        <v>0.22</v>
      </c>
      <c r="N2221" t="s">
        <v>274</v>
      </c>
      <c r="O2221">
        <v>36</v>
      </c>
    </row>
    <row r="2222" spans="1:15">
      <c r="A2222" s="1">
        <v>46041</v>
      </c>
      <c r="B2222">
        <v>16</v>
      </c>
      <c r="C2222" t="s">
        <v>94</v>
      </c>
      <c r="D2222">
        <v>16</v>
      </c>
      <c r="E2222" s="2">
        <v>22</v>
      </c>
      <c r="F2222" s="2">
        <v>-3.41</v>
      </c>
      <c r="G2222" s="2">
        <v>7.55</v>
      </c>
      <c r="H2222" s="2">
        <v>-101.93</v>
      </c>
      <c r="I2222" s="2">
        <v>143.6</v>
      </c>
      <c r="J2222" s="2">
        <v>-1.36</v>
      </c>
      <c r="K2222" s="2">
        <v>1.69</v>
      </c>
      <c r="L2222" s="2">
        <v>2.17</v>
      </c>
      <c r="M2222" s="2">
        <v>0.3</v>
      </c>
      <c r="N2222" t="s">
        <v>274</v>
      </c>
      <c r="O2222">
        <v>36</v>
      </c>
    </row>
    <row r="2223" spans="1:15">
      <c r="A2223" s="1">
        <v>46041</v>
      </c>
      <c r="B2223">
        <v>16</v>
      </c>
      <c r="C2223" t="s">
        <v>94</v>
      </c>
      <c r="D2223">
        <v>16</v>
      </c>
      <c r="E2223" s="2">
        <v>22.5</v>
      </c>
      <c r="F2223" s="2">
        <v>-39.119999999999997</v>
      </c>
      <c r="G2223" s="2">
        <v>41.81</v>
      </c>
      <c r="H2223" s="2">
        <v>-43.34</v>
      </c>
      <c r="I2223" s="2">
        <v>63.88</v>
      </c>
      <c r="J2223" s="2">
        <v>-1.67</v>
      </c>
      <c r="K2223" s="2">
        <v>1.17</v>
      </c>
      <c r="L2223" s="2">
        <v>2.04</v>
      </c>
      <c r="M2223" s="2">
        <v>0.26</v>
      </c>
      <c r="N2223" t="s">
        <v>274</v>
      </c>
      <c r="O2223">
        <v>36</v>
      </c>
    </row>
    <row r="2224" spans="1:15">
      <c r="A2224" s="1">
        <v>46041</v>
      </c>
      <c r="B2224">
        <v>16</v>
      </c>
      <c r="C2224" t="s">
        <v>94</v>
      </c>
      <c r="D2224">
        <v>16</v>
      </c>
      <c r="E2224" s="2">
        <v>23</v>
      </c>
      <c r="F2224" s="2">
        <v>-54.69</v>
      </c>
      <c r="G2224" s="2">
        <v>57.12</v>
      </c>
      <c r="H2224" s="2">
        <v>-6.75</v>
      </c>
      <c r="I2224" s="2">
        <v>18.46</v>
      </c>
      <c r="J2224" s="2">
        <v>-2.06</v>
      </c>
      <c r="K2224" s="2">
        <v>0.82</v>
      </c>
      <c r="L2224" s="2">
        <v>2.2200000000000002</v>
      </c>
      <c r="M2224" s="2">
        <v>0.26</v>
      </c>
      <c r="N2224" t="s">
        <v>274</v>
      </c>
      <c r="O2224">
        <v>36</v>
      </c>
    </row>
    <row r="2225" spans="1:15">
      <c r="A2225" s="1">
        <v>46041</v>
      </c>
      <c r="B2225">
        <v>16</v>
      </c>
      <c r="C2225" t="s">
        <v>94</v>
      </c>
      <c r="D2225">
        <v>16</v>
      </c>
      <c r="E2225" s="2">
        <v>23.5</v>
      </c>
      <c r="F2225" s="2">
        <v>-65.2</v>
      </c>
      <c r="G2225" s="2">
        <v>68.459999999999994</v>
      </c>
      <c r="H2225" s="2">
        <v>19.239999999999998</v>
      </c>
      <c r="I2225" s="2">
        <v>-11.32</v>
      </c>
      <c r="J2225" s="2">
        <v>-2.25</v>
      </c>
      <c r="K2225" s="2">
        <v>0.51</v>
      </c>
      <c r="L2225" s="2">
        <v>2.2999999999999998</v>
      </c>
      <c r="M2225" s="2">
        <v>0.28999999999999998</v>
      </c>
      <c r="N2225" t="s">
        <v>274</v>
      </c>
      <c r="O2225">
        <v>36</v>
      </c>
    </row>
    <row r="2226" spans="1:15">
      <c r="A2226" s="1">
        <v>46041</v>
      </c>
      <c r="B2226">
        <v>16</v>
      </c>
      <c r="C2226" t="s">
        <v>94</v>
      </c>
      <c r="D2226">
        <v>16</v>
      </c>
      <c r="E2226" s="2">
        <v>24</v>
      </c>
      <c r="F2226" s="2">
        <v>-77.97</v>
      </c>
      <c r="G2226" s="2">
        <v>80.8</v>
      </c>
      <c r="H2226" s="2">
        <v>25.64</v>
      </c>
      <c r="I2226" s="2">
        <v>-14.12</v>
      </c>
      <c r="J2226" s="2">
        <v>-2.2200000000000002</v>
      </c>
      <c r="K2226" s="2">
        <v>0.35</v>
      </c>
      <c r="L2226" s="2">
        <v>2.25</v>
      </c>
      <c r="M2226" s="2">
        <v>0.39</v>
      </c>
      <c r="N2226" t="s">
        <v>274</v>
      </c>
      <c r="O2226">
        <v>36</v>
      </c>
    </row>
    <row r="2227" spans="1:15">
      <c r="A2227" s="1">
        <v>46041</v>
      </c>
      <c r="B2227">
        <v>16</v>
      </c>
      <c r="C2227" t="s">
        <v>94</v>
      </c>
      <c r="D2227">
        <v>16</v>
      </c>
      <c r="E2227" s="2">
        <v>24.5</v>
      </c>
      <c r="F2227" s="2">
        <v>-99.01</v>
      </c>
      <c r="G2227" s="2">
        <v>81.739999999999995</v>
      </c>
      <c r="H2227" s="2">
        <v>48.13</v>
      </c>
      <c r="I2227" s="2">
        <v>-32.14</v>
      </c>
      <c r="J2227" s="2">
        <v>-1.93</v>
      </c>
      <c r="K2227" s="2">
        <v>0.27</v>
      </c>
      <c r="L2227" s="2">
        <v>1.95</v>
      </c>
      <c r="M2227" s="2">
        <v>0.42</v>
      </c>
      <c r="N2227" t="s">
        <v>274</v>
      </c>
      <c r="O2227">
        <v>36</v>
      </c>
    </row>
    <row r="2228" spans="1:15">
      <c r="A2228" s="1">
        <v>46041</v>
      </c>
      <c r="B2228">
        <v>16</v>
      </c>
      <c r="C2228" t="s">
        <v>94</v>
      </c>
      <c r="D2228">
        <v>16</v>
      </c>
      <c r="E2228" s="2">
        <v>25</v>
      </c>
      <c r="F2228" s="2">
        <v>-110.49</v>
      </c>
      <c r="G2228" s="2">
        <v>122.11</v>
      </c>
      <c r="H2228" s="2">
        <v>-21.05</v>
      </c>
      <c r="I2228" s="2">
        <v>57.23</v>
      </c>
      <c r="J2228" s="2">
        <v>-1.19</v>
      </c>
      <c r="K2228" s="2">
        <v>0.98</v>
      </c>
      <c r="L2228" s="2">
        <v>1.54</v>
      </c>
      <c r="M2228" s="2">
        <v>0.18</v>
      </c>
      <c r="N2228" t="s">
        <v>274</v>
      </c>
      <c r="O2228">
        <v>36</v>
      </c>
    </row>
    <row r="2229" spans="1:15">
      <c r="A2229" s="1">
        <v>46041</v>
      </c>
      <c r="B2229">
        <v>16</v>
      </c>
      <c r="C2229" t="s">
        <v>94</v>
      </c>
      <c r="D2229">
        <v>16</v>
      </c>
      <c r="E2229" s="2">
        <v>25.5</v>
      </c>
      <c r="F2229" s="2">
        <v>-104.76</v>
      </c>
      <c r="G2229" s="2">
        <v>107.31</v>
      </c>
      <c r="H2229" s="2">
        <v>-44.05</v>
      </c>
      <c r="I2229" s="2">
        <v>42.72</v>
      </c>
      <c r="J2229" s="2">
        <v>-1.33</v>
      </c>
      <c r="K2229" s="2">
        <v>0.95</v>
      </c>
      <c r="L2229" s="2">
        <v>1.63</v>
      </c>
      <c r="M2229" s="2">
        <v>0.37</v>
      </c>
      <c r="N2229" t="s">
        <v>274</v>
      </c>
      <c r="O2229">
        <v>36</v>
      </c>
    </row>
    <row r="2230" spans="1:15">
      <c r="A2230" s="1">
        <v>46041</v>
      </c>
      <c r="B2230">
        <v>16</v>
      </c>
      <c r="C2230" t="s">
        <v>94</v>
      </c>
      <c r="D2230">
        <v>16</v>
      </c>
      <c r="E2230" s="2">
        <v>26</v>
      </c>
      <c r="F2230" s="2">
        <v>-55.33</v>
      </c>
      <c r="G2230" s="2">
        <v>58.26</v>
      </c>
      <c r="H2230" s="2">
        <v>-36.229999999999997</v>
      </c>
      <c r="I2230" s="2">
        <v>34.82</v>
      </c>
      <c r="J2230" s="2">
        <v>-1.63</v>
      </c>
      <c r="K2230" s="2">
        <v>0.73</v>
      </c>
      <c r="L2230" s="2">
        <v>1.79</v>
      </c>
      <c r="M2230" s="2">
        <v>0.39</v>
      </c>
      <c r="N2230" t="s">
        <v>274</v>
      </c>
      <c r="O2230">
        <v>36</v>
      </c>
    </row>
    <row r="2231" spans="1:15">
      <c r="A2231" s="1">
        <v>46041</v>
      </c>
      <c r="B2231">
        <v>16</v>
      </c>
      <c r="C2231" t="s">
        <v>94</v>
      </c>
      <c r="D2231">
        <v>16</v>
      </c>
      <c r="E2231" s="2">
        <v>26.5</v>
      </c>
      <c r="F2231" s="2">
        <v>-5.57</v>
      </c>
      <c r="G2231" s="2">
        <v>5.58</v>
      </c>
      <c r="H2231" s="2">
        <v>2.0299999999999998</v>
      </c>
      <c r="I2231" s="2">
        <v>4.95</v>
      </c>
      <c r="J2231" s="2">
        <v>-1.5</v>
      </c>
      <c r="K2231" s="2">
        <v>0.53</v>
      </c>
      <c r="L2231" s="2">
        <v>1.59</v>
      </c>
      <c r="M2231" s="2">
        <v>0.31</v>
      </c>
      <c r="N2231" t="s">
        <v>274</v>
      </c>
      <c r="O2231">
        <v>36</v>
      </c>
    </row>
    <row r="2232" spans="1:15">
      <c r="A2232" s="1">
        <v>46041</v>
      </c>
      <c r="B2232">
        <v>16</v>
      </c>
      <c r="C2232" t="s">
        <v>94</v>
      </c>
      <c r="D2232">
        <v>16</v>
      </c>
      <c r="E2232" s="2">
        <v>27</v>
      </c>
      <c r="F2232" s="2">
        <v>50.57</v>
      </c>
      <c r="G2232" s="2">
        <v>-49.28</v>
      </c>
      <c r="H2232" s="2">
        <v>69.84</v>
      </c>
      <c r="I2232" s="2">
        <v>-26.05</v>
      </c>
      <c r="J2232" s="2">
        <v>-0.85</v>
      </c>
      <c r="K2232" s="2">
        <v>0.25</v>
      </c>
      <c r="L2232" s="2">
        <v>0.89</v>
      </c>
      <c r="M2232" s="2">
        <v>0.17</v>
      </c>
      <c r="N2232" t="s">
        <v>274</v>
      </c>
      <c r="O2232">
        <v>36</v>
      </c>
    </row>
    <row r="2233" spans="1:15">
      <c r="A2233" s="1">
        <v>46041</v>
      </c>
      <c r="B2233">
        <v>16</v>
      </c>
      <c r="C2233" t="s">
        <v>99</v>
      </c>
      <c r="D2233">
        <v>16</v>
      </c>
      <c r="E2233" s="2">
        <v>0.5</v>
      </c>
      <c r="F2233" s="2">
        <v>-360.89</v>
      </c>
      <c r="G2233" s="2">
        <v>366.97</v>
      </c>
      <c r="H2233" s="2">
        <v>-97.07</v>
      </c>
      <c r="I2233" s="2">
        <v>160.19</v>
      </c>
      <c r="J2233" s="2">
        <v>1.1399999999999999</v>
      </c>
      <c r="K2233" s="2">
        <v>-7.84</v>
      </c>
      <c r="L2233" s="2">
        <v>7.92</v>
      </c>
      <c r="M2233" s="2">
        <v>1.38</v>
      </c>
      <c r="N2233" t="s">
        <v>274</v>
      </c>
      <c r="O2233">
        <v>68</v>
      </c>
    </row>
    <row r="2234" spans="1:15">
      <c r="A2234" s="1">
        <v>46041</v>
      </c>
      <c r="B2234">
        <v>16</v>
      </c>
      <c r="C2234" t="s">
        <v>99</v>
      </c>
      <c r="D2234">
        <v>16</v>
      </c>
      <c r="E2234" s="2">
        <v>1</v>
      </c>
      <c r="F2234" s="2">
        <v>-379.14</v>
      </c>
      <c r="G2234" s="2">
        <v>383.13</v>
      </c>
      <c r="H2234" s="2">
        <v>-110.55</v>
      </c>
      <c r="I2234" s="2">
        <v>124.37</v>
      </c>
      <c r="J2234" s="2">
        <v>2.46</v>
      </c>
      <c r="K2234" s="2">
        <v>-6.71</v>
      </c>
      <c r="L2234" s="2">
        <v>7.15</v>
      </c>
      <c r="M2234" s="2">
        <v>1.29</v>
      </c>
      <c r="N2234" t="s">
        <v>274</v>
      </c>
      <c r="O2234">
        <v>68</v>
      </c>
    </row>
    <row r="2235" spans="1:15">
      <c r="A2235" s="1">
        <v>46041</v>
      </c>
      <c r="B2235">
        <v>16</v>
      </c>
      <c r="C2235" t="s">
        <v>99</v>
      </c>
      <c r="D2235">
        <v>16</v>
      </c>
      <c r="E2235" s="2">
        <v>1.5</v>
      </c>
      <c r="F2235" s="2">
        <v>-376.7</v>
      </c>
      <c r="G2235" s="2">
        <v>377.46</v>
      </c>
      <c r="H2235" s="2">
        <v>-154.79</v>
      </c>
      <c r="I2235" s="2">
        <v>150.03</v>
      </c>
      <c r="J2235" s="2">
        <v>3.43</v>
      </c>
      <c r="K2235" s="2">
        <v>-5.34</v>
      </c>
      <c r="L2235" s="2">
        <v>6.35</v>
      </c>
      <c r="M2235" s="2">
        <v>0.99</v>
      </c>
      <c r="N2235" t="s">
        <v>274</v>
      </c>
      <c r="O2235">
        <v>68</v>
      </c>
    </row>
    <row r="2236" spans="1:15">
      <c r="A2236" s="1">
        <v>46041</v>
      </c>
      <c r="B2236">
        <v>16</v>
      </c>
      <c r="C2236" t="s">
        <v>99</v>
      </c>
      <c r="D2236">
        <v>16</v>
      </c>
      <c r="E2236" s="2">
        <v>2</v>
      </c>
      <c r="F2236" s="2">
        <v>-331.54</v>
      </c>
      <c r="G2236" s="2">
        <v>337.49</v>
      </c>
      <c r="H2236" s="2">
        <v>-206.62</v>
      </c>
      <c r="I2236" s="2">
        <v>217.18</v>
      </c>
      <c r="J2236" s="2">
        <v>3.6</v>
      </c>
      <c r="K2236" s="2">
        <v>-5.16</v>
      </c>
      <c r="L2236" s="2">
        <v>6.28</v>
      </c>
      <c r="M2236" s="2">
        <v>0.99</v>
      </c>
      <c r="N2236" t="s">
        <v>274</v>
      </c>
      <c r="O2236">
        <v>68</v>
      </c>
    </row>
    <row r="2237" spans="1:15">
      <c r="A2237" s="1">
        <v>46041</v>
      </c>
      <c r="B2237">
        <v>16</v>
      </c>
      <c r="C2237" t="s">
        <v>99</v>
      </c>
      <c r="D2237">
        <v>16</v>
      </c>
      <c r="E2237" s="2">
        <v>2.5</v>
      </c>
      <c r="F2237" s="2">
        <v>-308.24</v>
      </c>
      <c r="G2237" s="2">
        <v>312.18</v>
      </c>
      <c r="H2237" s="2">
        <v>-195.02</v>
      </c>
      <c r="I2237" s="2">
        <v>199.75</v>
      </c>
      <c r="J2237" s="2">
        <v>3.71</v>
      </c>
      <c r="K2237" s="2">
        <v>-5.12</v>
      </c>
      <c r="L2237" s="2">
        <v>6.32</v>
      </c>
      <c r="M2237" s="2">
        <v>1.02</v>
      </c>
      <c r="N2237" t="s">
        <v>274</v>
      </c>
      <c r="O2237">
        <v>68</v>
      </c>
    </row>
    <row r="2238" spans="1:15">
      <c r="A2238" s="1">
        <v>46041</v>
      </c>
      <c r="B2238">
        <v>16</v>
      </c>
      <c r="C2238" t="s">
        <v>99</v>
      </c>
      <c r="D2238">
        <v>16</v>
      </c>
      <c r="E2238" s="2">
        <v>3</v>
      </c>
      <c r="F2238" s="2">
        <v>-270.63</v>
      </c>
      <c r="G2238" s="2">
        <v>274.33999999999997</v>
      </c>
      <c r="H2238" s="2">
        <v>-141.04</v>
      </c>
      <c r="I2238" s="2">
        <v>137.69999999999999</v>
      </c>
      <c r="J2238" s="2">
        <v>3.72</v>
      </c>
      <c r="K2238" s="2">
        <v>-5.31</v>
      </c>
      <c r="L2238" s="2">
        <v>6.48</v>
      </c>
      <c r="M2238" s="2">
        <v>1.06</v>
      </c>
      <c r="N2238" t="s">
        <v>274</v>
      </c>
      <c r="O2238">
        <v>68</v>
      </c>
    </row>
    <row r="2239" spans="1:15">
      <c r="A2239" s="1">
        <v>46041</v>
      </c>
      <c r="B2239">
        <v>16</v>
      </c>
      <c r="C2239" t="s">
        <v>99</v>
      </c>
      <c r="D2239">
        <v>16</v>
      </c>
      <c r="E2239" s="2">
        <v>3.5</v>
      </c>
      <c r="F2239" s="2">
        <v>-204.16</v>
      </c>
      <c r="G2239" s="2">
        <v>209.72</v>
      </c>
      <c r="H2239" s="2">
        <v>-82.45</v>
      </c>
      <c r="I2239" s="2">
        <v>78.06</v>
      </c>
      <c r="J2239" s="2">
        <v>3.78</v>
      </c>
      <c r="K2239" s="2">
        <v>-5.34</v>
      </c>
      <c r="L2239" s="2">
        <v>6.55</v>
      </c>
      <c r="M2239" s="2">
        <v>1.06</v>
      </c>
      <c r="N2239" t="s">
        <v>274</v>
      </c>
      <c r="O2239">
        <v>68</v>
      </c>
    </row>
    <row r="2240" spans="1:15">
      <c r="A2240" s="1">
        <v>46041</v>
      </c>
      <c r="B2240">
        <v>16</v>
      </c>
      <c r="C2240" t="s">
        <v>99</v>
      </c>
      <c r="D2240">
        <v>16</v>
      </c>
      <c r="E2240" s="2">
        <v>4</v>
      </c>
      <c r="F2240" s="2">
        <v>-147.52000000000001</v>
      </c>
      <c r="G2240" s="2">
        <v>155.58000000000001</v>
      </c>
      <c r="H2240" s="2">
        <v>-65.38</v>
      </c>
      <c r="I2240" s="2">
        <v>69.84</v>
      </c>
      <c r="J2240" s="2">
        <v>3.99</v>
      </c>
      <c r="K2240" s="2">
        <v>-5.18</v>
      </c>
      <c r="L2240" s="2">
        <v>6.54</v>
      </c>
      <c r="M2240" s="2">
        <v>1.03</v>
      </c>
      <c r="N2240" t="s">
        <v>274</v>
      </c>
      <c r="O2240">
        <v>68</v>
      </c>
    </row>
    <row r="2241" spans="1:15">
      <c r="A2241" s="1">
        <v>46041</v>
      </c>
      <c r="B2241">
        <v>16</v>
      </c>
      <c r="C2241" t="s">
        <v>99</v>
      </c>
      <c r="D2241">
        <v>16</v>
      </c>
      <c r="E2241" s="2">
        <v>4.5</v>
      </c>
      <c r="F2241" s="2">
        <v>-100.88</v>
      </c>
      <c r="G2241" s="2">
        <v>103.63</v>
      </c>
      <c r="H2241" s="2">
        <v>-94.91</v>
      </c>
      <c r="I2241" s="2">
        <v>130.78</v>
      </c>
      <c r="J2241" s="2">
        <v>4.1900000000000004</v>
      </c>
      <c r="K2241" s="2">
        <v>-5.2</v>
      </c>
      <c r="L2241" s="2">
        <v>6.67</v>
      </c>
      <c r="M2241" s="2">
        <v>0.95</v>
      </c>
      <c r="N2241" t="s">
        <v>274</v>
      </c>
      <c r="O2241">
        <v>68</v>
      </c>
    </row>
    <row r="2242" spans="1:15">
      <c r="A2242" s="1">
        <v>46041</v>
      </c>
      <c r="B2242">
        <v>16</v>
      </c>
      <c r="C2242" t="s">
        <v>99</v>
      </c>
      <c r="D2242">
        <v>16</v>
      </c>
      <c r="E2242" s="2">
        <v>5</v>
      </c>
      <c r="F2242" s="2">
        <v>-25.13</v>
      </c>
      <c r="G2242" s="2">
        <v>30.6</v>
      </c>
      <c r="H2242" s="2">
        <v>-152.61000000000001</v>
      </c>
      <c r="I2242" s="2">
        <v>158.63</v>
      </c>
      <c r="J2242" s="2">
        <v>4.38</v>
      </c>
      <c r="K2242" s="2">
        <v>-5.0999999999999996</v>
      </c>
      <c r="L2242" s="2">
        <v>6.72</v>
      </c>
      <c r="M2242" s="2">
        <v>0.69</v>
      </c>
      <c r="N2242" t="s">
        <v>274</v>
      </c>
      <c r="O2242">
        <v>68</v>
      </c>
    </row>
    <row r="2243" spans="1:15">
      <c r="A2243" s="1">
        <v>46041</v>
      </c>
      <c r="B2243">
        <v>16</v>
      </c>
      <c r="C2243" t="s">
        <v>99</v>
      </c>
      <c r="D2243">
        <v>16</v>
      </c>
      <c r="E2243" s="2">
        <v>5.5</v>
      </c>
      <c r="F2243" s="2">
        <v>41.87</v>
      </c>
      <c r="G2243" s="2">
        <v>-35.03</v>
      </c>
      <c r="H2243" s="2">
        <v>-148.19</v>
      </c>
      <c r="I2243" s="2">
        <v>155.93</v>
      </c>
      <c r="J2243" s="2">
        <v>4.66</v>
      </c>
      <c r="K2243" s="2">
        <v>-5.19</v>
      </c>
      <c r="L2243" s="2">
        <v>6.98</v>
      </c>
      <c r="M2243" s="2">
        <v>0.5</v>
      </c>
      <c r="N2243" t="s">
        <v>274</v>
      </c>
      <c r="O2243">
        <v>68</v>
      </c>
    </row>
    <row r="2244" spans="1:15">
      <c r="A2244" s="1">
        <v>46041</v>
      </c>
      <c r="B2244">
        <v>16</v>
      </c>
      <c r="C2244" t="s">
        <v>99</v>
      </c>
      <c r="D2244">
        <v>16</v>
      </c>
      <c r="E2244" s="2">
        <v>6</v>
      </c>
      <c r="F2244" s="2">
        <v>78.02</v>
      </c>
      <c r="G2244" s="2">
        <v>-72.06</v>
      </c>
      <c r="H2244" s="2">
        <v>-185.69</v>
      </c>
      <c r="I2244" s="2">
        <v>182.06</v>
      </c>
      <c r="J2244" s="2">
        <v>4.9400000000000004</v>
      </c>
      <c r="K2244" s="2">
        <v>-5.3</v>
      </c>
      <c r="L2244" s="2">
        <v>7.24</v>
      </c>
      <c r="M2244" s="2">
        <v>0.39</v>
      </c>
      <c r="N2244" t="s">
        <v>274</v>
      </c>
      <c r="O2244">
        <v>68</v>
      </c>
    </row>
    <row r="2245" spans="1:15">
      <c r="A2245" s="1">
        <v>46041</v>
      </c>
      <c r="B2245">
        <v>16</v>
      </c>
      <c r="C2245" t="s">
        <v>99</v>
      </c>
      <c r="D2245">
        <v>16</v>
      </c>
      <c r="E2245" s="2">
        <v>6.5</v>
      </c>
      <c r="F2245" s="2">
        <v>181.66</v>
      </c>
      <c r="G2245" s="2">
        <v>-175.62</v>
      </c>
      <c r="H2245" s="2">
        <v>-180.5</v>
      </c>
      <c r="I2245" s="2">
        <v>173.51</v>
      </c>
      <c r="J2245" s="2">
        <v>5.17</v>
      </c>
      <c r="K2245" s="2">
        <v>-5.21</v>
      </c>
      <c r="L2245" s="2">
        <v>7.34</v>
      </c>
      <c r="M2245" s="2">
        <v>0.34</v>
      </c>
      <c r="N2245" t="s">
        <v>274</v>
      </c>
      <c r="O2245">
        <v>68</v>
      </c>
    </row>
    <row r="2246" spans="1:15">
      <c r="A2246" s="1">
        <v>46041</v>
      </c>
      <c r="B2246">
        <v>16</v>
      </c>
      <c r="C2246" t="s">
        <v>99</v>
      </c>
      <c r="D2246">
        <v>16</v>
      </c>
      <c r="E2246" s="2">
        <v>7</v>
      </c>
      <c r="F2246" s="2">
        <v>285.32</v>
      </c>
      <c r="G2246" s="2">
        <v>-279.18</v>
      </c>
      <c r="H2246" s="2">
        <v>-186.04</v>
      </c>
      <c r="I2246" s="2">
        <v>178.74</v>
      </c>
      <c r="J2246" s="2">
        <v>5.42</v>
      </c>
      <c r="K2246" s="2">
        <v>-5.07</v>
      </c>
      <c r="L2246" s="2">
        <v>7.42</v>
      </c>
      <c r="M2246" s="2">
        <v>0.3</v>
      </c>
      <c r="N2246" t="s">
        <v>274</v>
      </c>
      <c r="O2246">
        <v>68</v>
      </c>
    </row>
    <row r="2247" spans="1:15">
      <c r="A2247" s="1">
        <v>46041</v>
      </c>
      <c r="B2247">
        <v>16</v>
      </c>
      <c r="C2247" t="s">
        <v>99</v>
      </c>
      <c r="D2247">
        <v>16</v>
      </c>
      <c r="E2247" s="2">
        <v>7.5</v>
      </c>
      <c r="F2247" s="2">
        <v>310.57</v>
      </c>
      <c r="G2247" s="2">
        <v>-297.39</v>
      </c>
      <c r="H2247" s="2">
        <v>-171.73</v>
      </c>
      <c r="I2247" s="2">
        <v>168.02</v>
      </c>
      <c r="J2247" s="2">
        <v>5.61</v>
      </c>
      <c r="K2247" s="2">
        <v>-4.95</v>
      </c>
      <c r="L2247" s="2">
        <v>7.48</v>
      </c>
      <c r="M2247" s="2">
        <v>0.3</v>
      </c>
      <c r="N2247" t="s">
        <v>274</v>
      </c>
      <c r="O2247">
        <v>68</v>
      </c>
    </row>
    <row r="2248" spans="1:15">
      <c r="A2248" s="1">
        <v>46041</v>
      </c>
      <c r="B2248">
        <v>16</v>
      </c>
      <c r="C2248" t="s">
        <v>99</v>
      </c>
      <c r="D2248">
        <v>16</v>
      </c>
      <c r="E2248" s="2">
        <v>8</v>
      </c>
      <c r="F2248" s="2">
        <v>275.75</v>
      </c>
      <c r="G2248" s="2">
        <v>-274.13</v>
      </c>
      <c r="H2248" s="2">
        <v>-67.650000000000006</v>
      </c>
      <c r="I2248" s="2">
        <v>91.23</v>
      </c>
      <c r="J2248" s="2">
        <v>5.92</v>
      </c>
      <c r="K2248" s="2">
        <v>-5.09</v>
      </c>
      <c r="L2248" s="2">
        <v>7.81</v>
      </c>
      <c r="M2248" s="2">
        <v>0.38</v>
      </c>
      <c r="N2248" t="s">
        <v>274</v>
      </c>
      <c r="O2248">
        <v>68</v>
      </c>
    </row>
    <row r="2249" spans="1:15">
      <c r="A2249" s="1">
        <v>46041</v>
      </c>
      <c r="B2249">
        <v>16</v>
      </c>
      <c r="C2249" t="s">
        <v>99</v>
      </c>
      <c r="D2249">
        <v>16</v>
      </c>
      <c r="E2249" s="2">
        <v>8.5</v>
      </c>
      <c r="F2249" s="2">
        <v>339.71</v>
      </c>
      <c r="G2249" s="2">
        <v>-331.42</v>
      </c>
      <c r="H2249" s="2">
        <v>-12.86</v>
      </c>
      <c r="I2249" s="2">
        <v>20.38</v>
      </c>
      <c r="J2249" s="2">
        <v>6.18</v>
      </c>
      <c r="K2249" s="2">
        <v>-5.3</v>
      </c>
      <c r="L2249" s="2">
        <v>8.14</v>
      </c>
      <c r="M2249" s="2">
        <v>0.46</v>
      </c>
      <c r="N2249" t="s">
        <v>274</v>
      </c>
      <c r="O2249">
        <v>68</v>
      </c>
    </row>
    <row r="2250" spans="1:15">
      <c r="A2250" s="1">
        <v>46041</v>
      </c>
      <c r="B2250">
        <v>16</v>
      </c>
      <c r="C2250" t="s">
        <v>99</v>
      </c>
      <c r="D2250">
        <v>16</v>
      </c>
      <c r="E2250" s="2">
        <v>9</v>
      </c>
      <c r="F2250" s="2">
        <v>325.74</v>
      </c>
      <c r="G2250" s="2">
        <v>-320.81</v>
      </c>
      <c r="H2250" s="2">
        <v>27.58</v>
      </c>
      <c r="I2250" s="2">
        <v>-21.97</v>
      </c>
      <c r="J2250" s="2">
        <v>6.3</v>
      </c>
      <c r="K2250" s="2">
        <v>-5.6</v>
      </c>
      <c r="L2250" s="2">
        <v>8.43</v>
      </c>
      <c r="M2250" s="2">
        <v>0.48</v>
      </c>
      <c r="N2250" t="s">
        <v>274</v>
      </c>
      <c r="O2250">
        <v>68</v>
      </c>
    </row>
    <row r="2251" spans="1:15">
      <c r="A2251" s="1">
        <v>46041</v>
      </c>
      <c r="B2251">
        <v>16</v>
      </c>
      <c r="C2251" t="s">
        <v>99</v>
      </c>
      <c r="D2251">
        <v>16</v>
      </c>
      <c r="E2251" s="2">
        <v>9.5</v>
      </c>
      <c r="F2251" s="2">
        <v>219.49</v>
      </c>
      <c r="G2251" s="2">
        <v>-211.96</v>
      </c>
      <c r="H2251" s="2">
        <v>100.63</v>
      </c>
      <c r="I2251" s="2">
        <v>-117.59</v>
      </c>
      <c r="J2251" s="2">
        <v>6.59</v>
      </c>
      <c r="K2251" s="2">
        <v>-6.37</v>
      </c>
      <c r="L2251" s="2">
        <v>9.17</v>
      </c>
      <c r="M2251" s="2">
        <v>0.6</v>
      </c>
      <c r="N2251" t="s">
        <v>274</v>
      </c>
      <c r="O2251">
        <v>68</v>
      </c>
    </row>
    <row r="2252" spans="1:15">
      <c r="A2252" s="1">
        <v>46041</v>
      </c>
      <c r="B2252">
        <v>16</v>
      </c>
      <c r="C2252" t="s">
        <v>99</v>
      </c>
      <c r="D2252">
        <v>16</v>
      </c>
      <c r="E2252" s="2">
        <v>10</v>
      </c>
      <c r="F2252" s="2">
        <v>78.89</v>
      </c>
      <c r="G2252" s="2">
        <v>-63.4</v>
      </c>
      <c r="H2252" s="2">
        <v>145.62</v>
      </c>
      <c r="I2252" s="2">
        <v>-142.66999999999999</v>
      </c>
      <c r="J2252" s="2">
        <v>7.06</v>
      </c>
      <c r="K2252" s="2">
        <v>-6.59</v>
      </c>
      <c r="L2252" s="2">
        <v>9.66</v>
      </c>
      <c r="M2252" s="2">
        <v>0.61</v>
      </c>
      <c r="N2252" t="s">
        <v>274</v>
      </c>
      <c r="O2252">
        <v>68</v>
      </c>
    </row>
    <row r="2253" spans="1:15">
      <c r="A2253" s="1">
        <v>46041</v>
      </c>
      <c r="B2253">
        <v>16</v>
      </c>
      <c r="C2253" t="s">
        <v>99</v>
      </c>
      <c r="D2253">
        <v>16</v>
      </c>
      <c r="E2253" s="2">
        <v>10.5</v>
      </c>
      <c r="F2253" s="2">
        <v>95.34</v>
      </c>
      <c r="G2253" s="2">
        <v>-91.04</v>
      </c>
      <c r="H2253" s="2">
        <v>63.37</v>
      </c>
      <c r="I2253" s="2">
        <v>-68.84</v>
      </c>
      <c r="J2253" s="2">
        <v>7.48</v>
      </c>
      <c r="K2253" s="2">
        <v>-6.88</v>
      </c>
      <c r="L2253" s="2">
        <v>10.16</v>
      </c>
      <c r="M2253" s="2">
        <v>0.68</v>
      </c>
      <c r="N2253" t="s">
        <v>274</v>
      </c>
      <c r="O2253">
        <v>68</v>
      </c>
    </row>
    <row r="2254" spans="1:15">
      <c r="A2254" s="1">
        <v>46041</v>
      </c>
      <c r="B2254">
        <v>16</v>
      </c>
      <c r="C2254" t="s">
        <v>99</v>
      </c>
      <c r="D2254">
        <v>16</v>
      </c>
      <c r="E2254" s="2">
        <v>11</v>
      </c>
      <c r="F2254" s="2">
        <v>30.03</v>
      </c>
      <c r="G2254" s="2">
        <v>-21.94</v>
      </c>
      <c r="H2254" s="2">
        <v>13.66</v>
      </c>
      <c r="I2254" s="2">
        <v>-26.65</v>
      </c>
      <c r="J2254" s="2">
        <v>7.9</v>
      </c>
      <c r="K2254" s="2">
        <v>-7.19</v>
      </c>
      <c r="L2254" s="2">
        <v>10.68</v>
      </c>
      <c r="M2254" s="2">
        <v>0.74</v>
      </c>
      <c r="N2254" t="s">
        <v>274</v>
      </c>
      <c r="O2254">
        <v>68</v>
      </c>
    </row>
    <row r="2255" spans="1:15">
      <c r="A2255" s="1">
        <v>46041</v>
      </c>
      <c r="B2255">
        <v>16</v>
      </c>
      <c r="C2255" t="s">
        <v>99</v>
      </c>
      <c r="D2255">
        <v>16</v>
      </c>
      <c r="E2255" s="2">
        <v>11.5</v>
      </c>
      <c r="F2255" s="2">
        <v>-48.35</v>
      </c>
      <c r="G2255" s="2">
        <v>51.34</v>
      </c>
      <c r="H2255" s="2">
        <v>0.99</v>
      </c>
      <c r="I2255" s="2">
        <v>-6.27</v>
      </c>
      <c r="J2255" s="2">
        <v>8.34</v>
      </c>
      <c r="K2255" s="2">
        <v>-7.67</v>
      </c>
      <c r="L2255" s="2">
        <v>11.33</v>
      </c>
      <c r="M2255" s="2">
        <v>0.82</v>
      </c>
      <c r="N2255" t="s">
        <v>274</v>
      </c>
      <c r="O2255">
        <v>68</v>
      </c>
    </row>
    <row r="2256" spans="1:15">
      <c r="A2256" s="1">
        <v>46041</v>
      </c>
      <c r="B2256">
        <v>16</v>
      </c>
      <c r="C2256" t="s">
        <v>99</v>
      </c>
      <c r="D2256">
        <v>16</v>
      </c>
      <c r="E2256" s="2">
        <v>12</v>
      </c>
      <c r="F2256" s="2">
        <v>-62.53</v>
      </c>
      <c r="G2256" s="2">
        <v>72.87</v>
      </c>
      <c r="H2256" s="2">
        <v>17.55</v>
      </c>
      <c r="I2256" s="2">
        <v>-18.22</v>
      </c>
      <c r="J2256" s="2">
        <v>8.67</v>
      </c>
      <c r="K2256" s="2">
        <v>-7.73</v>
      </c>
      <c r="L2256" s="2">
        <v>11.61</v>
      </c>
      <c r="M2256" s="2">
        <v>0.95</v>
      </c>
      <c r="N2256" t="s">
        <v>274</v>
      </c>
      <c r="O2256">
        <v>68</v>
      </c>
    </row>
    <row r="2257" spans="1:15">
      <c r="A2257" s="1">
        <v>46041</v>
      </c>
      <c r="B2257">
        <v>16</v>
      </c>
      <c r="C2257" t="s">
        <v>99</v>
      </c>
      <c r="D2257">
        <v>16</v>
      </c>
      <c r="E2257" s="2">
        <v>12.5</v>
      </c>
      <c r="F2257" s="2">
        <v>-28.75</v>
      </c>
      <c r="G2257" s="2">
        <v>43.26</v>
      </c>
      <c r="H2257" s="2">
        <v>26.04</v>
      </c>
      <c r="I2257" s="2">
        <v>-20.11</v>
      </c>
      <c r="J2257" s="2">
        <v>8.9499999999999993</v>
      </c>
      <c r="K2257" s="2">
        <v>-7.68</v>
      </c>
      <c r="L2257" s="2">
        <v>11.79</v>
      </c>
      <c r="M2257" s="2">
        <v>1.06</v>
      </c>
      <c r="N2257" t="s">
        <v>274</v>
      </c>
      <c r="O2257">
        <v>68</v>
      </c>
    </row>
    <row r="2258" spans="1:15">
      <c r="A2258" s="1">
        <v>46041</v>
      </c>
      <c r="B2258">
        <v>16</v>
      </c>
      <c r="C2258" t="s">
        <v>99</v>
      </c>
      <c r="D2258">
        <v>16</v>
      </c>
      <c r="E2258" s="2">
        <v>13</v>
      </c>
      <c r="F2258" s="2">
        <v>-92.41</v>
      </c>
      <c r="G2258" s="2">
        <v>99</v>
      </c>
      <c r="H2258" s="2">
        <v>-23.79</v>
      </c>
      <c r="I2258" s="2">
        <v>40.090000000000003</v>
      </c>
      <c r="J2258" s="2">
        <v>9.08</v>
      </c>
      <c r="K2258" s="2">
        <v>-7.45</v>
      </c>
      <c r="L2258" s="2">
        <v>11.74</v>
      </c>
      <c r="M2258" s="2">
        <v>1.1399999999999999</v>
      </c>
      <c r="N2258" t="s">
        <v>274</v>
      </c>
      <c r="O2258">
        <v>68</v>
      </c>
    </row>
    <row r="2259" spans="1:15">
      <c r="A2259" s="1">
        <v>46041</v>
      </c>
      <c r="B2259">
        <v>16</v>
      </c>
      <c r="C2259" t="s">
        <v>99</v>
      </c>
      <c r="D2259">
        <v>16</v>
      </c>
      <c r="E2259" s="2">
        <v>13.5</v>
      </c>
      <c r="F2259" s="2">
        <v>-261.16000000000003</v>
      </c>
      <c r="G2259" s="2">
        <v>271.82</v>
      </c>
      <c r="H2259" s="2">
        <v>-153.24</v>
      </c>
      <c r="I2259" s="2">
        <v>173.11</v>
      </c>
      <c r="J2259" s="2">
        <v>9.18</v>
      </c>
      <c r="K2259" s="2">
        <v>-7.29</v>
      </c>
      <c r="L2259" s="2">
        <v>11.72</v>
      </c>
      <c r="M2259" s="2">
        <v>1.1299999999999999</v>
      </c>
      <c r="N2259" t="s">
        <v>274</v>
      </c>
      <c r="O2259">
        <v>68</v>
      </c>
    </row>
    <row r="2260" spans="1:15">
      <c r="A2260" s="1">
        <v>46041</v>
      </c>
      <c r="B2260">
        <v>16</v>
      </c>
      <c r="C2260" t="s">
        <v>99</v>
      </c>
      <c r="D2260">
        <v>16</v>
      </c>
      <c r="E2260" s="2">
        <v>14</v>
      </c>
      <c r="F2260" s="2">
        <v>-278.51</v>
      </c>
      <c r="G2260" s="2">
        <v>289.06</v>
      </c>
      <c r="H2260" s="2">
        <v>-293.73</v>
      </c>
      <c r="I2260" s="2">
        <v>303.33999999999997</v>
      </c>
      <c r="J2260" s="2">
        <v>9.2100000000000009</v>
      </c>
      <c r="K2260" s="2">
        <v>-6.87</v>
      </c>
      <c r="L2260" s="2">
        <v>11.49</v>
      </c>
      <c r="M2260" s="2">
        <v>1.1200000000000001</v>
      </c>
      <c r="N2260" t="s">
        <v>274</v>
      </c>
      <c r="O2260">
        <v>68</v>
      </c>
    </row>
    <row r="2261" spans="1:15">
      <c r="A2261" s="1">
        <v>46041</v>
      </c>
      <c r="B2261">
        <v>16</v>
      </c>
      <c r="C2261" t="s">
        <v>99</v>
      </c>
      <c r="D2261">
        <v>16</v>
      </c>
      <c r="E2261" s="2">
        <v>14.5</v>
      </c>
      <c r="F2261" s="2">
        <v>-254.29</v>
      </c>
      <c r="G2261" s="2">
        <v>265.58</v>
      </c>
      <c r="H2261" s="2">
        <v>-252.76</v>
      </c>
      <c r="I2261" s="2">
        <v>263.3</v>
      </c>
      <c r="J2261" s="2">
        <v>9.56</v>
      </c>
      <c r="K2261" s="2">
        <v>-6.74</v>
      </c>
      <c r="L2261" s="2">
        <v>11.7</v>
      </c>
      <c r="M2261" s="2">
        <v>1.26</v>
      </c>
      <c r="N2261" t="s">
        <v>274</v>
      </c>
      <c r="O2261">
        <v>68</v>
      </c>
    </row>
    <row r="2262" spans="1:15">
      <c r="A2262" s="1">
        <v>46041</v>
      </c>
      <c r="B2262">
        <v>16</v>
      </c>
      <c r="C2262" t="s">
        <v>99</v>
      </c>
      <c r="D2262">
        <v>16</v>
      </c>
      <c r="E2262" s="2">
        <v>15</v>
      </c>
      <c r="F2262" s="2">
        <v>-227.48</v>
      </c>
      <c r="G2262" s="2">
        <v>240.17</v>
      </c>
      <c r="H2262" s="2">
        <v>-190.02</v>
      </c>
      <c r="I2262" s="2">
        <v>188.5</v>
      </c>
      <c r="J2262" s="2">
        <v>9.6300000000000008</v>
      </c>
      <c r="K2262" s="2">
        <v>-6.75</v>
      </c>
      <c r="L2262" s="2">
        <v>11.76</v>
      </c>
      <c r="M2262" s="2">
        <v>1.46</v>
      </c>
      <c r="N2262" t="s">
        <v>274</v>
      </c>
      <c r="O2262">
        <v>68</v>
      </c>
    </row>
    <row r="2263" spans="1:15">
      <c r="A2263" s="1">
        <v>46041</v>
      </c>
      <c r="B2263">
        <v>16</v>
      </c>
      <c r="C2263" t="s">
        <v>99</v>
      </c>
      <c r="D2263">
        <v>16</v>
      </c>
      <c r="E2263" s="2">
        <v>15.5</v>
      </c>
      <c r="F2263" s="2">
        <v>-159.27000000000001</v>
      </c>
      <c r="G2263" s="2">
        <v>167.3</v>
      </c>
      <c r="H2263" s="2">
        <v>-177.32</v>
      </c>
      <c r="I2263" s="2">
        <v>180.64</v>
      </c>
      <c r="J2263" s="2">
        <v>9.4700000000000006</v>
      </c>
      <c r="K2263" s="2">
        <v>-6.44</v>
      </c>
      <c r="L2263" s="2">
        <v>11.45</v>
      </c>
      <c r="M2263" s="2">
        <v>1.5</v>
      </c>
      <c r="N2263" t="s">
        <v>274</v>
      </c>
      <c r="O2263">
        <v>68</v>
      </c>
    </row>
    <row r="2264" spans="1:15">
      <c r="A2264" s="1">
        <v>46041</v>
      </c>
      <c r="B2264">
        <v>16</v>
      </c>
      <c r="C2264" t="s">
        <v>99</v>
      </c>
      <c r="D2264">
        <v>16</v>
      </c>
      <c r="E2264" s="2">
        <v>16</v>
      </c>
      <c r="F2264" s="2">
        <v>-74.010000000000005</v>
      </c>
      <c r="G2264" s="2">
        <v>84.1</v>
      </c>
      <c r="H2264" s="2">
        <v>-161.93</v>
      </c>
      <c r="I2264" s="2">
        <v>165</v>
      </c>
      <c r="J2264" s="2">
        <v>9.41</v>
      </c>
      <c r="K2264" s="2">
        <v>-6.21</v>
      </c>
      <c r="L2264" s="2">
        <v>11.28</v>
      </c>
      <c r="M2264" s="2">
        <v>1.43</v>
      </c>
      <c r="N2264" t="s">
        <v>274</v>
      </c>
      <c r="O2264">
        <v>68</v>
      </c>
    </row>
    <row r="2265" spans="1:15">
      <c r="A2265" s="1">
        <v>46041</v>
      </c>
      <c r="B2265">
        <v>16</v>
      </c>
      <c r="C2265" t="s">
        <v>99</v>
      </c>
      <c r="D2265">
        <v>16</v>
      </c>
      <c r="E2265" s="2">
        <v>16.5</v>
      </c>
      <c r="F2265" s="2">
        <v>108.79</v>
      </c>
      <c r="G2265" s="2">
        <v>-96.08</v>
      </c>
      <c r="H2265" s="2">
        <v>-105.38</v>
      </c>
      <c r="I2265" s="2">
        <v>117.82</v>
      </c>
      <c r="J2265" s="2">
        <v>9.32</v>
      </c>
      <c r="K2265" s="2">
        <v>-6.02</v>
      </c>
      <c r="L2265" s="2">
        <v>11.1</v>
      </c>
      <c r="M2265" s="2">
        <v>1.38</v>
      </c>
      <c r="N2265" t="s">
        <v>274</v>
      </c>
      <c r="O2265">
        <v>68</v>
      </c>
    </row>
    <row r="2266" spans="1:15">
      <c r="A2266" s="1">
        <v>46041</v>
      </c>
      <c r="B2266">
        <v>16</v>
      </c>
      <c r="C2266" t="s">
        <v>99</v>
      </c>
      <c r="D2266">
        <v>16</v>
      </c>
      <c r="E2266" s="2">
        <v>17</v>
      </c>
      <c r="F2266" s="2">
        <v>257.57</v>
      </c>
      <c r="G2266" s="2">
        <v>-245.24</v>
      </c>
      <c r="H2266" s="2">
        <v>-45.96</v>
      </c>
      <c r="I2266" s="2">
        <v>47.25</v>
      </c>
      <c r="J2266" s="2">
        <v>9.16</v>
      </c>
      <c r="K2266" s="2">
        <v>-6.05</v>
      </c>
      <c r="L2266" s="2">
        <v>10.98</v>
      </c>
      <c r="M2266" s="2">
        <v>1.34</v>
      </c>
      <c r="N2266" t="s">
        <v>274</v>
      </c>
      <c r="O2266">
        <v>68</v>
      </c>
    </row>
    <row r="2267" spans="1:15">
      <c r="A2267" s="1">
        <v>46041</v>
      </c>
      <c r="B2267">
        <v>16</v>
      </c>
      <c r="C2267" t="s">
        <v>99</v>
      </c>
      <c r="D2267">
        <v>16</v>
      </c>
      <c r="E2267" s="2">
        <v>17.5</v>
      </c>
      <c r="F2267" s="2">
        <v>308.73</v>
      </c>
      <c r="G2267" s="2">
        <v>-300.41000000000003</v>
      </c>
      <c r="H2267" s="2">
        <v>-59.8</v>
      </c>
      <c r="I2267" s="2">
        <v>53.65</v>
      </c>
      <c r="J2267" s="2">
        <v>8.7100000000000009</v>
      </c>
      <c r="K2267" s="2">
        <v>-5.52</v>
      </c>
      <c r="L2267" s="2">
        <v>10.31</v>
      </c>
      <c r="M2267" s="2">
        <v>1.1599999999999999</v>
      </c>
      <c r="N2267" t="s">
        <v>274</v>
      </c>
      <c r="O2267">
        <v>68</v>
      </c>
    </row>
    <row r="2268" spans="1:15">
      <c r="A2268" s="1">
        <v>46041</v>
      </c>
      <c r="B2268">
        <v>16</v>
      </c>
      <c r="C2268" t="s">
        <v>99</v>
      </c>
      <c r="D2268">
        <v>16</v>
      </c>
      <c r="E2268" s="2">
        <v>18</v>
      </c>
      <c r="F2268" s="2">
        <v>397.43</v>
      </c>
      <c r="G2268" s="2">
        <v>-385.38</v>
      </c>
      <c r="H2268" s="2">
        <v>-78.12</v>
      </c>
      <c r="I2268" s="2">
        <v>93.8</v>
      </c>
      <c r="J2268" s="2">
        <v>8.24</v>
      </c>
      <c r="K2268" s="2">
        <v>-5.09</v>
      </c>
      <c r="L2268" s="2">
        <v>9.69</v>
      </c>
      <c r="M2268" s="2">
        <v>1</v>
      </c>
      <c r="N2268" t="s">
        <v>274</v>
      </c>
      <c r="O2268">
        <v>68</v>
      </c>
    </row>
    <row r="2269" spans="1:15">
      <c r="A2269" s="1">
        <v>46041</v>
      </c>
      <c r="B2269">
        <v>16</v>
      </c>
      <c r="C2269" t="s">
        <v>99</v>
      </c>
      <c r="D2269">
        <v>16</v>
      </c>
      <c r="E2269" s="2">
        <v>18.5</v>
      </c>
      <c r="F2269" s="2">
        <v>428.5</v>
      </c>
      <c r="G2269" s="2">
        <v>-420.05</v>
      </c>
      <c r="H2269" s="2">
        <v>-93.28</v>
      </c>
      <c r="I2269" s="2">
        <v>109.35</v>
      </c>
      <c r="J2269" s="2">
        <v>8.25</v>
      </c>
      <c r="K2269" s="2">
        <v>-4.66</v>
      </c>
      <c r="L2269" s="2">
        <v>9.4700000000000006</v>
      </c>
      <c r="M2269" s="2">
        <v>0.83</v>
      </c>
      <c r="N2269" t="s">
        <v>274</v>
      </c>
      <c r="O2269">
        <v>68</v>
      </c>
    </row>
    <row r="2270" spans="1:15">
      <c r="A2270" s="1">
        <v>46041</v>
      </c>
      <c r="B2270">
        <v>16</v>
      </c>
      <c r="C2270" t="s">
        <v>99</v>
      </c>
      <c r="D2270">
        <v>16</v>
      </c>
      <c r="E2270" s="2">
        <v>19</v>
      </c>
      <c r="F2270" s="2">
        <v>418.88</v>
      </c>
      <c r="G2270" s="2">
        <v>-412.26</v>
      </c>
      <c r="H2270" s="2">
        <v>-96.03</v>
      </c>
      <c r="I2270" s="2">
        <v>96.4</v>
      </c>
      <c r="J2270" s="2">
        <v>7.97</v>
      </c>
      <c r="K2270" s="2">
        <v>-4.29</v>
      </c>
      <c r="L2270" s="2">
        <v>9.0500000000000007</v>
      </c>
      <c r="M2270" s="2">
        <v>0.66</v>
      </c>
      <c r="N2270" t="s">
        <v>274</v>
      </c>
      <c r="O2270">
        <v>68</v>
      </c>
    </row>
    <row r="2271" spans="1:15">
      <c r="A2271" s="1">
        <v>46041</v>
      </c>
      <c r="B2271">
        <v>16</v>
      </c>
      <c r="C2271" t="s">
        <v>99</v>
      </c>
      <c r="D2271">
        <v>16</v>
      </c>
      <c r="E2271" s="2">
        <v>19.5</v>
      </c>
      <c r="F2271" s="2">
        <v>311.82</v>
      </c>
      <c r="G2271" s="2">
        <v>-308.45</v>
      </c>
      <c r="H2271" s="2">
        <v>-39.549999999999997</v>
      </c>
      <c r="I2271" s="2">
        <v>50.26</v>
      </c>
      <c r="J2271" s="2">
        <v>7.23</v>
      </c>
      <c r="K2271" s="2">
        <v>-3.71</v>
      </c>
      <c r="L2271" s="2">
        <v>8.1199999999999992</v>
      </c>
      <c r="M2271" s="2">
        <v>0.51</v>
      </c>
      <c r="N2271" t="s">
        <v>274</v>
      </c>
      <c r="O2271">
        <v>68</v>
      </c>
    </row>
    <row r="2272" spans="1:15">
      <c r="A2272" s="1">
        <v>46041</v>
      </c>
      <c r="B2272">
        <v>16</v>
      </c>
      <c r="C2272" t="s">
        <v>99</v>
      </c>
      <c r="D2272">
        <v>16</v>
      </c>
      <c r="E2272" s="2">
        <v>20</v>
      </c>
      <c r="F2272" s="2">
        <v>173.29</v>
      </c>
      <c r="G2272" s="2">
        <v>-165.6</v>
      </c>
      <c r="H2272" s="2">
        <v>10.54</v>
      </c>
      <c r="I2272" s="2">
        <v>5.75</v>
      </c>
      <c r="J2272" s="2">
        <v>6.82</v>
      </c>
      <c r="K2272" s="2">
        <v>-3.59</v>
      </c>
      <c r="L2272" s="2">
        <v>7.71</v>
      </c>
      <c r="M2272" s="2">
        <v>0.46</v>
      </c>
      <c r="N2272" t="s">
        <v>274</v>
      </c>
      <c r="O2272">
        <v>68</v>
      </c>
    </row>
    <row r="2273" spans="1:15">
      <c r="A2273" s="1">
        <v>46041</v>
      </c>
      <c r="B2273">
        <v>16</v>
      </c>
      <c r="C2273" t="s">
        <v>99</v>
      </c>
      <c r="D2273">
        <v>16</v>
      </c>
      <c r="E2273" s="2">
        <v>20.5</v>
      </c>
      <c r="F2273" s="2">
        <v>136.34</v>
      </c>
      <c r="G2273" s="2">
        <v>-130.54</v>
      </c>
      <c r="H2273" s="2">
        <v>5.45</v>
      </c>
      <c r="I2273" s="2">
        <v>6.13</v>
      </c>
      <c r="J2273" s="2">
        <v>6.23</v>
      </c>
      <c r="K2273" s="2">
        <v>-3.22</v>
      </c>
      <c r="L2273" s="2">
        <v>7.01</v>
      </c>
      <c r="M2273" s="2">
        <v>0.37</v>
      </c>
      <c r="N2273" t="s">
        <v>274</v>
      </c>
      <c r="O2273">
        <v>68</v>
      </c>
    </row>
    <row r="2274" spans="1:15">
      <c r="A2274" s="1">
        <v>46041</v>
      </c>
      <c r="B2274">
        <v>16</v>
      </c>
      <c r="C2274" t="s">
        <v>99</v>
      </c>
      <c r="D2274">
        <v>16</v>
      </c>
      <c r="E2274" s="2">
        <v>21</v>
      </c>
      <c r="F2274" s="2">
        <v>103.74</v>
      </c>
      <c r="G2274" s="2">
        <v>-91.87</v>
      </c>
      <c r="H2274" s="2">
        <v>3.26</v>
      </c>
      <c r="I2274" s="2">
        <v>11.95</v>
      </c>
      <c r="J2274" s="2">
        <v>5.66</v>
      </c>
      <c r="K2274" s="2">
        <v>-2.84</v>
      </c>
      <c r="L2274" s="2">
        <v>6.33</v>
      </c>
      <c r="M2274" s="2">
        <v>0.26</v>
      </c>
      <c r="N2274" t="s">
        <v>274</v>
      </c>
      <c r="O2274">
        <v>68</v>
      </c>
    </row>
    <row r="2275" spans="1:15">
      <c r="A2275" s="1">
        <v>46041</v>
      </c>
      <c r="B2275">
        <v>16</v>
      </c>
      <c r="C2275" t="s">
        <v>99</v>
      </c>
      <c r="D2275">
        <v>16</v>
      </c>
      <c r="E2275" s="2">
        <v>21.5</v>
      </c>
      <c r="F2275" s="2">
        <v>-27.13</v>
      </c>
      <c r="G2275" s="2">
        <v>32.78</v>
      </c>
      <c r="H2275" s="2">
        <v>-11.46</v>
      </c>
      <c r="I2275" s="2">
        <v>15.65</v>
      </c>
      <c r="J2275" s="2">
        <v>5.1100000000000003</v>
      </c>
      <c r="K2275" s="2">
        <v>-2.74</v>
      </c>
      <c r="L2275" s="2">
        <v>5.8</v>
      </c>
      <c r="M2275" s="2">
        <v>0.22</v>
      </c>
      <c r="N2275" t="s">
        <v>274</v>
      </c>
      <c r="O2275">
        <v>68</v>
      </c>
    </row>
    <row r="2276" spans="1:15">
      <c r="A2276" s="1">
        <v>46041</v>
      </c>
      <c r="B2276">
        <v>16</v>
      </c>
      <c r="C2276" t="s">
        <v>99</v>
      </c>
      <c r="D2276">
        <v>16</v>
      </c>
      <c r="E2276" s="2">
        <v>22</v>
      </c>
      <c r="F2276" s="2">
        <v>-73.87</v>
      </c>
      <c r="G2276" s="2">
        <v>80.819999999999993</v>
      </c>
      <c r="H2276" s="2">
        <v>2.33</v>
      </c>
      <c r="I2276" s="2">
        <v>16.62</v>
      </c>
      <c r="J2276" s="2">
        <v>4.74</v>
      </c>
      <c r="K2276" s="2">
        <v>-2.37</v>
      </c>
      <c r="L2276" s="2">
        <v>5.29</v>
      </c>
      <c r="M2276" s="2">
        <v>0.19</v>
      </c>
      <c r="N2276" t="s">
        <v>274</v>
      </c>
      <c r="O2276">
        <v>68</v>
      </c>
    </row>
    <row r="2277" spans="1:15">
      <c r="A2277" s="1">
        <v>46041</v>
      </c>
      <c r="B2277">
        <v>16</v>
      </c>
      <c r="C2277" t="s">
        <v>99</v>
      </c>
      <c r="D2277">
        <v>16</v>
      </c>
      <c r="E2277" s="2">
        <v>22.5</v>
      </c>
      <c r="F2277" s="2">
        <v>-61.29</v>
      </c>
      <c r="G2277" s="2">
        <v>70.55</v>
      </c>
      <c r="H2277" s="2">
        <v>-86.6</v>
      </c>
      <c r="I2277" s="2">
        <v>113.12</v>
      </c>
      <c r="J2277" s="2">
        <v>4.3099999999999996</v>
      </c>
      <c r="K2277" s="2">
        <v>-2.0699999999999998</v>
      </c>
      <c r="L2277" s="2">
        <v>4.78</v>
      </c>
      <c r="M2277" s="2">
        <v>0.13</v>
      </c>
      <c r="N2277" t="s">
        <v>274</v>
      </c>
      <c r="O2277">
        <v>68</v>
      </c>
    </row>
    <row r="2278" spans="1:15">
      <c r="A2278" s="1">
        <v>46041</v>
      </c>
      <c r="B2278">
        <v>16</v>
      </c>
      <c r="C2278" t="s">
        <v>99</v>
      </c>
      <c r="D2278">
        <v>16</v>
      </c>
      <c r="E2278" s="2">
        <v>23</v>
      </c>
      <c r="F2278" s="2">
        <v>-73.849999999999994</v>
      </c>
      <c r="G2278" s="2">
        <v>77.95</v>
      </c>
      <c r="H2278" s="2">
        <v>-151.21</v>
      </c>
      <c r="I2278" s="2">
        <v>156.30000000000001</v>
      </c>
      <c r="J2278" s="2">
        <v>3.85</v>
      </c>
      <c r="K2278" s="2">
        <v>-1.51</v>
      </c>
      <c r="L2278" s="2">
        <v>4.1399999999999997</v>
      </c>
      <c r="M2278" s="2">
        <v>0.05</v>
      </c>
      <c r="N2278" t="s">
        <v>274</v>
      </c>
      <c r="O2278">
        <v>68</v>
      </c>
    </row>
    <row r="2279" spans="1:15">
      <c r="A2279" s="1">
        <v>46041</v>
      </c>
      <c r="B2279">
        <v>16</v>
      </c>
      <c r="C2279" t="s">
        <v>99</v>
      </c>
      <c r="D2279">
        <v>16</v>
      </c>
      <c r="E2279" s="2">
        <v>23.5</v>
      </c>
      <c r="F2279" s="2">
        <v>-133.78</v>
      </c>
      <c r="G2279" s="2">
        <v>145.21</v>
      </c>
      <c r="H2279" s="2">
        <v>-183.84</v>
      </c>
      <c r="I2279" s="2">
        <v>208.35</v>
      </c>
      <c r="J2279" s="2">
        <v>3.41</v>
      </c>
      <c r="K2279" s="2">
        <v>-1.24</v>
      </c>
      <c r="L2279" s="2">
        <v>3.63</v>
      </c>
      <c r="M2279" s="2">
        <v>0.01</v>
      </c>
      <c r="N2279" t="s">
        <v>274</v>
      </c>
      <c r="O2279">
        <v>68</v>
      </c>
    </row>
    <row r="2280" spans="1:15">
      <c r="A2280" s="1">
        <v>46041</v>
      </c>
      <c r="B2280">
        <v>16</v>
      </c>
      <c r="C2280" t="s">
        <v>99</v>
      </c>
      <c r="D2280">
        <v>16</v>
      </c>
      <c r="E2280" s="2">
        <v>24</v>
      </c>
      <c r="F2280" s="2">
        <v>-169.02</v>
      </c>
      <c r="G2280" s="2">
        <v>177.45</v>
      </c>
      <c r="H2280" s="2">
        <v>-238.35</v>
      </c>
      <c r="I2280" s="2">
        <v>252.77</v>
      </c>
      <c r="J2280" s="2">
        <v>3.14</v>
      </c>
      <c r="K2280" s="2">
        <v>-1.06</v>
      </c>
      <c r="L2280" s="2">
        <v>3.31</v>
      </c>
      <c r="M2280" s="2">
        <v>0.01</v>
      </c>
      <c r="N2280" t="s">
        <v>274</v>
      </c>
      <c r="O2280">
        <v>68</v>
      </c>
    </row>
    <row r="2281" spans="1:15">
      <c r="A2281" s="1">
        <v>46041</v>
      </c>
      <c r="B2281">
        <v>16</v>
      </c>
      <c r="C2281" t="s">
        <v>99</v>
      </c>
      <c r="D2281">
        <v>16</v>
      </c>
      <c r="E2281" s="2">
        <v>24.5</v>
      </c>
      <c r="F2281" s="2">
        <v>-68.87</v>
      </c>
      <c r="G2281" s="2">
        <v>71.8</v>
      </c>
      <c r="H2281" s="2">
        <v>-246.84</v>
      </c>
      <c r="I2281" s="2">
        <v>236.27</v>
      </c>
      <c r="J2281" s="2">
        <v>2.79</v>
      </c>
      <c r="K2281" s="2">
        <v>-0.71</v>
      </c>
      <c r="L2281" s="2">
        <v>2.88</v>
      </c>
      <c r="M2281" s="2">
        <v>-0.06</v>
      </c>
      <c r="N2281" t="s">
        <v>274</v>
      </c>
      <c r="O2281">
        <v>68</v>
      </c>
    </row>
    <row r="2282" spans="1:15">
      <c r="A2282" s="1">
        <v>46041</v>
      </c>
      <c r="B2282">
        <v>16</v>
      </c>
      <c r="C2282" t="s">
        <v>99</v>
      </c>
      <c r="D2282">
        <v>16</v>
      </c>
      <c r="E2282" s="2">
        <v>25</v>
      </c>
      <c r="F2282" s="2">
        <v>24.2</v>
      </c>
      <c r="G2282" s="2">
        <v>-17.73</v>
      </c>
      <c r="H2282" s="2">
        <v>-229.74</v>
      </c>
      <c r="I2282" s="2">
        <v>221.35</v>
      </c>
      <c r="J2282" s="2">
        <v>2.33</v>
      </c>
      <c r="K2282" s="2">
        <v>-0.72</v>
      </c>
      <c r="L2282" s="2">
        <v>2.44</v>
      </c>
      <c r="M2282" s="2">
        <v>-0.09</v>
      </c>
      <c r="N2282" t="s">
        <v>274</v>
      </c>
      <c r="O2282">
        <v>68</v>
      </c>
    </row>
    <row r="2283" spans="1:15">
      <c r="A2283" s="1">
        <v>46041</v>
      </c>
      <c r="B2283">
        <v>16</v>
      </c>
      <c r="C2283" t="s">
        <v>99</v>
      </c>
      <c r="D2283">
        <v>16</v>
      </c>
      <c r="E2283" s="2">
        <v>25.5</v>
      </c>
      <c r="F2283" s="2">
        <v>83.72</v>
      </c>
      <c r="G2283" s="2">
        <v>-78.05</v>
      </c>
      <c r="H2283" s="2">
        <v>-175.86</v>
      </c>
      <c r="I2283" s="2">
        <v>195.84</v>
      </c>
      <c r="J2283" s="2">
        <v>1.8</v>
      </c>
      <c r="K2283" s="2">
        <v>-0.54</v>
      </c>
      <c r="L2283" s="2">
        <v>1.88</v>
      </c>
      <c r="M2283" s="2">
        <v>-0.06</v>
      </c>
      <c r="N2283" t="s">
        <v>274</v>
      </c>
      <c r="O2283">
        <v>68</v>
      </c>
    </row>
    <row r="2284" spans="1:15">
      <c r="A2284" s="1">
        <v>46041</v>
      </c>
      <c r="B2284">
        <v>16</v>
      </c>
      <c r="C2284" t="s">
        <v>99</v>
      </c>
      <c r="D2284">
        <v>16</v>
      </c>
      <c r="E2284" s="2">
        <v>26</v>
      </c>
      <c r="F2284" s="2">
        <v>128.99</v>
      </c>
      <c r="G2284" s="2">
        <v>-121.73</v>
      </c>
      <c r="H2284" s="2">
        <v>-226.17</v>
      </c>
      <c r="I2284" s="2">
        <v>248.67</v>
      </c>
      <c r="J2284" s="2">
        <v>1.36</v>
      </c>
      <c r="K2284" s="2">
        <v>0</v>
      </c>
      <c r="L2284" s="2">
        <v>1.36</v>
      </c>
      <c r="M2284" s="2">
        <v>0</v>
      </c>
      <c r="N2284" t="s">
        <v>274</v>
      </c>
      <c r="O2284">
        <v>68</v>
      </c>
    </row>
    <row r="2285" spans="1:15">
      <c r="A2285" s="1">
        <v>46041</v>
      </c>
      <c r="B2285">
        <v>16</v>
      </c>
      <c r="C2285" t="s">
        <v>99</v>
      </c>
      <c r="D2285">
        <v>16</v>
      </c>
      <c r="E2285" s="2">
        <v>26.5</v>
      </c>
      <c r="F2285" s="2">
        <v>118.05</v>
      </c>
      <c r="G2285" s="2">
        <v>-112.12</v>
      </c>
      <c r="H2285" s="2">
        <v>-241.81</v>
      </c>
      <c r="I2285" s="2">
        <v>285.18</v>
      </c>
      <c r="J2285" s="2">
        <v>0.89</v>
      </c>
      <c r="K2285" s="2">
        <v>0.19</v>
      </c>
      <c r="L2285" s="2">
        <v>0.91</v>
      </c>
      <c r="M2285" s="2">
        <v>0.05</v>
      </c>
      <c r="N2285" t="s">
        <v>274</v>
      </c>
      <c r="O2285">
        <v>68</v>
      </c>
    </row>
    <row r="2286" spans="1:15">
      <c r="A2286" s="1">
        <v>46041</v>
      </c>
      <c r="B2286">
        <v>16</v>
      </c>
      <c r="C2286" t="s">
        <v>100</v>
      </c>
      <c r="D2286">
        <v>15</v>
      </c>
      <c r="E2286" s="2">
        <v>0.5</v>
      </c>
      <c r="F2286" s="2">
        <v>421.68</v>
      </c>
      <c r="G2286" s="2">
        <v>-421.01</v>
      </c>
      <c r="H2286" s="2">
        <v>480.39</v>
      </c>
      <c r="I2286" s="2">
        <v>-464.3</v>
      </c>
      <c r="J2286" s="2">
        <v>2.37</v>
      </c>
      <c r="K2286" s="2">
        <v>1.07</v>
      </c>
      <c r="L2286" s="2">
        <v>2.6</v>
      </c>
      <c r="M2286" s="2">
        <v>-7.0000000000000007E-2</v>
      </c>
      <c r="N2286" t="s">
        <v>274</v>
      </c>
      <c r="O2286">
        <v>98</v>
      </c>
    </row>
    <row r="2287" spans="1:15">
      <c r="A2287" s="1">
        <v>46041</v>
      </c>
      <c r="B2287">
        <v>16</v>
      </c>
      <c r="C2287" t="s">
        <v>100</v>
      </c>
      <c r="D2287">
        <v>15</v>
      </c>
      <c r="E2287" s="2">
        <v>1</v>
      </c>
      <c r="F2287" s="2">
        <v>423.11</v>
      </c>
      <c r="G2287" s="2">
        <v>-414.33</v>
      </c>
      <c r="H2287" s="2">
        <v>480.56</v>
      </c>
      <c r="I2287" s="2">
        <v>-478.73</v>
      </c>
      <c r="J2287" s="2">
        <v>2.82</v>
      </c>
      <c r="K2287" s="2">
        <v>0.75</v>
      </c>
      <c r="L2287" s="2">
        <v>2.92</v>
      </c>
      <c r="M2287" s="2">
        <v>0.05</v>
      </c>
      <c r="N2287" t="s">
        <v>274</v>
      </c>
      <c r="O2287">
        <v>98</v>
      </c>
    </row>
    <row r="2288" spans="1:15">
      <c r="A2288" s="1">
        <v>46041</v>
      </c>
      <c r="B2288">
        <v>16</v>
      </c>
      <c r="C2288" t="s">
        <v>100</v>
      </c>
      <c r="D2288">
        <v>15</v>
      </c>
      <c r="E2288" s="2">
        <v>1.5</v>
      </c>
      <c r="F2288" s="2">
        <v>463.67</v>
      </c>
      <c r="G2288" s="2">
        <v>-459.85</v>
      </c>
      <c r="H2288" s="2">
        <v>409.84</v>
      </c>
      <c r="I2288" s="2">
        <v>-404.77</v>
      </c>
      <c r="J2288" s="2">
        <v>3.21</v>
      </c>
      <c r="K2288" s="2">
        <v>0.61</v>
      </c>
      <c r="L2288" s="2">
        <v>3.27</v>
      </c>
      <c r="M2288" s="2">
        <v>0.14000000000000001</v>
      </c>
      <c r="N2288" t="s">
        <v>274</v>
      </c>
      <c r="O2288">
        <v>98</v>
      </c>
    </row>
    <row r="2289" spans="1:15">
      <c r="A2289" s="1">
        <v>46041</v>
      </c>
      <c r="B2289">
        <v>16</v>
      </c>
      <c r="C2289" t="s">
        <v>100</v>
      </c>
      <c r="D2289">
        <v>15</v>
      </c>
      <c r="E2289" s="2">
        <v>2</v>
      </c>
      <c r="F2289" s="2">
        <v>531.45000000000005</v>
      </c>
      <c r="G2289" s="2">
        <v>-527.21</v>
      </c>
      <c r="H2289" s="2">
        <v>228.79</v>
      </c>
      <c r="I2289" s="2">
        <v>-221.31</v>
      </c>
      <c r="J2289" s="2">
        <v>3.87</v>
      </c>
      <c r="K2289" s="2">
        <v>0.54</v>
      </c>
      <c r="L2289" s="2">
        <v>3.9</v>
      </c>
      <c r="M2289" s="2">
        <v>0.18</v>
      </c>
      <c r="N2289" t="s">
        <v>274</v>
      </c>
      <c r="O2289">
        <v>98</v>
      </c>
    </row>
    <row r="2290" spans="1:15">
      <c r="A2290" s="1">
        <v>46041</v>
      </c>
      <c r="B2290">
        <v>16</v>
      </c>
      <c r="C2290" t="s">
        <v>100</v>
      </c>
      <c r="D2290">
        <v>15</v>
      </c>
      <c r="E2290" s="2">
        <v>2.5</v>
      </c>
      <c r="F2290" s="2">
        <v>483.55</v>
      </c>
      <c r="G2290" s="2">
        <v>-479.45</v>
      </c>
      <c r="H2290" s="2">
        <v>122.01</v>
      </c>
      <c r="I2290" s="2">
        <v>-105.02</v>
      </c>
      <c r="J2290" s="2">
        <v>4.79</v>
      </c>
      <c r="K2290" s="2">
        <v>0.17</v>
      </c>
      <c r="L2290" s="2">
        <v>4.8</v>
      </c>
      <c r="M2290" s="2">
        <v>0.25</v>
      </c>
      <c r="N2290" t="s">
        <v>274</v>
      </c>
      <c r="O2290">
        <v>98</v>
      </c>
    </row>
    <row r="2291" spans="1:15">
      <c r="A2291" s="1">
        <v>46041</v>
      </c>
      <c r="B2291">
        <v>16</v>
      </c>
      <c r="C2291" t="s">
        <v>100</v>
      </c>
      <c r="D2291">
        <v>15</v>
      </c>
      <c r="E2291" s="2">
        <v>3</v>
      </c>
      <c r="F2291" s="2">
        <v>435.94</v>
      </c>
      <c r="G2291" s="2">
        <v>-430.81</v>
      </c>
      <c r="H2291" s="2">
        <v>-5.0999999999999996</v>
      </c>
      <c r="I2291" s="2">
        <v>18.95</v>
      </c>
      <c r="J2291" s="2">
        <v>5.68</v>
      </c>
      <c r="K2291" s="2">
        <v>-0.12</v>
      </c>
      <c r="L2291" s="2">
        <v>5.68</v>
      </c>
      <c r="M2291" s="2">
        <v>0.28000000000000003</v>
      </c>
      <c r="N2291" t="s">
        <v>274</v>
      </c>
      <c r="O2291">
        <v>98</v>
      </c>
    </row>
    <row r="2292" spans="1:15">
      <c r="A2292" s="1">
        <v>46041</v>
      </c>
      <c r="B2292">
        <v>16</v>
      </c>
      <c r="C2292" t="s">
        <v>100</v>
      </c>
      <c r="D2292">
        <v>15</v>
      </c>
      <c r="E2292" s="2">
        <v>3.5</v>
      </c>
      <c r="F2292" s="2">
        <v>391.52</v>
      </c>
      <c r="G2292" s="2">
        <v>-387.95</v>
      </c>
      <c r="H2292" s="2">
        <v>-77.08</v>
      </c>
      <c r="I2292" s="2">
        <v>90.68</v>
      </c>
      <c r="J2292" s="2">
        <v>6.68</v>
      </c>
      <c r="K2292" s="2">
        <v>-0.28999999999999998</v>
      </c>
      <c r="L2292" s="2">
        <v>6.69</v>
      </c>
      <c r="M2292" s="2">
        <v>0.28000000000000003</v>
      </c>
      <c r="N2292" t="s">
        <v>274</v>
      </c>
      <c r="O2292">
        <v>98</v>
      </c>
    </row>
    <row r="2293" spans="1:15">
      <c r="A2293" s="1">
        <v>46041</v>
      </c>
      <c r="B2293">
        <v>16</v>
      </c>
      <c r="C2293" t="s">
        <v>100</v>
      </c>
      <c r="D2293">
        <v>15</v>
      </c>
      <c r="E2293" s="2">
        <v>4</v>
      </c>
      <c r="F2293" s="2">
        <v>386.13</v>
      </c>
      <c r="G2293" s="2">
        <v>-380.97</v>
      </c>
      <c r="H2293" s="2">
        <v>-100.42</v>
      </c>
      <c r="I2293" s="2">
        <v>119.43</v>
      </c>
      <c r="J2293" s="2">
        <v>7.59</v>
      </c>
      <c r="K2293" s="2">
        <v>0</v>
      </c>
      <c r="L2293" s="2">
        <v>7.59</v>
      </c>
      <c r="M2293" s="2">
        <v>0.3</v>
      </c>
      <c r="N2293" t="s">
        <v>274</v>
      </c>
      <c r="O2293">
        <v>98</v>
      </c>
    </row>
    <row r="2294" spans="1:15">
      <c r="A2294" s="1">
        <v>46041</v>
      </c>
      <c r="B2294">
        <v>16</v>
      </c>
      <c r="C2294" t="s">
        <v>100</v>
      </c>
      <c r="D2294">
        <v>15</v>
      </c>
      <c r="E2294" s="2">
        <v>4.5</v>
      </c>
      <c r="F2294" s="2">
        <v>390.67</v>
      </c>
      <c r="G2294" s="2">
        <v>-383.18</v>
      </c>
      <c r="H2294" s="2">
        <v>-106.62</v>
      </c>
      <c r="I2294" s="2">
        <v>124.99</v>
      </c>
      <c r="J2294" s="2">
        <v>8.64</v>
      </c>
      <c r="K2294" s="2">
        <v>0.08</v>
      </c>
      <c r="L2294" s="2">
        <v>8.64</v>
      </c>
      <c r="M2294" s="2">
        <v>0.33</v>
      </c>
      <c r="N2294" t="s">
        <v>274</v>
      </c>
      <c r="O2294">
        <v>98</v>
      </c>
    </row>
    <row r="2295" spans="1:15">
      <c r="A2295" s="1">
        <v>46041</v>
      </c>
      <c r="B2295">
        <v>16</v>
      </c>
      <c r="C2295" t="s">
        <v>100</v>
      </c>
      <c r="D2295">
        <v>15</v>
      </c>
      <c r="E2295" s="2">
        <v>5</v>
      </c>
      <c r="F2295" s="2">
        <v>296.42</v>
      </c>
      <c r="G2295" s="2">
        <v>-291.61</v>
      </c>
      <c r="H2295" s="2">
        <v>-68.02</v>
      </c>
      <c r="I2295" s="2">
        <v>84.38</v>
      </c>
      <c r="J2295" s="2">
        <v>9.6999999999999993</v>
      </c>
      <c r="K2295" s="2">
        <v>-0.02</v>
      </c>
      <c r="L2295" s="2">
        <v>9.6999999999999993</v>
      </c>
      <c r="M2295" s="2">
        <v>0.35</v>
      </c>
      <c r="N2295" t="s">
        <v>274</v>
      </c>
      <c r="O2295">
        <v>98</v>
      </c>
    </row>
    <row r="2296" spans="1:15">
      <c r="A2296" s="1">
        <v>46041</v>
      </c>
      <c r="B2296">
        <v>16</v>
      </c>
      <c r="C2296" t="s">
        <v>100</v>
      </c>
      <c r="D2296">
        <v>15</v>
      </c>
      <c r="E2296" s="2">
        <v>5.5</v>
      </c>
      <c r="F2296" s="2">
        <v>216.01</v>
      </c>
      <c r="G2296" s="2">
        <v>-206.92</v>
      </c>
      <c r="H2296" s="2">
        <v>-19.940000000000001</v>
      </c>
      <c r="I2296" s="2">
        <v>36.22</v>
      </c>
      <c r="J2296" s="2">
        <v>9.99</v>
      </c>
      <c r="K2296" s="2">
        <v>-0.17</v>
      </c>
      <c r="L2296" s="2">
        <v>9.99</v>
      </c>
      <c r="M2296" s="2">
        <v>0.33</v>
      </c>
      <c r="N2296" t="s">
        <v>274</v>
      </c>
      <c r="O2296">
        <v>98</v>
      </c>
    </row>
    <row r="2297" spans="1:15">
      <c r="A2297" s="1">
        <v>46041</v>
      </c>
      <c r="B2297">
        <v>16</v>
      </c>
      <c r="C2297" t="s">
        <v>100</v>
      </c>
      <c r="D2297">
        <v>15</v>
      </c>
      <c r="E2297" s="2">
        <v>6</v>
      </c>
      <c r="F2297" s="2">
        <v>188.92</v>
      </c>
      <c r="G2297" s="2">
        <v>-181.82</v>
      </c>
      <c r="H2297" s="2">
        <v>4.72</v>
      </c>
      <c r="I2297" s="2">
        <v>9.7799999999999994</v>
      </c>
      <c r="J2297" s="2">
        <v>10.3</v>
      </c>
      <c r="K2297" s="2">
        <v>-0.23</v>
      </c>
      <c r="L2297" s="2">
        <v>10.3</v>
      </c>
      <c r="M2297" s="2">
        <v>0.32</v>
      </c>
      <c r="N2297" t="s">
        <v>274</v>
      </c>
      <c r="O2297">
        <v>98</v>
      </c>
    </row>
    <row r="2298" spans="1:15">
      <c r="A2298" s="1">
        <v>46041</v>
      </c>
      <c r="B2298">
        <v>16</v>
      </c>
      <c r="C2298" t="s">
        <v>100</v>
      </c>
      <c r="D2298">
        <v>15</v>
      </c>
      <c r="E2298" s="2">
        <v>6.5</v>
      </c>
      <c r="F2298" s="2">
        <v>189</v>
      </c>
      <c r="G2298" s="2">
        <v>-175.35</v>
      </c>
      <c r="H2298" s="2">
        <v>74.760000000000005</v>
      </c>
      <c r="I2298" s="2">
        <v>-63.97</v>
      </c>
      <c r="J2298" s="2">
        <v>10.82</v>
      </c>
      <c r="K2298" s="2">
        <v>-0.87</v>
      </c>
      <c r="L2298" s="2">
        <v>10.85</v>
      </c>
      <c r="M2298" s="2">
        <v>0.35</v>
      </c>
      <c r="N2298" t="s">
        <v>274</v>
      </c>
      <c r="O2298">
        <v>98</v>
      </c>
    </row>
    <row r="2299" spans="1:15">
      <c r="A2299" s="1">
        <v>46041</v>
      </c>
      <c r="B2299">
        <v>16</v>
      </c>
      <c r="C2299" t="s">
        <v>100</v>
      </c>
      <c r="D2299">
        <v>15</v>
      </c>
      <c r="E2299" s="2">
        <v>7</v>
      </c>
      <c r="F2299" s="2">
        <v>137.69999999999999</v>
      </c>
      <c r="G2299" s="2">
        <v>-129.94</v>
      </c>
      <c r="H2299" s="2">
        <v>141.69999999999999</v>
      </c>
      <c r="I2299" s="2">
        <v>-136.04</v>
      </c>
      <c r="J2299" s="2">
        <v>11.16</v>
      </c>
      <c r="K2299" s="2">
        <v>-0.94</v>
      </c>
      <c r="L2299" s="2">
        <v>11.2</v>
      </c>
      <c r="M2299" s="2">
        <v>0.42</v>
      </c>
      <c r="N2299" t="s">
        <v>274</v>
      </c>
      <c r="O2299">
        <v>98</v>
      </c>
    </row>
    <row r="2300" spans="1:15">
      <c r="A2300" s="1">
        <v>46041</v>
      </c>
      <c r="B2300">
        <v>16</v>
      </c>
      <c r="C2300" t="s">
        <v>100</v>
      </c>
      <c r="D2300">
        <v>15</v>
      </c>
      <c r="E2300" s="2">
        <v>7.5</v>
      </c>
      <c r="F2300" s="2">
        <v>78.510000000000005</v>
      </c>
      <c r="G2300" s="2">
        <v>-72.47</v>
      </c>
      <c r="H2300" s="2">
        <v>213.34</v>
      </c>
      <c r="I2300" s="2">
        <v>-207.03</v>
      </c>
      <c r="J2300" s="2">
        <v>11.22</v>
      </c>
      <c r="K2300" s="2">
        <v>-0.83</v>
      </c>
      <c r="L2300" s="2">
        <v>11.25</v>
      </c>
      <c r="M2300" s="2">
        <v>0.4</v>
      </c>
      <c r="N2300" t="s">
        <v>274</v>
      </c>
      <c r="O2300">
        <v>98</v>
      </c>
    </row>
    <row r="2301" spans="1:15">
      <c r="A2301" s="1">
        <v>46041</v>
      </c>
      <c r="B2301">
        <v>16</v>
      </c>
      <c r="C2301" t="s">
        <v>100</v>
      </c>
      <c r="D2301">
        <v>15</v>
      </c>
      <c r="E2301" s="2">
        <v>8</v>
      </c>
      <c r="F2301" s="2">
        <v>60.81</v>
      </c>
      <c r="G2301" s="2">
        <v>-55.22</v>
      </c>
      <c r="H2301" s="2">
        <v>229.9</v>
      </c>
      <c r="I2301" s="2">
        <v>-225.72</v>
      </c>
      <c r="J2301" s="2">
        <v>10.83</v>
      </c>
      <c r="K2301" s="2">
        <v>-0.6</v>
      </c>
      <c r="L2301" s="2">
        <v>10.84</v>
      </c>
      <c r="M2301" s="2">
        <v>0.38</v>
      </c>
      <c r="N2301" t="s">
        <v>274</v>
      </c>
      <c r="O2301">
        <v>98</v>
      </c>
    </row>
    <row r="2302" spans="1:15">
      <c r="A2302" s="1">
        <v>46041</v>
      </c>
      <c r="B2302">
        <v>16</v>
      </c>
      <c r="C2302" t="s">
        <v>100</v>
      </c>
      <c r="D2302">
        <v>15</v>
      </c>
      <c r="E2302" s="2">
        <v>8.5</v>
      </c>
      <c r="F2302" s="2">
        <v>98.2</v>
      </c>
      <c r="G2302" s="2">
        <v>-95.06</v>
      </c>
      <c r="H2302" s="2">
        <v>329</v>
      </c>
      <c r="I2302" s="2">
        <v>-325.23</v>
      </c>
      <c r="J2302" s="2">
        <v>9.93</v>
      </c>
      <c r="K2302" s="2">
        <v>-0.89</v>
      </c>
      <c r="L2302" s="2">
        <v>9.9700000000000006</v>
      </c>
      <c r="M2302" s="2">
        <v>0.34</v>
      </c>
      <c r="N2302" t="s">
        <v>274</v>
      </c>
      <c r="O2302">
        <v>98</v>
      </c>
    </row>
    <row r="2303" spans="1:15">
      <c r="A2303" s="1">
        <v>46041</v>
      </c>
      <c r="B2303">
        <v>16</v>
      </c>
      <c r="C2303" t="s">
        <v>100</v>
      </c>
      <c r="D2303">
        <v>15</v>
      </c>
      <c r="E2303" s="2">
        <v>9</v>
      </c>
      <c r="F2303" s="2">
        <v>157.44999999999999</v>
      </c>
      <c r="G2303" s="2">
        <v>-144.91</v>
      </c>
      <c r="H2303" s="2">
        <v>386</v>
      </c>
      <c r="I2303" s="2">
        <v>-380.87</v>
      </c>
      <c r="J2303" s="2">
        <v>9.25</v>
      </c>
      <c r="K2303" s="2">
        <v>-0.52</v>
      </c>
      <c r="L2303" s="2">
        <v>9.26</v>
      </c>
      <c r="M2303" s="2">
        <v>0.36</v>
      </c>
      <c r="N2303" t="s">
        <v>274</v>
      </c>
      <c r="O2303">
        <v>98</v>
      </c>
    </row>
    <row r="2304" spans="1:15">
      <c r="A2304" s="1">
        <v>46041</v>
      </c>
      <c r="B2304">
        <v>16</v>
      </c>
      <c r="C2304" t="s">
        <v>100</v>
      </c>
      <c r="D2304">
        <v>15</v>
      </c>
      <c r="E2304" s="2">
        <v>9.5</v>
      </c>
      <c r="F2304" s="2">
        <v>131.65</v>
      </c>
      <c r="G2304" s="2">
        <v>-128.84</v>
      </c>
      <c r="H2304" s="2">
        <v>446.18</v>
      </c>
      <c r="I2304" s="2">
        <v>-416.96</v>
      </c>
      <c r="J2304" s="2">
        <v>8.66</v>
      </c>
      <c r="K2304" s="2">
        <v>-0.04</v>
      </c>
      <c r="L2304" s="2">
        <v>8.66</v>
      </c>
      <c r="M2304" s="2">
        <v>0.33</v>
      </c>
      <c r="N2304" t="s">
        <v>274</v>
      </c>
      <c r="O2304">
        <v>98</v>
      </c>
    </row>
    <row r="2305" spans="1:15">
      <c r="A2305" s="1">
        <v>46041</v>
      </c>
      <c r="B2305">
        <v>16</v>
      </c>
      <c r="C2305" t="s">
        <v>100</v>
      </c>
      <c r="D2305">
        <v>15</v>
      </c>
      <c r="E2305" s="2">
        <v>10</v>
      </c>
      <c r="F2305" s="2">
        <v>130.24</v>
      </c>
      <c r="G2305" s="2">
        <v>-122.05</v>
      </c>
      <c r="H2305" s="2">
        <v>449.15</v>
      </c>
      <c r="I2305" s="2">
        <v>-437.01</v>
      </c>
      <c r="J2305" s="2">
        <v>7.87</v>
      </c>
      <c r="K2305" s="2">
        <v>0.37</v>
      </c>
      <c r="L2305" s="2">
        <v>7.88</v>
      </c>
      <c r="M2305" s="2">
        <v>0.28000000000000003</v>
      </c>
      <c r="N2305" t="s">
        <v>274</v>
      </c>
      <c r="O2305">
        <v>98</v>
      </c>
    </row>
    <row r="2306" spans="1:15">
      <c r="A2306" s="1">
        <v>46041</v>
      </c>
      <c r="B2306">
        <v>16</v>
      </c>
      <c r="C2306" t="s">
        <v>100</v>
      </c>
      <c r="D2306">
        <v>15</v>
      </c>
      <c r="E2306" s="2">
        <v>10.5</v>
      </c>
      <c r="F2306" s="2">
        <v>319.05</v>
      </c>
      <c r="G2306" s="2">
        <v>-308.23</v>
      </c>
      <c r="H2306" s="2">
        <v>459.16</v>
      </c>
      <c r="I2306" s="2">
        <v>-446.19</v>
      </c>
      <c r="J2306" s="2">
        <v>7.47</v>
      </c>
      <c r="K2306" s="2">
        <v>0.4</v>
      </c>
      <c r="L2306" s="2">
        <v>7.49</v>
      </c>
      <c r="M2306" s="2">
        <v>0.26</v>
      </c>
      <c r="N2306" t="s">
        <v>274</v>
      </c>
      <c r="O2306">
        <v>98</v>
      </c>
    </row>
    <row r="2307" spans="1:15">
      <c r="A2307" s="1">
        <v>46041</v>
      </c>
      <c r="B2307">
        <v>16</v>
      </c>
      <c r="C2307" t="s">
        <v>100</v>
      </c>
      <c r="D2307">
        <v>15</v>
      </c>
      <c r="E2307" s="2">
        <v>11</v>
      </c>
      <c r="F2307" s="2">
        <v>323.04000000000002</v>
      </c>
      <c r="G2307" s="2">
        <v>-314.52999999999997</v>
      </c>
      <c r="H2307" s="2">
        <v>460.92</v>
      </c>
      <c r="I2307" s="2">
        <v>-443.3</v>
      </c>
      <c r="J2307" s="2">
        <v>7.15</v>
      </c>
      <c r="K2307" s="2">
        <v>0.2</v>
      </c>
      <c r="L2307" s="2">
        <v>7.15</v>
      </c>
      <c r="M2307" s="2">
        <v>0.3</v>
      </c>
      <c r="N2307" t="s">
        <v>274</v>
      </c>
      <c r="O2307">
        <v>98</v>
      </c>
    </row>
    <row r="2308" spans="1:15">
      <c r="A2308" s="1">
        <v>46041</v>
      </c>
      <c r="B2308">
        <v>16</v>
      </c>
      <c r="C2308" t="s">
        <v>100</v>
      </c>
      <c r="D2308">
        <v>15</v>
      </c>
      <c r="E2308" s="2">
        <v>11.5</v>
      </c>
      <c r="F2308" s="2">
        <v>295.8</v>
      </c>
      <c r="G2308" s="2">
        <v>-266.31</v>
      </c>
      <c r="H2308" s="2">
        <v>378.86</v>
      </c>
      <c r="I2308" s="2">
        <v>-353.54</v>
      </c>
      <c r="J2308" s="2">
        <v>6.58</v>
      </c>
      <c r="K2308" s="2">
        <v>0.19</v>
      </c>
      <c r="L2308" s="2">
        <v>6.58</v>
      </c>
      <c r="M2308" s="2">
        <v>0.32</v>
      </c>
      <c r="N2308" t="s">
        <v>274</v>
      </c>
      <c r="O2308">
        <v>98</v>
      </c>
    </row>
    <row r="2309" spans="1:15">
      <c r="A2309" s="1">
        <v>46041</v>
      </c>
      <c r="B2309">
        <v>16</v>
      </c>
      <c r="C2309" t="s">
        <v>100</v>
      </c>
      <c r="D2309">
        <v>15</v>
      </c>
      <c r="E2309" s="2">
        <v>12</v>
      </c>
      <c r="F2309" s="2">
        <v>276.02</v>
      </c>
      <c r="G2309" s="2">
        <v>-262.23</v>
      </c>
      <c r="H2309" s="2">
        <v>281.43</v>
      </c>
      <c r="I2309" s="2">
        <v>-261.7</v>
      </c>
      <c r="J2309" s="2">
        <v>5.76</v>
      </c>
      <c r="K2309" s="2">
        <v>0.13</v>
      </c>
      <c r="L2309" s="2">
        <v>5.76</v>
      </c>
      <c r="M2309" s="2">
        <v>0.13</v>
      </c>
      <c r="N2309" t="s">
        <v>274</v>
      </c>
      <c r="O2309">
        <v>98</v>
      </c>
    </row>
    <row r="2310" spans="1:15">
      <c r="A2310" s="1">
        <v>46041</v>
      </c>
      <c r="B2310">
        <v>16</v>
      </c>
      <c r="C2310" t="s">
        <v>100</v>
      </c>
      <c r="D2310">
        <v>15</v>
      </c>
      <c r="E2310" s="2">
        <v>12.5</v>
      </c>
      <c r="F2310" s="2">
        <v>236.97</v>
      </c>
      <c r="G2310" s="2">
        <v>-228.08</v>
      </c>
      <c r="H2310" s="2">
        <v>176.31</v>
      </c>
      <c r="I2310" s="2">
        <v>-173.7</v>
      </c>
      <c r="J2310" s="2">
        <v>5.2</v>
      </c>
      <c r="K2310" s="2">
        <v>-0.16</v>
      </c>
      <c r="L2310" s="2">
        <v>5.2</v>
      </c>
      <c r="M2310" s="2">
        <v>0.11</v>
      </c>
      <c r="N2310" t="s">
        <v>274</v>
      </c>
      <c r="O2310">
        <v>98</v>
      </c>
    </row>
    <row r="2311" spans="1:15">
      <c r="A2311" s="1">
        <v>46041</v>
      </c>
      <c r="B2311">
        <v>16</v>
      </c>
      <c r="C2311" t="s">
        <v>100</v>
      </c>
      <c r="D2311">
        <v>15</v>
      </c>
      <c r="E2311" s="2">
        <v>13</v>
      </c>
      <c r="F2311" s="2">
        <v>203.85</v>
      </c>
      <c r="G2311" s="2">
        <v>-195.22</v>
      </c>
      <c r="H2311" s="2">
        <v>131.12</v>
      </c>
      <c r="I2311" s="2">
        <v>-123.57</v>
      </c>
      <c r="J2311" s="2">
        <v>4.87</v>
      </c>
      <c r="K2311" s="2">
        <v>-0.56000000000000005</v>
      </c>
      <c r="L2311" s="2">
        <v>4.91</v>
      </c>
      <c r="M2311" s="2">
        <v>0.12</v>
      </c>
      <c r="N2311" t="s">
        <v>274</v>
      </c>
      <c r="O2311">
        <v>98</v>
      </c>
    </row>
    <row r="2312" spans="1:15">
      <c r="A2312" s="1">
        <v>46041</v>
      </c>
      <c r="B2312">
        <v>16</v>
      </c>
      <c r="C2312" t="s">
        <v>100</v>
      </c>
      <c r="D2312">
        <v>15</v>
      </c>
      <c r="E2312" s="2">
        <v>13.5</v>
      </c>
      <c r="F2312" s="2">
        <v>168</v>
      </c>
      <c r="G2312" s="2">
        <v>-147.68</v>
      </c>
      <c r="H2312" s="2">
        <v>142.43</v>
      </c>
      <c r="I2312" s="2">
        <v>-130.83000000000001</v>
      </c>
      <c r="J2312" s="2">
        <v>4.45</v>
      </c>
      <c r="K2312" s="2">
        <v>-0.55000000000000004</v>
      </c>
      <c r="L2312" s="2">
        <v>4.4800000000000004</v>
      </c>
      <c r="M2312" s="2">
        <v>0.13</v>
      </c>
      <c r="N2312" t="s">
        <v>274</v>
      </c>
      <c r="O2312">
        <v>98</v>
      </c>
    </row>
    <row r="2313" spans="1:15">
      <c r="A2313" s="1">
        <v>46041</v>
      </c>
      <c r="B2313">
        <v>16</v>
      </c>
      <c r="C2313" t="s">
        <v>100</v>
      </c>
      <c r="D2313">
        <v>15</v>
      </c>
      <c r="E2313" s="2">
        <v>14</v>
      </c>
      <c r="F2313" s="2">
        <v>127.41</v>
      </c>
      <c r="G2313" s="2">
        <v>-121.62</v>
      </c>
      <c r="H2313" s="2">
        <v>155.9</v>
      </c>
      <c r="I2313" s="2">
        <v>-150.07</v>
      </c>
      <c r="J2313" s="2">
        <v>3.65</v>
      </c>
      <c r="K2313" s="2">
        <v>-0.34</v>
      </c>
      <c r="L2313" s="2">
        <v>3.67</v>
      </c>
      <c r="M2313" s="2">
        <v>-0.05</v>
      </c>
      <c r="N2313" t="s">
        <v>274</v>
      </c>
      <c r="O2313">
        <v>98</v>
      </c>
    </row>
    <row r="2314" spans="1:15">
      <c r="A2314" s="1">
        <v>46041</v>
      </c>
      <c r="B2314">
        <v>16</v>
      </c>
      <c r="C2314" t="s">
        <v>100</v>
      </c>
      <c r="D2314">
        <v>15</v>
      </c>
      <c r="E2314" s="2">
        <v>14.5</v>
      </c>
      <c r="F2314" s="2">
        <v>126.78</v>
      </c>
      <c r="G2314" s="2">
        <v>-119.61</v>
      </c>
      <c r="H2314" s="2">
        <v>192.05</v>
      </c>
      <c r="I2314" s="2">
        <v>-170.7</v>
      </c>
      <c r="J2314" s="2">
        <v>3.17</v>
      </c>
      <c r="K2314" s="2">
        <v>-0.95</v>
      </c>
      <c r="L2314" s="2">
        <v>3.31</v>
      </c>
      <c r="M2314" s="2">
        <v>-0.02</v>
      </c>
      <c r="N2314" t="s">
        <v>274</v>
      </c>
      <c r="O2314">
        <v>98</v>
      </c>
    </row>
    <row r="2315" spans="1:15">
      <c r="A2315" s="1">
        <v>46041</v>
      </c>
      <c r="B2315">
        <v>16</v>
      </c>
      <c r="C2315" t="s">
        <v>100</v>
      </c>
      <c r="D2315">
        <v>15</v>
      </c>
      <c r="E2315" s="2">
        <v>15</v>
      </c>
      <c r="F2315" s="2">
        <v>132.26</v>
      </c>
      <c r="G2315" s="2">
        <v>-125.3</v>
      </c>
      <c r="H2315" s="2">
        <v>266.39</v>
      </c>
      <c r="I2315" s="2">
        <v>-254.75</v>
      </c>
      <c r="J2315" s="2">
        <v>2.73</v>
      </c>
      <c r="K2315" s="2">
        <v>-1.1399999999999999</v>
      </c>
      <c r="L2315" s="2">
        <v>2.96</v>
      </c>
      <c r="M2315" s="2">
        <v>-7.0000000000000007E-2</v>
      </c>
      <c r="N2315" t="s">
        <v>274</v>
      </c>
      <c r="O2315">
        <v>98</v>
      </c>
    </row>
    <row r="2316" spans="1:15">
      <c r="A2316" s="1">
        <v>46041</v>
      </c>
      <c r="B2316">
        <v>16</v>
      </c>
      <c r="C2316" t="s">
        <v>100</v>
      </c>
      <c r="D2316">
        <v>15</v>
      </c>
      <c r="E2316" s="2">
        <v>15.5</v>
      </c>
      <c r="F2316" s="2">
        <v>53.49</v>
      </c>
      <c r="G2316" s="2">
        <v>-51.23</v>
      </c>
      <c r="H2316" s="2">
        <v>351.47</v>
      </c>
      <c r="I2316" s="2">
        <v>-335.3</v>
      </c>
      <c r="J2316" s="2">
        <v>2.3199999999999998</v>
      </c>
      <c r="K2316" s="2">
        <v>-1.1499999999999999</v>
      </c>
      <c r="L2316" s="2">
        <v>2.59</v>
      </c>
      <c r="M2316" s="2">
        <v>-0.21</v>
      </c>
      <c r="N2316" t="s">
        <v>274</v>
      </c>
      <c r="O2316">
        <v>98</v>
      </c>
    </row>
    <row r="2317" spans="1:15">
      <c r="A2317" s="1">
        <v>46041</v>
      </c>
      <c r="B2317">
        <v>16</v>
      </c>
      <c r="C2317" t="s">
        <v>100</v>
      </c>
      <c r="D2317">
        <v>15</v>
      </c>
      <c r="E2317" s="2">
        <v>16</v>
      </c>
      <c r="F2317" s="2">
        <v>196.97</v>
      </c>
      <c r="G2317" s="2">
        <v>-183.06</v>
      </c>
      <c r="H2317" s="2">
        <v>188.47</v>
      </c>
      <c r="I2317" s="2">
        <v>-169.99</v>
      </c>
      <c r="J2317" s="2">
        <v>2.15</v>
      </c>
      <c r="K2317" s="2">
        <v>-1.1000000000000001</v>
      </c>
      <c r="L2317" s="2">
        <v>2.41</v>
      </c>
      <c r="M2317" s="2">
        <v>-0.17</v>
      </c>
      <c r="N2317" t="s">
        <v>274</v>
      </c>
      <c r="O2317">
        <v>98</v>
      </c>
    </row>
    <row r="2318" spans="1:15">
      <c r="A2318" s="1">
        <v>46041</v>
      </c>
      <c r="B2318">
        <v>16</v>
      </c>
      <c r="C2318" t="s">
        <v>100</v>
      </c>
      <c r="D2318">
        <v>15</v>
      </c>
      <c r="E2318" s="2">
        <v>16.5</v>
      </c>
      <c r="F2318" s="2">
        <v>318.72000000000003</v>
      </c>
      <c r="G2318" s="2">
        <v>-315.45</v>
      </c>
      <c r="H2318" s="2">
        <v>202.09</v>
      </c>
      <c r="I2318" s="2">
        <v>-205.43</v>
      </c>
      <c r="J2318" s="2">
        <v>2.0699999999999998</v>
      </c>
      <c r="K2318" s="2">
        <v>-1.39</v>
      </c>
      <c r="L2318" s="2">
        <v>2.4900000000000002</v>
      </c>
      <c r="M2318" s="2">
        <v>-0.04</v>
      </c>
      <c r="N2318" t="s">
        <v>274</v>
      </c>
      <c r="O2318">
        <v>98</v>
      </c>
    </row>
    <row r="2319" spans="1:15">
      <c r="A2319" s="1">
        <v>46041</v>
      </c>
      <c r="B2319">
        <v>16</v>
      </c>
      <c r="C2319" t="s">
        <v>100</v>
      </c>
      <c r="D2319">
        <v>15</v>
      </c>
      <c r="E2319" s="2">
        <v>17</v>
      </c>
      <c r="F2319" s="2">
        <v>380.27</v>
      </c>
      <c r="G2319" s="2">
        <v>-366.83</v>
      </c>
      <c r="H2319" s="2">
        <v>246.23</v>
      </c>
      <c r="I2319" s="2">
        <v>-241.28</v>
      </c>
      <c r="J2319" s="2">
        <v>1.96</v>
      </c>
      <c r="K2319" s="2">
        <v>-1.1000000000000001</v>
      </c>
      <c r="L2319" s="2">
        <v>2.2400000000000002</v>
      </c>
      <c r="M2319" s="2">
        <v>-0.15</v>
      </c>
      <c r="N2319" t="s">
        <v>274</v>
      </c>
      <c r="O2319">
        <v>98</v>
      </c>
    </row>
    <row r="2320" spans="1:15">
      <c r="A2320" s="1">
        <v>46041</v>
      </c>
      <c r="B2320">
        <v>16</v>
      </c>
      <c r="C2320" t="s">
        <v>100</v>
      </c>
      <c r="D2320">
        <v>15</v>
      </c>
      <c r="E2320" s="2">
        <v>17.5</v>
      </c>
      <c r="F2320" s="2">
        <v>381.4</v>
      </c>
      <c r="G2320" s="2">
        <v>-371.51</v>
      </c>
      <c r="H2320" s="2">
        <v>174.09</v>
      </c>
      <c r="I2320" s="2">
        <v>-152.65</v>
      </c>
      <c r="J2320" s="2">
        <v>1.77</v>
      </c>
      <c r="K2320" s="2">
        <v>-0.95</v>
      </c>
      <c r="L2320" s="2">
        <v>2</v>
      </c>
      <c r="M2320" s="2">
        <v>-0.15</v>
      </c>
      <c r="N2320" t="s">
        <v>274</v>
      </c>
      <c r="O2320">
        <v>98</v>
      </c>
    </row>
    <row r="2321" spans="1:15">
      <c r="A2321" s="1">
        <v>46041</v>
      </c>
      <c r="B2321">
        <v>16</v>
      </c>
      <c r="C2321" t="s">
        <v>100</v>
      </c>
      <c r="D2321">
        <v>15</v>
      </c>
      <c r="E2321" s="2">
        <v>18</v>
      </c>
      <c r="F2321" s="2">
        <v>343.45</v>
      </c>
      <c r="G2321" s="2">
        <v>-337.48</v>
      </c>
      <c r="H2321" s="2">
        <v>93.95</v>
      </c>
      <c r="I2321" s="2">
        <v>-100.27</v>
      </c>
      <c r="J2321" s="2">
        <v>1.72</v>
      </c>
      <c r="K2321" s="2">
        <v>-0.5</v>
      </c>
      <c r="L2321" s="2">
        <v>1.79</v>
      </c>
      <c r="M2321" s="2">
        <v>-0.09</v>
      </c>
      <c r="N2321" t="s">
        <v>274</v>
      </c>
      <c r="O2321">
        <v>98</v>
      </c>
    </row>
    <row r="2322" spans="1:15">
      <c r="A2322" s="1">
        <v>46041</v>
      </c>
      <c r="B2322">
        <v>16</v>
      </c>
      <c r="C2322" t="s">
        <v>100</v>
      </c>
      <c r="D2322">
        <v>15</v>
      </c>
      <c r="E2322" s="2">
        <v>18.5</v>
      </c>
      <c r="F2322" s="2">
        <v>311.49</v>
      </c>
      <c r="G2322" s="2">
        <v>-307.63</v>
      </c>
      <c r="H2322" s="2">
        <v>61.37</v>
      </c>
      <c r="I2322" s="2">
        <v>-63.42</v>
      </c>
      <c r="J2322" s="2">
        <v>1.6</v>
      </c>
      <c r="K2322" s="2">
        <v>-0.46</v>
      </c>
      <c r="L2322" s="2">
        <v>1.66</v>
      </c>
      <c r="M2322" s="2">
        <v>-0.14000000000000001</v>
      </c>
      <c r="N2322" t="s">
        <v>274</v>
      </c>
      <c r="O2322">
        <v>98</v>
      </c>
    </row>
    <row r="2323" spans="1:15">
      <c r="A2323" s="1">
        <v>46041</v>
      </c>
      <c r="B2323">
        <v>16</v>
      </c>
      <c r="C2323" t="s">
        <v>100</v>
      </c>
      <c r="D2323">
        <v>15</v>
      </c>
      <c r="E2323" s="2">
        <v>19</v>
      </c>
      <c r="F2323" s="2">
        <v>298.82</v>
      </c>
      <c r="G2323" s="2">
        <v>-294.77999999999997</v>
      </c>
      <c r="H2323" s="2">
        <v>56.94</v>
      </c>
      <c r="I2323" s="2">
        <v>-44.55</v>
      </c>
      <c r="J2323" s="2">
        <v>1.36</v>
      </c>
      <c r="K2323" s="2">
        <v>-0.56999999999999995</v>
      </c>
      <c r="L2323" s="2">
        <v>1.48</v>
      </c>
      <c r="M2323" s="2">
        <v>-0.24</v>
      </c>
      <c r="N2323" t="s">
        <v>274</v>
      </c>
      <c r="O2323">
        <v>98</v>
      </c>
    </row>
    <row r="2324" spans="1:15">
      <c r="A2324" s="1">
        <v>46041</v>
      </c>
      <c r="B2324">
        <v>16</v>
      </c>
      <c r="C2324" t="s">
        <v>100</v>
      </c>
      <c r="D2324">
        <v>15</v>
      </c>
      <c r="E2324" s="2">
        <v>19.5</v>
      </c>
      <c r="F2324" s="2">
        <v>203.97</v>
      </c>
      <c r="G2324" s="2">
        <v>-198.75</v>
      </c>
      <c r="H2324" s="2">
        <v>102.73</v>
      </c>
      <c r="I2324" s="2">
        <v>-80.25</v>
      </c>
      <c r="J2324" s="2">
        <v>1.19</v>
      </c>
      <c r="K2324" s="2">
        <v>-0.66</v>
      </c>
      <c r="L2324" s="2">
        <v>1.36</v>
      </c>
      <c r="M2324" s="2">
        <v>-0.33</v>
      </c>
      <c r="N2324" t="s">
        <v>274</v>
      </c>
      <c r="O2324">
        <v>98</v>
      </c>
    </row>
    <row r="2325" spans="1:15">
      <c r="A2325" s="1">
        <v>46041</v>
      </c>
      <c r="B2325">
        <v>16</v>
      </c>
      <c r="C2325" t="s">
        <v>100</v>
      </c>
      <c r="D2325">
        <v>15</v>
      </c>
      <c r="E2325" s="2">
        <v>20</v>
      </c>
      <c r="F2325" s="2">
        <v>137.76</v>
      </c>
      <c r="G2325" s="2">
        <v>-133.87</v>
      </c>
      <c r="H2325" s="2">
        <v>135.79</v>
      </c>
      <c r="I2325" s="2">
        <v>-142.22</v>
      </c>
      <c r="J2325" s="2">
        <v>0.9</v>
      </c>
      <c r="K2325" s="2">
        <v>-0.42</v>
      </c>
      <c r="L2325" s="2">
        <v>0.99</v>
      </c>
      <c r="M2325" s="2">
        <v>-0.28999999999999998</v>
      </c>
      <c r="N2325" t="s">
        <v>274</v>
      </c>
      <c r="O2325">
        <v>98</v>
      </c>
    </row>
    <row r="2326" spans="1:15">
      <c r="A2326" s="1">
        <v>46041</v>
      </c>
      <c r="B2326">
        <v>16</v>
      </c>
      <c r="C2326" t="s">
        <v>100</v>
      </c>
      <c r="D2326">
        <v>15</v>
      </c>
      <c r="E2326" s="2">
        <v>20.5</v>
      </c>
      <c r="F2326" s="2">
        <v>143.97</v>
      </c>
      <c r="G2326" s="2">
        <v>-140.88999999999999</v>
      </c>
      <c r="H2326" s="2">
        <v>155.81</v>
      </c>
      <c r="I2326" s="2">
        <v>-154.16999999999999</v>
      </c>
      <c r="J2326" s="2">
        <v>0.71</v>
      </c>
      <c r="K2326" s="2">
        <v>-0.38</v>
      </c>
      <c r="L2326" s="2">
        <v>0.81</v>
      </c>
      <c r="M2326" s="2">
        <v>-0.12</v>
      </c>
      <c r="N2326" t="s">
        <v>274</v>
      </c>
      <c r="O2326">
        <v>98</v>
      </c>
    </row>
    <row r="2327" spans="1:15">
      <c r="A2327" s="1">
        <v>46041</v>
      </c>
      <c r="B2327">
        <v>16</v>
      </c>
      <c r="C2327" t="s">
        <v>100</v>
      </c>
      <c r="D2327">
        <v>15</v>
      </c>
      <c r="E2327" s="2">
        <v>21</v>
      </c>
      <c r="F2327" s="2">
        <v>155.59</v>
      </c>
      <c r="G2327" s="2">
        <v>-151.94</v>
      </c>
      <c r="H2327" s="2">
        <v>167.07</v>
      </c>
      <c r="I2327" s="2">
        <v>-171.54</v>
      </c>
      <c r="J2327" s="2">
        <v>0.45</v>
      </c>
      <c r="K2327" s="2">
        <v>-0.05</v>
      </c>
      <c r="L2327" s="2">
        <v>0.45</v>
      </c>
      <c r="M2327" s="2">
        <v>-0.01</v>
      </c>
      <c r="N2327" t="s">
        <v>274</v>
      </c>
      <c r="O2327">
        <v>98</v>
      </c>
    </row>
    <row r="2328" spans="1:15">
      <c r="A2328" s="1">
        <v>46041</v>
      </c>
      <c r="B2328">
        <v>16</v>
      </c>
      <c r="C2328" t="s">
        <v>100</v>
      </c>
      <c r="D2328">
        <v>15</v>
      </c>
      <c r="E2328" s="2">
        <v>21.5</v>
      </c>
      <c r="F2328" s="2">
        <v>177.14</v>
      </c>
      <c r="G2328" s="2">
        <v>-163.05000000000001</v>
      </c>
      <c r="H2328" s="2">
        <v>179.9</v>
      </c>
      <c r="I2328" s="2">
        <v>-174.43</v>
      </c>
      <c r="J2328" s="2">
        <v>0.23</v>
      </c>
      <c r="K2328" s="2">
        <v>0.09</v>
      </c>
      <c r="L2328" s="2">
        <v>0.25</v>
      </c>
      <c r="M2328" s="2">
        <v>0.05</v>
      </c>
      <c r="N2328" t="s">
        <v>274</v>
      </c>
      <c r="O2328">
        <v>98</v>
      </c>
    </row>
    <row r="2329" spans="1:15">
      <c r="A2329" s="1">
        <v>46041</v>
      </c>
      <c r="B2329">
        <v>16</v>
      </c>
      <c r="C2329" t="s">
        <v>100</v>
      </c>
      <c r="D2329">
        <v>15</v>
      </c>
      <c r="E2329" s="2">
        <v>22</v>
      </c>
      <c r="F2329" s="2">
        <v>189.92</v>
      </c>
      <c r="G2329" s="2">
        <v>-185.6</v>
      </c>
      <c r="H2329" s="2">
        <v>205.14</v>
      </c>
      <c r="I2329" s="2">
        <v>-149.82</v>
      </c>
      <c r="J2329" s="2">
        <v>0</v>
      </c>
      <c r="K2329" s="2">
        <v>0.33</v>
      </c>
      <c r="L2329" s="2">
        <v>0.33</v>
      </c>
      <c r="M2329" s="2">
        <v>0.04</v>
      </c>
      <c r="N2329" t="s">
        <v>274</v>
      </c>
      <c r="O2329">
        <v>98</v>
      </c>
    </row>
    <row r="2330" spans="1:15">
      <c r="A2330" s="1">
        <v>46048</v>
      </c>
      <c r="B2330">
        <v>17</v>
      </c>
      <c r="C2330" t="s">
        <v>94</v>
      </c>
      <c r="D2330">
        <v>17</v>
      </c>
      <c r="E2330" s="2">
        <v>0.5</v>
      </c>
      <c r="F2330" s="2">
        <v>-247.87</v>
      </c>
      <c r="G2330" s="2">
        <v>251.32</v>
      </c>
      <c r="H2330" s="2">
        <v>-719.57</v>
      </c>
      <c r="I2330" s="2">
        <v>742.05</v>
      </c>
      <c r="J2330" s="2">
        <v>-1.1200000000000001</v>
      </c>
      <c r="K2330" s="2">
        <v>16.96</v>
      </c>
      <c r="L2330" s="2">
        <v>16.989999999999998</v>
      </c>
      <c r="M2330" s="2">
        <v>1.48</v>
      </c>
      <c r="N2330" t="s">
        <v>276</v>
      </c>
      <c r="O2330">
        <v>38</v>
      </c>
    </row>
    <row r="2331" spans="1:15">
      <c r="A2331" s="1">
        <v>46048</v>
      </c>
      <c r="B2331">
        <v>17</v>
      </c>
      <c r="C2331" t="s">
        <v>94</v>
      </c>
      <c r="D2331">
        <v>17</v>
      </c>
      <c r="E2331" s="2">
        <v>1</v>
      </c>
      <c r="F2331" s="2">
        <v>-247.8</v>
      </c>
      <c r="G2331" s="2">
        <v>251.67</v>
      </c>
      <c r="H2331" s="2">
        <v>-719.92</v>
      </c>
      <c r="I2331" s="2">
        <v>742.12</v>
      </c>
      <c r="J2331" s="2">
        <v>2.73</v>
      </c>
      <c r="K2331" s="2">
        <v>20.7</v>
      </c>
      <c r="L2331" s="2">
        <v>20.88</v>
      </c>
      <c r="M2331" s="2">
        <v>2.5499999999999998</v>
      </c>
      <c r="N2331" t="s">
        <v>276</v>
      </c>
      <c r="O2331">
        <v>38</v>
      </c>
    </row>
    <row r="2332" spans="1:15">
      <c r="A2332" s="1">
        <v>46048</v>
      </c>
      <c r="B2332">
        <v>17</v>
      </c>
      <c r="C2332" t="s">
        <v>94</v>
      </c>
      <c r="D2332">
        <v>17</v>
      </c>
      <c r="E2332" s="2">
        <v>1.5</v>
      </c>
      <c r="F2332" s="2">
        <v>-13.62</v>
      </c>
      <c r="G2332" s="2">
        <v>23.69</v>
      </c>
      <c r="H2332" s="2">
        <v>-266.85000000000002</v>
      </c>
      <c r="I2332" s="2">
        <v>287.27</v>
      </c>
      <c r="J2332" s="2">
        <v>6.62</v>
      </c>
      <c r="K2332" s="2">
        <v>24.04</v>
      </c>
      <c r="L2332" s="2">
        <v>24.93</v>
      </c>
      <c r="M2332" s="2">
        <v>3.46</v>
      </c>
      <c r="N2332" t="s">
        <v>276</v>
      </c>
      <c r="O2332">
        <v>38</v>
      </c>
    </row>
    <row r="2333" spans="1:15">
      <c r="A2333" s="1">
        <v>46048</v>
      </c>
      <c r="B2333">
        <v>17</v>
      </c>
      <c r="C2333" t="s">
        <v>94</v>
      </c>
      <c r="D2333">
        <v>17</v>
      </c>
      <c r="E2333" s="2">
        <v>2</v>
      </c>
      <c r="F2333" s="2">
        <v>61.51</v>
      </c>
      <c r="G2333" s="2">
        <v>-58.98</v>
      </c>
      <c r="H2333" s="2">
        <v>-222.3</v>
      </c>
      <c r="I2333" s="2">
        <v>230.7</v>
      </c>
      <c r="J2333" s="2">
        <v>6.33</v>
      </c>
      <c r="K2333" s="2">
        <v>24.08</v>
      </c>
      <c r="L2333" s="2">
        <v>24.9</v>
      </c>
      <c r="M2333" s="2">
        <v>4.04</v>
      </c>
      <c r="N2333" t="s">
        <v>276</v>
      </c>
      <c r="O2333">
        <v>38</v>
      </c>
    </row>
    <row r="2334" spans="1:15">
      <c r="A2334" s="1">
        <v>46048</v>
      </c>
      <c r="B2334">
        <v>17</v>
      </c>
      <c r="C2334" t="s">
        <v>94</v>
      </c>
      <c r="D2334">
        <v>17</v>
      </c>
      <c r="E2334" s="2">
        <v>2.5</v>
      </c>
      <c r="F2334" s="2">
        <v>66.7</v>
      </c>
      <c r="G2334" s="2">
        <v>-63.44</v>
      </c>
      <c r="H2334" s="2">
        <v>-202.93</v>
      </c>
      <c r="I2334" s="2">
        <v>209.42</v>
      </c>
      <c r="J2334" s="2">
        <v>8.11</v>
      </c>
      <c r="K2334" s="2">
        <v>24.38</v>
      </c>
      <c r="L2334" s="2">
        <v>25.69</v>
      </c>
      <c r="M2334" s="2">
        <v>4.21</v>
      </c>
      <c r="N2334" t="s">
        <v>276</v>
      </c>
      <c r="O2334">
        <v>38</v>
      </c>
    </row>
    <row r="2335" spans="1:15">
      <c r="A2335" s="1">
        <v>46048</v>
      </c>
      <c r="B2335">
        <v>17</v>
      </c>
      <c r="C2335" t="s">
        <v>94</v>
      </c>
      <c r="D2335">
        <v>17</v>
      </c>
      <c r="E2335" s="2">
        <v>3</v>
      </c>
      <c r="F2335" s="2">
        <v>30.24</v>
      </c>
      <c r="G2335" s="2">
        <v>-24.92</v>
      </c>
      <c r="H2335" s="2">
        <v>-142.69</v>
      </c>
      <c r="I2335" s="2">
        <v>160.82</v>
      </c>
      <c r="J2335" s="2">
        <v>9.2799999999999994</v>
      </c>
      <c r="K2335" s="2">
        <v>24.49</v>
      </c>
      <c r="L2335" s="2">
        <v>26.19</v>
      </c>
      <c r="M2335" s="2">
        <v>4.55</v>
      </c>
      <c r="N2335" t="s">
        <v>276</v>
      </c>
      <c r="O2335">
        <v>38</v>
      </c>
    </row>
    <row r="2336" spans="1:15">
      <c r="A2336" s="1">
        <v>46048</v>
      </c>
      <c r="B2336">
        <v>17</v>
      </c>
      <c r="C2336" t="s">
        <v>94</v>
      </c>
      <c r="D2336">
        <v>17</v>
      </c>
      <c r="E2336" s="2">
        <v>3.5</v>
      </c>
      <c r="F2336" s="2">
        <v>-6.15</v>
      </c>
      <c r="G2336" s="2">
        <v>7.71</v>
      </c>
      <c r="H2336" s="2">
        <v>-83.82</v>
      </c>
      <c r="I2336" s="2">
        <v>101.54</v>
      </c>
      <c r="J2336" s="2">
        <v>9.9</v>
      </c>
      <c r="K2336" s="2">
        <v>24.59</v>
      </c>
      <c r="L2336" s="2">
        <v>26.51</v>
      </c>
      <c r="M2336" s="2">
        <v>4.78</v>
      </c>
      <c r="N2336" t="s">
        <v>276</v>
      </c>
      <c r="O2336">
        <v>38</v>
      </c>
    </row>
    <row r="2337" spans="1:15">
      <c r="A2337" s="1">
        <v>46048</v>
      </c>
      <c r="B2337">
        <v>17</v>
      </c>
      <c r="C2337" t="s">
        <v>94</v>
      </c>
      <c r="D2337">
        <v>17</v>
      </c>
      <c r="E2337" s="2">
        <v>4</v>
      </c>
      <c r="F2337" s="2">
        <v>61.32</v>
      </c>
      <c r="G2337" s="2">
        <v>-56.8</v>
      </c>
      <c r="H2337" s="2">
        <v>-71.59</v>
      </c>
      <c r="I2337" s="2">
        <v>67.56</v>
      </c>
      <c r="J2337" s="2">
        <v>10.06</v>
      </c>
      <c r="K2337" s="2">
        <v>24.89</v>
      </c>
      <c r="L2337" s="2">
        <v>26.85</v>
      </c>
      <c r="M2337" s="2">
        <v>4.96</v>
      </c>
      <c r="N2337" t="s">
        <v>276</v>
      </c>
      <c r="O2337">
        <v>38</v>
      </c>
    </row>
    <row r="2338" spans="1:15">
      <c r="A2338" s="1">
        <v>46048</v>
      </c>
      <c r="B2338">
        <v>17</v>
      </c>
      <c r="C2338" t="s">
        <v>94</v>
      </c>
      <c r="D2338">
        <v>17</v>
      </c>
      <c r="E2338" s="2">
        <v>4.5</v>
      </c>
      <c r="F2338" s="2">
        <v>87.04</v>
      </c>
      <c r="G2338" s="2">
        <v>-81.22</v>
      </c>
      <c r="H2338" s="2">
        <v>-48.89</v>
      </c>
      <c r="I2338" s="2">
        <v>58.55</v>
      </c>
      <c r="J2338" s="2">
        <v>10.17</v>
      </c>
      <c r="K2338" s="2">
        <v>24.9</v>
      </c>
      <c r="L2338" s="2">
        <v>26.89</v>
      </c>
      <c r="M2338" s="2">
        <v>4.99</v>
      </c>
      <c r="N2338" t="s">
        <v>276</v>
      </c>
      <c r="O2338">
        <v>38</v>
      </c>
    </row>
    <row r="2339" spans="1:15">
      <c r="A2339" s="1">
        <v>46048</v>
      </c>
      <c r="B2339">
        <v>17</v>
      </c>
      <c r="C2339" t="s">
        <v>94</v>
      </c>
      <c r="D2339">
        <v>17</v>
      </c>
      <c r="E2339" s="2">
        <v>5</v>
      </c>
      <c r="F2339" s="2">
        <v>30.75</v>
      </c>
      <c r="G2339" s="2">
        <v>-24.77</v>
      </c>
      <c r="H2339" s="2">
        <v>22.92</v>
      </c>
      <c r="I2339" s="2">
        <v>-9.98</v>
      </c>
      <c r="J2339" s="2">
        <v>11.14</v>
      </c>
      <c r="K2339" s="2">
        <v>24.39</v>
      </c>
      <c r="L2339" s="2">
        <v>26.81</v>
      </c>
      <c r="M2339" s="2">
        <v>5.25</v>
      </c>
      <c r="N2339" t="s">
        <v>276</v>
      </c>
      <c r="O2339">
        <v>38</v>
      </c>
    </row>
    <row r="2340" spans="1:15">
      <c r="A2340" s="1">
        <v>46048</v>
      </c>
      <c r="B2340">
        <v>17</v>
      </c>
      <c r="C2340" t="s">
        <v>94</v>
      </c>
      <c r="D2340">
        <v>17</v>
      </c>
      <c r="E2340" s="2">
        <v>5.5</v>
      </c>
      <c r="F2340" s="2">
        <v>20.46</v>
      </c>
      <c r="G2340" s="2">
        <v>-14.02</v>
      </c>
      <c r="H2340" s="2">
        <v>37.19</v>
      </c>
      <c r="I2340" s="2">
        <v>-31.05</v>
      </c>
      <c r="J2340" s="2">
        <v>11.96</v>
      </c>
      <c r="K2340" s="2">
        <v>24.38</v>
      </c>
      <c r="L2340" s="2">
        <v>27.15</v>
      </c>
      <c r="M2340" s="2">
        <v>5.36</v>
      </c>
      <c r="N2340" t="s">
        <v>276</v>
      </c>
      <c r="O2340">
        <v>38</v>
      </c>
    </row>
    <row r="2341" spans="1:15">
      <c r="A2341" s="1">
        <v>46048</v>
      </c>
      <c r="B2341">
        <v>17</v>
      </c>
      <c r="C2341" t="s">
        <v>94</v>
      </c>
      <c r="D2341">
        <v>17</v>
      </c>
      <c r="E2341" s="2">
        <v>6</v>
      </c>
      <c r="F2341" s="2">
        <v>19.3</v>
      </c>
      <c r="G2341" s="2">
        <v>-13.82</v>
      </c>
      <c r="H2341" s="2">
        <v>-21.58</v>
      </c>
      <c r="I2341" s="2">
        <v>30.73</v>
      </c>
      <c r="J2341" s="2">
        <v>12.55</v>
      </c>
      <c r="K2341" s="2">
        <v>25</v>
      </c>
      <c r="L2341" s="2">
        <v>27.97</v>
      </c>
      <c r="M2341" s="2">
        <v>5.43</v>
      </c>
      <c r="N2341" t="s">
        <v>276</v>
      </c>
      <c r="O2341">
        <v>38</v>
      </c>
    </row>
    <row r="2342" spans="1:15">
      <c r="A2342" s="1">
        <v>46048</v>
      </c>
      <c r="B2342">
        <v>17</v>
      </c>
      <c r="C2342" t="s">
        <v>94</v>
      </c>
      <c r="D2342">
        <v>17</v>
      </c>
      <c r="E2342" s="2">
        <v>6.5</v>
      </c>
      <c r="F2342" s="2">
        <v>20.149999999999999</v>
      </c>
      <c r="G2342" s="2">
        <v>-10.61</v>
      </c>
      <c r="H2342" s="2">
        <v>-62.71</v>
      </c>
      <c r="I2342" s="2">
        <v>63.82</v>
      </c>
      <c r="J2342" s="2">
        <v>12.71</v>
      </c>
      <c r="K2342" s="2">
        <v>25.29</v>
      </c>
      <c r="L2342" s="2">
        <v>28.31</v>
      </c>
      <c r="M2342" s="2">
        <v>5.32</v>
      </c>
      <c r="N2342" t="s">
        <v>276</v>
      </c>
      <c r="O2342">
        <v>38</v>
      </c>
    </row>
    <row r="2343" spans="1:15">
      <c r="A2343" s="1">
        <v>46048</v>
      </c>
      <c r="B2343">
        <v>17</v>
      </c>
      <c r="C2343" t="s">
        <v>94</v>
      </c>
      <c r="D2343">
        <v>17</v>
      </c>
      <c r="E2343" s="2">
        <v>7</v>
      </c>
      <c r="F2343" s="2">
        <v>111.37</v>
      </c>
      <c r="G2343" s="2">
        <v>-105.69</v>
      </c>
      <c r="H2343" s="2">
        <v>-46.19</v>
      </c>
      <c r="I2343" s="2">
        <v>53.68</v>
      </c>
      <c r="J2343" s="2">
        <v>12.34</v>
      </c>
      <c r="K2343" s="2">
        <v>25.25</v>
      </c>
      <c r="L2343" s="2">
        <v>28.11</v>
      </c>
      <c r="M2343" s="2">
        <v>5.54</v>
      </c>
      <c r="N2343" t="s">
        <v>276</v>
      </c>
      <c r="O2343">
        <v>38</v>
      </c>
    </row>
    <row r="2344" spans="1:15">
      <c r="A2344" s="1">
        <v>46048</v>
      </c>
      <c r="B2344">
        <v>17</v>
      </c>
      <c r="C2344" t="s">
        <v>94</v>
      </c>
      <c r="D2344">
        <v>17</v>
      </c>
      <c r="E2344" s="2">
        <v>7.5</v>
      </c>
      <c r="F2344" s="2">
        <v>73.41</v>
      </c>
      <c r="G2344" s="2">
        <v>-67.650000000000006</v>
      </c>
      <c r="H2344" s="2">
        <v>-68.25</v>
      </c>
      <c r="I2344" s="2">
        <v>74.11</v>
      </c>
      <c r="J2344" s="2">
        <v>12.52</v>
      </c>
      <c r="K2344" s="2">
        <v>25.3</v>
      </c>
      <c r="L2344" s="2">
        <v>28.23</v>
      </c>
      <c r="M2344" s="2">
        <v>5.92</v>
      </c>
      <c r="N2344" t="s">
        <v>276</v>
      </c>
      <c r="O2344">
        <v>38</v>
      </c>
    </row>
    <row r="2345" spans="1:15">
      <c r="A2345" s="1">
        <v>46048</v>
      </c>
      <c r="B2345">
        <v>17</v>
      </c>
      <c r="C2345" t="s">
        <v>94</v>
      </c>
      <c r="D2345">
        <v>17</v>
      </c>
      <c r="E2345" s="2">
        <v>8</v>
      </c>
      <c r="F2345" s="2">
        <v>58.16</v>
      </c>
      <c r="G2345" s="2">
        <v>-49.15</v>
      </c>
      <c r="H2345" s="2">
        <v>-70.680000000000007</v>
      </c>
      <c r="I2345" s="2">
        <v>79.11</v>
      </c>
      <c r="J2345" s="2">
        <v>12.61</v>
      </c>
      <c r="K2345" s="2">
        <v>24.69</v>
      </c>
      <c r="L2345" s="2">
        <v>27.72</v>
      </c>
      <c r="M2345" s="2">
        <v>6.24</v>
      </c>
      <c r="N2345" t="s">
        <v>276</v>
      </c>
      <c r="O2345">
        <v>38</v>
      </c>
    </row>
    <row r="2346" spans="1:15">
      <c r="A2346" s="1">
        <v>46048</v>
      </c>
      <c r="B2346">
        <v>17</v>
      </c>
      <c r="C2346" t="s">
        <v>94</v>
      </c>
      <c r="D2346">
        <v>17</v>
      </c>
      <c r="E2346" s="2">
        <v>8.5</v>
      </c>
      <c r="F2346" s="2">
        <v>20.45</v>
      </c>
      <c r="G2346" s="2">
        <v>-12.53</v>
      </c>
      <c r="H2346" s="2">
        <v>-47.48</v>
      </c>
      <c r="I2346" s="2">
        <v>53.69</v>
      </c>
      <c r="J2346" s="2">
        <v>12.88</v>
      </c>
      <c r="K2346" s="2">
        <v>23.67</v>
      </c>
      <c r="L2346" s="2">
        <v>26.95</v>
      </c>
      <c r="M2346" s="2">
        <v>6.63</v>
      </c>
      <c r="N2346" t="s">
        <v>276</v>
      </c>
      <c r="O2346">
        <v>38</v>
      </c>
    </row>
    <row r="2347" spans="1:15">
      <c r="A2347" s="1">
        <v>46048</v>
      </c>
      <c r="B2347">
        <v>17</v>
      </c>
      <c r="C2347" t="s">
        <v>94</v>
      </c>
      <c r="D2347">
        <v>17</v>
      </c>
      <c r="E2347" s="2">
        <v>9</v>
      </c>
      <c r="F2347" s="2">
        <v>-31.19</v>
      </c>
      <c r="G2347" s="2">
        <v>40.44</v>
      </c>
      <c r="H2347" s="2">
        <v>-42.22</v>
      </c>
      <c r="I2347" s="2">
        <v>38.47</v>
      </c>
      <c r="J2347" s="2">
        <v>13.2</v>
      </c>
      <c r="K2347" s="2">
        <v>22.69</v>
      </c>
      <c r="L2347" s="2">
        <v>26.25</v>
      </c>
      <c r="M2347" s="2">
        <v>7.01</v>
      </c>
      <c r="N2347" t="s">
        <v>276</v>
      </c>
      <c r="O2347">
        <v>38</v>
      </c>
    </row>
    <row r="2348" spans="1:15">
      <c r="A2348" s="1">
        <v>46048</v>
      </c>
      <c r="B2348">
        <v>17</v>
      </c>
      <c r="C2348" t="s">
        <v>94</v>
      </c>
      <c r="D2348">
        <v>17</v>
      </c>
      <c r="E2348" s="2">
        <v>9.5</v>
      </c>
      <c r="F2348" s="2">
        <v>-116.93</v>
      </c>
      <c r="G2348" s="2">
        <v>123.06</v>
      </c>
      <c r="H2348" s="2">
        <v>-15.44</v>
      </c>
      <c r="I2348" s="2">
        <v>13.74</v>
      </c>
      <c r="J2348" s="2">
        <v>13.39</v>
      </c>
      <c r="K2348" s="2">
        <v>21.54</v>
      </c>
      <c r="L2348" s="2">
        <v>25.36</v>
      </c>
      <c r="M2348" s="2">
        <v>7.28</v>
      </c>
      <c r="N2348" t="s">
        <v>276</v>
      </c>
      <c r="O2348">
        <v>38</v>
      </c>
    </row>
    <row r="2349" spans="1:15">
      <c r="A2349" s="1">
        <v>46048</v>
      </c>
      <c r="B2349">
        <v>17</v>
      </c>
      <c r="C2349" t="s">
        <v>94</v>
      </c>
      <c r="D2349">
        <v>17</v>
      </c>
      <c r="E2349" s="2">
        <v>10</v>
      </c>
      <c r="F2349" s="2">
        <v>-217.81</v>
      </c>
      <c r="G2349" s="2">
        <v>229.29</v>
      </c>
      <c r="H2349" s="2">
        <v>-96.53</v>
      </c>
      <c r="I2349" s="2">
        <v>85.73</v>
      </c>
      <c r="J2349" s="2">
        <v>13.03</v>
      </c>
      <c r="K2349" s="2">
        <v>20.61</v>
      </c>
      <c r="L2349" s="2">
        <v>24.38</v>
      </c>
      <c r="M2349" s="2">
        <v>7.27</v>
      </c>
      <c r="N2349" t="s">
        <v>276</v>
      </c>
      <c r="O2349">
        <v>38</v>
      </c>
    </row>
    <row r="2350" spans="1:15">
      <c r="A2350" s="1">
        <v>46048</v>
      </c>
      <c r="B2350">
        <v>17</v>
      </c>
      <c r="C2350" t="s">
        <v>94</v>
      </c>
      <c r="D2350">
        <v>17</v>
      </c>
      <c r="E2350" s="2">
        <v>10.5</v>
      </c>
      <c r="F2350" s="2">
        <v>-203.45</v>
      </c>
      <c r="G2350" s="2">
        <v>213.85</v>
      </c>
      <c r="H2350" s="2">
        <v>-80.09</v>
      </c>
      <c r="I2350" s="2">
        <v>68.25</v>
      </c>
      <c r="J2350" s="2">
        <v>12.34</v>
      </c>
      <c r="K2350" s="2">
        <v>19.489999999999998</v>
      </c>
      <c r="L2350" s="2">
        <v>23.07</v>
      </c>
      <c r="M2350" s="2">
        <v>7.55</v>
      </c>
      <c r="N2350" t="s">
        <v>276</v>
      </c>
      <c r="O2350">
        <v>38</v>
      </c>
    </row>
    <row r="2351" spans="1:15">
      <c r="A2351" s="1">
        <v>46048</v>
      </c>
      <c r="B2351">
        <v>17</v>
      </c>
      <c r="C2351" t="s">
        <v>94</v>
      </c>
      <c r="D2351">
        <v>17</v>
      </c>
      <c r="E2351" s="2">
        <v>11</v>
      </c>
      <c r="F2351" s="2">
        <v>-195.98</v>
      </c>
      <c r="G2351" s="2">
        <v>201.19</v>
      </c>
      <c r="H2351" s="2">
        <v>-43.11</v>
      </c>
      <c r="I2351" s="2">
        <v>44.33</v>
      </c>
      <c r="J2351" s="2">
        <v>11.98</v>
      </c>
      <c r="K2351" s="2">
        <v>18.62</v>
      </c>
      <c r="L2351" s="2">
        <v>22.14</v>
      </c>
      <c r="M2351" s="2">
        <v>7.65</v>
      </c>
      <c r="N2351" t="s">
        <v>276</v>
      </c>
      <c r="O2351">
        <v>38</v>
      </c>
    </row>
    <row r="2352" spans="1:15">
      <c r="A2352" s="1">
        <v>46048</v>
      </c>
      <c r="B2352">
        <v>17</v>
      </c>
      <c r="C2352" t="s">
        <v>94</v>
      </c>
      <c r="D2352">
        <v>17</v>
      </c>
      <c r="E2352" s="2">
        <v>11.5</v>
      </c>
      <c r="F2352" s="2">
        <v>-96.35</v>
      </c>
      <c r="G2352" s="2">
        <v>104.69</v>
      </c>
      <c r="H2352" s="2">
        <v>-26.24</v>
      </c>
      <c r="I2352" s="2">
        <v>37.53</v>
      </c>
      <c r="J2352" s="2">
        <v>11.25</v>
      </c>
      <c r="K2352" s="2">
        <v>17.399999999999999</v>
      </c>
      <c r="L2352" s="2">
        <v>20.72</v>
      </c>
      <c r="M2352" s="2">
        <v>7.19</v>
      </c>
      <c r="N2352" t="s">
        <v>276</v>
      </c>
      <c r="O2352">
        <v>38</v>
      </c>
    </row>
    <row r="2353" spans="1:15">
      <c r="A2353" s="1">
        <v>46048</v>
      </c>
      <c r="B2353">
        <v>17</v>
      </c>
      <c r="C2353" t="s">
        <v>94</v>
      </c>
      <c r="D2353">
        <v>17</v>
      </c>
      <c r="E2353" s="2">
        <v>12</v>
      </c>
      <c r="F2353" s="2">
        <v>-151.5</v>
      </c>
      <c r="G2353" s="2">
        <v>164.75</v>
      </c>
      <c r="H2353" s="2">
        <v>-50.04</v>
      </c>
      <c r="I2353" s="2">
        <v>54.76</v>
      </c>
      <c r="J2353" s="2">
        <v>10.64</v>
      </c>
      <c r="K2353" s="2">
        <v>16.32</v>
      </c>
      <c r="L2353" s="2">
        <v>19.489999999999998</v>
      </c>
      <c r="M2353" s="2">
        <v>6.58</v>
      </c>
      <c r="N2353" t="s">
        <v>276</v>
      </c>
      <c r="O2353">
        <v>38</v>
      </c>
    </row>
    <row r="2354" spans="1:15">
      <c r="A2354" s="1">
        <v>46048</v>
      </c>
      <c r="B2354">
        <v>17</v>
      </c>
      <c r="C2354" t="s">
        <v>94</v>
      </c>
      <c r="D2354">
        <v>17</v>
      </c>
      <c r="E2354" s="2">
        <v>12.5</v>
      </c>
      <c r="F2354" s="2">
        <v>-148.72999999999999</v>
      </c>
      <c r="G2354" s="2">
        <v>156.71</v>
      </c>
      <c r="H2354" s="2">
        <v>17.510000000000002</v>
      </c>
      <c r="I2354" s="2">
        <v>-9.5</v>
      </c>
      <c r="J2354" s="2">
        <v>10.41</v>
      </c>
      <c r="K2354" s="2">
        <v>15.23</v>
      </c>
      <c r="L2354" s="2">
        <v>18.440000000000001</v>
      </c>
      <c r="M2354" s="2">
        <v>6.13</v>
      </c>
      <c r="N2354" t="s">
        <v>276</v>
      </c>
      <c r="O2354">
        <v>38</v>
      </c>
    </row>
    <row r="2355" spans="1:15">
      <c r="A2355" s="1">
        <v>46048</v>
      </c>
      <c r="B2355">
        <v>17</v>
      </c>
      <c r="C2355" t="s">
        <v>94</v>
      </c>
      <c r="D2355">
        <v>17</v>
      </c>
      <c r="E2355" s="2">
        <v>13</v>
      </c>
      <c r="F2355" s="2">
        <v>-104.9</v>
      </c>
      <c r="G2355" s="2">
        <v>114.79</v>
      </c>
      <c r="H2355" s="2">
        <v>-1.74</v>
      </c>
      <c r="I2355" s="2">
        <v>13.24</v>
      </c>
      <c r="J2355" s="2">
        <v>9.9499999999999993</v>
      </c>
      <c r="K2355" s="2">
        <v>14.34</v>
      </c>
      <c r="L2355" s="2">
        <v>17.45</v>
      </c>
      <c r="M2355" s="2">
        <v>5.82</v>
      </c>
      <c r="N2355" t="s">
        <v>276</v>
      </c>
      <c r="O2355">
        <v>38</v>
      </c>
    </row>
    <row r="2356" spans="1:15">
      <c r="A2356" s="1">
        <v>46048</v>
      </c>
      <c r="B2356">
        <v>17</v>
      </c>
      <c r="C2356" t="s">
        <v>94</v>
      </c>
      <c r="D2356">
        <v>17</v>
      </c>
      <c r="E2356" s="2">
        <v>13.5</v>
      </c>
      <c r="F2356" s="2">
        <v>-105.25</v>
      </c>
      <c r="G2356" s="2">
        <v>114.78</v>
      </c>
      <c r="H2356" s="2">
        <v>-5.26</v>
      </c>
      <c r="I2356" s="2">
        <v>5.08</v>
      </c>
      <c r="J2356" s="2">
        <v>8.66</v>
      </c>
      <c r="K2356" s="2">
        <v>13.03</v>
      </c>
      <c r="L2356" s="2">
        <v>15.65</v>
      </c>
      <c r="M2356" s="2">
        <v>5.08</v>
      </c>
      <c r="N2356" t="s">
        <v>276</v>
      </c>
      <c r="O2356">
        <v>38</v>
      </c>
    </row>
    <row r="2357" spans="1:15">
      <c r="A2357" s="1">
        <v>46048</v>
      </c>
      <c r="B2357">
        <v>17</v>
      </c>
      <c r="C2357" t="s">
        <v>94</v>
      </c>
      <c r="D2357">
        <v>17</v>
      </c>
      <c r="E2357" s="2">
        <v>14</v>
      </c>
      <c r="F2357" s="2">
        <v>-113.61</v>
      </c>
      <c r="G2357" s="2">
        <v>120.94</v>
      </c>
      <c r="H2357" s="2">
        <v>4.9400000000000004</v>
      </c>
      <c r="I2357" s="2">
        <v>-0.14000000000000001</v>
      </c>
      <c r="J2357" s="2">
        <v>6.95</v>
      </c>
      <c r="K2357" s="2">
        <v>11.36</v>
      </c>
      <c r="L2357" s="2">
        <v>13.32</v>
      </c>
      <c r="M2357" s="2">
        <v>4.18</v>
      </c>
      <c r="N2357" t="s">
        <v>276</v>
      </c>
      <c r="O2357">
        <v>38</v>
      </c>
    </row>
    <row r="2358" spans="1:15">
      <c r="A2358" s="1">
        <v>46048</v>
      </c>
      <c r="B2358">
        <v>17</v>
      </c>
      <c r="C2358" t="s">
        <v>94</v>
      </c>
      <c r="D2358">
        <v>17</v>
      </c>
      <c r="E2358" s="2">
        <v>14.5</v>
      </c>
      <c r="F2358" s="2">
        <v>-97.28</v>
      </c>
      <c r="G2358" s="2">
        <v>104.76</v>
      </c>
      <c r="H2358" s="2">
        <v>49.4</v>
      </c>
      <c r="I2358" s="2">
        <v>-32.840000000000003</v>
      </c>
      <c r="J2358" s="2">
        <v>5</v>
      </c>
      <c r="K2358" s="2">
        <v>9.26</v>
      </c>
      <c r="L2358" s="2">
        <v>10.53</v>
      </c>
      <c r="M2358" s="2">
        <v>3.31</v>
      </c>
      <c r="N2358" t="s">
        <v>276</v>
      </c>
      <c r="O2358">
        <v>38</v>
      </c>
    </row>
    <row r="2359" spans="1:15">
      <c r="A2359" s="1">
        <v>46048</v>
      </c>
      <c r="B2359">
        <v>17</v>
      </c>
      <c r="C2359" t="s">
        <v>94</v>
      </c>
      <c r="D2359">
        <v>17</v>
      </c>
      <c r="E2359" s="2">
        <v>15</v>
      </c>
      <c r="F2359" s="2">
        <v>-38.97</v>
      </c>
      <c r="G2359" s="2">
        <v>47.83</v>
      </c>
      <c r="H2359" s="2">
        <v>76.02</v>
      </c>
      <c r="I2359" s="2">
        <v>-76.17</v>
      </c>
      <c r="J2359" s="2">
        <v>3.26</v>
      </c>
      <c r="K2359" s="2">
        <v>7.63</v>
      </c>
      <c r="L2359" s="2">
        <v>8.2899999999999991</v>
      </c>
      <c r="M2359" s="2">
        <v>2.54</v>
      </c>
      <c r="N2359" t="s">
        <v>276</v>
      </c>
      <c r="O2359">
        <v>38</v>
      </c>
    </row>
    <row r="2360" spans="1:15">
      <c r="A2360" s="1">
        <v>46048</v>
      </c>
      <c r="B2360">
        <v>17</v>
      </c>
      <c r="C2360" t="s">
        <v>94</v>
      </c>
      <c r="D2360">
        <v>17</v>
      </c>
      <c r="E2360" s="2">
        <v>15.5</v>
      </c>
      <c r="F2360" s="2">
        <v>-145.99</v>
      </c>
      <c r="G2360" s="2">
        <v>148.26</v>
      </c>
      <c r="H2360" s="2">
        <v>-33.94</v>
      </c>
      <c r="I2360" s="2">
        <v>54.82</v>
      </c>
      <c r="J2360" s="2">
        <v>2.2799999999999998</v>
      </c>
      <c r="K2360" s="2">
        <v>6.52</v>
      </c>
      <c r="L2360" s="2">
        <v>6.9</v>
      </c>
      <c r="M2360" s="2">
        <v>2.12</v>
      </c>
      <c r="N2360" t="s">
        <v>276</v>
      </c>
      <c r="O2360">
        <v>38</v>
      </c>
    </row>
    <row r="2361" spans="1:15">
      <c r="A2361" s="1">
        <v>46048</v>
      </c>
      <c r="B2361">
        <v>17</v>
      </c>
      <c r="C2361" t="s">
        <v>94</v>
      </c>
      <c r="D2361">
        <v>17</v>
      </c>
      <c r="E2361" s="2">
        <v>16</v>
      </c>
      <c r="F2361" s="2">
        <v>-10.89</v>
      </c>
      <c r="G2361" s="2">
        <v>18.079999999999998</v>
      </c>
      <c r="H2361" s="2">
        <v>-28.69</v>
      </c>
      <c r="I2361" s="2">
        <v>25.67</v>
      </c>
      <c r="J2361" s="2">
        <v>-1.08</v>
      </c>
      <c r="K2361" s="2">
        <v>2</v>
      </c>
      <c r="L2361" s="2">
        <v>2.2799999999999998</v>
      </c>
      <c r="M2361" s="2">
        <v>0.28999999999999998</v>
      </c>
      <c r="N2361" t="s">
        <v>276</v>
      </c>
      <c r="O2361">
        <v>38</v>
      </c>
    </row>
    <row r="2362" spans="1:15">
      <c r="A2362" s="1">
        <v>46048</v>
      </c>
      <c r="B2362">
        <v>17</v>
      </c>
      <c r="C2362" t="s">
        <v>94</v>
      </c>
      <c r="D2362">
        <v>17</v>
      </c>
      <c r="E2362" s="2">
        <v>16.5</v>
      </c>
      <c r="F2362" s="2">
        <v>7.33</v>
      </c>
      <c r="G2362" s="2">
        <v>-0.57999999999999996</v>
      </c>
      <c r="H2362" s="2">
        <v>-7.19</v>
      </c>
      <c r="I2362" s="2">
        <v>16.64</v>
      </c>
      <c r="J2362" s="2">
        <v>-0.97</v>
      </c>
      <c r="K2362" s="2">
        <v>2.12</v>
      </c>
      <c r="L2362" s="2">
        <v>2.33</v>
      </c>
      <c r="M2362" s="2">
        <v>0.18</v>
      </c>
      <c r="N2362" t="s">
        <v>276</v>
      </c>
      <c r="O2362">
        <v>38</v>
      </c>
    </row>
    <row r="2363" spans="1:15">
      <c r="A2363" s="1">
        <v>46048</v>
      </c>
      <c r="B2363">
        <v>17</v>
      </c>
      <c r="C2363" t="s">
        <v>94</v>
      </c>
      <c r="D2363">
        <v>17</v>
      </c>
      <c r="E2363" s="2">
        <v>17</v>
      </c>
      <c r="F2363" s="2">
        <v>16.32</v>
      </c>
      <c r="G2363" s="2">
        <v>-11.48</v>
      </c>
      <c r="H2363" s="2">
        <v>1.72</v>
      </c>
      <c r="I2363" s="2">
        <v>2.29</v>
      </c>
      <c r="J2363" s="2">
        <v>-0.9</v>
      </c>
      <c r="K2363" s="2">
        <v>2.2400000000000002</v>
      </c>
      <c r="L2363" s="2">
        <v>2.41</v>
      </c>
      <c r="M2363" s="2">
        <v>0.14000000000000001</v>
      </c>
      <c r="N2363" t="s">
        <v>276</v>
      </c>
      <c r="O2363">
        <v>38</v>
      </c>
    </row>
    <row r="2364" spans="1:15">
      <c r="A2364" s="1">
        <v>46048</v>
      </c>
      <c r="B2364">
        <v>17</v>
      </c>
      <c r="C2364" t="s">
        <v>94</v>
      </c>
      <c r="D2364">
        <v>17</v>
      </c>
      <c r="E2364" s="2">
        <v>17.5</v>
      </c>
      <c r="F2364" s="2">
        <v>-10.91</v>
      </c>
      <c r="G2364" s="2">
        <v>16.72</v>
      </c>
      <c r="H2364" s="2">
        <v>32.380000000000003</v>
      </c>
      <c r="I2364" s="2">
        <v>-27.53</v>
      </c>
      <c r="J2364" s="2">
        <v>-0.94</v>
      </c>
      <c r="K2364" s="2">
        <v>2.31</v>
      </c>
      <c r="L2364" s="2">
        <v>2.4900000000000002</v>
      </c>
      <c r="M2364" s="2">
        <v>0.16</v>
      </c>
      <c r="N2364" t="s">
        <v>276</v>
      </c>
      <c r="O2364">
        <v>38</v>
      </c>
    </row>
    <row r="2365" spans="1:15">
      <c r="A2365" s="1">
        <v>46048</v>
      </c>
      <c r="B2365">
        <v>17</v>
      </c>
      <c r="C2365" t="s">
        <v>94</v>
      </c>
      <c r="D2365">
        <v>17</v>
      </c>
      <c r="E2365" s="2">
        <v>18</v>
      </c>
      <c r="F2365" s="2">
        <v>-30.53</v>
      </c>
      <c r="G2365" s="2">
        <v>35.22</v>
      </c>
      <c r="H2365" s="2">
        <v>49.03</v>
      </c>
      <c r="I2365" s="2">
        <v>-40.9</v>
      </c>
      <c r="J2365" s="2">
        <v>-0.94</v>
      </c>
      <c r="K2365" s="2">
        <v>2.2400000000000002</v>
      </c>
      <c r="L2365" s="2">
        <v>2.4300000000000002</v>
      </c>
      <c r="M2365" s="2">
        <v>0.13</v>
      </c>
      <c r="N2365" t="s">
        <v>276</v>
      </c>
      <c r="O2365">
        <v>38</v>
      </c>
    </row>
    <row r="2366" spans="1:15">
      <c r="A2366" s="1">
        <v>46048</v>
      </c>
      <c r="B2366">
        <v>17</v>
      </c>
      <c r="C2366" t="s">
        <v>94</v>
      </c>
      <c r="D2366">
        <v>17</v>
      </c>
      <c r="E2366" s="2">
        <v>18.5</v>
      </c>
      <c r="F2366" s="2">
        <v>-33.630000000000003</v>
      </c>
      <c r="G2366" s="2">
        <v>46.41</v>
      </c>
      <c r="H2366" s="2">
        <v>59.43</v>
      </c>
      <c r="I2366" s="2">
        <v>-52.12</v>
      </c>
      <c r="J2366" s="2">
        <v>-0.93</v>
      </c>
      <c r="K2366" s="2">
        <v>2.2400000000000002</v>
      </c>
      <c r="L2366" s="2">
        <v>2.4300000000000002</v>
      </c>
      <c r="M2366" s="2">
        <v>0.1</v>
      </c>
      <c r="N2366" t="s">
        <v>276</v>
      </c>
      <c r="O2366">
        <v>38</v>
      </c>
    </row>
    <row r="2367" spans="1:15">
      <c r="A2367" s="1">
        <v>46048</v>
      </c>
      <c r="B2367">
        <v>17</v>
      </c>
      <c r="C2367" t="s">
        <v>94</v>
      </c>
      <c r="D2367">
        <v>17</v>
      </c>
      <c r="E2367" s="2">
        <v>19</v>
      </c>
      <c r="F2367" s="2">
        <v>-138.72999999999999</v>
      </c>
      <c r="G2367" s="2">
        <v>138.12</v>
      </c>
      <c r="H2367" s="2">
        <v>-38.46</v>
      </c>
      <c r="I2367" s="2">
        <v>52.98</v>
      </c>
      <c r="J2367" s="2">
        <v>-0.92</v>
      </c>
      <c r="K2367" s="2">
        <v>2.0099999999999998</v>
      </c>
      <c r="L2367" s="2">
        <v>2.21</v>
      </c>
      <c r="M2367" s="2">
        <v>-0.04</v>
      </c>
      <c r="N2367" t="s">
        <v>276</v>
      </c>
      <c r="O2367">
        <v>38</v>
      </c>
    </row>
    <row r="2368" spans="1:15">
      <c r="A2368" s="1">
        <v>46048</v>
      </c>
      <c r="B2368">
        <v>17</v>
      </c>
      <c r="C2368" t="s">
        <v>94</v>
      </c>
      <c r="D2368">
        <v>17</v>
      </c>
      <c r="E2368" s="2">
        <v>19.5</v>
      </c>
      <c r="F2368" s="2">
        <v>-133.5</v>
      </c>
      <c r="G2368" s="2">
        <v>138</v>
      </c>
      <c r="H2368" s="2">
        <v>-41.18</v>
      </c>
      <c r="I2368" s="2">
        <v>42.73</v>
      </c>
      <c r="J2368" s="2">
        <v>-0.98</v>
      </c>
      <c r="K2368" s="2">
        <v>1.81</v>
      </c>
      <c r="L2368" s="2">
        <v>2.06</v>
      </c>
      <c r="M2368" s="2">
        <v>-0.08</v>
      </c>
      <c r="N2368" t="s">
        <v>276</v>
      </c>
      <c r="O2368">
        <v>38</v>
      </c>
    </row>
    <row r="2369" spans="1:15">
      <c r="A2369" s="1">
        <v>46048</v>
      </c>
      <c r="B2369">
        <v>17</v>
      </c>
      <c r="C2369" t="s">
        <v>94</v>
      </c>
      <c r="D2369">
        <v>17</v>
      </c>
      <c r="E2369" s="2">
        <v>20</v>
      </c>
      <c r="F2369" s="2">
        <v>-147.53</v>
      </c>
      <c r="G2369" s="2">
        <v>153.75</v>
      </c>
      <c r="H2369" s="2">
        <v>-52.82</v>
      </c>
      <c r="I2369" s="2">
        <v>46.95</v>
      </c>
      <c r="J2369" s="2">
        <v>-1.05</v>
      </c>
      <c r="K2369" s="2">
        <v>1.7</v>
      </c>
      <c r="L2369" s="2">
        <v>1.99</v>
      </c>
      <c r="M2369" s="2">
        <v>-0.13</v>
      </c>
      <c r="N2369" t="s">
        <v>276</v>
      </c>
      <c r="O2369">
        <v>38</v>
      </c>
    </row>
    <row r="2370" spans="1:15">
      <c r="A2370" s="1">
        <v>46048</v>
      </c>
      <c r="B2370">
        <v>17</v>
      </c>
      <c r="C2370" t="s">
        <v>94</v>
      </c>
      <c r="D2370">
        <v>17</v>
      </c>
      <c r="E2370" s="2">
        <v>20.5</v>
      </c>
      <c r="F2370" s="2">
        <v>-163.85</v>
      </c>
      <c r="G2370" s="2">
        <v>168.72</v>
      </c>
      <c r="H2370" s="2">
        <v>-18.18</v>
      </c>
      <c r="I2370" s="2">
        <v>17.940000000000001</v>
      </c>
      <c r="J2370" s="2">
        <v>-1.22</v>
      </c>
      <c r="K2370" s="2">
        <v>1.39</v>
      </c>
      <c r="L2370" s="2">
        <v>1.84</v>
      </c>
      <c r="M2370" s="2">
        <v>-0.23</v>
      </c>
      <c r="N2370" t="s">
        <v>276</v>
      </c>
      <c r="O2370">
        <v>38</v>
      </c>
    </row>
    <row r="2371" spans="1:15">
      <c r="A2371" s="1">
        <v>46048</v>
      </c>
      <c r="B2371">
        <v>17</v>
      </c>
      <c r="C2371" t="s">
        <v>94</v>
      </c>
      <c r="D2371">
        <v>17</v>
      </c>
      <c r="E2371" s="2">
        <v>21</v>
      </c>
      <c r="F2371" s="2">
        <v>-154.16999999999999</v>
      </c>
      <c r="G2371" s="2">
        <v>157.34</v>
      </c>
      <c r="H2371" s="2">
        <v>-16.72</v>
      </c>
      <c r="I2371" s="2">
        <v>18.47</v>
      </c>
      <c r="J2371" s="2">
        <v>-1.1499999999999999</v>
      </c>
      <c r="K2371" s="2">
        <v>1.43</v>
      </c>
      <c r="L2371" s="2">
        <v>1.84</v>
      </c>
      <c r="M2371" s="2">
        <v>-0.14000000000000001</v>
      </c>
      <c r="N2371" t="s">
        <v>276</v>
      </c>
      <c r="O2371">
        <v>38</v>
      </c>
    </row>
    <row r="2372" spans="1:15">
      <c r="A2372" s="1">
        <v>46048</v>
      </c>
      <c r="B2372">
        <v>17</v>
      </c>
      <c r="C2372" t="s">
        <v>94</v>
      </c>
      <c r="D2372">
        <v>17</v>
      </c>
      <c r="E2372" s="2">
        <v>21.5</v>
      </c>
      <c r="F2372" s="2">
        <v>-76.44</v>
      </c>
      <c r="G2372" s="2">
        <v>82.96</v>
      </c>
      <c r="H2372" s="2">
        <v>-20.36</v>
      </c>
      <c r="I2372" s="2">
        <v>32.630000000000003</v>
      </c>
      <c r="J2372" s="2">
        <v>-1.1200000000000001</v>
      </c>
      <c r="K2372" s="2">
        <v>1.45</v>
      </c>
      <c r="L2372" s="2">
        <v>1.83</v>
      </c>
      <c r="M2372" s="2">
        <v>-0.3</v>
      </c>
      <c r="N2372" t="s">
        <v>276</v>
      </c>
      <c r="O2372">
        <v>38</v>
      </c>
    </row>
    <row r="2373" spans="1:15">
      <c r="A2373" s="1">
        <v>46048</v>
      </c>
      <c r="B2373">
        <v>17</v>
      </c>
      <c r="C2373" t="s">
        <v>94</v>
      </c>
      <c r="D2373">
        <v>17</v>
      </c>
      <c r="E2373" s="2">
        <v>22</v>
      </c>
      <c r="F2373" s="2">
        <v>-0.37</v>
      </c>
      <c r="G2373" s="2">
        <v>3.43</v>
      </c>
      <c r="H2373" s="2">
        <v>-110.8</v>
      </c>
      <c r="I2373" s="2">
        <v>122.76</v>
      </c>
      <c r="J2373" s="2">
        <v>-1.1599999999999999</v>
      </c>
      <c r="K2373" s="2">
        <v>1.4</v>
      </c>
      <c r="L2373" s="2">
        <v>1.82</v>
      </c>
      <c r="M2373" s="2">
        <v>-0.34</v>
      </c>
      <c r="N2373" t="s">
        <v>276</v>
      </c>
      <c r="O2373">
        <v>38</v>
      </c>
    </row>
    <row r="2374" spans="1:15">
      <c r="A2374" s="1">
        <v>46048</v>
      </c>
      <c r="B2374">
        <v>17</v>
      </c>
      <c r="C2374" t="s">
        <v>94</v>
      </c>
      <c r="D2374">
        <v>17</v>
      </c>
      <c r="E2374" s="2">
        <v>22.5</v>
      </c>
      <c r="F2374" s="2">
        <v>-37.159999999999997</v>
      </c>
      <c r="G2374" s="2">
        <v>40.22</v>
      </c>
      <c r="H2374" s="2">
        <v>-57.29</v>
      </c>
      <c r="I2374" s="2">
        <v>47.52</v>
      </c>
      <c r="J2374" s="2">
        <v>-1.39</v>
      </c>
      <c r="K2374" s="2">
        <v>1.04</v>
      </c>
      <c r="L2374" s="2">
        <v>1.73</v>
      </c>
      <c r="M2374" s="2">
        <v>-0.31</v>
      </c>
      <c r="N2374" t="s">
        <v>276</v>
      </c>
      <c r="O2374">
        <v>38</v>
      </c>
    </row>
    <row r="2375" spans="1:15">
      <c r="A2375" s="1">
        <v>46048</v>
      </c>
      <c r="B2375">
        <v>17</v>
      </c>
      <c r="C2375" t="s">
        <v>94</v>
      </c>
      <c r="D2375">
        <v>17</v>
      </c>
      <c r="E2375" s="2">
        <v>23</v>
      </c>
      <c r="F2375" s="2">
        <v>-61.02</v>
      </c>
      <c r="G2375" s="2">
        <v>63.39</v>
      </c>
      <c r="H2375" s="2">
        <v>-18.62</v>
      </c>
      <c r="I2375" s="2">
        <v>13.64</v>
      </c>
      <c r="J2375" s="2">
        <v>-1.73</v>
      </c>
      <c r="K2375" s="2">
        <v>0.72</v>
      </c>
      <c r="L2375" s="2">
        <v>1.87</v>
      </c>
      <c r="M2375" s="2">
        <v>-0.34</v>
      </c>
      <c r="N2375" t="s">
        <v>276</v>
      </c>
      <c r="O2375">
        <v>38</v>
      </c>
    </row>
    <row r="2376" spans="1:15">
      <c r="A2376" s="1">
        <v>46048</v>
      </c>
      <c r="B2376">
        <v>17</v>
      </c>
      <c r="C2376" t="s">
        <v>94</v>
      </c>
      <c r="D2376">
        <v>17</v>
      </c>
      <c r="E2376" s="2">
        <v>23.5</v>
      </c>
      <c r="F2376" s="2">
        <v>-75.319999999999993</v>
      </c>
      <c r="G2376" s="2">
        <v>79.569999999999993</v>
      </c>
      <c r="H2376" s="2">
        <v>11.1</v>
      </c>
      <c r="I2376" s="2">
        <v>-14.64</v>
      </c>
      <c r="J2376" s="2">
        <v>-2.0699999999999998</v>
      </c>
      <c r="K2376" s="2">
        <v>0.31</v>
      </c>
      <c r="L2376" s="2">
        <v>2.1</v>
      </c>
      <c r="M2376" s="2">
        <v>-0.21</v>
      </c>
      <c r="N2376" t="s">
        <v>276</v>
      </c>
      <c r="O2376">
        <v>38</v>
      </c>
    </row>
    <row r="2377" spans="1:15">
      <c r="A2377" s="1">
        <v>46048</v>
      </c>
      <c r="B2377">
        <v>17</v>
      </c>
      <c r="C2377" t="s">
        <v>94</v>
      </c>
      <c r="D2377">
        <v>17</v>
      </c>
      <c r="E2377" s="2">
        <v>24</v>
      </c>
      <c r="F2377" s="2">
        <v>-77.03</v>
      </c>
      <c r="G2377" s="2">
        <v>80.53</v>
      </c>
      <c r="H2377" s="2">
        <v>19.399999999999999</v>
      </c>
      <c r="I2377" s="2">
        <v>-16.48</v>
      </c>
      <c r="J2377" s="2">
        <v>-2.31</v>
      </c>
      <c r="K2377" s="2">
        <v>0.09</v>
      </c>
      <c r="L2377" s="2">
        <v>2.31</v>
      </c>
      <c r="M2377" s="2">
        <v>7.0000000000000007E-2</v>
      </c>
      <c r="N2377" t="s">
        <v>276</v>
      </c>
      <c r="O2377">
        <v>38</v>
      </c>
    </row>
    <row r="2378" spans="1:15">
      <c r="A2378" s="1">
        <v>46048</v>
      </c>
      <c r="B2378">
        <v>17</v>
      </c>
      <c r="C2378" t="s">
        <v>94</v>
      </c>
      <c r="D2378">
        <v>17</v>
      </c>
      <c r="E2378" s="2">
        <v>24.5</v>
      </c>
      <c r="F2378" s="2">
        <v>-90.58</v>
      </c>
      <c r="G2378" s="2">
        <v>74.47</v>
      </c>
      <c r="H2378" s="2">
        <v>52.46</v>
      </c>
      <c r="I2378" s="2">
        <v>-28.83</v>
      </c>
      <c r="J2378" s="2">
        <v>-2.0099999999999998</v>
      </c>
      <c r="K2378" s="2">
        <v>-0.03</v>
      </c>
      <c r="L2378" s="2">
        <v>2.0099999999999998</v>
      </c>
      <c r="M2378" s="2">
        <v>0.06</v>
      </c>
      <c r="N2378" t="s">
        <v>276</v>
      </c>
      <c r="O2378">
        <v>38</v>
      </c>
    </row>
    <row r="2379" spans="1:15">
      <c r="A2379" s="1">
        <v>46048</v>
      </c>
      <c r="B2379">
        <v>17</v>
      </c>
      <c r="C2379" t="s">
        <v>94</v>
      </c>
      <c r="D2379">
        <v>17</v>
      </c>
      <c r="E2379" s="2">
        <v>25</v>
      </c>
      <c r="F2379" s="2">
        <v>-105.38</v>
      </c>
      <c r="G2379" s="2">
        <v>128.63</v>
      </c>
      <c r="H2379" s="2">
        <v>-27.63</v>
      </c>
      <c r="I2379" s="2">
        <v>53.64</v>
      </c>
      <c r="J2379" s="2">
        <v>-1.07</v>
      </c>
      <c r="K2379" s="2">
        <v>0.69</v>
      </c>
      <c r="L2379" s="2">
        <v>1.27</v>
      </c>
      <c r="M2379" s="2">
        <v>-0.27</v>
      </c>
      <c r="N2379" t="s">
        <v>276</v>
      </c>
      <c r="O2379">
        <v>38</v>
      </c>
    </row>
    <row r="2380" spans="1:15">
      <c r="A2380" s="1">
        <v>46048</v>
      </c>
      <c r="B2380">
        <v>17</v>
      </c>
      <c r="C2380" t="s">
        <v>94</v>
      </c>
      <c r="D2380">
        <v>17</v>
      </c>
      <c r="E2380" s="2">
        <v>25.5</v>
      </c>
      <c r="F2380" s="2">
        <v>-105.3</v>
      </c>
      <c r="G2380" s="2">
        <v>108.63</v>
      </c>
      <c r="H2380" s="2">
        <v>-48.78</v>
      </c>
      <c r="I2380" s="2">
        <v>45.01</v>
      </c>
      <c r="J2380" s="2">
        <v>-1.23</v>
      </c>
      <c r="K2380" s="2">
        <v>0.62</v>
      </c>
      <c r="L2380" s="2">
        <v>1.37</v>
      </c>
      <c r="M2380" s="2">
        <v>-0.26</v>
      </c>
      <c r="N2380" t="s">
        <v>276</v>
      </c>
      <c r="O2380">
        <v>38</v>
      </c>
    </row>
    <row r="2381" spans="1:15">
      <c r="A2381" s="1">
        <v>46048</v>
      </c>
      <c r="B2381">
        <v>17</v>
      </c>
      <c r="C2381" t="s">
        <v>94</v>
      </c>
      <c r="D2381">
        <v>17</v>
      </c>
      <c r="E2381" s="2">
        <v>26</v>
      </c>
      <c r="F2381" s="2">
        <v>-57.17</v>
      </c>
      <c r="G2381" s="2">
        <v>60.92</v>
      </c>
      <c r="H2381" s="2">
        <v>-33.43</v>
      </c>
      <c r="I2381" s="2">
        <v>28.05</v>
      </c>
      <c r="J2381" s="2">
        <v>-1.55</v>
      </c>
      <c r="K2381" s="2">
        <v>0.32</v>
      </c>
      <c r="L2381" s="2">
        <v>1.58</v>
      </c>
      <c r="M2381" s="2">
        <v>-0.2</v>
      </c>
      <c r="N2381" t="s">
        <v>276</v>
      </c>
      <c r="O2381">
        <v>38</v>
      </c>
    </row>
    <row r="2382" spans="1:15">
      <c r="A2382" s="1">
        <v>46048</v>
      </c>
      <c r="B2382">
        <v>17</v>
      </c>
      <c r="C2382" t="s">
        <v>94</v>
      </c>
      <c r="D2382">
        <v>17</v>
      </c>
      <c r="E2382" s="2">
        <v>26.5</v>
      </c>
      <c r="F2382" s="2">
        <v>-7.37</v>
      </c>
      <c r="G2382" s="2">
        <v>9.06</v>
      </c>
      <c r="H2382" s="2">
        <v>6.24</v>
      </c>
      <c r="I2382" s="2">
        <v>-2.31</v>
      </c>
      <c r="J2382" s="2">
        <v>-1.48</v>
      </c>
      <c r="K2382" s="2">
        <v>0.23</v>
      </c>
      <c r="L2382" s="2">
        <v>1.5</v>
      </c>
      <c r="M2382" s="2">
        <v>-0.09</v>
      </c>
      <c r="N2382" t="s">
        <v>276</v>
      </c>
      <c r="O2382">
        <v>38</v>
      </c>
    </row>
    <row r="2383" spans="1:15">
      <c r="A2383" s="1">
        <v>46048</v>
      </c>
      <c r="B2383">
        <v>17</v>
      </c>
      <c r="C2383" t="s">
        <v>94</v>
      </c>
      <c r="D2383">
        <v>17</v>
      </c>
      <c r="E2383" s="2">
        <v>27</v>
      </c>
      <c r="F2383" s="2">
        <v>52.66</v>
      </c>
      <c r="G2383" s="2">
        <v>-50.77</v>
      </c>
      <c r="H2383" s="2">
        <v>55.3</v>
      </c>
      <c r="I2383" s="2">
        <v>-52.62</v>
      </c>
      <c r="J2383" s="2">
        <v>-0.9</v>
      </c>
      <c r="K2383" s="2">
        <v>0.1</v>
      </c>
      <c r="L2383" s="2">
        <v>0.9</v>
      </c>
      <c r="M2383" s="2">
        <v>0.01</v>
      </c>
      <c r="N2383" t="s">
        <v>276</v>
      </c>
      <c r="O2383">
        <v>38</v>
      </c>
    </row>
    <row r="2384" spans="1:15">
      <c r="A2384" s="1">
        <v>46048</v>
      </c>
      <c r="B2384">
        <v>17</v>
      </c>
      <c r="C2384" t="s">
        <v>99</v>
      </c>
      <c r="D2384">
        <v>17</v>
      </c>
      <c r="E2384" s="2">
        <v>0.5</v>
      </c>
      <c r="F2384" s="2">
        <v>-399.75</v>
      </c>
      <c r="G2384" s="2">
        <v>398.06</v>
      </c>
      <c r="H2384" s="2">
        <v>-121.3</v>
      </c>
      <c r="I2384" s="2">
        <v>114.61</v>
      </c>
      <c r="J2384" s="2">
        <v>2.36</v>
      </c>
      <c r="K2384" s="2">
        <v>-6.38</v>
      </c>
      <c r="L2384" s="2">
        <v>6.8</v>
      </c>
      <c r="M2384" s="2">
        <v>-1.1200000000000001</v>
      </c>
      <c r="N2384" t="s">
        <v>276</v>
      </c>
      <c r="O2384">
        <v>72</v>
      </c>
    </row>
    <row r="2385" spans="1:15">
      <c r="A2385" s="1">
        <v>46048</v>
      </c>
      <c r="B2385">
        <v>17</v>
      </c>
      <c r="C2385" t="s">
        <v>99</v>
      </c>
      <c r="D2385">
        <v>17</v>
      </c>
      <c r="E2385" s="2">
        <v>1</v>
      </c>
      <c r="F2385" s="2">
        <v>-398.27</v>
      </c>
      <c r="G2385" s="2">
        <v>386.94</v>
      </c>
      <c r="H2385" s="2">
        <v>-116.8</v>
      </c>
      <c r="I2385" s="2">
        <v>108.62</v>
      </c>
      <c r="J2385" s="2">
        <v>2.81</v>
      </c>
      <c r="K2385" s="2">
        <v>-4.99</v>
      </c>
      <c r="L2385" s="2">
        <v>5.73</v>
      </c>
      <c r="M2385" s="2">
        <v>-1.43</v>
      </c>
      <c r="N2385" t="s">
        <v>276</v>
      </c>
      <c r="O2385">
        <v>72</v>
      </c>
    </row>
    <row r="2386" spans="1:15">
      <c r="A2386" s="1">
        <v>46048</v>
      </c>
      <c r="B2386">
        <v>17</v>
      </c>
      <c r="C2386" t="s">
        <v>99</v>
      </c>
      <c r="D2386">
        <v>17</v>
      </c>
      <c r="E2386" s="2">
        <v>1.5</v>
      </c>
      <c r="F2386" s="2">
        <v>-375.21</v>
      </c>
      <c r="G2386" s="2">
        <v>377.48</v>
      </c>
      <c r="H2386" s="2">
        <v>-159.04</v>
      </c>
      <c r="I2386" s="2">
        <v>152.97</v>
      </c>
      <c r="J2386" s="2">
        <v>3.48</v>
      </c>
      <c r="K2386" s="2">
        <v>-3.5</v>
      </c>
      <c r="L2386" s="2">
        <v>4.9400000000000004</v>
      </c>
      <c r="M2386" s="2">
        <v>-1.41</v>
      </c>
      <c r="N2386" t="s">
        <v>276</v>
      </c>
      <c r="O2386">
        <v>72</v>
      </c>
    </row>
    <row r="2387" spans="1:15">
      <c r="A2387" s="1">
        <v>46048</v>
      </c>
      <c r="B2387">
        <v>17</v>
      </c>
      <c r="C2387" t="s">
        <v>99</v>
      </c>
      <c r="D2387">
        <v>17</v>
      </c>
      <c r="E2387" s="2">
        <v>2</v>
      </c>
      <c r="F2387" s="2">
        <v>-331.79</v>
      </c>
      <c r="G2387" s="2">
        <v>336.43</v>
      </c>
      <c r="H2387" s="2">
        <v>-207.99</v>
      </c>
      <c r="I2387" s="2">
        <v>208.54</v>
      </c>
      <c r="J2387" s="2">
        <v>3.67</v>
      </c>
      <c r="K2387" s="2">
        <v>-3.4</v>
      </c>
      <c r="L2387" s="2">
        <v>5</v>
      </c>
      <c r="M2387" s="2">
        <v>-1.28</v>
      </c>
      <c r="N2387" t="s">
        <v>276</v>
      </c>
      <c r="O2387">
        <v>72</v>
      </c>
    </row>
    <row r="2388" spans="1:15">
      <c r="A2388" s="1">
        <v>46048</v>
      </c>
      <c r="B2388">
        <v>17</v>
      </c>
      <c r="C2388" t="s">
        <v>99</v>
      </c>
      <c r="D2388">
        <v>17</v>
      </c>
      <c r="E2388" s="2">
        <v>2.5</v>
      </c>
      <c r="F2388" s="2">
        <v>-307.97000000000003</v>
      </c>
      <c r="G2388" s="2">
        <v>311.35000000000002</v>
      </c>
      <c r="H2388" s="2">
        <v>-196.95</v>
      </c>
      <c r="I2388" s="2">
        <v>199.96</v>
      </c>
      <c r="J2388" s="2">
        <v>3.79</v>
      </c>
      <c r="K2388" s="2">
        <v>-3.28</v>
      </c>
      <c r="L2388" s="2">
        <v>5.01</v>
      </c>
      <c r="M2388" s="2">
        <v>-1.31</v>
      </c>
      <c r="N2388" t="s">
        <v>276</v>
      </c>
      <c r="O2388">
        <v>72</v>
      </c>
    </row>
    <row r="2389" spans="1:15">
      <c r="A2389" s="1">
        <v>46048</v>
      </c>
      <c r="B2389">
        <v>17</v>
      </c>
      <c r="C2389" t="s">
        <v>99</v>
      </c>
      <c r="D2389">
        <v>17</v>
      </c>
      <c r="E2389" s="2">
        <v>3</v>
      </c>
      <c r="F2389" s="2">
        <v>-268.83</v>
      </c>
      <c r="G2389" s="2">
        <v>274</v>
      </c>
      <c r="H2389" s="2">
        <v>-139.47</v>
      </c>
      <c r="I2389" s="2">
        <v>138.68</v>
      </c>
      <c r="J2389" s="2">
        <v>3.82</v>
      </c>
      <c r="K2389" s="2">
        <v>-3.49</v>
      </c>
      <c r="L2389" s="2">
        <v>5.17</v>
      </c>
      <c r="M2389" s="2">
        <v>-1.31</v>
      </c>
      <c r="N2389" t="s">
        <v>276</v>
      </c>
      <c r="O2389">
        <v>72</v>
      </c>
    </row>
    <row r="2390" spans="1:15">
      <c r="A2390" s="1">
        <v>46048</v>
      </c>
      <c r="B2390">
        <v>17</v>
      </c>
      <c r="C2390" t="s">
        <v>99</v>
      </c>
      <c r="D2390">
        <v>17</v>
      </c>
      <c r="E2390" s="2">
        <v>3.5</v>
      </c>
      <c r="F2390" s="2">
        <v>-205.55</v>
      </c>
      <c r="G2390" s="2">
        <v>208.48</v>
      </c>
      <c r="H2390" s="2">
        <v>-80.91</v>
      </c>
      <c r="I2390" s="2">
        <v>73.86</v>
      </c>
      <c r="J2390" s="2">
        <v>3.91</v>
      </c>
      <c r="K2390" s="2">
        <v>-3.52</v>
      </c>
      <c r="L2390" s="2">
        <v>5.26</v>
      </c>
      <c r="M2390" s="2">
        <v>-1.29</v>
      </c>
      <c r="N2390" t="s">
        <v>276</v>
      </c>
      <c r="O2390">
        <v>72</v>
      </c>
    </row>
    <row r="2391" spans="1:15">
      <c r="A2391" s="1">
        <v>46048</v>
      </c>
      <c r="B2391">
        <v>17</v>
      </c>
      <c r="C2391" t="s">
        <v>99</v>
      </c>
      <c r="D2391">
        <v>17</v>
      </c>
      <c r="E2391" s="2">
        <v>4</v>
      </c>
      <c r="F2391" s="2">
        <v>-148.72</v>
      </c>
      <c r="G2391" s="2">
        <v>154.84</v>
      </c>
      <c r="H2391" s="2">
        <v>-71.72</v>
      </c>
      <c r="I2391" s="2">
        <v>69.66</v>
      </c>
      <c r="J2391" s="2">
        <v>4.1100000000000003</v>
      </c>
      <c r="K2391" s="2">
        <v>-3.29</v>
      </c>
      <c r="L2391" s="2">
        <v>5.27</v>
      </c>
      <c r="M2391" s="2">
        <v>-1.28</v>
      </c>
      <c r="N2391" t="s">
        <v>276</v>
      </c>
      <c r="O2391">
        <v>72</v>
      </c>
    </row>
    <row r="2392" spans="1:15">
      <c r="A2392" s="1">
        <v>46048</v>
      </c>
      <c r="B2392">
        <v>17</v>
      </c>
      <c r="C2392" t="s">
        <v>99</v>
      </c>
      <c r="D2392">
        <v>17</v>
      </c>
      <c r="E2392" s="2">
        <v>4.5</v>
      </c>
      <c r="F2392" s="2">
        <v>-101.13</v>
      </c>
      <c r="G2392" s="2">
        <v>102.48</v>
      </c>
      <c r="H2392" s="2">
        <v>-125.48</v>
      </c>
      <c r="I2392" s="2">
        <v>125.34</v>
      </c>
      <c r="J2392" s="2">
        <v>4.3</v>
      </c>
      <c r="K2392" s="2">
        <v>-3.38</v>
      </c>
      <c r="L2392" s="2">
        <v>5.47</v>
      </c>
      <c r="M2392" s="2">
        <v>-1.2</v>
      </c>
      <c r="N2392" t="s">
        <v>276</v>
      </c>
      <c r="O2392">
        <v>72</v>
      </c>
    </row>
    <row r="2393" spans="1:15">
      <c r="A2393" s="1">
        <v>46048</v>
      </c>
      <c r="B2393">
        <v>17</v>
      </c>
      <c r="C2393" t="s">
        <v>99</v>
      </c>
      <c r="D2393">
        <v>17</v>
      </c>
      <c r="E2393" s="2">
        <v>5</v>
      </c>
      <c r="F2393" s="2">
        <v>-26.51</v>
      </c>
      <c r="G2393" s="2">
        <v>29.94</v>
      </c>
      <c r="H2393" s="2">
        <v>-161.54</v>
      </c>
      <c r="I2393" s="2">
        <v>152.69</v>
      </c>
      <c r="J2393" s="2">
        <v>4.51</v>
      </c>
      <c r="K2393" s="2">
        <v>-3.6</v>
      </c>
      <c r="L2393" s="2">
        <v>5.77</v>
      </c>
      <c r="M2393" s="2">
        <v>-0.96</v>
      </c>
      <c r="N2393" t="s">
        <v>276</v>
      </c>
      <c r="O2393">
        <v>72</v>
      </c>
    </row>
    <row r="2394" spans="1:15">
      <c r="A2394" s="1">
        <v>46048</v>
      </c>
      <c r="B2394">
        <v>17</v>
      </c>
      <c r="C2394" t="s">
        <v>99</v>
      </c>
      <c r="D2394">
        <v>17</v>
      </c>
      <c r="E2394" s="2">
        <v>5.5</v>
      </c>
      <c r="F2394" s="2">
        <v>41.36</v>
      </c>
      <c r="G2394" s="2">
        <v>-36.869999999999997</v>
      </c>
      <c r="H2394" s="2">
        <v>-160.96</v>
      </c>
      <c r="I2394" s="2">
        <v>156.37</v>
      </c>
      <c r="J2394" s="2">
        <v>4.78</v>
      </c>
      <c r="K2394" s="2">
        <v>-3.73</v>
      </c>
      <c r="L2394" s="2">
        <v>6.06</v>
      </c>
      <c r="M2394" s="2">
        <v>-0.92</v>
      </c>
      <c r="N2394" t="s">
        <v>276</v>
      </c>
      <c r="O2394">
        <v>72</v>
      </c>
    </row>
    <row r="2395" spans="1:15">
      <c r="A2395" s="1">
        <v>46048</v>
      </c>
      <c r="B2395">
        <v>17</v>
      </c>
      <c r="C2395" t="s">
        <v>99</v>
      </c>
      <c r="D2395">
        <v>17</v>
      </c>
      <c r="E2395" s="2">
        <v>6</v>
      </c>
      <c r="F2395" s="2">
        <v>77.010000000000005</v>
      </c>
      <c r="G2395" s="2">
        <v>-73.25</v>
      </c>
      <c r="H2395" s="2">
        <v>-191.22</v>
      </c>
      <c r="I2395" s="2">
        <v>183.86</v>
      </c>
      <c r="J2395" s="2">
        <v>5.08</v>
      </c>
      <c r="K2395" s="2">
        <v>-4</v>
      </c>
      <c r="L2395" s="2">
        <v>6.46</v>
      </c>
      <c r="M2395" s="2">
        <v>-0.78</v>
      </c>
      <c r="N2395" t="s">
        <v>276</v>
      </c>
      <c r="O2395">
        <v>72</v>
      </c>
    </row>
    <row r="2396" spans="1:15">
      <c r="A2396" s="1">
        <v>46048</v>
      </c>
      <c r="B2396">
        <v>17</v>
      </c>
      <c r="C2396" t="s">
        <v>99</v>
      </c>
      <c r="D2396">
        <v>17</v>
      </c>
      <c r="E2396" s="2">
        <v>6.5</v>
      </c>
      <c r="F2396" s="2">
        <v>181.52</v>
      </c>
      <c r="G2396" s="2">
        <v>-176.92</v>
      </c>
      <c r="H2396" s="2">
        <v>-183.28</v>
      </c>
      <c r="I2396" s="2">
        <v>174.11</v>
      </c>
      <c r="J2396" s="2">
        <v>5.31</v>
      </c>
      <c r="K2396" s="2">
        <v>-4</v>
      </c>
      <c r="L2396" s="2">
        <v>6.65</v>
      </c>
      <c r="M2396" s="2">
        <v>-0.69</v>
      </c>
      <c r="N2396" t="s">
        <v>276</v>
      </c>
      <c r="O2396">
        <v>72</v>
      </c>
    </row>
    <row r="2397" spans="1:15">
      <c r="A2397" s="1">
        <v>46048</v>
      </c>
      <c r="B2397">
        <v>17</v>
      </c>
      <c r="C2397" t="s">
        <v>99</v>
      </c>
      <c r="D2397">
        <v>17</v>
      </c>
      <c r="E2397" s="2">
        <v>7</v>
      </c>
      <c r="F2397" s="2">
        <v>283.52</v>
      </c>
      <c r="G2397" s="2">
        <v>-280.18</v>
      </c>
      <c r="H2397" s="2">
        <v>-194.89</v>
      </c>
      <c r="I2397" s="2">
        <v>176.96</v>
      </c>
      <c r="J2397" s="2">
        <v>5.57</v>
      </c>
      <c r="K2397" s="2">
        <v>-3.9</v>
      </c>
      <c r="L2397" s="2">
        <v>6.81</v>
      </c>
      <c r="M2397" s="2">
        <v>-0.62</v>
      </c>
      <c r="N2397" t="s">
        <v>276</v>
      </c>
      <c r="O2397">
        <v>72</v>
      </c>
    </row>
    <row r="2398" spans="1:15">
      <c r="A2398" s="1">
        <v>46048</v>
      </c>
      <c r="B2398">
        <v>17</v>
      </c>
      <c r="C2398" t="s">
        <v>99</v>
      </c>
      <c r="D2398">
        <v>17</v>
      </c>
      <c r="E2398" s="2">
        <v>7.5</v>
      </c>
      <c r="F2398" s="2">
        <v>309.29000000000002</v>
      </c>
      <c r="G2398" s="2">
        <v>-296.93</v>
      </c>
      <c r="H2398" s="2">
        <v>-168.6</v>
      </c>
      <c r="I2398" s="2">
        <v>172.36</v>
      </c>
      <c r="J2398" s="2">
        <v>5.76</v>
      </c>
      <c r="K2398" s="2">
        <v>-3.87</v>
      </c>
      <c r="L2398" s="2">
        <v>6.94</v>
      </c>
      <c r="M2398" s="2">
        <v>-0.55000000000000004</v>
      </c>
      <c r="N2398" t="s">
        <v>276</v>
      </c>
      <c r="O2398">
        <v>72</v>
      </c>
    </row>
    <row r="2399" spans="1:15">
      <c r="A2399" s="1">
        <v>46048</v>
      </c>
      <c r="B2399">
        <v>17</v>
      </c>
      <c r="C2399" t="s">
        <v>99</v>
      </c>
      <c r="D2399">
        <v>17</v>
      </c>
      <c r="E2399" s="2">
        <v>8</v>
      </c>
      <c r="F2399" s="2">
        <v>276</v>
      </c>
      <c r="G2399" s="2">
        <v>-275.12</v>
      </c>
      <c r="H2399" s="2">
        <v>-73.42</v>
      </c>
      <c r="I2399" s="2">
        <v>83.27</v>
      </c>
      <c r="J2399" s="2">
        <v>6.04</v>
      </c>
      <c r="K2399" s="2">
        <v>-4.03</v>
      </c>
      <c r="L2399" s="2">
        <v>7.26</v>
      </c>
      <c r="M2399" s="2">
        <v>-0.55000000000000004</v>
      </c>
      <c r="N2399" t="s">
        <v>276</v>
      </c>
      <c r="O2399">
        <v>72</v>
      </c>
    </row>
    <row r="2400" spans="1:15">
      <c r="A2400" s="1">
        <v>46048</v>
      </c>
      <c r="B2400">
        <v>17</v>
      </c>
      <c r="C2400" t="s">
        <v>99</v>
      </c>
      <c r="D2400">
        <v>17</v>
      </c>
      <c r="E2400" s="2">
        <v>8.5</v>
      </c>
      <c r="F2400" s="2">
        <v>343.29</v>
      </c>
      <c r="G2400" s="2">
        <v>-331.95</v>
      </c>
      <c r="H2400" s="2">
        <v>-16.3</v>
      </c>
      <c r="I2400" s="2">
        <v>24.16</v>
      </c>
      <c r="J2400" s="2">
        <v>6.31</v>
      </c>
      <c r="K2400" s="2">
        <v>-4.21</v>
      </c>
      <c r="L2400" s="2">
        <v>7.59</v>
      </c>
      <c r="M2400" s="2">
        <v>-0.55000000000000004</v>
      </c>
      <c r="N2400" t="s">
        <v>276</v>
      </c>
      <c r="O2400">
        <v>72</v>
      </c>
    </row>
    <row r="2401" spans="1:15">
      <c r="A2401" s="1">
        <v>46048</v>
      </c>
      <c r="B2401">
        <v>17</v>
      </c>
      <c r="C2401" t="s">
        <v>99</v>
      </c>
      <c r="D2401">
        <v>17</v>
      </c>
      <c r="E2401" s="2">
        <v>9</v>
      </c>
      <c r="F2401" s="2">
        <v>324.57</v>
      </c>
      <c r="G2401" s="2">
        <v>-319.92</v>
      </c>
      <c r="H2401" s="2">
        <v>30.59</v>
      </c>
      <c r="I2401" s="2">
        <v>-19.72</v>
      </c>
      <c r="J2401" s="2">
        <v>6.48</v>
      </c>
      <c r="K2401" s="2">
        <v>-4.5999999999999996</v>
      </c>
      <c r="L2401" s="2">
        <v>7.95</v>
      </c>
      <c r="M2401" s="2">
        <v>-0.48</v>
      </c>
      <c r="N2401" t="s">
        <v>276</v>
      </c>
      <c r="O2401">
        <v>72</v>
      </c>
    </row>
    <row r="2402" spans="1:15">
      <c r="A2402" s="1">
        <v>46048</v>
      </c>
      <c r="B2402">
        <v>17</v>
      </c>
      <c r="C2402" t="s">
        <v>99</v>
      </c>
      <c r="D2402">
        <v>17</v>
      </c>
      <c r="E2402" s="2">
        <v>9.5</v>
      </c>
      <c r="F2402" s="2">
        <v>219.65</v>
      </c>
      <c r="G2402" s="2">
        <v>-212.99</v>
      </c>
      <c r="H2402" s="2">
        <v>107.06</v>
      </c>
      <c r="I2402" s="2">
        <v>-115.37</v>
      </c>
      <c r="J2402" s="2">
        <v>6.75</v>
      </c>
      <c r="K2402" s="2">
        <v>-5.36</v>
      </c>
      <c r="L2402" s="2">
        <v>8.6199999999999992</v>
      </c>
      <c r="M2402" s="2">
        <v>-0.54</v>
      </c>
      <c r="N2402" t="s">
        <v>276</v>
      </c>
      <c r="O2402">
        <v>72</v>
      </c>
    </row>
    <row r="2403" spans="1:15">
      <c r="A2403" s="1">
        <v>46048</v>
      </c>
      <c r="B2403">
        <v>17</v>
      </c>
      <c r="C2403" t="s">
        <v>99</v>
      </c>
      <c r="D2403">
        <v>17</v>
      </c>
      <c r="E2403" s="2">
        <v>10</v>
      </c>
      <c r="F2403" s="2">
        <v>79.709999999999994</v>
      </c>
      <c r="G2403" s="2">
        <v>-64.8</v>
      </c>
      <c r="H2403" s="2">
        <v>140.54</v>
      </c>
      <c r="I2403" s="2">
        <v>-143.44</v>
      </c>
      <c r="J2403" s="2">
        <v>7.24</v>
      </c>
      <c r="K2403" s="2">
        <v>-5.53</v>
      </c>
      <c r="L2403" s="2">
        <v>9.1</v>
      </c>
      <c r="M2403" s="2">
        <v>-0.55000000000000004</v>
      </c>
      <c r="N2403" t="s">
        <v>276</v>
      </c>
      <c r="O2403">
        <v>72</v>
      </c>
    </row>
    <row r="2404" spans="1:15">
      <c r="A2404" s="1">
        <v>46048</v>
      </c>
      <c r="B2404">
        <v>17</v>
      </c>
      <c r="C2404" t="s">
        <v>99</v>
      </c>
      <c r="D2404">
        <v>17</v>
      </c>
      <c r="E2404" s="2">
        <v>10.5</v>
      </c>
      <c r="F2404" s="2">
        <v>96.63</v>
      </c>
      <c r="G2404" s="2">
        <v>-92.44</v>
      </c>
      <c r="H2404" s="2">
        <v>61.97</v>
      </c>
      <c r="I2404" s="2">
        <v>-70.91</v>
      </c>
      <c r="J2404" s="2">
        <v>7.68</v>
      </c>
      <c r="K2404" s="2">
        <v>-5.87</v>
      </c>
      <c r="L2404" s="2">
        <v>9.67</v>
      </c>
      <c r="M2404" s="2">
        <v>-0.49</v>
      </c>
      <c r="N2404" t="s">
        <v>276</v>
      </c>
      <c r="O2404">
        <v>72</v>
      </c>
    </row>
    <row r="2405" spans="1:15">
      <c r="A2405" s="1">
        <v>46048</v>
      </c>
      <c r="B2405">
        <v>17</v>
      </c>
      <c r="C2405" t="s">
        <v>99</v>
      </c>
      <c r="D2405">
        <v>17</v>
      </c>
      <c r="E2405" s="2">
        <v>11</v>
      </c>
      <c r="F2405" s="2">
        <v>31.3</v>
      </c>
      <c r="G2405" s="2">
        <v>-23.35</v>
      </c>
      <c r="H2405" s="2">
        <v>14.77</v>
      </c>
      <c r="I2405" s="2">
        <v>-22.37</v>
      </c>
      <c r="J2405" s="2">
        <v>8.14</v>
      </c>
      <c r="K2405" s="2">
        <v>-6.17</v>
      </c>
      <c r="L2405" s="2">
        <v>10.210000000000001</v>
      </c>
      <c r="M2405" s="2">
        <v>-0.47</v>
      </c>
      <c r="N2405" t="s">
        <v>276</v>
      </c>
      <c r="O2405">
        <v>72</v>
      </c>
    </row>
    <row r="2406" spans="1:15">
      <c r="A2406" s="1">
        <v>46048</v>
      </c>
      <c r="B2406">
        <v>17</v>
      </c>
      <c r="C2406" t="s">
        <v>99</v>
      </c>
      <c r="D2406">
        <v>17</v>
      </c>
      <c r="E2406" s="2">
        <v>11.5</v>
      </c>
      <c r="F2406" s="2">
        <v>-45.73</v>
      </c>
      <c r="G2406" s="2">
        <v>48.59</v>
      </c>
      <c r="H2406" s="2">
        <v>-2.0499999999999998</v>
      </c>
      <c r="I2406" s="2">
        <v>-6.09</v>
      </c>
      <c r="J2406" s="2">
        <v>8.61</v>
      </c>
      <c r="K2406" s="2">
        <v>-6.7</v>
      </c>
      <c r="L2406" s="2">
        <v>10.91</v>
      </c>
      <c r="M2406" s="2">
        <v>-0.43</v>
      </c>
      <c r="N2406" t="s">
        <v>276</v>
      </c>
      <c r="O2406">
        <v>72</v>
      </c>
    </row>
    <row r="2407" spans="1:15">
      <c r="A2407" s="1">
        <v>46048</v>
      </c>
      <c r="B2407">
        <v>17</v>
      </c>
      <c r="C2407" t="s">
        <v>99</v>
      </c>
      <c r="D2407">
        <v>17</v>
      </c>
      <c r="E2407" s="2">
        <v>12</v>
      </c>
      <c r="F2407" s="2">
        <v>-59.74</v>
      </c>
      <c r="G2407" s="2">
        <v>70.12</v>
      </c>
      <c r="H2407" s="2">
        <v>12.4</v>
      </c>
      <c r="I2407" s="2">
        <v>-14.47</v>
      </c>
      <c r="J2407" s="2">
        <v>9</v>
      </c>
      <c r="K2407" s="2">
        <v>-6.79</v>
      </c>
      <c r="L2407" s="2">
        <v>11.28</v>
      </c>
      <c r="M2407" s="2">
        <v>-0.33</v>
      </c>
      <c r="N2407" t="s">
        <v>276</v>
      </c>
      <c r="O2407">
        <v>72</v>
      </c>
    </row>
    <row r="2408" spans="1:15">
      <c r="A2408" s="1">
        <v>46048</v>
      </c>
      <c r="B2408">
        <v>17</v>
      </c>
      <c r="C2408" t="s">
        <v>99</v>
      </c>
      <c r="D2408">
        <v>17</v>
      </c>
      <c r="E2408" s="2">
        <v>12.5</v>
      </c>
      <c r="F2408" s="2">
        <v>-27.33</v>
      </c>
      <c r="G2408" s="2">
        <v>37.729999999999997</v>
      </c>
      <c r="H2408" s="2">
        <v>25.66</v>
      </c>
      <c r="I2408" s="2">
        <v>-17.010000000000002</v>
      </c>
      <c r="J2408" s="2">
        <v>9.35</v>
      </c>
      <c r="K2408" s="2">
        <v>-6.86</v>
      </c>
      <c r="L2408" s="2">
        <v>11.6</v>
      </c>
      <c r="M2408" s="2">
        <v>-0.19</v>
      </c>
      <c r="N2408" t="s">
        <v>276</v>
      </c>
      <c r="O2408">
        <v>72</v>
      </c>
    </row>
    <row r="2409" spans="1:15">
      <c r="A2409" s="1">
        <v>46048</v>
      </c>
      <c r="B2409">
        <v>17</v>
      </c>
      <c r="C2409" t="s">
        <v>99</v>
      </c>
      <c r="D2409">
        <v>17</v>
      </c>
      <c r="E2409" s="2">
        <v>13</v>
      </c>
      <c r="F2409" s="2">
        <v>-87.63</v>
      </c>
      <c r="G2409" s="2">
        <v>95.92</v>
      </c>
      <c r="H2409" s="2">
        <v>-36.61</v>
      </c>
      <c r="I2409" s="2">
        <v>42.37</v>
      </c>
      <c r="J2409" s="2">
        <v>9.57</v>
      </c>
      <c r="K2409" s="2">
        <v>-6.67</v>
      </c>
      <c r="L2409" s="2">
        <v>11.67</v>
      </c>
      <c r="M2409" s="2">
        <v>-0.08</v>
      </c>
      <c r="N2409" t="s">
        <v>276</v>
      </c>
      <c r="O2409">
        <v>72</v>
      </c>
    </row>
    <row r="2410" spans="1:15">
      <c r="A2410" s="1">
        <v>46048</v>
      </c>
      <c r="B2410">
        <v>17</v>
      </c>
      <c r="C2410" t="s">
        <v>99</v>
      </c>
      <c r="D2410">
        <v>17</v>
      </c>
      <c r="E2410" s="2">
        <v>13.5</v>
      </c>
      <c r="F2410" s="2">
        <v>-257.79000000000002</v>
      </c>
      <c r="G2410" s="2">
        <v>269.02999999999997</v>
      </c>
      <c r="H2410" s="2">
        <v>-170.48</v>
      </c>
      <c r="I2410" s="2">
        <v>181.95</v>
      </c>
      <c r="J2410" s="2">
        <v>9.77</v>
      </c>
      <c r="K2410" s="2">
        <v>-6.7</v>
      </c>
      <c r="L2410" s="2">
        <v>11.84</v>
      </c>
      <c r="M2410" s="2">
        <v>0.12</v>
      </c>
      <c r="N2410" t="s">
        <v>276</v>
      </c>
      <c r="O2410">
        <v>72</v>
      </c>
    </row>
    <row r="2411" spans="1:15">
      <c r="A2411" s="1">
        <v>46048</v>
      </c>
      <c r="B2411">
        <v>17</v>
      </c>
      <c r="C2411" t="s">
        <v>99</v>
      </c>
      <c r="D2411">
        <v>17</v>
      </c>
      <c r="E2411" s="2">
        <v>14</v>
      </c>
      <c r="F2411" s="2">
        <v>-270.95</v>
      </c>
      <c r="G2411" s="2">
        <v>282.76</v>
      </c>
      <c r="H2411" s="2">
        <v>-300.57</v>
      </c>
      <c r="I2411" s="2">
        <v>321.39</v>
      </c>
      <c r="J2411" s="2">
        <v>9.8699999999999992</v>
      </c>
      <c r="K2411" s="2">
        <v>-6.61</v>
      </c>
      <c r="L2411" s="2">
        <v>11.88</v>
      </c>
      <c r="M2411" s="2">
        <v>0.39</v>
      </c>
      <c r="N2411" t="s">
        <v>276</v>
      </c>
      <c r="O2411">
        <v>72</v>
      </c>
    </row>
    <row r="2412" spans="1:15">
      <c r="A2412" s="1">
        <v>46048</v>
      </c>
      <c r="B2412">
        <v>17</v>
      </c>
      <c r="C2412" t="s">
        <v>99</v>
      </c>
      <c r="D2412">
        <v>17</v>
      </c>
      <c r="E2412" s="2">
        <v>14.5</v>
      </c>
      <c r="F2412" s="2">
        <v>-245.63</v>
      </c>
      <c r="G2412" s="2">
        <v>256.58</v>
      </c>
      <c r="H2412" s="2">
        <v>-263.18</v>
      </c>
      <c r="I2412" s="2">
        <v>260.79000000000002</v>
      </c>
      <c r="J2412" s="2">
        <v>10.4</v>
      </c>
      <c r="K2412" s="2">
        <v>-6.78</v>
      </c>
      <c r="L2412" s="2">
        <v>12.42</v>
      </c>
      <c r="M2412" s="2">
        <v>0.72</v>
      </c>
      <c r="N2412" t="s">
        <v>276</v>
      </c>
      <c r="O2412">
        <v>72</v>
      </c>
    </row>
    <row r="2413" spans="1:15">
      <c r="A2413" s="1">
        <v>46048</v>
      </c>
      <c r="B2413">
        <v>17</v>
      </c>
      <c r="C2413" t="s">
        <v>99</v>
      </c>
      <c r="D2413">
        <v>17</v>
      </c>
      <c r="E2413" s="2">
        <v>15</v>
      </c>
      <c r="F2413" s="2">
        <v>-217.9</v>
      </c>
      <c r="G2413" s="2">
        <v>230.19</v>
      </c>
      <c r="H2413" s="2">
        <v>-198.42</v>
      </c>
      <c r="I2413" s="2">
        <v>195.76</v>
      </c>
      <c r="J2413" s="2">
        <v>10.69</v>
      </c>
      <c r="K2413" s="2">
        <v>-6.89</v>
      </c>
      <c r="L2413" s="2">
        <v>12.72</v>
      </c>
      <c r="M2413" s="2">
        <v>0.96</v>
      </c>
      <c r="N2413" t="s">
        <v>276</v>
      </c>
      <c r="O2413">
        <v>72</v>
      </c>
    </row>
    <row r="2414" spans="1:15">
      <c r="A2414" s="1">
        <v>46048</v>
      </c>
      <c r="B2414">
        <v>17</v>
      </c>
      <c r="C2414" t="s">
        <v>99</v>
      </c>
      <c r="D2414">
        <v>17</v>
      </c>
      <c r="E2414" s="2">
        <v>15.5</v>
      </c>
      <c r="F2414" s="2">
        <v>-150.88</v>
      </c>
      <c r="G2414" s="2">
        <v>157.55000000000001</v>
      </c>
      <c r="H2414" s="2">
        <v>-189.16</v>
      </c>
      <c r="I2414" s="2">
        <v>179.71</v>
      </c>
      <c r="J2414" s="2">
        <v>10.78</v>
      </c>
      <c r="K2414" s="2">
        <v>-6.78</v>
      </c>
      <c r="L2414" s="2">
        <v>12.73</v>
      </c>
      <c r="M2414" s="2">
        <v>1.28</v>
      </c>
      <c r="N2414" t="s">
        <v>276</v>
      </c>
      <c r="O2414">
        <v>72</v>
      </c>
    </row>
    <row r="2415" spans="1:15">
      <c r="A2415" s="1">
        <v>46048</v>
      </c>
      <c r="B2415">
        <v>17</v>
      </c>
      <c r="C2415" t="s">
        <v>99</v>
      </c>
      <c r="D2415">
        <v>17</v>
      </c>
      <c r="E2415" s="2">
        <v>16</v>
      </c>
      <c r="F2415" s="2">
        <v>-67.680000000000007</v>
      </c>
      <c r="G2415" s="2">
        <v>77.78</v>
      </c>
      <c r="H2415" s="2">
        <v>-170.69</v>
      </c>
      <c r="I2415" s="2">
        <v>170.35</v>
      </c>
      <c r="J2415" s="2">
        <v>10.94</v>
      </c>
      <c r="K2415" s="2">
        <v>-6.69</v>
      </c>
      <c r="L2415" s="2">
        <v>12.83</v>
      </c>
      <c r="M2415" s="2">
        <v>1.55</v>
      </c>
      <c r="N2415" t="s">
        <v>276</v>
      </c>
      <c r="O2415">
        <v>72</v>
      </c>
    </row>
    <row r="2416" spans="1:15">
      <c r="A2416" s="1">
        <v>46048</v>
      </c>
      <c r="B2416">
        <v>17</v>
      </c>
      <c r="C2416" t="s">
        <v>99</v>
      </c>
      <c r="D2416">
        <v>17</v>
      </c>
      <c r="E2416" s="2">
        <v>16.5</v>
      </c>
      <c r="F2416" s="2">
        <v>109.4</v>
      </c>
      <c r="G2416" s="2">
        <v>-102.84</v>
      </c>
      <c r="H2416" s="2">
        <v>-108.89</v>
      </c>
      <c r="I2416" s="2">
        <v>115.08</v>
      </c>
      <c r="J2416" s="2">
        <v>11.01</v>
      </c>
      <c r="K2416" s="2">
        <v>-6.67</v>
      </c>
      <c r="L2416" s="2">
        <v>12.88</v>
      </c>
      <c r="M2416" s="2">
        <v>1.78</v>
      </c>
      <c r="N2416" t="s">
        <v>276</v>
      </c>
      <c r="O2416">
        <v>72</v>
      </c>
    </row>
    <row r="2417" spans="1:15">
      <c r="A2417" s="1">
        <v>46048</v>
      </c>
      <c r="B2417">
        <v>17</v>
      </c>
      <c r="C2417" t="s">
        <v>99</v>
      </c>
      <c r="D2417">
        <v>17</v>
      </c>
      <c r="E2417" s="2">
        <v>17</v>
      </c>
      <c r="F2417" s="2">
        <v>253.97</v>
      </c>
      <c r="G2417" s="2">
        <v>-244.96</v>
      </c>
      <c r="H2417" s="2">
        <v>-54.9</v>
      </c>
      <c r="I2417" s="2">
        <v>46.87</v>
      </c>
      <c r="J2417" s="2">
        <v>10.95</v>
      </c>
      <c r="K2417" s="2">
        <v>-6.71</v>
      </c>
      <c r="L2417" s="2">
        <v>12.84</v>
      </c>
      <c r="M2417" s="2">
        <v>1.86</v>
      </c>
      <c r="N2417" t="s">
        <v>276</v>
      </c>
      <c r="O2417">
        <v>72</v>
      </c>
    </row>
    <row r="2418" spans="1:15">
      <c r="A2418" s="1">
        <v>46048</v>
      </c>
      <c r="B2418">
        <v>17</v>
      </c>
      <c r="C2418" t="s">
        <v>99</v>
      </c>
      <c r="D2418">
        <v>17</v>
      </c>
      <c r="E2418" s="2">
        <v>17.5</v>
      </c>
      <c r="F2418" s="2">
        <v>303.33999999999997</v>
      </c>
      <c r="G2418" s="2">
        <v>-297.12</v>
      </c>
      <c r="H2418" s="2">
        <v>-60.78</v>
      </c>
      <c r="I2418" s="2">
        <v>51.68</v>
      </c>
      <c r="J2418" s="2">
        <v>10.44</v>
      </c>
      <c r="K2418" s="2">
        <v>-6.29</v>
      </c>
      <c r="L2418" s="2">
        <v>12.19</v>
      </c>
      <c r="M2418" s="2">
        <v>1.88</v>
      </c>
      <c r="N2418" t="s">
        <v>276</v>
      </c>
      <c r="O2418">
        <v>72</v>
      </c>
    </row>
    <row r="2419" spans="1:15">
      <c r="A2419" s="1">
        <v>46048</v>
      </c>
      <c r="B2419">
        <v>17</v>
      </c>
      <c r="C2419" t="s">
        <v>99</v>
      </c>
      <c r="D2419">
        <v>17</v>
      </c>
      <c r="E2419" s="2">
        <v>18</v>
      </c>
      <c r="F2419" s="2">
        <v>395.63</v>
      </c>
      <c r="G2419" s="2">
        <v>-385.2</v>
      </c>
      <c r="H2419" s="2">
        <v>-97.02</v>
      </c>
      <c r="I2419" s="2">
        <v>93.64</v>
      </c>
      <c r="J2419" s="2">
        <v>9.8699999999999992</v>
      </c>
      <c r="K2419" s="2">
        <v>-5.85</v>
      </c>
      <c r="L2419" s="2">
        <v>11.47</v>
      </c>
      <c r="M2419" s="2">
        <v>1.78</v>
      </c>
      <c r="N2419" t="s">
        <v>276</v>
      </c>
      <c r="O2419">
        <v>72</v>
      </c>
    </row>
    <row r="2420" spans="1:15">
      <c r="A2420" s="1">
        <v>46048</v>
      </c>
      <c r="B2420">
        <v>17</v>
      </c>
      <c r="C2420" t="s">
        <v>99</v>
      </c>
      <c r="D2420">
        <v>17</v>
      </c>
      <c r="E2420" s="2">
        <v>18.5</v>
      </c>
      <c r="F2420" s="2">
        <v>422.64</v>
      </c>
      <c r="G2420" s="2">
        <v>-415.29</v>
      </c>
      <c r="H2420" s="2">
        <v>-105.17</v>
      </c>
      <c r="I2420" s="2">
        <v>104.72</v>
      </c>
      <c r="J2420" s="2">
        <v>9.85</v>
      </c>
      <c r="K2420" s="2">
        <v>-5.65</v>
      </c>
      <c r="L2420" s="2">
        <v>11.36</v>
      </c>
      <c r="M2420" s="2">
        <v>1.88</v>
      </c>
      <c r="N2420" t="s">
        <v>276</v>
      </c>
      <c r="O2420">
        <v>72</v>
      </c>
    </row>
    <row r="2421" spans="1:15">
      <c r="A2421" s="1">
        <v>46048</v>
      </c>
      <c r="B2421">
        <v>17</v>
      </c>
      <c r="C2421" t="s">
        <v>99</v>
      </c>
      <c r="D2421">
        <v>17</v>
      </c>
      <c r="E2421" s="2">
        <v>19</v>
      </c>
      <c r="F2421" s="2">
        <v>408.14</v>
      </c>
      <c r="G2421" s="2">
        <v>-402.92</v>
      </c>
      <c r="H2421" s="2">
        <v>-98.45</v>
      </c>
      <c r="I2421" s="2">
        <v>90.11</v>
      </c>
      <c r="J2421" s="2">
        <v>9.44</v>
      </c>
      <c r="K2421" s="2">
        <v>-5.37</v>
      </c>
      <c r="L2421" s="2">
        <v>10.86</v>
      </c>
      <c r="M2421" s="2">
        <v>1.81</v>
      </c>
      <c r="N2421" t="s">
        <v>276</v>
      </c>
      <c r="O2421">
        <v>72</v>
      </c>
    </row>
    <row r="2422" spans="1:15">
      <c r="A2422" s="1">
        <v>46048</v>
      </c>
      <c r="B2422">
        <v>17</v>
      </c>
      <c r="C2422" t="s">
        <v>99</v>
      </c>
      <c r="D2422">
        <v>17</v>
      </c>
      <c r="E2422" s="2">
        <v>19.5</v>
      </c>
      <c r="F2422" s="2">
        <v>307.66000000000003</v>
      </c>
      <c r="G2422" s="2">
        <v>-301.87</v>
      </c>
      <c r="H2422" s="2">
        <v>-35.159999999999997</v>
      </c>
      <c r="I2422" s="2">
        <v>42.39</v>
      </c>
      <c r="J2422" s="2">
        <v>8.44</v>
      </c>
      <c r="K2422" s="2">
        <v>-4.74</v>
      </c>
      <c r="L2422" s="2">
        <v>9.68</v>
      </c>
      <c r="M2422" s="2">
        <v>1.56</v>
      </c>
      <c r="N2422" t="s">
        <v>276</v>
      </c>
      <c r="O2422">
        <v>72</v>
      </c>
    </row>
    <row r="2423" spans="1:15">
      <c r="A2423" s="1">
        <v>46048</v>
      </c>
      <c r="B2423">
        <v>17</v>
      </c>
      <c r="C2423" t="s">
        <v>99</v>
      </c>
      <c r="D2423">
        <v>17</v>
      </c>
      <c r="E2423" s="2">
        <v>20</v>
      </c>
      <c r="F2423" s="2">
        <v>167.89</v>
      </c>
      <c r="G2423" s="2">
        <v>-159.59</v>
      </c>
      <c r="H2423" s="2">
        <v>17.37</v>
      </c>
      <c r="I2423" s="2">
        <v>0.45</v>
      </c>
      <c r="J2423" s="2">
        <v>7.9</v>
      </c>
      <c r="K2423" s="2">
        <v>-4.47</v>
      </c>
      <c r="L2423" s="2">
        <v>9.08</v>
      </c>
      <c r="M2423" s="2">
        <v>1.37</v>
      </c>
      <c r="N2423" t="s">
        <v>276</v>
      </c>
      <c r="O2423">
        <v>72</v>
      </c>
    </row>
    <row r="2424" spans="1:15">
      <c r="A2424" s="1">
        <v>46048</v>
      </c>
      <c r="B2424">
        <v>17</v>
      </c>
      <c r="C2424" t="s">
        <v>99</v>
      </c>
      <c r="D2424">
        <v>17</v>
      </c>
      <c r="E2424" s="2">
        <v>20.5</v>
      </c>
      <c r="F2424" s="2">
        <v>129.43</v>
      </c>
      <c r="G2424" s="2">
        <v>-124.43</v>
      </c>
      <c r="H2424" s="2">
        <v>11.31</v>
      </c>
      <c r="I2424" s="2">
        <v>1.47</v>
      </c>
      <c r="J2424" s="2">
        <v>7.17</v>
      </c>
      <c r="K2424" s="2">
        <v>-3.95</v>
      </c>
      <c r="L2424" s="2">
        <v>8.18</v>
      </c>
      <c r="M2424" s="2">
        <v>1.17</v>
      </c>
      <c r="N2424" t="s">
        <v>276</v>
      </c>
      <c r="O2424">
        <v>72</v>
      </c>
    </row>
    <row r="2425" spans="1:15">
      <c r="A2425" s="1">
        <v>46048</v>
      </c>
      <c r="B2425">
        <v>17</v>
      </c>
      <c r="C2425" t="s">
        <v>99</v>
      </c>
      <c r="D2425">
        <v>17</v>
      </c>
      <c r="E2425" s="2">
        <v>21</v>
      </c>
      <c r="F2425" s="2">
        <v>95.22</v>
      </c>
      <c r="G2425" s="2">
        <v>-87.72</v>
      </c>
      <c r="H2425" s="2">
        <v>7.38</v>
      </c>
      <c r="I2425" s="2">
        <v>4.7</v>
      </c>
      <c r="J2425" s="2">
        <v>6.44</v>
      </c>
      <c r="K2425" s="2">
        <v>-3.44</v>
      </c>
      <c r="L2425" s="2">
        <v>7.3</v>
      </c>
      <c r="M2425" s="2">
        <v>0.97</v>
      </c>
      <c r="N2425" t="s">
        <v>276</v>
      </c>
      <c r="O2425">
        <v>72</v>
      </c>
    </row>
    <row r="2426" spans="1:15">
      <c r="A2426" s="1">
        <v>46048</v>
      </c>
      <c r="B2426">
        <v>17</v>
      </c>
      <c r="C2426" t="s">
        <v>99</v>
      </c>
      <c r="D2426">
        <v>17</v>
      </c>
      <c r="E2426" s="2">
        <v>21.5</v>
      </c>
      <c r="F2426" s="2">
        <v>-30.31</v>
      </c>
      <c r="G2426" s="2">
        <v>38.69</v>
      </c>
      <c r="H2426" s="2">
        <v>-4.88</v>
      </c>
      <c r="I2426" s="2">
        <v>9.86</v>
      </c>
      <c r="J2426" s="2">
        <v>5.73</v>
      </c>
      <c r="K2426" s="2">
        <v>-3.2</v>
      </c>
      <c r="L2426" s="2">
        <v>6.56</v>
      </c>
      <c r="M2426" s="2">
        <v>0.76</v>
      </c>
      <c r="N2426" t="s">
        <v>276</v>
      </c>
      <c r="O2426">
        <v>72</v>
      </c>
    </row>
    <row r="2427" spans="1:15">
      <c r="A2427" s="1">
        <v>46048</v>
      </c>
      <c r="B2427">
        <v>17</v>
      </c>
      <c r="C2427" t="s">
        <v>99</v>
      </c>
      <c r="D2427">
        <v>17</v>
      </c>
      <c r="E2427" s="2">
        <v>22</v>
      </c>
      <c r="F2427" s="2">
        <v>-78.790000000000006</v>
      </c>
      <c r="G2427" s="2">
        <v>84.29</v>
      </c>
      <c r="H2427" s="2">
        <v>6.96</v>
      </c>
      <c r="I2427" s="2">
        <v>11.78</v>
      </c>
      <c r="J2427" s="2">
        <v>5.24</v>
      </c>
      <c r="K2427" s="2">
        <v>-2.67</v>
      </c>
      <c r="L2427" s="2">
        <v>5.88</v>
      </c>
      <c r="M2427" s="2">
        <v>0.59</v>
      </c>
      <c r="N2427" t="s">
        <v>276</v>
      </c>
      <c r="O2427">
        <v>72</v>
      </c>
    </row>
    <row r="2428" spans="1:15">
      <c r="A2428" s="1">
        <v>46048</v>
      </c>
      <c r="B2428">
        <v>17</v>
      </c>
      <c r="C2428" t="s">
        <v>99</v>
      </c>
      <c r="D2428">
        <v>17</v>
      </c>
      <c r="E2428" s="2">
        <v>22.5</v>
      </c>
      <c r="F2428" s="2">
        <v>-66.86</v>
      </c>
      <c r="G2428" s="2">
        <v>73.89</v>
      </c>
      <c r="H2428" s="2">
        <v>-97.28</v>
      </c>
      <c r="I2428" s="2">
        <v>111.07</v>
      </c>
      <c r="J2428" s="2">
        <v>4.71</v>
      </c>
      <c r="K2428" s="2">
        <v>-2.25</v>
      </c>
      <c r="L2428" s="2">
        <v>5.22</v>
      </c>
      <c r="M2428" s="2">
        <v>0.44</v>
      </c>
      <c r="N2428" t="s">
        <v>276</v>
      </c>
      <c r="O2428">
        <v>72</v>
      </c>
    </row>
    <row r="2429" spans="1:15">
      <c r="A2429" s="1">
        <v>46048</v>
      </c>
      <c r="B2429">
        <v>17</v>
      </c>
      <c r="C2429" t="s">
        <v>99</v>
      </c>
      <c r="D2429">
        <v>17</v>
      </c>
      <c r="E2429" s="2">
        <v>23</v>
      </c>
      <c r="F2429" s="2">
        <v>-77.25</v>
      </c>
      <c r="G2429" s="2">
        <v>80.03</v>
      </c>
      <c r="H2429" s="2">
        <v>-132.88</v>
      </c>
      <c r="I2429" s="2">
        <v>150.18</v>
      </c>
      <c r="J2429" s="2">
        <v>4.1399999999999997</v>
      </c>
      <c r="K2429" s="2">
        <v>-1.8</v>
      </c>
      <c r="L2429" s="2">
        <v>4.5199999999999996</v>
      </c>
      <c r="M2429" s="2">
        <v>0.38</v>
      </c>
      <c r="N2429" t="s">
        <v>276</v>
      </c>
      <c r="O2429">
        <v>72</v>
      </c>
    </row>
    <row r="2430" spans="1:15">
      <c r="A2430" s="1">
        <v>46048</v>
      </c>
      <c r="B2430">
        <v>17</v>
      </c>
      <c r="C2430" t="s">
        <v>99</v>
      </c>
      <c r="D2430">
        <v>17</v>
      </c>
      <c r="E2430" s="2">
        <v>23.5</v>
      </c>
      <c r="F2430" s="2">
        <v>-138.16</v>
      </c>
      <c r="G2430" s="2">
        <v>146.81</v>
      </c>
      <c r="H2430" s="2">
        <v>-189.96</v>
      </c>
      <c r="I2430" s="2">
        <v>207.45</v>
      </c>
      <c r="J2430" s="2">
        <v>3.64</v>
      </c>
      <c r="K2430" s="2">
        <v>-1.23</v>
      </c>
      <c r="L2430" s="2">
        <v>3.84</v>
      </c>
      <c r="M2430" s="2">
        <v>0.2</v>
      </c>
      <c r="N2430" t="s">
        <v>276</v>
      </c>
      <c r="O2430">
        <v>72</v>
      </c>
    </row>
    <row r="2431" spans="1:15">
      <c r="A2431" s="1">
        <v>46048</v>
      </c>
      <c r="B2431">
        <v>17</v>
      </c>
      <c r="C2431" t="s">
        <v>99</v>
      </c>
      <c r="D2431">
        <v>17</v>
      </c>
      <c r="E2431" s="2">
        <v>24</v>
      </c>
      <c r="F2431" s="2">
        <v>-172.04</v>
      </c>
      <c r="G2431" s="2">
        <v>177.43</v>
      </c>
      <c r="H2431" s="2">
        <v>-247.08</v>
      </c>
      <c r="I2431" s="2">
        <v>250.35</v>
      </c>
      <c r="J2431" s="2">
        <v>3.28</v>
      </c>
      <c r="K2431" s="2">
        <v>-1.1100000000000001</v>
      </c>
      <c r="L2431" s="2">
        <v>3.46</v>
      </c>
      <c r="M2431" s="2">
        <v>0.16</v>
      </c>
      <c r="N2431" t="s">
        <v>276</v>
      </c>
      <c r="O2431">
        <v>72</v>
      </c>
    </row>
    <row r="2432" spans="1:15">
      <c r="A2432" s="1">
        <v>46048</v>
      </c>
      <c r="B2432">
        <v>17</v>
      </c>
      <c r="C2432" t="s">
        <v>99</v>
      </c>
      <c r="D2432">
        <v>17</v>
      </c>
      <c r="E2432" s="2">
        <v>24.5</v>
      </c>
      <c r="F2432" s="2">
        <v>-70.14</v>
      </c>
      <c r="G2432" s="2">
        <v>71.94</v>
      </c>
      <c r="H2432" s="2">
        <v>-244.55</v>
      </c>
      <c r="I2432" s="2">
        <v>234.63</v>
      </c>
      <c r="J2432" s="2">
        <v>2.9</v>
      </c>
      <c r="K2432" s="2">
        <v>-0.84</v>
      </c>
      <c r="L2432" s="2">
        <v>3.02</v>
      </c>
      <c r="M2432" s="2">
        <v>0.14000000000000001</v>
      </c>
      <c r="N2432" t="s">
        <v>276</v>
      </c>
      <c r="O2432">
        <v>72</v>
      </c>
    </row>
    <row r="2433" spans="1:15">
      <c r="A2433" s="1">
        <v>46048</v>
      </c>
      <c r="B2433">
        <v>17</v>
      </c>
      <c r="C2433" t="s">
        <v>99</v>
      </c>
      <c r="D2433">
        <v>17</v>
      </c>
      <c r="E2433" s="2">
        <v>25</v>
      </c>
      <c r="F2433" s="2">
        <v>22.45</v>
      </c>
      <c r="G2433" s="2">
        <v>-17.72</v>
      </c>
      <c r="H2433" s="2">
        <v>-227.45</v>
      </c>
      <c r="I2433" s="2">
        <v>219.3</v>
      </c>
      <c r="J2433" s="2">
        <v>2.4300000000000002</v>
      </c>
      <c r="K2433" s="2">
        <v>-0.79</v>
      </c>
      <c r="L2433" s="2">
        <v>2.5499999999999998</v>
      </c>
      <c r="M2433" s="2">
        <v>0.11</v>
      </c>
      <c r="N2433" t="s">
        <v>276</v>
      </c>
      <c r="O2433">
        <v>72</v>
      </c>
    </row>
    <row r="2434" spans="1:15">
      <c r="A2434" s="1">
        <v>46048</v>
      </c>
      <c r="B2434">
        <v>17</v>
      </c>
      <c r="C2434" t="s">
        <v>99</v>
      </c>
      <c r="D2434">
        <v>17</v>
      </c>
      <c r="E2434" s="2">
        <v>25.5</v>
      </c>
      <c r="F2434" s="2">
        <v>81.150000000000006</v>
      </c>
      <c r="G2434" s="2">
        <v>-78.099999999999994</v>
      </c>
      <c r="H2434" s="2">
        <v>-182.41</v>
      </c>
      <c r="I2434" s="2">
        <v>194.91</v>
      </c>
      <c r="J2434" s="2">
        <v>1.88</v>
      </c>
      <c r="K2434" s="2">
        <v>-0.56999999999999995</v>
      </c>
      <c r="L2434" s="2">
        <v>1.96</v>
      </c>
      <c r="M2434" s="2">
        <v>7.0000000000000007E-2</v>
      </c>
      <c r="N2434" t="s">
        <v>276</v>
      </c>
      <c r="O2434">
        <v>72</v>
      </c>
    </row>
    <row r="2435" spans="1:15">
      <c r="A2435" s="1">
        <v>46048</v>
      </c>
      <c r="B2435">
        <v>17</v>
      </c>
      <c r="C2435" t="s">
        <v>99</v>
      </c>
      <c r="D2435">
        <v>17</v>
      </c>
      <c r="E2435" s="2">
        <v>26</v>
      </c>
      <c r="F2435" s="2">
        <v>126.76</v>
      </c>
      <c r="G2435" s="2">
        <v>-121.84</v>
      </c>
      <c r="H2435" s="2">
        <v>-231.42</v>
      </c>
      <c r="I2435" s="2">
        <v>249.93</v>
      </c>
      <c r="J2435" s="2">
        <v>1.4</v>
      </c>
      <c r="K2435" s="2">
        <v>-0.1</v>
      </c>
      <c r="L2435" s="2">
        <v>1.4</v>
      </c>
      <c r="M2435" s="2">
        <v>0.04</v>
      </c>
      <c r="N2435" t="s">
        <v>276</v>
      </c>
      <c r="O2435">
        <v>72</v>
      </c>
    </row>
    <row r="2436" spans="1:15">
      <c r="A2436" s="1">
        <v>46048</v>
      </c>
      <c r="B2436">
        <v>17</v>
      </c>
      <c r="C2436" t="s">
        <v>99</v>
      </c>
      <c r="D2436">
        <v>17</v>
      </c>
      <c r="E2436" s="2">
        <v>26.5</v>
      </c>
      <c r="F2436" s="2">
        <v>115.89</v>
      </c>
      <c r="G2436" s="2">
        <v>-113.27</v>
      </c>
      <c r="H2436" s="2">
        <v>-256.76</v>
      </c>
      <c r="I2436" s="2">
        <v>256.17</v>
      </c>
      <c r="J2436" s="2">
        <v>0.9</v>
      </c>
      <c r="K2436" s="2">
        <v>0.02</v>
      </c>
      <c r="L2436" s="2">
        <v>0.9</v>
      </c>
      <c r="M2436" s="2">
        <v>-0.01</v>
      </c>
      <c r="N2436" t="s">
        <v>276</v>
      </c>
      <c r="O2436">
        <v>72</v>
      </c>
    </row>
    <row r="2437" spans="1:15">
      <c r="A2437" s="1">
        <v>46048</v>
      </c>
      <c r="B2437">
        <v>17</v>
      </c>
      <c r="C2437" t="s">
        <v>100</v>
      </c>
      <c r="D2437">
        <v>16</v>
      </c>
      <c r="E2437" s="2">
        <v>0.5</v>
      </c>
      <c r="F2437" s="2">
        <v>424.38</v>
      </c>
      <c r="G2437" s="2">
        <v>-416.5</v>
      </c>
      <c r="H2437" s="2">
        <v>490.57</v>
      </c>
      <c r="I2437" s="2">
        <v>-477.14</v>
      </c>
      <c r="J2437" s="2">
        <v>1.02</v>
      </c>
      <c r="K2437" s="2">
        <v>0.21</v>
      </c>
      <c r="L2437" s="2">
        <v>1.04</v>
      </c>
      <c r="M2437" s="2">
        <v>-1.56</v>
      </c>
      <c r="N2437" t="s">
        <v>276</v>
      </c>
      <c r="O2437">
        <v>104</v>
      </c>
    </row>
    <row r="2438" spans="1:15">
      <c r="A2438" s="1">
        <v>46048</v>
      </c>
      <c r="B2438">
        <v>17</v>
      </c>
      <c r="C2438" t="s">
        <v>100</v>
      </c>
      <c r="D2438">
        <v>16</v>
      </c>
      <c r="E2438" s="2">
        <v>1</v>
      </c>
      <c r="F2438" s="2">
        <v>422.86</v>
      </c>
      <c r="G2438" s="2">
        <v>-416.58</v>
      </c>
      <c r="H2438" s="2">
        <v>478.47</v>
      </c>
      <c r="I2438" s="2">
        <v>-477</v>
      </c>
      <c r="J2438" s="2">
        <v>1.45</v>
      </c>
      <c r="K2438" s="2">
        <v>0.17</v>
      </c>
      <c r="L2438" s="2">
        <v>1.46</v>
      </c>
      <c r="M2438" s="2">
        <v>-1.46</v>
      </c>
      <c r="N2438" t="s">
        <v>276</v>
      </c>
      <c r="O2438">
        <v>104</v>
      </c>
    </row>
    <row r="2439" spans="1:15">
      <c r="A2439" s="1">
        <v>46048</v>
      </c>
      <c r="B2439">
        <v>17</v>
      </c>
      <c r="C2439" t="s">
        <v>100</v>
      </c>
      <c r="D2439">
        <v>16</v>
      </c>
      <c r="E2439" s="2">
        <v>1.5</v>
      </c>
      <c r="F2439" s="2">
        <v>463.8</v>
      </c>
      <c r="G2439" s="2">
        <v>-462.91</v>
      </c>
      <c r="H2439" s="2">
        <v>407.24</v>
      </c>
      <c r="I2439" s="2">
        <v>-405.98</v>
      </c>
      <c r="J2439" s="2">
        <v>1.87</v>
      </c>
      <c r="K2439" s="2">
        <v>-0.01</v>
      </c>
      <c r="L2439" s="2">
        <v>1.87</v>
      </c>
      <c r="M2439" s="2">
        <v>-1.4</v>
      </c>
      <c r="N2439" t="s">
        <v>276</v>
      </c>
      <c r="O2439">
        <v>104</v>
      </c>
    </row>
    <row r="2440" spans="1:15">
      <c r="A2440" s="1">
        <v>46048</v>
      </c>
      <c r="B2440">
        <v>17</v>
      </c>
      <c r="C2440" t="s">
        <v>100</v>
      </c>
      <c r="D2440">
        <v>16</v>
      </c>
      <c r="E2440" s="2">
        <v>2</v>
      </c>
      <c r="F2440" s="2">
        <v>532.75</v>
      </c>
      <c r="G2440" s="2">
        <v>-529.4</v>
      </c>
      <c r="H2440" s="2">
        <v>224.5</v>
      </c>
      <c r="I2440" s="2">
        <v>-214.78</v>
      </c>
      <c r="J2440" s="2">
        <v>2.56</v>
      </c>
      <c r="K2440" s="2">
        <v>-0.1</v>
      </c>
      <c r="L2440" s="2">
        <v>2.57</v>
      </c>
      <c r="M2440" s="2">
        <v>-1.34</v>
      </c>
      <c r="N2440" t="s">
        <v>276</v>
      </c>
      <c r="O2440">
        <v>104</v>
      </c>
    </row>
    <row r="2441" spans="1:15">
      <c r="A2441" s="1">
        <v>46048</v>
      </c>
      <c r="B2441">
        <v>17</v>
      </c>
      <c r="C2441" t="s">
        <v>100</v>
      </c>
      <c r="D2441">
        <v>16</v>
      </c>
      <c r="E2441" s="2">
        <v>2.5</v>
      </c>
      <c r="F2441" s="2">
        <v>484.72</v>
      </c>
      <c r="G2441" s="2">
        <v>-483.2</v>
      </c>
      <c r="H2441" s="2">
        <v>106.55</v>
      </c>
      <c r="I2441" s="2">
        <v>-105.04</v>
      </c>
      <c r="J2441" s="2">
        <v>3.53</v>
      </c>
      <c r="K2441" s="2">
        <v>-0.6</v>
      </c>
      <c r="L2441" s="2">
        <v>3.58</v>
      </c>
      <c r="M2441" s="2">
        <v>-1.21</v>
      </c>
      <c r="N2441" t="s">
        <v>276</v>
      </c>
      <c r="O2441">
        <v>104</v>
      </c>
    </row>
    <row r="2442" spans="1:15">
      <c r="A2442" s="1">
        <v>46048</v>
      </c>
      <c r="B2442">
        <v>17</v>
      </c>
      <c r="C2442" t="s">
        <v>100</v>
      </c>
      <c r="D2442">
        <v>16</v>
      </c>
      <c r="E2442" s="2">
        <v>3</v>
      </c>
      <c r="F2442" s="2">
        <v>439.05</v>
      </c>
      <c r="G2442" s="2">
        <v>-435.22</v>
      </c>
      <c r="H2442" s="2">
        <v>-13.93</v>
      </c>
      <c r="I2442" s="2">
        <v>20.85</v>
      </c>
      <c r="J2442" s="2">
        <v>4.49</v>
      </c>
      <c r="K2442" s="2">
        <v>-1.0900000000000001</v>
      </c>
      <c r="L2442" s="2">
        <v>4.62</v>
      </c>
      <c r="M2442" s="2">
        <v>-1.07</v>
      </c>
      <c r="N2442" t="s">
        <v>276</v>
      </c>
      <c r="O2442">
        <v>104</v>
      </c>
    </row>
    <row r="2443" spans="1:15">
      <c r="A2443" s="1">
        <v>46048</v>
      </c>
      <c r="B2443">
        <v>17</v>
      </c>
      <c r="C2443" t="s">
        <v>100</v>
      </c>
      <c r="D2443">
        <v>16</v>
      </c>
      <c r="E2443" s="2">
        <v>3.5</v>
      </c>
      <c r="F2443" s="2">
        <v>392.56</v>
      </c>
      <c r="G2443" s="2">
        <v>-391.66</v>
      </c>
      <c r="H2443" s="2">
        <v>-83.58</v>
      </c>
      <c r="I2443" s="2">
        <v>93</v>
      </c>
      <c r="J2443" s="2">
        <v>5.58</v>
      </c>
      <c r="K2443" s="2">
        <v>-1.4</v>
      </c>
      <c r="L2443" s="2">
        <v>5.75</v>
      </c>
      <c r="M2443" s="2">
        <v>-0.94</v>
      </c>
      <c r="N2443" t="s">
        <v>276</v>
      </c>
      <c r="O2443">
        <v>104</v>
      </c>
    </row>
    <row r="2444" spans="1:15">
      <c r="A2444" s="1">
        <v>46048</v>
      </c>
      <c r="B2444">
        <v>17</v>
      </c>
      <c r="C2444" t="s">
        <v>100</v>
      </c>
      <c r="D2444">
        <v>16</v>
      </c>
      <c r="E2444" s="2">
        <v>4</v>
      </c>
      <c r="F2444" s="2">
        <v>386.77</v>
      </c>
      <c r="G2444" s="2">
        <v>-383.66</v>
      </c>
      <c r="H2444" s="2">
        <v>-102.02</v>
      </c>
      <c r="I2444" s="2">
        <v>117.24</v>
      </c>
      <c r="J2444" s="2">
        <v>6.54</v>
      </c>
      <c r="K2444" s="2">
        <v>-1.22</v>
      </c>
      <c r="L2444" s="2">
        <v>6.65</v>
      </c>
      <c r="M2444" s="2">
        <v>-0.93</v>
      </c>
      <c r="N2444" t="s">
        <v>276</v>
      </c>
      <c r="O2444">
        <v>104</v>
      </c>
    </row>
    <row r="2445" spans="1:15">
      <c r="A2445" s="1">
        <v>46048</v>
      </c>
      <c r="B2445">
        <v>17</v>
      </c>
      <c r="C2445" t="s">
        <v>100</v>
      </c>
      <c r="D2445">
        <v>16</v>
      </c>
      <c r="E2445" s="2">
        <v>4.5</v>
      </c>
      <c r="F2445" s="2">
        <v>391.26</v>
      </c>
      <c r="G2445" s="2">
        <v>-387.29</v>
      </c>
      <c r="H2445" s="2">
        <v>-104.93</v>
      </c>
      <c r="I2445" s="2">
        <v>119.71</v>
      </c>
      <c r="J2445" s="2">
        <v>7.63</v>
      </c>
      <c r="K2445" s="2">
        <v>-1.1299999999999999</v>
      </c>
      <c r="L2445" s="2">
        <v>7.72</v>
      </c>
      <c r="M2445" s="2">
        <v>-0.92</v>
      </c>
      <c r="N2445" t="s">
        <v>276</v>
      </c>
      <c r="O2445">
        <v>104</v>
      </c>
    </row>
    <row r="2446" spans="1:15">
      <c r="A2446" s="1">
        <v>46048</v>
      </c>
      <c r="B2446">
        <v>17</v>
      </c>
      <c r="C2446" t="s">
        <v>100</v>
      </c>
      <c r="D2446">
        <v>16</v>
      </c>
      <c r="E2446" s="2">
        <v>5</v>
      </c>
      <c r="F2446" s="2">
        <v>297.22000000000003</v>
      </c>
      <c r="G2446" s="2">
        <v>-294.19</v>
      </c>
      <c r="H2446" s="2">
        <v>-67.569999999999993</v>
      </c>
      <c r="I2446" s="2">
        <v>83.93</v>
      </c>
      <c r="J2446" s="2">
        <v>8.75</v>
      </c>
      <c r="K2446" s="2">
        <v>-1.1399999999999999</v>
      </c>
      <c r="L2446" s="2">
        <v>8.83</v>
      </c>
      <c r="M2446" s="2">
        <v>-0.87</v>
      </c>
      <c r="N2446" t="s">
        <v>276</v>
      </c>
      <c r="O2446">
        <v>104</v>
      </c>
    </row>
    <row r="2447" spans="1:15">
      <c r="A2447" s="1">
        <v>46048</v>
      </c>
      <c r="B2447">
        <v>17</v>
      </c>
      <c r="C2447" t="s">
        <v>100</v>
      </c>
      <c r="D2447">
        <v>16</v>
      </c>
      <c r="E2447" s="2">
        <v>5.5</v>
      </c>
      <c r="F2447" s="2">
        <v>215.82</v>
      </c>
      <c r="G2447" s="2">
        <v>-209.58</v>
      </c>
      <c r="H2447" s="2">
        <v>-17.71</v>
      </c>
      <c r="I2447" s="2">
        <v>35.28</v>
      </c>
      <c r="J2447" s="2">
        <v>9.09</v>
      </c>
      <c r="K2447" s="2">
        <v>-1.28</v>
      </c>
      <c r="L2447" s="2">
        <v>9.18</v>
      </c>
      <c r="M2447" s="2">
        <v>-0.81</v>
      </c>
      <c r="N2447" t="s">
        <v>276</v>
      </c>
      <c r="O2447">
        <v>104</v>
      </c>
    </row>
    <row r="2448" spans="1:15">
      <c r="A2448" s="1">
        <v>46048</v>
      </c>
      <c r="B2448">
        <v>17</v>
      </c>
      <c r="C2448" t="s">
        <v>100</v>
      </c>
      <c r="D2448">
        <v>16</v>
      </c>
      <c r="E2448" s="2">
        <v>6</v>
      </c>
      <c r="F2448" s="2">
        <v>189.62</v>
      </c>
      <c r="G2448" s="2">
        <v>-184.53</v>
      </c>
      <c r="H2448" s="2">
        <v>4.2300000000000004</v>
      </c>
      <c r="I2448" s="2">
        <v>11.72</v>
      </c>
      <c r="J2448" s="2">
        <v>9.43</v>
      </c>
      <c r="K2448" s="2">
        <v>-1.3</v>
      </c>
      <c r="L2448" s="2">
        <v>9.52</v>
      </c>
      <c r="M2448" s="2">
        <v>-0.78</v>
      </c>
      <c r="N2448" t="s">
        <v>276</v>
      </c>
      <c r="O2448">
        <v>104</v>
      </c>
    </row>
    <row r="2449" spans="1:15">
      <c r="A2449" s="1">
        <v>46048</v>
      </c>
      <c r="B2449">
        <v>17</v>
      </c>
      <c r="C2449" t="s">
        <v>100</v>
      </c>
      <c r="D2449">
        <v>16</v>
      </c>
      <c r="E2449" s="2">
        <v>6.5</v>
      </c>
      <c r="F2449" s="2">
        <v>182.63</v>
      </c>
      <c r="G2449" s="2">
        <v>-176.87</v>
      </c>
      <c r="H2449" s="2">
        <v>72.930000000000007</v>
      </c>
      <c r="I2449" s="2">
        <v>-63.1</v>
      </c>
      <c r="J2449" s="2">
        <v>9.99</v>
      </c>
      <c r="K2449" s="2">
        <v>-1.97</v>
      </c>
      <c r="L2449" s="2">
        <v>10.18</v>
      </c>
      <c r="M2449" s="2">
        <v>-0.67</v>
      </c>
      <c r="N2449" t="s">
        <v>276</v>
      </c>
      <c r="O2449">
        <v>104</v>
      </c>
    </row>
    <row r="2450" spans="1:15">
      <c r="A2450" s="1">
        <v>46048</v>
      </c>
      <c r="B2450">
        <v>17</v>
      </c>
      <c r="C2450" t="s">
        <v>100</v>
      </c>
      <c r="D2450">
        <v>16</v>
      </c>
      <c r="E2450" s="2">
        <v>7</v>
      </c>
      <c r="F2450" s="2">
        <v>138.9</v>
      </c>
      <c r="G2450" s="2">
        <v>-132.1</v>
      </c>
      <c r="H2450" s="2">
        <v>140.31</v>
      </c>
      <c r="I2450" s="2">
        <v>-130.56</v>
      </c>
      <c r="J2450" s="2">
        <v>10.27</v>
      </c>
      <c r="K2450" s="2">
        <v>-2.0699999999999998</v>
      </c>
      <c r="L2450" s="2">
        <v>10.47</v>
      </c>
      <c r="M2450" s="2">
        <v>-0.72</v>
      </c>
      <c r="N2450" t="s">
        <v>276</v>
      </c>
      <c r="O2450">
        <v>104</v>
      </c>
    </row>
    <row r="2451" spans="1:15">
      <c r="A2451" s="1">
        <v>46048</v>
      </c>
      <c r="B2451">
        <v>17</v>
      </c>
      <c r="C2451" t="s">
        <v>100</v>
      </c>
      <c r="D2451">
        <v>16</v>
      </c>
      <c r="E2451" s="2">
        <v>7.5</v>
      </c>
      <c r="F2451" s="2">
        <v>78.540000000000006</v>
      </c>
      <c r="G2451" s="2">
        <v>-73.37</v>
      </c>
      <c r="H2451" s="2">
        <v>212.68</v>
      </c>
      <c r="I2451" s="2">
        <v>-202.22</v>
      </c>
      <c r="J2451" s="2">
        <v>10.37</v>
      </c>
      <c r="K2451" s="2">
        <v>-2.0499999999999998</v>
      </c>
      <c r="L2451" s="2">
        <v>10.57</v>
      </c>
      <c r="M2451" s="2">
        <v>-0.68</v>
      </c>
      <c r="N2451" t="s">
        <v>276</v>
      </c>
      <c r="O2451">
        <v>104</v>
      </c>
    </row>
    <row r="2452" spans="1:15">
      <c r="A2452" s="1">
        <v>46048</v>
      </c>
      <c r="B2452">
        <v>17</v>
      </c>
      <c r="C2452" t="s">
        <v>100</v>
      </c>
      <c r="D2452">
        <v>16</v>
      </c>
      <c r="E2452" s="2">
        <v>8</v>
      </c>
      <c r="F2452" s="2">
        <v>59.67</v>
      </c>
      <c r="G2452" s="2">
        <v>-54.9</v>
      </c>
      <c r="H2452" s="2">
        <v>230.59</v>
      </c>
      <c r="I2452" s="2">
        <v>-227.77</v>
      </c>
      <c r="J2452" s="2">
        <v>9.99</v>
      </c>
      <c r="K2452" s="2">
        <v>-1.89</v>
      </c>
      <c r="L2452" s="2">
        <v>10.17</v>
      </c>
      <c r="M2452" s="2">
        <v>-0.68</v>
      </c>
      <c r="N2452" t="s">
        <v>276</v>
      </c>
      <c r="O2452">
        <v>104</v>
      </c>
    </row>
    <row r="2453" spans="1:15">
      <c r="A2453" s="1">
        <v>46048</v>
      </c>
      <c r="B2453">
        <v>17</v>
      </c>
      <c r="C2453" t="s">
        <v>100</v>
      </c>
      <c r="D2453">
        <v>16</v>
      </c>
      <c r="E2453" s="2">
        <v>8.5</v>
      </c>
      <c r="F2453" s="2">
        <v>96.81</v>
      </c>
      <c r="G2453" s="2">
        <v>-91.38</v>
      </c>
      <c r="H2453" s="2">
        <v>328.39</v>
      </c>
      <c r="I2453" s="2">
        <v>-320.58999999999997</v>
      </c>
      <c r="J2453" s="2">
        <v>9.08</v>
      </c>
      <c r="K2453" s="2">
        <v>-2.14</v>
      </c>
      <c r="L2453" s="2">
        <v>9.33</v>
      </c>
      <c r="M2453" s="2">
        <v>-0.64</v>
      </c>
      <c r="N2453" t="s">
        <v>276</v>
      </c>
      <c r="O2453">
        <v>104</v>
      </c>
    </row>
    <row r="2454" spans="1:15">
      <c r="A2454" s="1">
        <v>46048</v>
      </c>
      <c r="B2454">
        <v>17</v>
      </c>
      <c r="C2454" t="s">
        <v>100</v>
      </c>
      <c r="D2454">
        <v>16</v>
      </c>
      <c r="E2454" s="2">
        <v>9</v>
      </c>
      <c r="F2454" s="2">
        <v>155.16999999999999</v>
      </c>
      <c r="G2454" s="2">
        <v>-145.82</v>
      </c>
      <c r="H2454" s="2">
        <v>387.53</v>
      </c>
      <c r="I2454" s="2">
        <v>-377.04</v>
      </c>
      <c r="J2454" s="2">
        <v>8.33</v>
      </c>
      <c r="K2454" s="2">
        <v>-1.84</v>
      </c>
      <c r="L2454" s="2">
        <v>8.5299999999999994</v>
      </c>
      <c r="M2454" s="2">
        <v>-0.73</v>
      </c>
      <c r="N2454" t="s">
        <v>276</v>
      </c>
      <c r="O2454">
        <v>104</v>
      </c>
    </row>
    <row r="2455" spans="1:15">
      <c r="A2455" s="1">
        <v>46048</v>
      </c>
      <c r="B2455">
        <v>17</v>
      </c>
      <c r="C2455" t="s">
        <v>100</v>
      </c>
      <c r="D2455">
        <v>16</v>
      </c>
      <c r="E2455" s="2">
        <v>9.5</v>
      </c>
      <c r="F2455" s="2">
        <v>130.47999999999999</v>
      </c>
      <c r="G2455" s="2">
        <v>-127.91</v>
      </c>
      <c r="H2455" s="2">
        <v>446.84</v>
      </c>
      <c r="I2455" s="2">
        <v>-428.54</v>
      </c>
      <c r="J2455" s="2">
        <v>7.73</v>
      </c>
      <c r="K2455" s="2">
        <v>-1.39</v>
      </c>
      <c r="L2455" s="2">
        <v>7.85</v>
      </c>
      <c r="M2455" s="2">
        <v>-0.81</v>
      </c>
      <c r="N2455" t="s">
        <v>276</v>
      </c>
      <c r="O2455">
        <v>104</v>
      </c>
    </row>
    <row r="2456" spans="1:15">
      <c r="A2456" s="1">
        <v>46048</v>
      </c>
      <c r="B2456">
        <v>17</v>
      </c>
      <c r="C2456" t="s">
        <v>100</v>
      </c>
      <c r="D2456">
        <v>16</v>
      </c>
      <c r="E2456" s="2">
        <v>10</v>
      </c>
      <c r="F2456" s="2">
        <v>129.5</v>
      </c>
      <c r="G2456" s="2">
        <v>-122.52</v>
      </c>
      <c r="H2456" s="2">
        <v>453.65</v>
      </c>
      <c r="I2456" s="2">
        <v>-436.8</v>
      </c>
      <c r="J2456" s="2">
        <v>6.91</v>
      </c>
      <c r="K2456" s="2">
        <v>-0.82</v>
      </c>
      <c r="L2456" s="2">
        <v>6.96</v>
      </c>
      <c r="M2456" s="2">
        <v>-0.92</v>
      </c>
      <c r="N2456" t="s">
        <v>276</v>
      </c>
      <c r="O2456">
        <v>104</v>
      </c>
    </row>
    <row r="2457" spans="1:15">
      <c r="A2457" s="1">
        <v>46048</v>
      </c>
      <c r="B2457">
        <v>17</v>
      </c>
      <c r="C2457" t="s">
        <v>100</v>
      </c>
      <c r="D2457">
        <v>16</v>
      </c>
      <c r="E2457" s="2">
        <v>10.5</v>
      </c>
      <c r="F2457" s="2">
        <v>314.29000000000002</v>
      </c>
      <c r="G2457" s="2">
        <v>-308.02999999999997</v>
      </c>
      <c r="H2457" s="2">
        <v>458.6</v>
      </c>
      <c r="I2457" s="2">
        <v>-447.55</v>
      </c>
      <c r="J2457" s="2">
        <v>6.51</v>
      </c>
      <c r="K2457" s="2">
        <v>-0.74</v>
      </c>
      <c r="L2457" s="2">
        <v>6.55</v>
      </c>
      <c r="M2457" s="2">
        <v>-0.93</v>
      </c>
      <c r="N2457" t="s">
        <v>276</v>
      </c>
      <c r="O2457">
        <v>104</v>
      </c>
    </row>
    <row r="2458" spans="1:15">
      <c r="A2458" s="1">
        <v>46048</v>
      </c>
      <c r="B2458">
        <v>17</v>
      </c>
      <c r="C2458" t="s">
        <v>100</v>
      </c>
      <c r="D2458">
        <v>16</v>
      </c>
      <c r="E2458" s="2">
        <v>11</v>
      </c>
      <c r="F2458" s="2">
        <v>323.56</v>
      </c>
      <c r="G2458" s="2">
        <v>-314.57</v>
      </c>
      <c r="H2458" s="2">
        <v>461.62</v>
      </c>
      <c r="I2458" s="2">
        <v>-442.05</v>
      </c>
      <c r="J2458" s="2">
        <v>6.13</v>
      </c>
      <c r="K2458" s="2">
        <v>-0.93</v>
      </c>
      <c r="L2458" s="2">
        <v>6.2</v>
      </c>
      <c r="M2458" s="2">
        <v>-0.96</v>
      </c>
      <c r="N2458" t="s">
        <v>276</v>
      </c>
      <c r="O2458">
        <v>104</v>
      </c>
    </row>
    <row r="2459" spans="1:15">
      <c r="A2459" s="1">
        <v>46048</v>
      </c>
      <c r="B2459">
        <v>17</v>
      </c>
      <c r="C2459" t="s">
        <v>100</v>
      </c>
      <c r="D2459">
        <v>16</v>
      </c>
      <c r="E2459" s="2">
        <v>11.5</v>
      </c>
      <c r="F2459" s="2">
        <v>294.93</v>
      </c>
      <c r="G2459" s="2">
        <v>-283.52999999999997</v>
      </c>
      <c r="H2459" s="2">
        <v>363.38</v>
      </c>
      <c r="I2459" s="2">
        <v>-354.78</v>
      </c>
      <c r="J2459" s="2">
        <v>5.56</v>
      </c>
      <c r="K2459" s="2">
        <v>-0.95</v>
      </c>
      <c r="L2459" s="2">
        <v>5.64</v>
      </c>
      <c r="M2459" s="2">
        <v>-0.94</v>
      </c>
      <c r="N2459" t="s">
        <v>276</v>
      </c>
      <c r="O2459">
        <v>104</v>
      </c>
    </row>
    <row r="2460" spans="1:15">
      <c r="A2460" s="1">
        <v>46048</v>
      </c>
      <c r="B2460">
        <v>17</v>
      </c>
      <c r="C2460" t="s">
        <v>100</v>
      </c>
      <c r="D2460">
        <v>16</v>
      </c>
      <c r="E2460" s="2">
        <v>12</v>
      </c>
      <c r="F2460" s="2">
        <v>275.49</v>
      </c>
      <c r="G2460" s="2">
        <v>-264.99</v>
      </c>
      <c r="H2460" s="2">
        <v>276.52</v>
      </c>
      <c r="I2460" s="2">
        <v>-262.26</v>
      </c>
      <c r="J2460" s="2">
        <v>4.9400000000000004</v>
      </c>
      <c r="K2460" s="2">
        <v>-1.18</v>
      </c>
      <c r="L2460" s="2">
        <v>5.08</v>
      </c>
      <c r="M2460" s="2">
        <v>-0.68</v>
      </c>
      <c r="N2460" t="s">
        <v>276</v>
      </c>
      <c r="O2460">
        <v>104</v>
      </c>
    </row>
    <row r="2461" spans="1:15">
      <c r="A2461" s="1">
        <v>46048</v>
      </c>
      <c r="B2461">
        <v>17</v>
      </c>
      <c r="C2461" t="s">
        <v>100</v>
      </c>
      <c r="D2461">
        <v>16</v>
      </c>
      <c r="E2461" s="2">
        <v>12.5</v>
      </c>
      <c r="F2461" s="2">
        <v>236.74</v>
      </c>
      <c r="G2461" s="2">
        <v>-228.35</v>
      </c>
      <c r="H2461" s="2">
        <v>187.92</v>
      </c>
      <c r="I2461" s="2">
        <v>-172.71</v>
      </c>
      <c r="J2461" s="2">
        <v>4.41</v>
      </c>
      <c r="K2461" s="2">
        <v>-1.53</v>
      </c>
      <c r="L2461" s="2">
        <v>4.67</v>
      </c>
      <c r="M2461" s="2">
        <v>-0.53</v>
      </c>
      <c r="N2461" t="s">
        <v>276</v>
      </c>
      <c r="O2461">
        <v>104</v>
      </c>
    </row>
    <row r="2462" spans="1:15">
      <c r="A2462" s="1">
        <v>46048</v>
      </c>
      <c r="B2462">
        <v>17</v>
      </c>
      <c r="C2462" t="s">
        <v>100</v>
      </c>
      <c r="D2462">
        <v>16</v>
      </c>
      <c r="E2462" s="2">
        <v>13</v>
      </c>
      <c r="F2462" s="2">
        <v>203.82</v>
      </c>
      <c r="G2462" s="2">
        <v>-195.02</v>
      </c>
      <c r="H2462" s="2">
        <v>131.88</v>
      </c>
      <c r="I2462" s="2">
        <v>-116.76</v>
      </c>
      <c r="J2462" s="2">
        <v>4.09</v>
      </c>
      <c r="K2462" s="2">
        <v>-1.8</v>
      </c>
      <c r="L2462" s="2">
        <v>4.47</v>
      </c>
      <c r="M2462" s="2">
        <v>-0.44</v>
      </c>
      <c r="N2462" t="s">
        <v>276</v>
      </c>
      <c r="O2462">
        <v>104</v>
      </c>
    </row>
    <row r="2463" spans="1:15">
      <c r="A2463" s="1">
        <v>46048</v>
      </c>
      <c r="B2463">
        <v>17</v>
      </c>
      <c r="C2463" t="s">
        <v>100</v>
      </c>
      <c r="D2463">
        <v>16</v>
      </c>
      <c r="E2463" s="2">
        <v>13.5</v>
      </c>
      <c r="F2463" s="2">
        <v>167.63</v>
      </c>
      <c r="G2463" s="2">
        <v>-161.97</v>
      </c>
      <c r="H2463" s="2">
        <v>142.22999999999999</v>
      </c>
      <c r="I2463" s="2">
        <v>-126.62</v>
      </c>
      <c r="J2463" s="2">
        <v>3.66</v>
      </c>
      <c r="K2463" s="2">
        <v>-1.86</v>
      </c>
      <c r="L2463" s="2">
        <v>4.1100000000000003</v>
      </c>
      <c r="M2463" s="2">
        <v>-0.38</v>
      </c>
      <c r="N2463" t="s">
        <v>276</v>
      </c>
      <c r="O2463">
        <v>104</v>
      </c>
    </row>
    <row r="2464" spans="1:15">
      <c r="A2464" s="1">
        <v>46048</v>
      </c>
      <c r="B2464">
        <v>17</v>
      </c>
      <c r="C2464" t="s">
        <v>100</v>
      </c>
      <c r="D2464">
        <v>16</v>
      </c>
      <c r="E2464" s="2">
        <v>14</v>
      </c>
      <c r="F2464" s="2">
        <v>128.59</v>
      </c>
      <c r="G2464" s="2">
        <v>-122.05</v>
      </c>
      <c r="H2464" s="2">
        <v>158.07</v>
      </c>
      <c r="I2464" s="2">
        <v>-153.88</v>
      </c>
      <c r="J2464" s="2">
        <v>3.03</v>
      </c>
      <c r="K2464" s="2">
        <v>-1.7</v>
      </c>
      <c r="L2464" s="2">
        <v>3.48</v>
      </c>
      <c r="M2464" s="2">
        <v>-0.18</v>
      </c>
      <c r="N2464" t="s">
        <v>276</v>
      </c>
      <c r="O2464">
        <v>104</v>
      </c>
    </row>
    <row r="2465" spans="1:15">
      <c r="A2465" s="1">
        <v>46048</v>
      </c>
      <c r="B2465">
        <v>17</v>
      </c>
      <c r="C2465" t="s">
        <v>100</v>
      </c>
      <c r="D2465">
        <v>16</v>
      </c>
      <c r="E2465" s="2">
        <v>14.5</v>
      </c>
      <c r="F2465" s="2">
        <v>127.76</v>
      </c>
      <c r="G2465" s="2">
        <v>-127.24</v>
      </c>
      <c r="H2465" s="2">
        <v>190.41</v>
      </c>
      <c r="I2465" s="2">
        <v>-245.36</v>
      </c>
      <c r="J2465" s="2">
        <v>2.57</v>
      </c>
      <c r="K2465" s="2">
        <v>-2.25</v>
      </c>
      <c r="L2465" s="2">
        <v>3.42</v>
      </c>
      <c r="M2465" s="2">
        <v>0.11</v>
      </c>
      <c r="N2465" t="s">
        <v>276</v>
      </c>
      <c r="O2465">
        <v>104</v>
      </c>
    </row>
    <row r="2466" spans="1:15">
      <c r="A2466" s="1">
        <v>46048</v>
      </c>
      <c r="B2466">
        <v>17</v>
      </c>
      <c r="C2466" t="s">
        <v>100</v>
      </c>
      <c r="D2466">
        <v>16</v>
      </c>
      <c r="E2466" s="2">
        <v>15</v>
      </c>
      <c r="F2466" s="2">
        <v>135.32</v>
      </c>
      <c r="G2466" s="2">
        <v>-127.24</v>
      </c>
      <c r="H2466" s="2">
        <v>268.86</v>
      </c>
      <c r="I2466" s="2">
        <v>-245.36</v>
      </c>
      <c r="J2466" s="2">
        <v>2.2400000000000002</v>
      </c>
      <c r="K2466" s="2">
        <v>-1.52</v>
      </c>
      <c r="L2466" s="2">
        <v>2.71</v>
      </c>
      <c r="M2466" s="2">
        <v>-0.25</v>
      </c>
      <c r="N2466" t="s">
        <v>276</v>
      </c>
      <c r="O2466">
        <v>104</v>
      </c>
    </row>
    <row r="2467" spans="1:15">
      <c r="A2467" s="1">
        <v>46048</v>
      </c>
      <c r="B2467">
        <v>17</v>
      </c>
      <c r="C2467" t="s">
        <v>100</v>
      </c>
      <c r="D2467">
        <v>16</v>
      </c>
      <c r="E2467" s="2">
        <v>15.5</v>
      </c>
      <c r="F2467" s="2">
        <v>54.25</v>
      </c>
      <c r="G2467" s="2">
        <v>-51.8</v>
      </c>
      <c r="H2467" s="2">
        <v>374.24</v>
      </c>
      <c r="I2467" s="2">
        <v>-334.15</v>
      </c>
      <c r="J2467" s="2">
        <v>1.9</v>
      </c>
      <c r="K2467" s="2">
        <v>-1.61</v>
      </c>
      <c r="L2467" s="2">
        <v>2.4900000000000002</v>
      </c>
      <c r="M2467" s="2">
        <v>-0.1</v>
      </c>
      <c r="N2467" t="s">
        <v>276</v>
      </c>
      <c r="O2467">
        <v>104</v>
      </c>
    </row>
    <row r="2468" spans="1:15">
      <c r="A2468" s="1">
        <v>46048</v>
      </c>
      <c r="B2468">
        <v>17</v>
      </c>
      <c r="C2468" t="s">
        <v>100</v>
      </c>
      <c r="D2468">
        <v>16</v>
      </c>
      <c r="E2468" s="2">
        <v>16</v>
      </c>
      <c r="F2468" s="2">
        <v>196.46</v>
      </c>
      <c r="G2468" s="2">
        <v>-183.63</v>
      </c>
      <c r="H2468" s="2">
        <v>194.07</v>
      </c>
      <c r="I2468" s="2">
        <v>-170.42</v>
      </c>
      <c r="J2468" s="2">
        <v>1.74</v>
      </c>
      <c r="K2468" s="2">
        <v>-1.3</v>
      </c>
      <c r="L2468" s="2">
        <v>2.17</v>
      </c>
      <c r="M2468" s="2">
        <v>-0.24</v>
      </c>
      <c r="N2468" t="s">
        <v>276</v>
      </c>
      <c r="O2468">
        <v>104</v>
      </c>
    </row>
    <row r="2469" spans="1:15">
      <c r="A2469" s="1">
        <v>46048</v>
      </c>
      <c r="B2469">
        <v>17</v>
      </c>
      <c r="C2469" t="s">
        <v>100</v>
      </c>
      <c r="D2469">
        <v>16</v>
      </c>
      <c r="E2469" s="2">
        <v>16.5</v>
      </c>
      <c r="F2469" s="2">
        <v>317.81</v>
      </c>
      <c r="G2469" s="2">
        <v>-317.12</v>
      </c>
      <c r="H2469" s="2">
        <v>204.53</v>
      </c>
      <c r="I2469" s="2">
        <v>-192.12</v>
      </c>
      <c r="J2469" s="2">
        <v>1.66</v>
      </c>
      <c r="K2469" s="2">
        <v>-1.51</v>
      </c>
      <c r="L2469" s="2">
        <v>2.25</v>
      </c>
      <c r="M2469" s="2">
        <v>-0.25</v>
      </c>
      <c r="N2469" t="s">
        <v>276</v>
      </c>
      <c r="O2469">
        <v>104</v>
      </c>
    </row>
    <row r="2470" spans="1:15">
      <c r="A2470" s="1">
        <v>46048</v>
      </c>
      <c r="B2470">
        <v>17</v>
      </c>
      <c r="C2470" t="s">
        <v>100</v>
      </c>
      <c r="D2470">
        <v>16</v>
      </c>
      <c r="E2470" s="2">
        <v>17</v>
      </c>
      <c r="F2470" s="2">
        <v>380.72</v>
      </c>
      <c r="G2470" s="2">
        <v>-373.25</v>
      </c>
      <c r="H2470" s="2">
        <v>256.11</v>
      </c>
      <c r="I2470" s="2">
        <v>-244.9</v>
      </c>
      <c r="J2470" s="2">
        <v>1.56</v>
      </c>
      <c r="K2470" s="2">
        <v>-1.36</v>
      </c>
      <c r="L2470" s="2">
        <v>2.0699999999999998</v>
      </c>
      <c r="M2470" s="2">
        <v>-0.18</v>
      </c>
      <c r="N2470" t="s">
        <v>276</v>
      </c>
      <c r="O2470">
        <v>104</v>
      </c>
    </row>
    <row r="2471" spans="1:15">
      <c r="A2471" s="1">
        <v>46048</v>
      </c>
      <c r="B2471">
        <v>17</v>
      </c>
      <c r="C2471" t="s">
        <v>100</v>
      </c>
      <c r="D2471">
        <v>16</v>
      </c>
      <c r="E2471" s="2">
        <v>17.5</v>
      </c>
      <c r="F2471" s="2">
        <v>375.1</v>
      </c>
      <c r="G2471" s="2">
        <v>-372.69</v>
      </c>
      <c r="H2471" s="2">
        <v>159.46</v>
      </c>
      <c r="I2471" s="2">
        <v>-161.65</v>
      </c>
      <c r="J2471" s="2">
        <v>1.45</v>
      </c>
      <c r="K2471" s="2">
        <v>-1.04</v>
      </c>
      <c r="L2471" s="2">
        <v>1.79</v>
      </c>
      <c r="M2471" s="2">
        <v>-0.22</v>
      </c>
      <c r="N2471" t="s">
        <v>276</v>
      </c>
      <c r="O2471">
        <v>104</v>
      </c>
    </row>
    <row r="2472" spans="1:15">
      <c r="A2472" s="1">
        <v>46048</v>
      </c>
      <c r="B2472">
        <v>17</v>
      </c>
      <c r="C2472" t="s">
        <v>100</v>
      </c>
      <c r="D2472">
        <v>16</v>
      </c>
      <c r="E2472" s="2">
        <v>18</v>
      </c>
      <c r="F2472" s="2">
        <v>344.38</v>
      </c>
      <c r="G2472" s="2">
        <v>-339.04</v>
      </c>
      <c r="H2472" s="2">
        <v>97.18</v>
      </c>
      <c r="I2472" s="2">
        <v>-98.3</v>
      </c>
      <c r="J2472" s="2">
        <v>1.34</v>
      </c>
      <c r="K2472" s="2">
        <v>-0.66</v>
      </c>
      <c r="L2472" s="2">
        <v>1.5</v>
      </c>
      <c r="M2472" s="2">
        <v>-0.28999999999999998</v>
      </c>
      <c r="N2472" t="s">
        <v>276</v>
      </c>
      <c r="O2472">
        <v>104</v>
      </c>
    </row>
    <row r="2473" spans="1:15">
      <c r="A2473" s="1">
        <v>46048</v>
      </c>
      <c r="B2473">
        <v>17</v>
      </c>
      <c r="C2473" t="s">
        <v>100</v>
      </c>
      <c r="D2473">
        <v>16</v>
      </c>
      <c r="E2473" s="2">
        <v>18.5</v>
      </c>
      <c r="F2473" s="2">
        <v>312.47000000000003</v>
      </c>
      <c r="G2473" s="2">
        <v>-308.39999999999998</v>
      </c>
      <c r="H2473" s="2">
        <v>60.05</v>
      </c>
      <c r="I2473" s="2">
        <v>-59.3</v>
      </c>
      <c r="J2473" s="2">
        <v>1.25</v>
      </c>
      <c r="K2473" s="2">
        <v>-0.61</v>
      </c>
      <c r="L2473" s="2">
        <v>1.39</v>
      </c>
      <c r="M2473" s="2">
        <v>-0.27</v>
      </c>
      <c r="N2473" t="s">
        <v>276</v>
      </c>
      <c r="O2473">
        <v>104</v>
      </c>
    </row>
    <row r="2474" spans="1:15">
      <c r="A2474" s="1">
        <v>46048</v>
      </c>
      <c r="B2474">
        <v>17</v>
      </c>
      <c r="C2474" t="s">
        <v>100</v>
      </c>
      <c r="D2474">
        <v>16</v>
      </c>
      <c r="E2474" s="2">
        <v>19</v>
      </c>
      <c r="F2474" s="2">
        <v>298.70999999999998</v>
      </c>
      <c r="G2474" s="2">
        <v>-296.89999999999998</v>
      </c>
      <c r="H2474" s="2">
        <v>54.53</v>
      </c>
      <c r="I2474" s="2">
        <v>-52.08</v>
      </c>
      <c r="J2474" s="2">
        <v>1.04</v>
      </c>
      <c r="K2474" s="2">
        <v>-0.78</v>
      </c>
      <c r="L2474" s="2">
        <v>1.3</v>
      </c>
      <c r="M2474" s="2">
        <v>-0.18</v>
      </c>
      <c r="N2474" t="s">
        <v>276</v>
      </c>
      <c r="O2474">
        <v>104</v>
      </c>
    </row>
    <row r="2475" spans="1:15">
      <c r="A2475" s="1">
        <v>46048</v>
      </c>
      <c r="B2475">
        <v>17</v>
      </c>
      <c r="C2475" t="s">
        <v>100</v>
      </c>
      <c r="D2475">
        <v>16</v>
      </c>
      <c r="E2475" s="2">
        <v>19.5</v>
      </c>
      <c r="F2475" s="2">
        <v>204.13</v>
      </c>
      <c r="G2475" s="2">
        <v>-200.33</v>
      </c>
      <c r="H2475" s="2">
        <v>95.97</v>
      </c>
      <c r="I2475" s="2">
        <v>-90.51</v>
      </c>
      <c r="J2475" s="2">
        <v>0.89</v>
      </c>
      <c r="K2475" s="2">
        <v>-0.81</v>
      </c>
      <c r="L2475" s="2">
        <v>1.21</v>
      </c>
      <c r="M2475" s="2">
        <v>-0.16</v>
      </c>
      <c r="N2475" t="s">
        <v>276</v>
      </c>
      <c r="O2475">
        <v>104</v>
      </c>
    </row>
    <row r="2476" spans="1:15">
      <c r="A2476" s="1">
        <v>46048</v>
      </c>
      <c r="B2476">
        <v>17</v>
      </c>
      <c r="C2476" t="s">
        <v>100</v>
      </c>
      <c r="D2476">
        <v>16</v>
      </c>
      <c r="E2476" s="2">
        <v>20</v>
      </c>
      <c r="F2476" s="2">
        <v>140.94999999999999</v>
      </c>
      <c r="G2476" s="2">
        <v>-135.51</v>
      </c>
      <c r="H2476" s="2">
        <v>162.74</v>
      </c>
      <c r="I2476" s="2">
        <v>-138.68</v>
      </c>
      <c r="J2476" s="2">
        <v>0.63</v>
      </c>
      <c r="K2476" s="2">
        <v>-0.52</v>
      </c>
      <c r="L2476" s="2">
        <v>0.81</v>
      </c>
      <c r="M2476" s="2">
        <v>-0.18</v>
      </c>
      <c r="N2476" t="s">
        <v>276</v>
      </c>
      <c r="O2476">
        <v>104</v>
      </c>
    </row>
    <row r="2477" spans="1:15">
      <c r="A2477" s="1">
        <v>46048</v>
      </c>
      <c r="B2477">
        <v>17</v>
      </c>
      <c r="C2477" t="s">
        <v>100</v>
      </c>
      <c r="D2477">
        <v>16</v>
      </c>
      <c r="E2477" s="2">
        <v>20.5</v>
      </c>
      <c r="F2477" s="2">
        <v>143.80000000000001</v>
      </c>
      <c r="G2477" s="2">
        <v>-143.22</v>
      </c>
      <c r="H2477" s="2">
        <v>142.83000000000001</v>
      </c>
      <c r="I2477" s="2">
        <v>-151.29</v>
      </c>
      <c r="J2477" s="2">
        <v>0.5</v>
      </c>
      <c r="K2477" s="2">
        <v>-0.19</v>
      </c>
      <c r="L2477" s="2">
        <v>0.53</v>
      </c>
      <c r="M2477" s="2">
        <v>-0.27</v>
      </c>
      <c r="N2477" t="s">
        <v>276</v>
      </c>
      <c r="O2477">
        <v>104</v>
      </c>
    </row>
    <row r="2478" spans="1:15">
      <c r="A2478" s="1">
        <v>46048</v>
      </c>
      <c r="B2478">
        <v>17</v>
      </c>
      <c r="C2478" t="s">
        <v>100</v>
      </c>
      <c r="D2478">
        <v>16</v>
      </c>
      <c r="E2478" s="2">
        <v>21</v>
      </c>
      <c r="F2478" s="2">
        <v>156.1</v>
      </c>
      <c r="G2478" s="2">
        <v>-153.66999999999999</v>
      </c>
      <c r="H2478" s="2">
        <v>166.61</v>
      </c>
      <c r="I2478" s="2">
        <v>-169.01</v>
      </c>
      <c r="J2478" s="2">
        <v>0.26</v>
      </c>
      <c r="K2478" s="2">
        <v>-0.06</v>
      </c>
      <c r="L2478" s="2">
        <v>0.27</v>
      </c>
      <c r="M2478" s="2">
        <v>-0.18</v>
      </c>
      <c r="N2478" t="s">
        <v>276</v>
      </c>
      <c r="O2478">
        <v>104</v>
      </c>
    </row>
    <row r="2479" spans="1:15">
      <c r="A2479" s="1">
        <v>46048</v>
      </c>
      <c r="B2479">
        <v>17</v>
      </c>
      <c r="C2479" t="s">
        <v>100</v>
      </c>
      <c r="D2479">
        <v>16</v>
      </c>
      <c r="E2479" s="2">
        <v>21.5</v>
      </c>
      <c r="F2479" s="2">
        <v>177.2</v>
      </c>
      <c r="G2479" s="2">
        <v>-176.27</v>
      </c>
      <c r="H2479" s="2">
        <v>175.83</v>
      </c>
      <c r="I2479" s="2">
        <v>-176.49</v>
      </c>
      <c r="J2479" s="2">
        <v>7.0000000000000007E-2</v>
      </c>
      <c r="K2479" s="2">
        <v>0.05</v>
      </c>
      <c r="L2479" s="2">
        <v>0.08</v>
      </c>
      <c r="M2479" s="2">
        <v>-0.16</v>
      </c>
      <c r="N2479" t="s">
        <v>276</v>
      </c>
      <c r="O2479">
        <v>104</v>
      </c>
    </row>
    <row r="2480" spans="1:15">
      <c r="A2480" s="1">
        <v>46048</v>
      </c>
      <c r="B2480">
        <v>17</v>
      </c>
      <c r="C2480" t="s">
        <v>100</v>
      </c>
      <c r="D2480">
        <v>16</v>
      </c>
      <c r="E2480" s="2">
        <v>22</v>
      </c>
      <c r="F2480" s="2">
        <v>188.32</v>
      </c>
      <c r="G2480" s="2">
        <v>-186.78</v>
      </c>
      <c r="H2480" s="2">
        <v>185.9</v>
      </c>
      <c r="I2480" s="2">
        <v>-174.84</v>
      </c>
      <c r="J2480" s="2">
        <v>0.01</v>
      </c>
      <c r="K2480" s="2">
        <v>0.25</v>
      </c>
      <c r="L2480" s="2">
        <v>0.25</v>
      </c>
      <c r="M2480" s="2">
        <v>-7.0000000000000007E-2</v>
      </c>
      <c r="N2480" t="s">
        <v>276</v>
      </c>
      <c r="O2480">
        <v>104</v>
      </c>
    </row>
    <row r="2481" spans="1:15">
      <c r="A2481" s="1">
        <v>46055</v>
      </c>
      <c r="B2481">
        <v>18</v>
      </c>
      <c r="C2481" t="s">
        <v>94</v>
      </c>
      <c r="D2481">
        <v>18</v>
      </c>
      <c r="E2481" s="2">
        <v>0.5</v>
      </c>
      <c r="F2481" s="2">
        <v>-254.91</v>
      </c>
      <c r="G2481" s="2">
        <v>246.52</v>
      </c>
      <c r="H2481" s="2">
        <v>-740.44</v>
      </c>
      <c r="I2481" s="2">
        <v>757.85</v>
      </c>
      <c r="J2481" s="2">
        <v>-0.06</v>
      </c>
      <c r="K2481" s="2">
        <v>20.05</v>
      </c>
      <c r="L2481" s="2">
        <v>20.05</v>
      </c>
      <c r="M2481" s="2">
        <v>3.05</v>
      </c>
      <c r="N2481" t="s">
        <v>278</v>
      </c>
      <c r="O2481">
        <v>40</v>
      </c>
    </row>
    <row r="2482" spans="1:15">
      <c r="A2482" s="1">
        <v>46055</v>
      </c>
      <c r="B2482">
        <v>18</v>
      </c>
      <c r="C2482" t="s">
        <v>94</v>
      </c>
      <c r="D2482">
        <v>18</v>
      </c>
      <c r="E2482" s="2">
        <v>1</v>
      </c>
      <c r="F2482" s="2">
        <v>-247.57</v>
      </c>
      <c r="G2482" s="2">
        <v>246.61</v>
      </c>
      <c r="H2482" s="2">
        <v>-737.08</v>
      </c>
      <c r="I2482" s="2">
        <v>757.83</v>
      </c>
      <c r="J2482" s="2">
        <v>3.75</v>
      </c>
      <c r="K2482" s="2">
        <v>23.33</v>
      </c>
      <c r="L2482" s="2">
        <v>23.63</v>
      </c>
      <c r="M2482" s="2">
        <v>2.75</v>
      </c>
      <c r="N2482" t="s">
        <v>278</v>
      </c>
      <c r="O2482">
        <v>40</v>
      </c>
    </row>
    <row r="2483" spans="1:15">
      <c r="A2483" s="1">
        <v>46055</v>
      </c>
      <c r="B2483">
        <v>18</v>
      </c>
      <c r="C2483" t="s">
        <v>94</v>
      </c>
      <c r="D2483">
        <v>18</v>
      </c>
      <c r="E2483" s="2">
        <v>1.5</v>
      </c>
      <c r="F2483" s="2">
        <v>-15.39</v>
      </c>
      <c r="G2483" s="2">
        <v>22.74</v>
      </c>
      <c r="H2483" s="2">
        <v>-291.07</v>
      </c>
      <c r="I2483" s="2">
        <v>322.58</v>
      </c>
      <c r="J2483" s="2">
        <v>7.71</v>
      </c>
      <c r="K2483" s="2">
        <v>26.26</v>
      </c>
      <c r="L2483" s="2">
        <v>27.37</v>
      </c>
      <c r="M2483" s="2">
        <v>2.4300000000000002</v>
      </c>
      <c r="N2483" t="s">
        <v>278</v>
      </c>
      <c r="O2483">
        <v>40</v>
      </c>
    </row>
    <row r="2484" spans="1:15">
      <c r="A2484" s="1">
        <v>46055</v>
      </c>
      <c r="B2484">
        <v>18</v>
      </c>
      <c r="C2484" t="s">
        <v>94</v>
      </c>
      <c r="D2484">
        <v>18</v>
      </c>
      <c r="E2484" s="2">
        <v>2</v>
      </c>
      <c r="F2484" s="2">
        <v>62.36</v>
      </c>
      <c r="G2484" s="2">
        <v>-60.31</v>
      </c>
      <c r="H2484" s="2">
        <v>-222.22</v>
      </c>
      <c r="I2484" s="2">
        <v>230.72</v>
      </c>
      <c r="J2484" s="2">
        <v>7.41</v>
      </c>
      <c r="K2484" s="2">
        <v>25.56</v>
      </c>
      <c r="L2484" s="2">
        <v>26.61</v>
      </c>
      <c r="M2484" s="2">
        <v>1.71</v>
      </c>
      <c r="N2484" t="s">
        <v>278</v>
      </c>
      <c r="O2484">
        <v>40</v>
      </c>
    </row>
    <row r="2485" spans="1:15">
      <c r="A2485" s="1">
        <v>46055</v>
      </c>
      <c r="B2485">
        <v>18</v>
      </c>
      <c r="C2485" t="s">
        <v>94</v>
      </c>
      <c r="D2485">
        <v>18</v>
      </c>
      <c r="E2485" s="2">
        <v>2.5</v>
      </c>
      <c r="F2485" s="2">
        <v>66.02</v>
      </c>
      <c r="G2485" s="2">
        <v>-66.040000000000006</v>
      </c>
      <c r="H2485" s="2">
        <v>-202.45</v>
      </c>
      <c r="I2485" s="2">
        <v>218.43</v>
      </c>
      <c r="J2485" s="2">
        <v>9.2100000000000009</v>
      </c>
      <c r="K2485" s="2">
        <v>25.85</v>
      </c>
      <c r="L2485" s="2">
        <v>27.45</v>
      </c>
      <c r="M2485" s="2">
        <v>1.76</v>
      </c>
      <c r="N2485" t="s">
        <v>278</v>
      </c>
      <c r="O2485">
        <v>40</v>
      </c>
    </row>
    <row r="2486" spans="1:15">
      <c r="A2486" s="1">
        <v>46055</v>
      </c>
      <c r="B2486">
        <v>18</v>
      </c>
      <c r="C2486" t="s">
        <v>94</v>
      </c>
      <c r="D2486">
        <v>18</v>
      </c>
      <c r="E2486" s="2">
        <v>3</v>
      </c>
      <c r="F2486" s="2">
        <v>30.81</v>
      </c>
      <c r="G2486" s="2">
        <v>-27.29</v>
      </c>
      <c r="H2486" s="2">
        <v>-144.16</v>
      </c>
      <c r="I2486" s="2">
        <v>176.77</v>
      </c>
      <c r="J2486" s="2">
        <v>10.41</v>
      </c>
      <c r="K2486" s="2">
        <v>25.86</v>
      </c>
      <c r="L2486" s="2">
        <v>27.88</v>
      </c>
      <c r="M2486" s="2">
        <v>1.69</v>
      </c>
      <c r="N2486" t="s">
        <v>278</v>
      </c>
      <c r="O2486">
        <v>40</v>
      </c>
    </row>
    <row r="2487" spans="1:15">
      <c r="A2487" s="1">
        <v>46055</v>
      </c>
      <c r="B2487">
        <v>18</v>
      </c>
      <c r="C2487" t="s">
        <v>94</v>
      </c>
      <c r="D2487">
        <v>18</v>
      </c>
      <c r="E2487" s="2">
        <v>3.5</v>
      </c>
      <c r="F2487" s="2">
        <v>-6.97</v>
      </c>
      <c r="G2487" s="2">
        <v>8.0500000000000007</v>
      </c>
      <c r="H2487" s="2">
        <v>-84.11</v>
      </c>
      <c r="I2487" s="2">
        <v>104.62</v>
      </c>
      <c r="J2487" s="2">
        <v>11.06</v>
      </c>
      <c r="K2487" s="2">
        <v>25.74</v>
      </c>
      <c r="L2487" s="2">
        <v>28.02</v>
      </c>
      <c r="M2487" s="2">
        <v>1.51</v>
      </c>
      <c r="N2487" t="s">
        <v>278</v>
      </c>
      <c r="O2487">
        <v>40</v>
      </c>
    </row>
    <row r="2488" spans="1:15">
      <c r="A2488" s="1">
        <v>46055</v>
      </c>
      <c r="B2488">
        <v>18</v>
      </c>
      <c r="C2488" t="s">
        <v>94</v>
      </c>
      <c r="D2488">
        <v>18</v>
      </c>
      <c r="E2488" s="2">
        <v>4</v>
      </c>
      <c r="F2488" s="2">
        <v>20.9</v>
      </c>
      <c r="G2488" s="2">
        <v>-55.64</v>
      </c>
      <c r="H2488" s="2">
        <v>-84.5</v>
      </c>
      <c r="I2488" s="2">
        <v>89.09</v>
      </c>
      <c r="J2488" s="2">
        <v>11.21</v>
      </c>
      <c r="K2488" s="2">
        <v>26</v>
      </c>
      <c r="L2488" s="2">
        <v>28.32</v>
      </c>
      <c r="M2488" s="2">
        <v>1.47</v>
      </c>
      <c r="N2488" t="s">
        <v>278</v>
      </c>
      <c r="O2488">
        <v>40</v>
      </c>
    </row>
    <row r="2489" spans="1:15">
      <c r="A2489" s="1">
        <v>46055</v>
      </c>
      <c r="B2489">
        <v>18</v>
      </c>
      <c r="C2489" t="s">
        <v>94</v>
      </c>
      <c r="D2489">
        <v>18</v>
      </c>
      <c r="E2489" s="2">
        <v>4.5</v>
      </c>
      <c r="F2489" s="2">
        <v>87.62</v>
      </c>
      <c r="G2489" s="2">
        <v>-84.78</v>
      </c>
      <c r="H2489" s="2">
        <v>-47.47</v>
      </c>
      <c r="I2489" s="2">
        <v>50.99</v>
      </c>
      <c r="J2489" s="2">
        <v>10.8</v>
      </c>
      <c r="K2489" s="2">
        <v>25.58</v>
      </c>
      <c r="L2489" s="2">
        <v>27.77</v>
      </c>
      <c r="M2489" s="2">
        <v>0.87</v>
      </c>
      <c r="N2489" t="s">
        <v>278</v>
      </c>
      <c r="O2489">
        <v>40</v>
      </c>
    </row>
    <row r="2490" spans="1:15">
      <c r="A2490" s="1">
        <v>46055</v>
      </c>
      <c r="B2490">
        <v>18</v>
      </c>
      <c r="C2490" t="s">
        <v>94</v>
      </c>
      <c r="D2490">
        <v>18</v>
      </c>
      <c r="E2490" s="2">
        <v>5</v>
      </c>
      <c r="F2490" s="2">
        <v>31.98</v>
      </c>
      <c r="G2490" s="2">
        <v>-28.56</v>
      </c>
      <c r="H2490" s="2">
        <v>21.4</v>
      </c>
      <c r="I2490" s="2">
        <v>-31.06</v>
      </c>
      <c r="J2490" s="2">
        <v>11.82</v>
      </c>
      <c r="K2490" s="2">
        <v>25.18</v>
      </c>
      <c r="L2490" s="2">
        <v>27.82</v>
      </c>
      <c r="M2490" s="2">
        <v>1.01</v>
      </c>
      <c r="N2490" t="s">
        <v>278</v>
      </c>
      <c r="O2490">
        <v>40</v>
      </c>
    </row>
    <row r="2491" spans="1:15">
      <c r="A2491" s="1">
        <v>46055</v>
      </c>
      <c r="B2491">
        <v>18</v>
      </c>
      <c r="C2491" t="s">
        <v>94</v>
      </c>
      <c r="D2491">
        <v>18</v>
      </c>
      <c r="E2491" s="2">
        <v>5.5</v>
      </c>
      <c r="F2491" s="2">
        <v>17.440000000000001</v>
      </c>
      <c r="G2491" s="2">
        <v>-16.309999999999999</v>
      </c>
      <c r="H2491" s="2">
        <v>-0.32</v>
      </c>
      <c r="I2491" s="2">
        <v>-33.159999999999997</v>
      </c>
      <c r="J2491" s="2">
        <v>12.71</v>
      </c>
      <c r="K2491" s="2">
        <v>25.41</v>
      </c>
      <c r="L2491" s="2">
        <v>28.41</v>
      </c>
      <c r="M2491" s="2">
        <v>1.26</v>
      </c>
      <c r="N2491" t="s">
        <v>278</v>
      </c>
      <c r="O2491">
        <v>40</v>
      </c>
    </row>
    <row r="2492" spans="1:15">
      <c r="A2492" s="1">
        <v>46055</v>
      </c>
      <c r="B2492">
        <v>18</v>
      </c>
      <c r="C2492" t="s">
        <v>94</v>
      </c>
      <c r="D2492">
        <v>18</v>
      </c>
      <c r="E2492" s="2">
        <v>6</v>
      </c>
      <c r="F2492" s="2">
        <v>17.55</v>
      </c>
      <c r="G2492" s="2">
        <v>-12.31</v>
      </c>
      <c r="H2492" s="2">
        <v>-0.47</v>
      </c>
      <c r="I2492" s="2">
        <v>22.65</v>
      </c>
      <c r="J2492" s="2">
        <v>13.29</v>
      </c>
      <c r="K2492" s="2">
        <v>25.59</v>
      </c>
      <c r="L2492" s="2">
        <v>28.84</v>
      </c>
      <c r="M2492" s="2">
        <v>0.87</v>
      </c>
      <c r="N2492" t="s">
        <v>278</v>
      </c>
      <c r="O2492">
        <v>40</v>
      </c>
    </row>
    <row r="2493" spans="1:15">
      <c r="A2493" s="1">
        <v>46055</v>
      </c>
      <c r="B2493">
        <v>18</v>
      </c>
      <c r="C2493" t="s">
        <v>94</v>
      </c>
      <c r="D2493">
        <v>18</v>
      </c>
      <c r="E2493" s="2">
        <v>6.5</v>
      </c>
      <c r="F2493" s="2">
        <v>18.07</v>
      </c>
      <c r="G2493" s="2">
        <v>-8.74</v>
      </c>
      <c r="H2493" s="2">
        <v>-64.12</v>
      </c>
      <c r="I2493" s="2">
        <v>65.06</v>
      </c>
      <c r="J2493" s="2">
        <v>13.4</v>
      </c>
      <c r="K2493" s="2">
        <v>26.25</v>
      </c>
      <c r="L2493" s="2">
        <v>29.48</v>
      </c>
      <c r="M2493" s="2">
        <v>1.17</v>
      </c>
      <c r="N2493" t="s">
        <v>278</v>
      </c>
      <c r="O2493">
        <v>40</v>
      </c>
    </row>
    <row r="2494" spans="1:15">
      <c r="A2494" s="1">
        <v>46055</v>
      </c>
      <c r="B2494">
        <v>18</v>
      </c>
      <c r="C2494" t="s">
        <v>94</v>
      </c>
      <c r="D2494">
        <v>18</v>
      </c>
      <c r="E2494" s="2">
        <v>7</v>
      </c>
      <c r="F2494" s="2">
        <v>109.27</v>
      </c>
      <c r="G2494" s="2">
        <v>-105.45</v>
      </c>
      <c r="H2494" s="2">
        <v>-48.23</v>
      </c>
      <c r="I2494" s="2">
        <v>62.07</v>
      </c>
      <c r="J2494" s="2">
        <v>12.99</v>
      </c>
      <c r="K2494" s="2">
        <v>26.18</v>
      </c>
      <c r="L2494" s="2">
        <v>29.22</v>
      </c>
      <c r="M2494" s="2">
        <v>1.1200000000000001</v>
      </c>
      <c r="N2494" t="s">
        <v>278</v>
      </c>
      <c r="O2494">
        <v>40</v>
      </c>
    </row>
    <row r="2495" spans="1:15">
      <c r="A2495" s="1">
        <v>46055</v>
      </c>
      <c r="B2495">
        <v>18</v>
      </c>
      <c r="C2495" t="s">
        <v>94</v>
      </c>
      <c r="D2495">
        <v>18</v>
      </c>
      <c r="E2495" s="2">
        <v>7.5</v>
      </c>
      <c r="F2495" s="2">
        <v>72.849999999999994</v>
      </c>
      <c r="G2495" s="2">
        <v>-68.33</v>
      </c>
      <c r="H2495" s="2">
        <v>-63.85</v>
      </c>
      <c r="I2495" s="2">
        <v>66.88</v>
      </c>
      <c r="J2495" s="2">
        <v>13.14</v>
      </c>
      <c r="K2495" s="2">
        <v>26.1</v>
      </c>
      <c r="L2495" s="2">
        <v>29.22</v>
      </c>
      <c r="M2495" s="2">
        <v>0.99</v>
      </c>
      <c r="N2495" t="s">
        <v>278</v>
      </c>
      <c r="O2495">
        <v>40</v>
      </c>
    </row>
    <row r="2496" spans="1:15">
      <c r="A2496" s="1">
        <v>46055</v>
      </c>
      <c r="B2496">
        <v>18</v>
      </c>
      <c r="C2496" t="s">
        <v>94</v>
      </c>
      <c r="D2496">
        <v>18</v>
      </c>
      <c r="E2496" s="2">
        <v>8</v>
      </c>
      <c r="F2496" s="2">
        <v>58.78</v>
      </c>
      <c r="G2496" s="2">
        <v>-52.92</v>
      </c>
      <c r="H2496" s="2">
        <v>-73.599999999999994</v>
      </c>
      <c r="I2496" s="2">
        <v>61.3</v>
      </c>
      <c r="J2496" s="2">
        <v>13.23</v>
      </c>
      <c r="K2496" s="2">
        <v>25.63</v>
      </c>
      <c r="L2496" s="2">
        <v>28.84</v>
      </c>
      <c r="M2496" s="2">
        <v>1.1200000000000001</v>
      </c>
      <c r="N2496" t="s">
        <v>278</v>
      </c>
      <c r="O2496">
        <v>40</v>
      </c>
    </row>
    <row r="2497" spans="1:15">
      <c r="A2497" s="1">
        <v>46055</v>
      </c>
      <c r="B2497">
        <v>18</v>
      </c>
      <c r="C2497" t="s">
        <v>94</v>
      </c>
      <c r="D2497">
        <v>18</v>
      </c>
      <c r="E2497" s="2">
        <v>8.5</v>
      </c>
      <c r="F2497" s="2">
        <v>20.75</v>
      </c>
      <c r="G2497" s="2">
        <v>-15.48</v>
      </c>
      <c r="H2497" s="2">
        <v>-48.75</v>
      </c>
      <c r="I2497" s="2">
        <v>35.880000000000003</v>
      </c>
      <c r="J2497" s="2">
        <v>13.56</v>
      </c>
      <c r="K2497" s="2">
        <v>24.8</v>
      </c>
      <c r="L2497" s="2">
        <v>28.26</v>
      </c>
      <c r="M2497" s="2">
        <v>1.31</v>
      </c>
      <c r="N2497" t="s">
        <v>278</v>
      </c>
      <c r="O2497">
        <v>40</v>
      </c>
    </row>
    <row r="2498" spans="1:15">
      <c r="A2498" s="1">
        <v>46055</v>
      </c>
      <c r="B2498">
        <v>18</v>
      </c>
      <c r="C2498" t="s">
        <v>94</v>
      </c>
      <c r="D2498">
        <v>18</v>
      </c>
      <c r="E2498" s="2">
        <v>9</v>
      </c>
      <c r="F2498" s="2">
        <v>-32.22</v>
      </c>
      <c r="G2498" s="2">
        <v>39.369999999999997</v>
      </c>
      <c r="H2498" s="2">
        <v>-37.15</v>
      </c>
      <c r="I2498" s="2">
        <v>44.35</v>
      </c>
      <c r="J2498" s="2">
        <v>13.91</v>
      </c>
      <c r="K2498" s="2">
        <v>24.03</v>
      </c>
      <c r="L2498" s="2">
        <v>27.77</v>
      </c>
      <c r="M2498" s="2">
        <v>1.51</v>
      </c>
      <c r="N2498" t="s">
        <v>278</v>
      </c>
      <c r="O2498">
        <v>40</v>
      </c>
    </row>
    <row r="2499" spans="1:15">
      <c r="A2499" s="1">
        <v>46055</v>
      </c>
      <c r="B2499">
        <v>18</v>
      </c>
      <c r="C2499" t="s">
        <v>94</v>
      </c>
      <c r="D2499">
        <v>18</v>
      </c>
      <c r="E2499" s="2">
        <v>9.5</v>
      </c>
      <c r="F2499" s="2">
        <v>-117.38</v>
      </c>
      <c r="G2499" s="2">
        <v>122.25</v>
      </c>
      <c r="H2499" s="2">
        <v>-5.08</v>
      </c>
      <c r="I2499" s="2">
        <v>15.33</v>
      </c>
      <c r="J2499" s="2">
        <v>14.11</v>
      </c>
      <c r="K2499" s="2">
        <v>22.86</v>
      </c>
      <c r="L2499" s="2">
        <v>26.86</v>
      </c>
      <c r="M2499" s="2">
        <v>1.5</v>
      </c>
      <c r="N2499" t="s">
        <v>278</v>
      </c>
      <c r="O2499">
        <v>40</v>
      </c>
    </row>
    <row r="2500" spans="1:15">
      <c r="A2500" s="1">
        <v>46055</v>
      </c>
      <c r="B2500">
        <v>18</v>
      </c>
      <c r="C2500" t="s">
        <v>94</v>
      </c>
      <c r="D2500">
        <v>18</v>
      </c>
      <c r="E2500" s="2">
        <v>10</v>
      </c>
      <c r="F2500" s="2">
        <v>-220</v>
      </c>
      <c r="G2500" s="2">
        <v>228.08</v>
      </c>
      <c r="H2500" s="2">
        <v>-100.87</v>
      </c>
      <c r="I2500" s="2">
        <v>85.51</v>
      </c>
      <c r="J2500" s="2">
        <v>13.75</v>
      </c>
      <c r="K2500" s="2">
        <v>22.04</v>
      </c>
      <c r="L2500" s="2">
        <v>25.98</v>
      </c>
      <c r="M2500" s="2">
        <v>1.6</v>
      </c>
      <c r="N2500" t="s">
        <v>278</v>
      </c>
      <c r="O2500">
        <v>40</v>
      </c>
    </row>
    <row r="2501" spans="1:15">
      <c r="A2501" s="1">
        <v>46055</v>
      </c>
      <c r="B2501">
        <v>18</v>
      </c>
      <c r="C2501" t="s">
        <v>94</v>
      </c>
      <c r="D2501">
        <v>18</v>
      </c>
      <c r="E2501" s="2">
        <v>10.5</v>
      </c>
      <c r="F2501" s="2">
        <v>-203.09</v>
      </c>
      <c r="G2501" s="2">
        <v>212.91</v>
      </c>
      <c r="H2501" s="2">
        <v>-70.709999999999994</v>
      </c>
      <c r="I2501" s="2">
        <v>92.27</v>
      </c>
      <c r="J2501" s="2">
        <v>13.05</v>
      </c>
      <c r="K2501" s="2">
        <v>20.87</v>
      </c>
      <c r="L2501" s="2">
        <v>24.61</v>
      </c>
      <c r="M2501" s="2">
        <v>1.55</v>
      </c>
      <c r="N2501" t="s">
        <v>278</v>
      </c>
      <c r="O2501">
        <v>40</v>
      </c>
    </row>
    <row r="2502" spans="1:15">
      <c r="A2502" s="1">
        <v>46055</v>
      </c>
      <c r="B2502">
        <v>18</v>
      </c>
      <c r="C2502" t="s">
        <v>94</v>
      </c>
      <c r="D2502">
        <v>18</v>
      </c>
      <c r="E2502" s="2">
        <v>11</v>
      </c>
      <c r="F2502" s="2">
        <v>-196.45</v>
      </c>
      <c r="G2502" s="2">
        <v>201.34</v>
      </c>
      <c r="H2502" s="2">
        <v>-27.1</v>
      </c>
      <c r="I2502" s="2">
        <v>40.090000000000003</v>
      </c>
      <c r="J2502" s="2">
        <v>12.7</v>
      </c>
      <c r="K2502" s="2">
        <v>19.82</v>
      </c>
      <c r="L2502" s="2">
        <v>23.54</v>
      </c>
      <c r="M2502" s="2">
        <v>1.4</v>
      </c>
      <c r="N2502" t="s">
        <v>278</v>
      </c>
      <c r="O2502">
        <v>40</v>
      </c>
    </row>
    <row r="2503" spans="1:15">
      <c r="A2503" s="1">
        <v>46055</v>
      </c>
      <c r="B2503">
        <v>18</v>
      </c>
      <c r="C2503" t="s">
        <v>94</v>
      </c>
      <c r="D2503">
        <v>18</v>
      </c>
      <c r="E2503" s="2">
        <v>11.5</v>
      </c>
      <c r="F2503" s="2">
        <v>-98.44</v>
      </c>
      <c r="G2503" s="2">
        <v>106.18</v>
      </c>
      <c r="H2503" s="2">
        <v>-38.57</v>
      </c>
      <c r="I2503" s="2">
        <v>40.54</v>
      </c>
      <c r="J2503" s="2">
        <v>11.97</v>
      </c>
      <c r="K2503" s="2">
        <v>18.850000000000001</v>
      </c>
      <c r="L2503" s="2">
        <v>22.33</v>
      </c>
      <c r="M2503" s="2">
        <v>1.61</v>
      </c>
      <c r="N2503" t="s">
        <v>278</v>
      </c>
      <c r="O2503">
        <v>40</v>
      </c>
    </row>
    <row r="2504" spans="1:15">
      <c r="A2504" s="1">
        <v>46055</v>
      </c>
      <c r="B2504">
        <v>18</v>
      </c>
      <c r="C2504" t="s">
        <v>94</v>
      </c>
      <c r="D2504">
        <v>18</v>
      </c>
      <c r="E2504" s="2">
        <v>12</v>
      </c>
      <c r="F2504" s="2">
        <v>-151.99</v>
      </c>
      <c r="G2504" s="2">
        <v>164.26</v>
      </c>
      <c r="H2504" s="2">
        <v>-44.58</v>
      </c>
      <c r="I2504" s="2">
        <v>52.52</v>
      </c>
      <c r="J2504" s="2">
        <v>11.32</v>
      </c>
      <c r="K2504" s="2">
        <v>17.59</v>
      </c>
      <c r="L2504" s="2">
        <v>20.91</v>
      </c>
      <c r="M2504" s="2">
        <v>1.42</v>
      </c>
      <c r="N2504" t="s">
        <v>278</v>
      </c>
      <c r="O2504">
        <v>40</v>
      </c>
    </row>
    <row r="2505" spans="1:15">
      <c r="A2505" s="1">
        <v>46055</v>
      </c>
      <c r="B2505">
        <v>18</v>
      </c>
      <c r="C2505" t="s">
        <v>94</v>
      </c>
      <c r="D2505">
        <v>18</v>
      </c>
      <c r="E2505" s="2">
        <v>12.5</v>
      </c>
      <c r="F2505" s="2">
        <v>-149.41999999999999</v>
      </c>
      <c r="G2505" s="2">
        <v>157.31</v>
      </c>
      <c r="H2505" s="2">
        <v>14.55</v>
      </c>
      <c r="I2505" s="2">
        <v>4.08</v>
      </c>
      <c r="J2505" s="2">
        <v>11.08</v>
      </c>
      <c r="K2505" s="2">
        <v>16.579999999999998</v>
      </c>
      <c r="L2505" s="2">
        <v>19.940000000000001</v>
      </c>
      <c r="M2505" s="2">
        <v>1.5</v>
      </c>
      <c r="N2505" t="s">
        <v>278</v>
      </c>
      <c r="O2505">
        <v>40</v>
      </c>
    </row>
    <row r="2506" spans="1:15">
      <c r="A2506" s="1">
        <v>46055</v>
      </c>
      <c r="B2506">
        <v>18</v>
      </c>
      <c r="C2506" t="s">
        <v>94</v>
      </c>
      <c r="D2506">
        <v>18</v>
      </c>
      <c r="E2506" s="2">
        <v>13</v>
      </c>
      <c r="F2506" s="2">
        <v>-107.7</v>
      </c>
      <c r="G2506" s="2">
        <v>116.04</v>
      </c>
      <c r="H2506" s="2">
        <v>-7.49</v>
      </c>
      <c r="I2506" s="2">
        <v>16.7</v>
      </c>
      <c r="J2506" s="2">
        <v>10.6</v>
      </c>
      <c r="K2506" s="2">
        <v>15.49</v>
      </c>
      <c r="L2506" s="2">
        <v>18.77</v>
      </c>
      <c r="M2506" s="2">
        <v>1.32</v>
      </c>
      <c r="N2506" t="s">
        <v>278</v>
      </c>
      <c r="O2506">
        <v>40</v>
      </c>
    </row>
    <row r="2507" spans="1:15">
      <c r="A2507" s="1">
        <v>46055</v>
      </c>
      <c r="B2507">
        <v>18</v>
      </c>
      <c r="C2507" t="s">
        <v>94</v>
      </c>
      <c r="D2507">
        <v>18</v>
      </c>
      <c r="E2507" s="2">
        <v>13.5</v>
      </c>
      <c r="F2507" s="2">
        <v>-107.59</v>
      </c>
      <c r="G2507" s="2">
        <v>115.98</v>
      </c>
      <c r="H2507" s="2">
        <v>-1.75</v>
      </c>
      <c r="I2507" s="2">
        <v>7.3</v>
      </c>
      <c r="J2507" s="2">
        <v>9.27</v>
      </c>
      <c r="K2507" s="2">
        <v>14.07</v>
      </c>
      <c r="L2507" s="2">
        <v>16.850000000000001</v>
      </c>
      <c r="M2507" s="2">
        <v>1.2</v>
      </c>
      <c r="N2507" t="s">
        <v>278</v>
      </c>
      <c r="O2507">
        <v>40</v>
      </c>
    </row>
    <row r="2508" spans="1:15">
      <c r="A2508" s="1">
        <v>46055</v>
      </c>
      <c r="B2508">
        <v>18</v>
      </c>
      <c r="C2508" t="s">
        <v>94</v>
      </c>
      <c r="D2508">
        <v>18</v>
      </c>
      <c r="E2508" s="2">
        <v>14</v>
      </c>
      <c r="F2508" s="2">
        <v>-118.25</v>
      </c>
      <c r="G2508" s="2">
        <v>124.6</v>
      </c>
      <c r="H2508" s="2">
        <v>5.9</v>
      </c>
      <c r="I2508" s="2">
        <v>22.51</v>
      </c>
      <c r="J2508" s="2">
        <v>7.51</v>
      </c>
      <c r="K2508" s="2">
        <v>12.41</v>
      </c>
      <c r="L2508" s="2">
        <v>14.51</v>
      </c>
      <c r="M2508" s="2">
        <v>1.19</v>
      </c>
      <c r="N2508" t="s">
        <v>278</v>
      </c>
      <c r="O2508">
        <v>40</v>
      </c>
    </row>
    <row r="2509" spans="1:15">
      <c r="A2509" s="1">
        <v>46055</v>
      </c>
      <c r="B2509">
        <v>18</v>
      </c>
      <c r="C2509" t="s">
        <v>94</v>
      </c>
      <c r="D2509">
        <v>18</v>
      </c>
      <c r="E2509" s="2">
        <v>14.5</v>
      </c>
      <c r="F2509" s="2">
        <v>-103.34</v>
      </c>
      <c r="G2509" s="2">
        <v>110.72</v>
      </c>
      <c r="H2509" s="2">
        <v>46.24</v>
      </c>
      <c r="I2509" s="2">
        <v>-29.41</v>
      </c>
      <c r="J2509" s="2">
        <v>5.46</v>
      </c>
      <c r="K2509" s="2">
        <v>10.039999999999999</v>
      </c>
      <c r="L2509" s="2">
        <v>11.43</v>
      </c>
      <c r="M2509" s="2">
        <v>0.9</v>
      </c>
      <c r="N2509" t="s">
        <v>278</v>
      </c>
      <c r="O2509">
        <v>40</v>
      </c>
    </row>
    <row r="2510" spans="1:15">
      <c r="A2510" s="1">
        <v>46055</v>
      </c>
      <c r="B2510">
        <v>18</v>
      </c>
      <c r="C2510" t="s">
        <v>94</v>
      </c>
      <c r="D2510">
        <v>18</v>
      </c>
      <c r="E2510" s="2">
        <v>15</v>
      </c>
      <c r="F2510" s="2">
        <v>-42.19</v>
      </c>
      <c r="G2510" s="2">
        <v>49.02</v>
      </c>
      <c r="H2510" s="2">
        <v>72.77</v>
      </c>
      <c r="I2510" s="2">
        <v>-68.5</v>
      </c>
      <c r="J2510" s="2">
        <v>3.57</v>
      </c>
      <c r="K2510" s="2">
        <v>8.32</v>
      </c>
      <c r="L2510" s="2">
        <v>9.06</v>
      </c>
      <c r="M2510" s="2">
        <v>0.76</v>
      </c>
      <c r="N2510" t="s">
        <v>278</v>
      </c>
      <c r="O2510">
        <v>40</v>
      </c>
    </row>
    <row r="2511" spans="1:15">
      <c r="A2511" s="1">
        <v>46055</v>
      </c>
      <c r="B2511">
        <v>18</v>
      </c>
      <c r="C2511" t="s">
        <v>94</v>
      </c>
      <c r="D2511">
        <v>18</v>
      </c>
      <c r="E2511" s="2">
        <v>15.5</v>
      </c>
      <c r="F2511" s="2">
        <v>-154.21</v>
      </c>
      <c r="G2511" s="2">
        <v>155.04</v>
      </c>
      <c r="H2511" s="2">
        <v>-25.31</v>
      </c>
      <c r="I2511" s="2">
        <v>73.44</v>
      </c>
      <c r="J2511" s="2">
        <v>2.5299999999999998</v>
      </c>
      <c r="K2511" s="2">
        <v>7.08</v>
      </c>
      <c r="L2511" s="2">
        <v>7.52</v>
      </c>
      <c r="M2511" s="2">
        <v>0.61</v>
      </c>
      <c r="N2511" t="s">
        <v>278</v>
      </c>
      <c r="O2511">
        <v>40</v>
      </c>
    </row>
    <row r="2512" spans="1:15">
      <c r="A2512" s="1">
        <v>46055</v>
      </c>
      <c r="B2512">
        <v>18</v>
      </c>
      <c r="C2512" t="s">
        <v>94</v>
      </c>
      <c r="D2512">
        <v>18</v>
      </c>
      <c r="E2512" s="2">
        <v>16</v>
      </c>
      <c r="F2512" s="2">
        <v>-11.5</v>
      </c>
      <c r="G2512" s="2">
        <v>18.850000000000001</v>
      </c>
      <c r="H2512" s="2">
        <v>-17.13</v>
      </c>
      <c r="I2512" s="2">
        <v>16.39</v>
      </c>
      <c r="J2512" s="2">
        <v>-1.02</v>
      </c>
      <c r="K2512" s="2">
        <v>2.44</v>
      </c>
      <c r="L2512" s="2">
        <v>2.64</v>
      </c>
      <c r="M2512" s="2">
        <v>0.37</v>
      </c>
      <c r="N2512" t="s">
        <v>278</v>
      </c>
      <c r="O2512">
        <v>40</v>
      </c>
    </row>
    <row r="2513" spans="1:15">
      <c r="A2513" s="1">
        <v>46055</v>
      </c>
      <c r="B2513">
        <v>18</v>
      </c>
      <c r="C2513" t="s">
        <v>94</v>
      </c>
      <c r="D2513">
        <v>18</v>
      </c>
      <c r="E2513" s="2">
        <v>16.5</v>
      </c>
      <c r="F2513" s="2">
        <v>5.7</v>
      </c>
      <c r="G2513" s="2">
        <v>-0.63</v>
      </c>
      <c r="H2513" s="2">
        <v>-12.77</v>
      </c>
      <c r="I2513" s="2">
        <v>15.34</v>
      </c>
      <c r="J2513" s="2">
        <v>-0.92</v>
      </c>
      <c r="K2513" s="2">
        <v>2.82</v>
      </c>
      <c r="L2513" s="2">
        <v>2.97</v>
      </c>
      <c r="M2513" s="2">
        <v>0.63</v>
      </c>
      <c r="N2513" t="s">
        <v>278</v>
      </c>
      <c r="O2513">
        <v>40</v>
      </c>
    </row>
    <row r="2514" spans="1:15">
      <c r="A2514" s="1">
        <v>46055</v>
      </c>
      <c r="B2514">
        <v>18</v>
      </c>
      <c r="C2514" t="s">
        <v>94</v>
      </c>
      <c r="D2514">
        <v>18</v>
      </c>
      <c r="E2514" s="2">
        <v>17</v>
      </c>
      <c r="F2514" s="2">
        <v>14.63</v>
      </c>
      <c r="G2514" s="2">
        <v>-11.51</v>
      </c>
      <c r="H2514" s="2">
        <v>-0.7</v>
      </c>
      <c r="I2514" s="2">
        <v>-0.18</v>
      </c>
      <c r="J2514" s="2">
        <v>-0.88</v>
      </c>
      <c r="K2514" s="2">
        <v>2.88</v>
      </c>
      <c r="L2514" s="2">
        <v>3.01</v>
      </c>
      <c r="M2514" s="2">
        <v>0.6</v>
      </c>
      <c r="N2514" t="s">
        <v>278</v>
      </c>
      <c r="O2514">
        <v>40</v>
      </c>
    </row>
    <row r="2515" spans="1:15">
      <c r="A2515" s="1">
        <v>46055</v>
      </c>
      <c r="B2515">
        <v>18</v>
      </c>
      <c r="C2515" t="s">
        <v>94</v>
      </c>
      <c r="D2515">
        <v>18</v>
      </c>
      <c r="E2515" s="2">
        <v>17.5</v>
      </c>
      <c r="F2515" s="2">
        <v>-11.72</v>
      </c>
      <c r="G2515" s="2">
        <v>15.99</v>
      </c>
      <c r="H2515" s="2">
        <v>32.479999999999997</v>
      </c>
      <c r="I2515" s="2">
        <v>-26.95</v>
      </c>
      <c r="J2515" s="2">
        <v>-0.94</v>
      </c>
      <c r="K2515" s="2">
        <v>2.95</v>
      </c>
      <c r="L2515" s="2">
        <v>3.1</v>
      </c>
      <c r="M2515" s="2">
        <v>0.6</v>
      </c>
      <c r="N2515" t="s">
        <v>278</v>
      </c>
      <c r="O2515">
        <v>40</v>
      </c>
    </row>
    <row r="2516" spans="1:15">
      <c r="A2516" s="1">
        <v>46055</v>
      </c>
      <c r="B2516">
        <v>18</v>
      </c>
      <c r="C2516" t="s">
        <v>94</v>
      </c>
      <c r="D2516">
        <v>18</v>
      </c>
      <c r="E2516" s="2">
        <v>18</v>
      </c>
      <c r="F2516" s="2">
        <v>-29.69</v>
      </c>
      <c r="G2516" s="2">
        <v>34.369999999999997</v>
      </c>
      <c r="H2516" s="2">
        <v>47.1</v>
      </c>
      <c r="I2516" s="2">
        <v>-40.75</v>
      </c>
      <c r="J2516" s="2">
        <v>-0.93</v>
      </c>
      <c r="K2516" s="2">
        <v>2.88</v>
      </c>
      <c r="L2516" s="2">
        <v>3.03</v>
      </c>
      <c r="M2516" s="2">
        <v>0.6</v>
      </c>
      <c r="N2516" t="s">
        <v>278</v>
      </c>
      <c r="O2516">
        <v>40</v>
      </c>
    </row>
    <row r="2517" spans="1:15">
      <c r="A2517" s="1">
        <v>46055</v>
      </c>
      <c r="B2517">
        <v>18</v>
      </c>
      <c r="C2517" t="s">
        <v>94</v>
      </c>
      <c r="D2517">
        <v>18</v>
      </c>
      <c r="E2517" s="2">
        <v>18.5</v>
      </c>
      <c r="F2517" s="2">
        <v>-34.97</v>
      </c>
      <c r="G2517" s="2">
        <v>44.92</v>
      </c>
      <c r="H2517" s="2">
        <v>63.17</v>
      </c>
      <c r="I2517" s="2">
        <v>-51.77</v>
      </c>
      <c r="J2517" s="2">
        <v>-0.91</v>
      </c>
      <c r="K2517" s="2">
        <v>2.86</v>
      </c>
      <c r="L2517" s="2">
        <v>3</v>
      </c>
      <c r="M2517" s="2">
        <v>0.56999999999999995</v>
      </c>
      <c r="N2517" t="s">
        <v>278</v>
      </c>
      <c r="O2517">
        <v>40</v>
      </c>
    </row>
    <row r="2518" spans="1:15">
      <c r="A2518" s="1">
        <v>46055</v>
      </c>
      <c r="B2518">
        <v>18</v>
      </c>
      <c r="C2518" t="s">
        <v>94</v>
      </c>
      <c r="D2518">
        <v>18</v>
      </c>
      <c r="E2518" s="2">
        <v>19</v>
      </c>
      <c r="F2518" s="2">
        <v>-139.74</v>
      </c>
      <c r="G2518" s="2">
        <v>137.88999999999999</v>
      </c>
      <c r="H2518" s="2">
        <v>-34.01</v>
      </c>
      <c r="I2518" s="2">
        <v>53</v>
      </c>
      <c r="J2518" s="2">
        <v>-0.89</v>
      </c>
      <c r="K2518" s="2">
        <v>2.66</v>
      </c>
      <c r="L2518" s="2">
        <v>2.81</v>
      </c>
      <c r="M2518" s="2">
        <v>0.6</v>
      </c>
      <c r="N2518" t="s">
        <v>278</v>
      </c>
      <c r="O2518">
        <v>40</v>
      </c>
    </row>
    <row r="2519" spans="1:15">
      <c r="A2519" s="1">
        <v>46055</v>
      </c>
      <c r="B2519">
        <v>18</v>
      </c>
      <c r="C2519" t="s">
        <v>94</v>
      </c>
      <c r="D2519">
        <v>18</v>
      </c>
      <c r="E2519" s="2">
        <v>19.5</v>
      </c>
      <c r="F2519" s="2">
        <v>-134.52000000000001</v>
      </c>
      <c r="G2519" s="2">
        <v>137.41999999999999</v>
      </c>
      <c r="H2519" s="2">
        <v>-42.44</v>
      </c>
      <c r="I2519" s="2">
        <v>39.54</v>
      </c>
      <c r="J2519" s="2">
        <v>-0.96</v>
      </c>
      <c r="K2519" s="2">
        <v>2.52</v>
      </c>
      <c r="L2519" s="2">
        <v>2.7</v>
      </c>
      <c r="M2519" s="2">
        <v>0.64</v>
      </c>
      <c r="N2519" t="s">
        <v>278</v>
      </c>
      <c r="O2519">
        <v>40</v>
      </c>
    </row>
    <row r="2520" spans="1:15">
      <c r="A2520" s="1">
        <v>46055</v>
      </c>
      <c r="B2520">
        <v>18</v>
      </c>
      <c r="C2520" t="s">
        <v>94</v>
      </c>
      <c r="D2520">
        <v>18</v>
      </c>
      <c r="E2520" s="2">
        <v>20</v>
      </c>
      <c r="F2520" s="2">
        <v>-150.26</v>
      </c>
      <c r="G2520" s="2">
        <v>153.63999999999999</v>
      </c>
      <c r="H2520" s="2">
        <v>-39.44</v>
      </c>
      <c r="I2520" s="2">
        <v>43.59</v>
      </c>
      <c r="J2520" s="2">
        <v>-1.03</v>
      </c>
      <c r="K2520" s="2">
        <v>2.4300000000000002</v>
      </c>
      <c r="L2520" s="2">
        <v>2.64</v>
      </c>
      <c r="M2520" s="2">
        <v>0.65</v>
      </c>
      <c r="N2520" t="s">
        <v>278</v>
      </c>
      <c r="O2520">
        <v>40</v>
      </c>
    </row>
    <row r="2521" spans="1:15">
      <c r="A2521" s="1">
        <v>46055</v>
      </c>
      <c r="B2521">
        <v>18</v>
      </c>
      <c r="C2521" t="s">
        <v>94</v>
      </c>
      <c r="D2521">
        <v>18</v>
      </c>
      <c r="E2521" s="2">
        <v>20.5</v>
      </c>
      <c r="F2521" s="2">
        <v>-164.49</v>
      </c>
      <c r="G2521" s="2">
        <v>168</v>
      </c>
      <c r="H2521" s="2">
        <v>-14.26</v>
      </c>
      <c r="I2521" s="2">
        <v>21.34</v>
      </c>
      <c r="J2521" s="2">
        <v>-1.24</v>
      </c>
      <c r="K2521" s="2">
        <v>2.33</v>
      </c>
      <c r="L2521" s="2">
        <v>2.64</v>
      </c>
      <c r="M2521" s="2">
        <v>0.79</v>
      </c>
      <c r="N2521" t="s">
        <v>278</v>
      </c>
      <c r="O2521">
        <v>40</v>
      </c>
    </row>
    <row r="2522" spans="1:15">
      <c r="A2522" s="1">
        <v>46055</v>
      </c>
      <c r="B2522">
        <v>18</v>
      </c>
      <c r="C2522" t="s">
        <v>94</v>
      </c>
      <c r="D2522">
        <v>18</v>
      </c>
      <c r="E2522" s="2">
        <v>21</v>
      </c>
      <c r="F2522" s="2">
        <v>-154.97999999999999</v>
      </c>
      <c r="G2522" s="2">
        <v>157.08000000000001</v>
      </c>
      <c r="H2522" s="2">
        <v>-13.58</v>
      </c>
      <c r="I2522" s="2">
        <v>18.579999999999998</v>
      </c>
      <c r="J2522" s="2">
        <v>-1.1599999999999999</v>
      </c>
      <c r="K2522" s="2">
        <v>2.38</v>
      </c>
      <c r="L2522" s="2">
        <v>2.65</v>
      </c>
      <c r="M2522" s="2">
        <v>0.82</v>
      </c>
      <c r="N2522" t="s">
        <v>278</v>
      </c>
      <c r="O2522">
        <v>40</v>
      </c>
    </row>
    <row r="2523" spans="1:15">
      <c r="A2523" s="1">
        <v>46055</v>
      </c>
      <c r="B2523">
        <v>18</v>
      </c>
      <c r="C2523" t="s">
        <v>94</v>
      </c>
      <c r="D2523">
        <v>18</v>
      </c>
      <c r="E2523" s="2">
        <v>21.5</v>
      </c>
      <c r="F2523" s="2">
        <v>-77.08</v>
      </c>
      <c r="G2523" s="2">
        <v>84.19</v>
      </c>
      <c r="H2523" s="2">
        <v>-17.32</v>
      </c>
      <c r="I2523" s="2">
        <v>33.590000000000003</v>
      </c>
      <c r="J2523" s="2">
        <v>-1.1399999999999999</v>
      </c>
      <c r="K2523" s="2">
        <v>2.44</v>
      </c>
      <c r="L2523" s="2">
        <v>2.69</v>
      </c>
      <c r="M2523" s="2">
        <v>0.86</v>
      </c>
      <c r="N2523" t="s">
        <v>278</v>
      </c>
      <c r="O2523">
        <v>40</v>
      </c>
    </row>
    <row r="2524" spans="1:15">
      <c r="A2524" s="1">
        <v>46055</v>
      </c>
      <c r="B2524">
        <v>18</v>
      </c>
      <c r="C2524" t="s">
        <v>94</v>
      </c>
      <c r="D2524">
        <v>18</v>
      </c>
      <c r="E2524" s="2">
        <v>22</v>
      </c>
      <c r="F2524" s="2">
        <v>1.28</v>
      </c>
      <c r="G2524" s="2">
        <v>0.95</v>
      </c>
      <c r="H2524" s="2">
        <v>-105.78</v>
      </c>
      <c r="I2524" s="2">
        <v>119.8</v>
      </c>
      <c r="J2524" s="2">
        <v>-1.21</v>
      </c>
      <c r="K2524" s="2">
        <v>2.42</v>
      </c>
      <c r="L2524" s="2">
        <v>2.7</v>
      </c>
      <c r="M2524" s="2">
        <v>0.88</v>
      </c>
      <c r="N2524" t="s">
        <v>278</v>
      </c>
      <c r="O2524">
        <v>40</v>
      </c>
    </row>
    <row r="2525" spans="1:15">
      <c r="A2525" s="1">
        <v>46055</v>
      </c>
      <c r="B2525">
        <v>18</v>
      </c>
      <c r="C2525" t="s">
        <v>94</v>
      </c>
      <c r="D2525">
        <v>18</v>
      </c>
      <c r="E2525" s="2">
        <v>22.5</v>
      </c>
      <c r="F2525" s="2">
        <v>-37.07</v>
      </c>
      <c r="G2525" s="2">
        <v>37.97</v>
      </c>
      <c r="H2525" s="2">
        <v>-49.8</v>
      </c>
      <c r="I2525" s="2">
        <v>44.77</v>
      </c>
      <c r="J2525" s="2">
        <v>-1.38</v>
      </c>
      <c r="K2525" s="2">
        <v>2.15</v>
      </c>
      <c r="L2525" s="2">
        <v>2.56</v>
      </c>
      <c r="M2525" s="2">
        <v>0.83</v>
      </c>
      <c r="N2525" t="s">
        <v>278</v>
      </c>
      <c r="O2525">
        <v>40</v>
      </c>
    </row>
    <row r="2526" spans="1:15">
      <c r="A2526" s="1">
        <v>46055</v>
      </c>
      <c r="B2526">
        <v>18</v>
      </c>
      <c r="C2526" t="s">
        <v>94</v>
      </c>
      <c r="D2526">
        <v>18</v>
      </c>
      <c r="E2526" s="2">
        <v>23</v>
      </c>
      <c r="F2526" s="2">
        <v>-64.540000000000006</v>
      </c>
      <c r="G2526" s="2">
        <v>64.67</v>
      </c>
      <c r="H2526" s="2">
        <v>-20.74</v>
      </c>
      <c r="I2526" s="2">
        <v>13.72</v>
      </c>
      <c r="J2526" s="2">
        <v>-1.69</v>
      </c>
      <c r="K2526" s="2">
        <v>1.96</v>
      </c>
      <c r="L2526" s="2">
        <v>2.59</v>
      </c>
      <c r="M2526" s="2">
        <v>0.72</v>
      </c>
      <c r="N2526" t="s">
        <v>278</v>
      </c>
      <c r="O2526">
        <v>40</v>
      </c>
    </row>
    <row r="2527" spans="1:15">
      <c r="A2527" s="1">
        <v>46055</v>
      </c>
      <c r="B2527">
        <v>18</v>
      </c>
      <c r="C2527" t="s">
        <v>94</v>
      </c>
      <c r="D2527">
        <v>18</v>
      </c>
      <c r="E2527" s="2">
        <v>23.5</v>
      </c>
      <c r="F2527" s="2">
        <v>-79.569999999999993</v>
      </c>
      <c r="G2527" s="2">
        <v>82.51</v>
      </c>
      <c r="H2527" s="2">
        <v>7.03</v>
      </c>
      <c r="I2527" s="2">
        <v>-10.49</v>
      </c>
      <c r="J2527" s="2">
        <v>-2.1</v>
      </c>
      <c r="K2527" s="2">
        <v>1.53</v>
      </c>
      <c r="L2527" s="2">
        <v>2.6</v>
      </c>
      <c r="M2527" s="2">
        <v>0.5</v>
      </c>
      <c r="N2527" t="s">
        <v>278</v>
      </c>
      <c r="O2527">
        <v>40</v>
      </c>
    </row>
    <row r="2528" spans="1:15">
      <c r="A2528" s="1">
        <v>46055</v>
      </c>
      <c r="B2528">
        <v>18</v>
      </c>
      <c r="C2528" t="s">
        <v>94</v>
      </c>
      <c r="D2528">
        <v>18</v>
      </c>
      <c r="E2528" s="2">
        <v>24</v>
      </c>
      <c r="F2528" s="2">
        <v>-79.06</v>
      </c>
      <c r="G2528" s="2">
        <v>81.8</v>
      </c>
      <c r="H2528" s="2">
        <v>14.8</v>
      </c>
      <c r="I2528" s="2">
        <v>-11.56</v>
      </c>
      <c r="J2528" s="2">
        <v>-2.4300000000000002</v>
      </c>
      <c r="K2528" s="2">
        <v>1.21</v>
      </c>
      <c r="L2528" s="2">
        <v>2.71</v>
      </c>
      <c r="M2528" s="2">
        <v>0.4</v>
      </c>
      <c r="N2528" t="s">
        <v>278</v>
      </c>
      <c r="O2528">
        <v>40</v>
      </c>
    </row>
    <row r="2529" spans="1:15">
      <c r="A2529" s="1">
        <v>46055</v>
      </c>
      <c r="B2529">
        <v>18</v>
      </c>
      <c r="C2529" t="s">
        <v>94</v>
      </c>
      <c r="D2529">
        <v>18</v>
      </c>
      <c r="E2529" s="2">
        <v>24.5</v>
      </c>
      <c r="F2529" s="2">
        <v>-88.19</v>
      </c>
      <c r="G2529" s="2">
        <v>78.2</v>
      </c>
      <c r="H2529" s="2">
        <v>49.07</v>
      </c>
      <c r="I2529" s="2">
        <v>-28.51</v>
      </c>
      <c r="J2529" s="2">
        <v>-2.17</v>
      </c>
      <c r="K2529" s="2">
        <v>0.96</v>
      </c>
      <c r="L2529" s="2">
        <v>2.37</v>
      </c>
      <c r="M2529" s="2">
        <v>0.36</v>
      </c>
      <c r="N2529" t="s">
        <v>278</v>
      </c>
      <c r="O2529">
        <v>40</v>
      </c>
    </row>
    <row r="2530" spans="1:15">
      <c r="A2530" s="1">
        <v>46055</v>
      </c>
      <c r="B2530">
        <v>18</v>
      </c>
      <c r="C2530" t="s">
        <v>94</v>
      </c>
      <c r="D2530">
        <v>18</v>
      </c>
      <c r="E2530" s="2">
        <v>25</v>
      </c>
      <c r="F2530" s="2">
        <v>-104.23</v>
      </c>
      <c r="G2530" s="2">
        <v>122.76</v>
      </c>
      <c r="H2530" s="2">
        <v>-31.66</v>
      </c>
      <c r="I2530" s="2">
        <v>49.98</v>
      </c>
      <c r="J2530" s="2">
        <v>-1.24</v>
      </c>
      <c r="K2530" s="2">
        <v>1.64</v>
      </c>
      <c r="L2530" s="2">
        <v>2.06</v>
      </c>
      <c r="M2530" s="2">
        <v>0.78</v>
      </c>
      <c r="N2530" t="s">
        <v>278</v>
      </c>
      <c r="O2530">
        <v>40</v>
      </c>
    </row>
    <row r="2531" spans="1:15">
      <c r="A2531" s="1">
        <v>46055</v>
      </c>
      <c r="B2531">
        <v>18</v>
      </c>
      <c r="C2531" t="s">
        <v>94</v>
      </c>
      <c r="D2531">
        <v>18</v>
      </c>
      <c r="E2531" s="2">
        <v>25.5</v>
      </c>
      <c r="F2531" s="2">
        <v>-104.23</v>
      </c>
      <c r="G2531" s="2">
        <v>107.9</v>
      </c>
      <c r="H2531" s="2">
        <v>-49.56</v>
      </c>
      <c r="I2531" s="2">
        <v>52.86</v>
      </c>
      <c r="J2531" s="2">
        <v>-1.31</v>
      </c>
      <c r="K2531" s="2">
        <v>1.56</v>
      </c>
      <c r="L2531" s="2">
        <v>2.04</v>
      </c>
      <c r="M2531" s="2">
        <v>0.67</v>
      </c>
      <c r="N2531" t="s">
        <v>278</v>
      </c>
      <c r="O2531">
        <v>40</v>
      </c>
    </row>
    <row r="2532" spans="1:15">
      <c r="A2532" s="1">
        <v>46055</v>
      </c>
      <c r="B2532">
        <v>18</v>
      </c>
      <c r="C2532" t="s">
        <v>94</v>
      </c>
      <c r="D2532">
        <v>18</v>
      </c>
      <c r="E2532" s="2">
        <v>26</v>
      </c>
      <c r="F2532" s="2">
        <v>-58.7</v>
      </c>
      <c r="G2532" s="2">
        <v>61.98</v>
      </c>
      <c r="H2532" s="2">
        <v>-34.83</v>
      </c>
      <c r="I2532" s="2">
        <v>43.86</v>
      </c>
      <c r="J2532" s="2">
        <v>-1.62</v>
      </c>
      <c r="K2532" s="2">
        <v>1.1499999999999999</v>
      </c>
      <c r="L2532" s="2">
        <v>1.98</v>
      </c>
      <c r="M2532" s="2">
        <v>0.4</v>
      </c>
      <c r="N2532" t="s">
        <v>278</v>
      </c>
      <c r="O2532">
        <v>40</v>
      </c>
    </row>
    <row r="2533" spans="1:15">
      <c r="A2533" s="1">
        <v>46055</v>
      </c>
      <c r="B2533">
        <v>18</v>
      </c>
      <c r="C2533" t="s">
        <v>94</v>
      </c>
      <c r="D2533">
        <v>18</v>
      </c>
      <c r="E2533" s="2">
        <v>26.5</v>
      </c>
      <c r="F2533" s="2">
        <v>-6.85</v>
      </c>
      <c r="G2533" s="2">
        <v>8.07</v>
      </c>
      <c r="H2533" s="2">
        <v>4.1100000000000003</v>
      </c>
      <c r="I2533" s="2">
        <v>21.29</v>
      </c>
      <c r="J2533" s="2">
        <v>-1.58</v>
      </c>
      <c r="K2533" s="2">
        <v>0.85</v>
      </c>
      <c r="L2533" s="2">
        <v>1.79</v>
      </c>
      <c r="M2533" s="2">
        <v>0.28999999999999998</v>
      </c>
      <c r="N2533" t="s">
        <v>278</v>
      </c>
      <c r="O2533">
        <v>40</v>
      </c>
    </row>
    <row r="2534" spans="1:15">
      <c r="A2534" s="1">
        <v>46055</v>
      </c>
      <c r="B2534">
        <v>18</v>
      </c>
      <c r="C2534" t="s">
        <v>94</v>
      </c>
      <c r="D2534">
        <v>18</v>
      </c>
      <c r="E2534" s="2">
        <v>27</v>
      </c>
      <c r="F2534" s="2">
        <v>56.1</v>
      </c>
      <c r="G2534" s="2">
        <v>-53.61</v>
      </c>
      <c r="H2534" s="2">
        <v>53.66</v>
      </c>
      <c r="I2534" s="2">
        <v>-30.52</v>
      </c>
      <c r="J2534" s="2">
        <v>-0.98</v>
      </c>
      <c r="K2534" s="2">
        <v>0.4</v>
      </c>
      <c r="L2534" s="2">
        <v>1.05</v>
      </c>
      <c r="M2534" s="2">
        <v>0.15</v>
      </c>
      <c r="N2534" t="s">
        <v>278</v>
      </c>
      <c r="O2534">
        <v>40</v>
      </c>
    </row>
    <row r="2535" spans="1:15">
      <c r="A2535" s="1">
        <v>46055</v>
      </c>
      <c r="B2535">
        <v>18</v>
      </c>
      <c r="C2535" t="s">
        <v>99</v>
      </c>
      <c r="D2535">
        <v>18</v>
      </c>
      <c r="E2535" s="2">
        <v>0.5</v>
      </c>
      <c r="F2535" s="2">
        <v>-398.38</v>
      </c>
      <c r="G2535" s="2">
        <v>379.55</v>
      </c>
      <c r="H2535" s="2">
        <v>-128.46</v>
      </c>
      <c r="I2535" s="2">
        <v>152.30000000000001</v>
      </c>
      <c r="J2535" s="2">
        <v>2.54</v>
      </c>
      <c r="K2535" s="2">
        <v>-5.44</v>
      </c>
      <c r="L2535" s="2">
        <v>6</v>
      </c>
      <c r="M2535" s="2">
        <v>-0.8</v>
      </c>
      <c r="N2535" t="s">
        <v>278</v>
      </c>
      <c r="O2535">
        <v>76</v>
      </c>
    </row>
    <row r="2536" spans="1:15">
      <c r="A2536" s="1">
        <v>46055</v>
      </c>
      <c r="B2536">
        <v>18</v>
      </c>
      <c r="C2536" t="s">
        <v>99</v>
      </c>
      <c r="D2536">
        <v>18</v>
      </c>
      <c r="E2536" s="2">
        <v>1</v>
      </c>
      <c r="F2536" s="2">
        <v>-407.01</v>
      </c>
      <c r="G2536" s="2">
        <v>385.46</v>
      </c>
      <c r="H2536" s="2">
        <v>-153.63</v>
      </c>
      <c r="I2536" s="2">
        <v>145.01</v>
      </c>
      <c r="J2536" s="2">
        <v>3.24</v>
      </c>
      <c r="K2536" s="2">
        <v>-4.6100000000000003</v>
      </c>
      <c r="L2536" s="2">
        <v>5.63</v>
      </c>
      <c r="M2536" s="2">
        <v>-0.1</v>
      </c>
      <c r="N2536" t="s">
        <v>278</v>
      </c>
      <c r="O2536">
        <v>76</v>
      </c>
    </row>
    <row r="2537" spans="1:15">
      <c r="A2537" s="1">
        <v>46055</v>
      </c>
      <c r="B2537">
        <v>18</v>
      </c>
      <c r="C2537" t="s">
        <v>99</v>
      </c>
      <c r="D2537">
        <v>18</v>
      </c>
      <c r="E2537" s="2">
        <v>1.5</v>
      </c>
      <c r="F2537" s="2">
        <v>-378.93</v>
      </c>
      <c r="G2537" s="2">
        <v>375.96</v>
      </c>
      <c r="H2537" s="2">
        <v>-161.13999999999999</v>
      </c>
      <c r="I2537" s="2">
        <v>142.91</v>
      </c>
      <c r="J2537" s="2">
        <v>3.83</v>
      </c>
      <c r="K2537" s="2">
        <v>-4.03</v>
      </c>
      <c r="L2537" s="2">
        <v>5.56</v>
      </c>
      <c r="M2537" s="2">
        <v>0.62</v>
      </c>
      <c r="N2537" t="s">
        <v>278</v>
      </c>
      <c r="O2537">
        <v>76</v>
      </c>
    </row>
    <row r="2538" spans="1:15">
      <c r="A2538" s="1">
        <v>46055</v>
      </c>
      <c r="B2538">
        <v>18</v>
      </c>
      <c r="C2538" t="s">
        <v>99</v>
      </c>
      <c r="D2538">
        <v>18</v>
      </c>
      <c r="E2538" s="2">
        <v>2</v>
      </c>
      <c r="F2538" s="2">
        <v>-333.67</v>
      </c>
      <c r="G2538" s="2">
        <v>335.75</v>
      </c>
      <c r="H2538" s="2">
        <v>-209.76</v>
      </c>
      <c r="I2538" s="2">
        <v>204.49</v>
      </c>
      <c r="J2538" s="2">
        <v>3.98</v>
      </c>
      <c r="K2538" s="2">
        <v>-3.83</v>
      </c>
      <c r="L2538" s="2">
        <v>5.53</v>
      </c>
      <c r="M2538" s="2">
        <v>0.52</v>
      </c>
      <c r="N2538" t="s">
        <v>278</v>
      </c>
      <c r="O2538">
        <v>76</v>
      </c>
    </row>
    <row r="2539" spans="1:15">
      <c r="A2539" s="1">
        <v>46055</v>
      </c>
      <c r="B2539">
        <v>18</v>
      </c>
      <c r="C2539" t="s">
        <v>99</v>
      </c>
      <c r="D2539">
        <v>18</v>
      </c>
      <c r="E2539" s="2">
        <v>2.5</v>
      </c>
      <c r="F2539" s="2">
        <v>-311.22000000000003</v>
      </c>
      <c r="G2539" s="2">
        <v>312.14</v>
      </c>
      <c r="H2539" s="2">
        <v>-197.13</v>
      </c>
      <c r="I2539" s="2">
        <v>200.65</v>
      </c>
      <c r="J2539" s="2">
        <v>4.09</v>
      </c>
      <c r="K2539" s="2">
        <v>-3.68</v>
      </c>
      <c r="L2539" s="2">
        <v>5.5</v>
      </c>
      <c r="M2539" s="2">
        <v>0.49</v>
      </c>
      <c r="N2539" t="s">
        <v>278</v>
      </c>
      <c r="O2539">
        <v>76</v>
      </c>
    </row>
    <row r="2540" spans="1:15">
      <c r="A2540" s="1">
        <v>46055</v>
      </c>
      <c r="B2540">
        <v>18</v>
      </c>
      <c r="C2540" t="s">
        <v>99</v>
      </c>
      <c r="D2540">
        <v>18</v>
      </c>
      <c r="E2540" s="2">
        <v>3</v>
      </c>
      <c r="F2540" s="2">
        <v>-272.24</v>
      </c>
      <c r="G2540" s="2">
        <v>272.97000000000003</v>
      </c>
      <c r="H2540" s="2">
        <v>-138.63999999999999</v>
      </c>
      <c r="I2540" s="2">
        <v>140.61000000000001</v>
      </c>
      <c r="J2540" s="2">
        <v>4.07</v>
      </c>
      <c r="K2540" s="2">
        <v>-3.9</v>
      </c>
      <c r="L2540" s="2">
        <v>5.64</v>
      </c>
      <c r="M2540" s="2">
        <v>0.46</v>
      </c>
      <c r="N2540" t="s">
        <v>278</v>
      </c>
      <c r="O2540">
        <v>76</v>
      </c>
    </row>
    <row r="2541" spans="1:15">
      <c r="A2541" s="1">
        <v>46055</v>
      </c>
      <c r="B2541">
        <v>18</v>
      </c>
      <c r="C2541" t="s">
        <v>99</v>
      </c>
      <c r="D2541">
        <v>18</v>
      </c>
      <c r="E2541" s="2">
        <v>3.5</v>
      </c>
      <c r="F2541" s="2">
        <v>-207.31</v>
      </c>
      <c r="G2541" s="2">
        <v>209.66</v>
      </c>
      <c r="H2541" s="2">
        <v>-81.94</v>
      </c>
      <c r="I2541" s="2">
        <v>72.56</v>
      </c>
      <c r="J2541" s="2">
        <v>4.13</v>
      </c>
      <c r="K2541" s="2">
        <v>-3.95</v>
      </c>
      <c r="L2541" s="2">
        <v>5.71</v>
      </c>
      <c r="M2541" s="2">
        <v>0.45</v>
      </c>
      <c r="N2541" t="s">
        <v>278</v>
      </c>
      <c r="O2541">
        <v>76</v>
      </c>
    </row>
    <row r="2542" spans="1:15">
      <c r="A2542" s="1">
        <v>46055</v>
      </c>
      <c r="B2542">
        <v>18</v>
      </c>
      <c r="C2542" t="s">
        <v>99</v>
      </c>
      <c r="D2542">
        <v>18</v>
      </c>
      <c r="E2542" s="2">
        <v>4</v>
      </c>
      <c r="F2542" s="2">
        <v>-151.18</v>
      </c>
      <c r="G2542" s="2">
        <v>154.55000000000001</v>
      </c>
      <c r="H2542" s="2">
        <v>-75.069999999999993</v>
      </c>
      <c r="I2542" s="2">
        <v>68.709999999999994</v>
      </c>
      <c r="J2542" s="2">
        <v>4.3</v>
      </c>
      <c r="K2542" s="2">
        <v>-3.71</v>
      </c>
      <c r="L2542" s="2">
        <v>5.68</v>
      </c>
      <c r="M2542" s="2">
        <v>0.41</v>
      </c>
      <c r="N2542" t="s">
        <v>278</v>
      </c>
      <c r="O2542">
        <v>76</v>
      </c>
    </row>
    <row r="2543" spans="1:15">
      <c r="A2543" s="1">
        <v>46055</v>
      </c>
      <c r="B2543">
        <v>18</v>
      </c>
      <c r="C2543" t="s">
        <v>99</v>
      </c>
      <c r="D2543">
        <v>18</v>
      </c>
      <c r="E2543" s="2">
        <v>4.5</v>
      </c>
      <c r="F2543" s="2">
        <v>-102.11</v>
      </c>
      <c r="G2543" s="2">
        <v>101.91</v>
      </c>
      <c r="H2543" s="2">
        <v>-108.73</v>
      </c>
      <c r="I2543" s="2">
        <v>119.23</v>
      </c>
      <c r="J2543" s="2">
        <v>4.46</v>
      </c>
      <c r="K2543" s="2">
        <v>-3.83</v>
      </c>
      <c r="L2543" s="2">
        <v>5.88</v>
      </c>
      <c r="M2543" s="2">
        <v>0.41</v>
      </c>
      <c r="N2543" t="s">
        <v>278</v>
      </c>
      <c r="O2543">
        <v>76</v>
      </c>
    </row>
    <row r="2544" spans="1:15">
      <c r="A2544" s="1">
        <v>46055</v>
      </c>
      <c r="B2544">
        <v>18</v>
      </c>
      <c r="C2544" t="s">
        <v>99</v>
      </c>
      <c r="D2544">
        <v>18</v>
      </c>
      <c r="E2544" s="2">
        <v>5</v>
      </c>
      <c r="F2544" s="2">
        <v>-27.89</v>
      </c>
      <c r="G2544" s="2">
        <v>29.22</v>
      </c>
      <c r="H2544" s="2">
        <v>-133.11000000000001</v>
      </c>
      <c r="I2544" s="2">
        <v>153.1</v>
      </c>
      <c r="J2544" s="2">
        <v>4.66</v>
      </c>
      <c r="K2544" s="2">
        <v>-3.76</v>
      </c>
      <c r="L2544" s="2">
        <v>5.99</v>
      </c>
      <c r="M2544" s="2">
        <v>0.22</v>
      </c>
      <c r="N2544" t="s">
        <v>278</v>
      </c>
      <c r="O2544">
        <v>76</v>
      </c>
    </row>
    <row r="2545" spans="1:15">
      <c r="A2545" s="1">
        <v>46055</v>
      </c>
      <c r="B2545">
        <v>18</v>
      </c>
      <c r="C2545" t="s">
        <v>99</v>
      </c>
      <c r="D2545">
        <v>18</v>
      </c>
      <c r="E2545" s="2">
        <v>5.5</v>
      </c>
      <c r="F2545" s="2">
        <v>42.18</v>
      </c>
      <c r="G2545" s="2">
        <v>-37.119999999999997</v>
      </c>
      <c r="H2545" s="2">
        <v>-148.63999999999999</v>
      </c>
      <c r="I2545" s="2">
        <v>148.05000000000001</v>
      </c>
      <c r="J2545" s="2">
        <v>4.92</v>
      </c>
      <c r="K2545" s="2">
        <v>-3.54</v>
      </c>
      <c r="L2545" s="2">
        <v>6.07</v>
      </c>
      <c r="M2545" s="2">
        <v>0</v>
      </c>
      <c r="N2545" t="s">
        <v>278</v>
      </c>
      <c r="O2545">
        <v>76</v>
      </c>
    </row>
    <row r="2546" spans="1:15">
      <c r="A2546" s="1">
        <v>46055</v>
      </c>
      <c r="B2546">
        <v>18</v>
      </c>
      <c r="C2546" t="s">
        <v>99</v>
      </c>
      <c r="D2546">
        <v>18</v>
      </c>
      <c r="E2546" s="2">
        <v>6</v>
      </c>
      <c r="F2546" s="2">
        <v>77.260000000000005</v>
      </c>
      <c r="G2546" s="2">
        <v>-72.98</v>
      </c>
      <c r="H2546" s="2">
        <v>-191.93</v>
      </c>
      <c r="I2546" s="2">
        <v>184.48</v>
      </c>
      <c r="J2546" s="2">
        <v>5.23</v>
      </c>
      <c r="K2546" s="2">
        <v>-3.56</v>
      </c>
      <c r="L2546" s="2">
        <v>6.33</v>
      </c>
      <c r="M2546" s="2">
        <v>-0.13</v>
      </c>
      <c r="N2546" t="s">
        <v>278</v>
      </c>
      <c r="O2546">
        <v>76</v>
      </c>
    </row>
    <row r="2547" spans="1:15">
      <c r="A2547" s="1">
        <v>46055</v>
      </c>
      <c r="B2547">
        <v>18</v>
      </c>
      <c r="C2547" t="s">
        <v>99</v>
      </c>
      <c r="D2547">
        <v>18</v>
      </c>
      <c r="E2547" s="2">
        <v>6.5</v>
      </c>
      <c r="F2547" s="2">
        <v>181.8</v>
      </c>
      <c r="G2547" s="2">
        <v>-177.02</v>
      </c>
      <c r="H2547" s="2">
        <v>-174.79</v>
      </c>
      <c r="I2547" s="2">
        <v>175.85</v>
      </c>
      <c r="J2547" s="2">
        <v>5.47</v>
      </c>
      <c r="K2547" s="2">
        <v>-3.57</v>
      </c>
      <c r="L2547" s="2">
        <v>6.53</v>
      </c>
      <c r="M2547" s="2">
        <v>-0.12</v>
      </c>
      <c r="N2547" t="s">
        <v>278</v>
      </c>
      <c r="O2547">
        <v>76</v>
      </c>
    </row>
    <row r="2548" spans="1:15">
      <c r="A2548" s="1">
        <v>46055</v>
      </c>
      <c r="B2548">
        <v>18</v>
      </c>
      <c r="C2548" t="s">
        <v>99</v>
      </c>
      <c r="D2548">
        <v>18</v>
      </c>
      <c r="E2548" s="2">
        <v>7</v>
      </c>
      <c r="F2548" s="2">
        <v>284.31</v>
      </c>
      <c r="G2548" s="2">
        <v>-280.87</v>
      </c>
      <c r="H2548" s="2">
        <v>-192.56</v>
      </c>
      <c r="I2548" s="2">
        <v>180.79</v>
      </c>
      <c r="J2548" s="2">
        <v>5.74</v>
      </c>
      <c r="K2548" s="2">
        <v>-3.39</v>
      </c>
      <c r="L2548" s="2">
        <v>6.66</v>
      </c>
      <c r="M2548" s="2">
        <v>-0.14000000000000001</v>
      </c>
      <c r="N2548" t="s">
        <v>278</v>
      </c>
      <c r="O2548">
        <v>76</v>
      </c>
    </row>
    <row r="2549" spans="1:15">
      <c r="A2549" s="1">
        <v>46055</v>
      </c>
      <c r="B2549">
        <v>18</v>
      </c>
      <c r="C2549" t="s">
        <v>99</v>
      </c>
      <c r="D2549">
        <v>18</v>
      </c>
      <c r="E2549" s="2">
        <v>7.5</v>
      </c>
      <c r="F2549" s="2">
        <v>309.02999999999997</v>
      </c>
      <c r="G2549" s="2">
        <v>-297.85000000000002</v>
      </c>
      <c r="H2549" s="2">
        <v>-169.64</v>
      </c>
      <c r="I2549" s="2">
        <v>167.81</v>
      </c>
      <c r="J2549" s="2">
        <v>5.94</v>
      </c>
      <c r="K2549" s="2">
        <v>-3.38</v>
      </c>
      <c r="L2549" s="2">
        <v>6.83</v>
      </c>
      <c r="M2549" s="2">
        <v>-0.11</v>
      </c>
      <c r="N2549" t="s">
        <v>278</v>
      </c>
      <c r="O2549">
        <v>76</v>
      </c>
    </row>
    <row r="2550" spans="1:15">
      <c r="A2550" s="1">
        <v>46055</v>
      </c>
      <c r="B2550">
        <v>18</v>
      </c>
      <c r="C2550" t="s">
        <v>99</v>
      </c>
      <c r="D2550">
        <v>18</v>
      </c>
      <c r="E2550" s="2">
        <v>8</v>
      </c>
      <c r="F2550" s="2">
        <v>276.45</v>
      </c>
      <c r="G2550" s="2">
        <v>-275.58999999999997</v>
      </c>
      <c r="H2550" s="2">
        <v>-74.67</v>
      </c>
      <c r="I2550" s="2">
        <v>83.55</v>
      </c>
      <c r="J2550" s="2">
        <v>6.23</v>
      </c>
      <c r="K2550" s="2">
        <v>-3.49</v>
      </c>
      <c r="L2550" s="2">
        <v>7.14</v>
      </c>
      <c r="M2550" s="2">
        <v>-0.12</v>
      </c>
      <c r="N2550" t="s">
        <v>278</v>
      </c>
      <c r="O2550">
        <v>76</v>
      </c>
    </row>
    <row r="2551" spans="1:15">
      <c r="A2551" s="1">
        <v>46055</v>
      </c>
      <c r="B2551">
        <v>18</v>
      </c>
      <c r="C2551" t="s">
        <v>99</v>
      </c>
      <c r="D2551">
        <v>18</v>
      </c>
      <c r="E2551" s="2">
        <v>8.5</v>
      </c>
      <c r="F2551" s="2">
        <v>339.16</v>
      </c>
      <c r="G2551" s="2">
        <v>-334.88</v>
      </c>
      <c r="H2551" s="2">
        <v>-14.93</v>
      </c>
      <c r="I2551" s="2">
        <v>29.45</v>
      </c>
      <c r="J2551" s="2">
        <v>6.51</v>
      </c>
      <c r="K2551" s="2">
        <v>-3.69</v>
      </c>
      <c r="L2551" s="2">
        <v>7.48</v>
      </c>
      <c r="M2551" s="2">
        <v>-0.1</v>
      </c>
      <c r="N2551" t="s">
        <v>278</v>
      </c>
      <c r="O2551">
        <v>76</v>
      </c>
    </row>
    <row r="2552" spans="1:15">
      <c r="A2552" s="1">
        <v>46055</v>
      </c>
      <c r="B2552">
        <v>18</v>
      </c>
      <c r="C2552" t="s">
        <v>99</v>
      </c>
      <c r="D2552">
        <v>18</v>
      </c>
      <c r="E2552" s="2">
        <v>9</v>
      </c>
      <c r="F2552" s="2">
        <v>341.28</v>
      </c>
      <c r="G2552" s="2">
        <v>-322.36</v>
      </c>
      <c r="H2552" s="2">
        <v>29.69</v>
      </c>
      <c r="I2552" s="2">
        <v>9.3800000000000008</v>
      </c>
      <c r="J2552" s="2">
        <v>6.67</v>
      </c>
      <c r="K2552" s="2">
        <v>-4.13</v>
      </c>
      <c r="L2552" s="2">
        <v>7.84</v>
      </c>
      <c r="M2552" s="2">
        <v>-0.1</v>
      </c>
      <c r="N2552" t="s">
        <v>278</v>
      </c>
      <c r="O2552">
        <v>76</v>
      </c>
    </row>
    <row r="2553" spans="1:15">
      <c r="A2553" s="1">
        <v>46055</v>
      </c>
      <c r="B2553">
        <v>18</v>
      </c>
      <c r="C2553" t="s">
        <v>99</v>
      </c>
      <c r="D2553">
        <v>18</v>
      </c>
      <c r="E2553" s="2">
        <v>9.5</v>
      </c>
      <c r="F2553" s="2">
        <v>217.95</v>
      </c>
      <c r="G2553" s="2">
        <v>-214.5</v>
      </c>
      <c r="H2553" s="2">
        <v>104.65</v>
      </c>
      <c r="I2553" s="2">
        <v>-111.48</v>
      </c>
      <c r="J2553" s="2">
        <v>7.18</v>
      </c>
      <c r="K2553" s="2">
        <v>-5.27</v>
      </c>
      <c r="L2553" s="2">
        <v>8.91</v>
      </c>
      <c r="M2553" s="2">
        <v>0.28000000000000003</v>
      </c>
      <c r="N2553" t="s">
        <v>278</v>
      </c>
      <c r="O2553">
        <v>76</v>
      </c>
    </row>
    <row r="2554" spans="1:15">
      <c r="A2554" s="1">
        <v>46055</v>
      </c>
      <c r="B2554">
        <v>18</v>
      </c>
      <c r="C2554" t="s">
        <v>99</v>
      </c>
      <c r="D2554">
        <v>18</v>
      </c>
      <c r="E2554" s="2">
        <v>10</v>
      </c>
      <c r="F2554" s="2">
        <v>80.150000000000006</v>
      </c>
      <c r="G2554" s="2">
        <v>-66.180000000000007</v>
      </c>
      <c r="H2554" s="2">
        <v>147.79</v>
      </c>
      <c r="I2554" s="2">
        <v>-145.52000000000001</v>
      </c>
      <c r="J2554" s="2">
        <v>7.66</v>
      </c>
      <c r="K2554" s="2">
        <v>-5.51</v>
      </c>
      <c r="L2554" s="2">
        <v>9.44</v>
      </c>
      <c r="M2554" s="2">
        <v>0.33</v>
      </c>
      <c r="N2554" t="s">
        <v>278</v>
      </c>
      <c r="O2554">
        <v>76</v>
      </c>
    </row>
    <row r="2555" spans="1:15">
      <c r="A2555" s="1">
        <v>46055</v>
      </c>
      <c r="B2555">
        <v>18</v>
      </c>
      <c r="C2555" t="s">
        <v>99</v>
      </c>
      <c r="D2555">
        <v>18</v>
      </c>
      <c r="E2555" s="2">
        <v>10.5</v>
      </c>
      <c r="F2555" s="2">
        <v>97.03</v>
      </c>
      <c r="G2555" s="2">
        <v>-94.72</v>
      </c>
      <c r="H2555" s="2">
        <v>68.72</v>
      </c>
      <c r="I2555" s="2">
        <v>-69.430000000000007</v>
      </c>
      <c r="J2555" s="2">
        <v>8.1300000000000008</v>
      </c>
      <c r="K2555" s="2">
        <v>-5.74</v>
      </c>
      <c r="L2555" s="2">
        <v>9.9499999999999993</v>
      </c>
      <c r="M2555" s="2">
        <v>0.28000000000000003</v>
      </c>
      <c r="N2555" t="s">
        <v>278</v>
      </c>
      <c r="O2555">
        <v>76</v>
      </c>
    </row>
    <row r="2556" spans="1:15">
      <c r="A2556" s="1">
        <v>46055</v>
      </c>
      <c r="B2556">
        <v>18</v>
      </c>
      <c r="C2556" t="s">
        <v>99</v>
      </c>
      <c r="D2556">
        <v>18</v>
      </c>
      <c r="E2556" s="2">
        <v>11</v>
      </c>
      <c r="F2556" s="2">
        <v>32.15</v>
      </c>
      <c r="G2556" s="2">
        <v>-23.77</v>
      </c>
      <c r="H2556" s="2">
        <v>18.350000000000001</v>
      </c>
      <c r="I2556" s="2">
        <v>-10.26</v>
      </c>
      <c r="J2556" s="2">
        <v>8.6199999999999992</v>
      </c>
      <c r="K2556" s="2">
        <v>-5.98</v>
      </c>
      <c r="L2556" s="2">
        <v>10.48</v>
      </c>
      <c r="M2556" s="2">
        <v>0.27</v>
      </c>
      <c r="N2556" t="s">
        <v>278</v>
      </c>
      <c r="O2556">
        <v>76</v>
      </c>
    </row>
    <row r="2557" spans="1:15">
      <c r="A2557" s="1">
        <v>46055</v>
      </c>
      <c r="B2557">
        <v>18</v>
      </c>
      <c r="C2557" t="s">
        <v>99</v>
      </c>
      <c r="D2557">
        <v>18</v>
      </c>
      <c r="E2557" s="2">
        <v>11.5</v>
      </c>
      <c r="F2557" s="2">
        <v>-44.26</v>
      </c>
      <c r="G2557" s="2">
        <v>45.27</v>
      </c>
      <c r="H2557" s="2">
        <v>5.0999999999999996</v>
      </c>
      <c r="I2557" s="2">
        <v>-6.46</v>
      </c>
      <c r="J2557" s="2">
        <v>9.1</v>
      </c>
      <c r="K2557" s="2">
        <v>-6.61</v>
      </c>
      <c r="L2557" s="2">
        <v>11.25</v>
      </c>
      <c r="M2557" s="2">
        <v>0.34</v>
      </c>
      <c r="N2557" t="s">
        <v>278</v>
      </c>
      <c r="O2557">
        <v>76</v>
      </c>
    </row>
    <row r="2558" spans="1:15">
      <c r="A2558" s="1">
        <v>46055</v>
      </c>
      <c r="B2558">
        <v>18</v>
      </c>
      <c r="C2558" t="s">
        <v>99</v>
      </c>
      <c r="D2558">
        <v>18</v>
      </c>
      <c r="E2558" s="2">
        <v>12</v>
      </c>
      <c r="F2558" s="2">
        <v>-58.44</v>
      </c>
      <c r="G2558" s="2">
        <v>67.27</v>
      </c>
      <c r="H2558" s="2">
        <v>12.26</v>
      </c>
      <c r="I2558" s="2">
        <v>-17.260000000000002</v>
      </c>
      <c r="J2558" s="2">
        <v>9.56</v>
      </c>
      <c r="K2558" s="2">
        <v>-6.61</v>
      </c>
      <c r="L2558" s="2">
        <v>11.62</v>
      </c>
      <c r="M2558" s="2">
        <v>0.34</v>
      </c>
      <c r="N2558" t="s">
        <v>278</v>
      </c>
      <c r="O2558">
        <v>76</v>
      </c>
    </row>
    <row r="2559" spans="1:15">
      <c r="A2559" s="1">
        <v>46055</v>
      </c>
      <c r="B2559">
        <v>18</v>
      </c>
      <c r="C2559" t="s">
        <v>99</v>
      </c>
      <c r="D2559">
        <v>18</v>
      </c>
      <c r="E2559" s="2">
        <v>12.5</v>
      </c>
      <c r="F2559" s="2">
        <v>-25.33</v>
      </c>
      <c r="G2559" s="2">
        <v>33.29</v>
      </c>
      <c r="H2559" s="2">
        <v>15.13</v>
      </c>
      <c r="I2559" s="2">
        <v>-18.079999999999998</v>
      </c>
      <c r="J2559" s="2">
        <v>9.9600000000000009</v>
      </c>
      <c r="K2559" s="2">
        <v>-6.64</v>
      </c>
      <c r="L2559" s="2">
        <v>11.97</v>
      </c>
      <c r="M2559" s="2">
        <v>0.37</v>
      </c>
      <c r="N2559" t="s">
        <v>278</v>
      </c>
      <c r="O2559">
        <v>76</v>
      </c>
    </row>
    <row r="2560" spans="1:15">
      <c r="A2560" s="1">
        <v>46055</v>
      </c>
      <c r="B2560">
        <v>18</v>
      </c>
      <c r="C2560" t="s">
        <v>99</v>
      </c>
      <c r="D2560">
        <v>18</v>
      </c>
      <c r="E2560" s="2">
        <v>13</v>
      </c>
      <c r="F2560" s="2">
        <v>-85.89</v>
      </c>
      <c r="G2560" s="2">
        <v>91.07</v>
      </c>
      <c r="H2560" s="2">
        <v>-35.49</v>
      </c>
      <c r="I2560" s="2">
        <v>42.28</v>
      </c>
      <c r="J2560" s="2">
        <v>10.26</v>
      </c>
      <c r="K2560" s="2">
        <v>-6.57</v>
      </c>
      <c r="L2560" s="2">
        <v>12.18</v>
      </c>
      <c r="M2560" s="2">
        <v>0.52</v>
      </c>
      <c r="N2560" t="s">
        <v>278</v>
      </c>
      <c r="O2560">
        <v>76</v>
      </c>
    </row>
    <row r="2561" spans="1:15">
      <c r="A2561" s="1">
        <v>46055</v>
      </c>
      <c r="B2561">
        <v>18</v>
      </c>
      <c r="C2561" t="s">
        <v>99</v>
      </c>
      <c r="D2561">
        <v>18</v>
      </c>
      <c r="E2561" s="2">
        <v>13.5</v>
      </c>
      <c r="F2561" s="2">
        <v>-256.29000000000002</v>
      </c>
      <c r="G2561" s="2">
        <v>264.77999999999997</v>
      </c>
      <c r="H2561" s="2">
        <v>-172.34</v>
      </c>
      <c r="I2561" s="2">
        <v>176.75</v>
      </c>
      <c r="J2561" s="2">
        <v>10.54</v>
      </c>
      <c r="K2561" s="2">
        <v>-6.58</v>
      </c>
      <c r="L2561" s="2">
        <v>12.43</v>
      </c>
      <c r="M2561" s="2">
        <v>0.57999999999999996</v>
      </c>
      <c r="N2561" t="s">
        <v>278</v>
      </c>
      <c r="O2561">
        <v>76</v>
      </c>
    </row>
    <row r="2562" spans="1:15">
      <c r="A2562" s="1">
        <v>46055</v>
      </c>
      <c r="B2562">
        <v>18</v>
      </c>
      <c r="C2562" t="s">
        <v>99</v>
      </c>
      <c r="D2562">
        <v>18</v>
      </c>
      <c r="E2562" s="2">
        <v>14</v>
      </c>
      <c r="F2562" s="2">
        <v>-267.38</v>
      </c>
      <c r="G2562" s="2">
        <v>277.72000000000003</v>
      </c>
      <c r="H2562" s="2">
        <v>-301.22000000000003</v>
      </c>
      <c r="I2562" s="2">
        <v>304.2</v>
      </c>
      <c r="J2562" s="2">
        <v>10.72</v>
      </c>
      <c r="K2562" s="2">
        <v>-6.45</v>
      </c>
      <c r="L2562" s="2">
        <v>12.51</v>
      </c>
      <c r="M2562" s="2">
        <v>0.63</v>
      </c>
      <c r="N2562" t="s">
        <v>278</v>
      </c>
      <c r="O2562">
        <v>76</v>
      </c>
    </row>
    <row r="2563" spans="1:15">
      <c r="A2563" s="1">
        <v>46055</v>
      </c>
      <c r="B2563">
        <v>18</v>
      </c>
      <c r="C2563" t="s">
        <v>99</v>
      </c>
      <c r="D2563">
        <v>18</v>
      </c>
      <c r="E2563" s="2">
        <v>14.5</v>
      </c>
      <c r="F2563" s="2">
        <v>-241.52</v>
      </c>
      <c r="G2563" s="2">
        <v>252.18</v>
      </c>
      <c r="H2563" s="2">
        <v>-268.95</v>
      </c>
      <c r="I2563" s="2">
        <v>265.83999999999997</v>
      </c>
      <c r="J2563" s="2">
        <v>11.35</v>
      </c>
      <c r="K2563" s="2">
        <v>-6.42</v>
      </c>
      <c r="L2563" s="2">
        <v>13.04</v>
      </c>
      <c r="M2563" s="2">
        <v>0.62</v>
      </c>
      <c r="N2563" t="s">
        <v>278</v>
      </c>
      <c r="O2563">
        <v>76</v>
      </c>
    </row>
    <row r="2564" spans="1:15">
      <c r="A2564" s="1">
        <v>46055</v>
      </c>
      <c r="B2564">
        <v>18</v>
      </c>
      <c r="C2564" t="s">
        <v>99</v>
      </c>
      <c r="D2564">
        <v>18</v>
      </c>
      <c r="E2564" s="2">
        <v>15</v>
      </c>
      <c r="F2564" s="2">
        <v>-211.8</v>
      </c>
      <c r="G2564" s="2">
        <v>223.79</v>
      </c>
      <c r="H2564" s="2">
        <v>-205.63</v>
      </c>
      <c r="I2564" s="2">
        <v>198.41</v>
      </c>
      <c r="J2564" s="2">
        <v>11.75</v>
      </c>
      <c r="K2564" s="2">
        <v>-6.67</v>
      </c>
      <c r="L2564" s="2">
        <v>13.51</v>
      </c>
      <c r="M2564" s="2">
        <v>0.78</v>
      </c>
      <c r="N2564" t="s">
        <v>278</v>
      </c>
      <c r="O2564">
        <v>76</v>
      </c>
    </row>
    <row r="2565" spans="1:15">
      <c r="A2565" s="1">
        <v>46055</v>
      </c>
      <c r="B2565">
        <v>18</v>
      </c>
      <c r="C2565" t="s">
        <v>99</v>
      </c>
      <c r="D2565">
        <v>18</v>
      </c>
      <c r="E2565" s="2">
        <v>15.5</v>
      </c>
      <c r="F2565" s="2">
        <v>-144.91</v>
      </c>
      <c r="G2565" s="2">
        <v>151.58000000000001</v>
      </c>
      <c r="H2565" s="2">
        <v>-197.77</v>
      </c>
      <c r="I2565" s="2">
        <v>189.08</v>
      </c>
      <c r="J2565" s="2">
        <v>11.99</v>
      </c>
      <c r="K2565" s="2">
        <v>-6.67</v>
      </c>
      <c r="L2565" s="2">
        <v>13.72</v>
      </c>
      <c r="M2565" s="2">
        <v>0.99</v>
      </c>
      <c r="N2565" t="s">
        <v>278</v>
      </c>
      <c r="O2565">
        <v>76</v>
      </c>
    </row>
    <row r="2566" spans="1:15">
      <c r="A2566" s="1">
        <v>46055</v>
      </c>
      <c r="B2566">
        <v>18</v>
      </c>
      <c r="C2566" t="s">
        <v>99</v>
      </c>
      <c r="D2566">
        <v>18</v>
      </c>
      <c r="E2566" s="2">
        <v>16</v>
      </c>
      <c r="F2566" s="2">
        <v>-64.540000000000006</v>
      </c>
      <c r="G2566" s="2">
        <v>73.040000000000006</v>
      </c>
      <c r="H2566" s="2">
        <v>-176.69</v>
      </c>
      <c r="I2566" s="2">
        <v>179.82</v>
      </c>
      <c r="J2566" s="2">
        <v>12.3</v>
      </c>
      <c r="K2566" s="2">
        <v>-6.81</v>
      </c>
      <c r="L2566" s="2">
        <v>14.06</v>
      </c>
      <c r="M2566" s="2">
        <v>1.24</v>
      </c>
      <c r="N2566" t="s">
        <v>278</v>
      </c>
      <c r="O2566">
        <v>76</v>
      </c>
    </row>
    <row r="2567" spans="1:15">
      <c r="A2567" s="1">
        <v>46055</v>
      </c>
      <c r="B2567">
        <v>18</v>
      </c>
      <c r="C2567" t="s">
        <v>99</v>
      </c>
      <c r="D2567">
        <v>18</v>
      </c>
      <c r="E2567" s="2">
        <v>16.5</v>
      </c>
      <c r="F2567" s="2">
        <v>114.87</v>
      </c>
      <c r="G2567" s="2">
        <v>-103.76</v>
      </c>
      <c r="H2567" s="2">
        <v>-114.38</v>
      </c>
      <c r="I2567" s="2">
        <v>135.32</v>
      </c>
      <c r="J2567" s="2">
        <v>12.47</v>
      </c>
      <c r="K2567" s="2">
        <v>-6.99</v>
      </c>
      <c r="L2567" s="2">
        <v>14.29</v>
      </c>
      <c r="M2567" s="2">
        <v>1.42</v>
      </c>
      <c r="N2567" t="s">
        <v>278</v>
      </c>
      <c r="O2567">
        <v>76</v>
      </c>
    </row>
    <row r="2568" spans="1:15">
      <c r="A2568" s="1">
        <v>46055</v>
      </c>
      <c r="B2568">
        <v>18</v>
      </c>
      <c r="C2568" t="s">
        <v>99</v>
      </c>
      <c r="D2568">
        <v>18</v>
      </c>
      <c r="E2568" s="2">
        <v>17</v>
      </c>
      <c r="F2568" s="2">
        <v>257.81</v>
      </c>
      <c r="G2568" s="2">
        <v>-247.92</v>
      </c>
      <c r="H2568" s="2">
        <v>-49.06</v>
      </c>
      <c r="I2568" s="2">
        <v>54.96</v>
      </c>
      <c r="J2568" s="2">
        <v>12.49</v>
      </c>
      <c r="K2568" s="2">
        <v>-7.35</v>
      </c>
      <c r="L2568" s="2">
        <v>14.49</v>
      </c>
      <c r="M2568" s="2">
        <v>1.65</v>
      </c>
      <c r="N2568" t="s">
        <v>278</v>
      </c>
      <c r="O2568">
        <v>76</v>
      </c>
    </row>
    <row r="2569" spans="1:15">
      <c r="A2569" s="1">
        <v>46055</v>
      </c>
      <c r="B2569">
        <v>18</v>
      </c>
      <c r="C2569" t="s">
        <v>99</v>
      </c>
      <c r="D2569">
        <v>18</v>
      </c>
      <c r="E2569" s="2">
        <v>17.5</v>
      </c>
      <c r="F2569" s="2">
        <v>306.76</v>
      </c>
      <c r="G2569" s="2">
        <v>-299.89</v>
      </c>
      <c r="H2569" s="2">
        <v>-61.01</v>
      </c>
      <c r="I2569" s="2">
        <v>51.78</v>
      </c>
      <c r="J2569" s="2">
        <v>12.06</v>
      </c>
      <c r="K2569" s="2">
        <v>-6.95</v>
      </c>
      <c r="L2569" s="2">
        <v>13.93</v>
      </c>
      <c r="M2569" s="2">
        <v>1.74</v>
      </c>
      <c r="N2569" t="s">
        <v>278</v>
      </c>
      <c r="O2569">
        <v>76</v>
      </c>
    </row>
    <row r="2570" spans="1:15">
      <c r="A2570" s="1">
        <v>46055</v>
      </c>
      <c r="B2570">
        <v>18</v>
      </c>
      <c r="C2570" t="s">
        <v>99</v>
      </c>
      <c r="D2570">
        <v>18</v>
      </c>
      <c r="E2570" s="2">
        <v>18</v>
      </c>
      <c r="F2570" s="2">
        <v>399.07</v>
      </c>
      <c r="G2570" s="2">
        <v>-389.49</v>
      </c>
      <c r="H2570" s="2">
        <v>-97.66</v>
      </c>
      <c r="I2570" s="2">
        <v>89.36</v>
      </c>
      <c r="J2570" s="2">
        <v>11.57</v>
      </c>
      <c r="K2570" s="2">
        <v>-6.52</v>
      </c>
      <c r="L2570" s="2">
        <v>13.28</v>
      </c>
      <c r="M2570" s="2">
        <v>1.81</v>
      </c>
      <c r="N2570" t="s">
        <v>278</v>
      </c>
      <c r="O2570">
        <v>76</v>
      </c>
    </row>
    <row r="2571" spans="1:15">
      <c r="A2571" s="1">
        <v>46055</v>
      </c>
      <c r="B2571">
        <v>18</v>
      </c>
      <c r="C2571" t="s">
        <v>99</v>
      </c>
      <c r="D2571">
        <v>18</v>
      </c>
      <c r="E2571" s="2">
        <v>18.5</v>
      </c>
      <c r="F2571" s="2">
        <v>423.71</v>
      </c>
      <c r="G2571" s="2">
        <v>-416.11</v>
      </c>
      <c r="H2571" s="2">
        <v>-103.21</v>
      </c>
      <c r="I2571" s="2">
        <v>117.07</v>
      </c>
      <c r="J2571" s="2">
        <v>11.65</v>
      </c>
      <c r="K2571" s="2">
        <v>-6.28</v>
      </c>
      <c r="L2571" s="2">
        <v>13.23</v>
      </c>
      <c r="M2571" s="2">
        <v>1.87</v>
      </c>
      <c r="N2571" t="s">
        <v>278</v>
      </c>
      <c r="O2571">
        <v>76</v>
      </c>
    </row>
    <row r="2572" spans="1:15">
      <c r="A2572" s="1">
        <v>46055</v>
      </c>
      <c r="B2572">
        <v>18</v>
      </c>
      <c r="C2572" t="s">
        <v>99</v>
      </c>
      <c r="D2572">
        <v>18</v>
      </c>
      <c r="E2572" s="2">
        <v>19</v>
      </c>
      <c r="F2572" s="2">
        <v>406.51</v>
      </c>
      <c r="G2572" s="2">
        <v>-401.03</v>
      </c>
      <c r="H2572" s="2">
        <v>-93.55</v>
      </c>
      <c r="I2572" s="2">
        <v>86.49</v>
      </c>
      <c r="J2572" s="2">
        <v>11.26</v>
      </c>
      <c r="K2572" s="2">
        <v>-6.12</v>
      </c>
      <c r="L2572" s="2">
        <v>12.81</v>
      </c>
      <c r="M2572" s="2">
        <v>1.96</v>
      </c>
      <c r="N2572" t="s">
        <v>278</v>
      </c>
      <c r="O2572">
        <v>76</v>
      </c>
    </row>
    <row r="2573" spans="1:15">
      <c r="A2573" s="1">
        <v>46055</v>
      </c>
      <c r="B2573">
        <v>18</v>
      </c>
      <c r="C2573" t="s">
        <v>99</v>
      </c>
      <c r="D2573">
        <v>18</v>
      </c>
      <c r="E2573" s="2">
        <v>19.5</v>
      </c>
      <c r="F2573" s="2">
        <v>305.68</v>
      </c>
      <c r="G2573" s="2">
        <v>-302.42</v>
      </c>
      <c r="H2573" s="2">
        <v>-34.56</v>
      </c>
      <c r="I2573" s="2">
        <v>56.79</v>
      </c>
      <c r="J2573" s="2">
        <v>10.220000000000001</v>
      </c>
      <c r="K2573" s="2">
        <v>-5.38</v>
      </c>
      <c r="L2573" s="2">
        <v>11.55</v>
      </c>
      <c r="M2573" s="2">
        <v>1.87</v>
      </c>
      <c r="N2573" t="s">
        <v>278</v>
      </c>
      <c r="O2573">
        <v>76</v>
      </c>
    </row>
    <row r="2574" spans="1:15">
      <c r="A2574" s="1">
        <v>46055</v>
      </c>
      <c r="B2574">
        <v>18</v>
      </c>
      <c r="C2574" t="s">
        <v>99</v>
      </c>
      <c r="D2574">
        <v>18</v>
      </c>
      <c r="E2574" s="2">
        <v>20</v>
      </c>
      <c r="F2574" s="2">
        <v>165.14</v>
      </c>
      <c r="G2574" s="2">
        <v>-156.74</v>
      </c>
      <c r="H2574" s="2">
        <v>17.61</v>
      </c>
      <c r="I2574" s="2">
        <v>-10.63</v>
      </c>
      <c r="J2574" s="2">
        <v>9.66</v>
      </c>
      <c r="K2574" s="2">
        <v>-5.29</v>
      </c>
      <c r="L2574" s="2">
        <v>11.02</v>
      </c>
      <c r="M2574" s="2">
        <v>1.94</v>
      </c>
      <c r="N2574" t="s">
        <v>278</v>
      </c>
      <c r="O2574">
        <v>76</v>
      </c>
    </row>
    <row r="2575" spans="1:15">
      <c r="A2575" s="1">
        <v>46055</v>
      </c>
      <c r="B2575">
        <v>18</v>
      </c>
      <c r="C2575" t="s">
        <v>99</v>
      </c>
      <c r="D2575">
        <v>18</v>
      </c>
      <c r="E2575" s="2">
        <v>20.5</v>
      </c>
      <c r="F2575" s="2">
        <v>124.69</v>
      </c>
      <c r="G2575" s="2">
        <v>-120.47</v>
      </c>
      <c r="H2575" s="2">
        <v>11.36</v>
      </c>
      <c r="I2575" s="2">
        <v>-2.73</v>
      </c>
      <c r="J2575" s="2">
        <v>8.86</v>
      </c>
      <c r="K2575" s="2">
        <v>-4.63</v>
      </c>
      <c r="L2575" s="2">
        <v>9.99</v>
      </c>
      <c r="M2575" s="2">
        <v>1.81</v>
      </c>
      <c r="N2575" t="s">
        <v>278</v>
      </c>
      <c r="O2575">
        <v>76</v>
      </c>
    </row>
    <row r="2576" spans="1:15">
      <c r="A2576" s="1">
        <v>46055</v>
      </c>
      <c r="B2576">
        <v>18</v>
      </c>
      <c r="C2576" t="s">
        <v>99</v>
      </c>
      <c r="D2576">
        <v>18</v>
      </c>
      <c r="E2576" s="2">
        <v>21</v>
      </c>
      <c r="F2576" s="2">
        <v>92.85</v>
      </c>
      <c r="G2576" s="2">
        <v>-85.44</v>
      </c>
      <c r="H2576" s="2">
        <v>2.21</v>
      </c>
      <c r="I2576" s="2">
        <v>3.96</v>
      </c>
      <c r="J2576" s="2">
        <v>8.02</v>
      </c>
      <c r="K2576" s="2">
        <v>-4.0599999999999996</v>
      </c>
      <c r="L2576" s="2">
        <v>8.99</v>
      </c>
      <c r="M2576" s="2">
        <v>1.69</v>
      </c>
      <c r="N2576" t="s">
        <v>278</v>
      </c>
      <c r="O2576">
        <v>76</v>
      </c>
    </row>
    <row r="2577" spans="1:15">
      <c r="A2577" s="1">
        <v>46055</v>
      </c>
      <c r="B2577">
        <v>18</v>
      </c>
      <c r="C2577" t="s">
        <v>99</v>
      </c>
      <c r="D2577">
        <v>18</v>
      </c>
      <c r="E2577" s="2">
        <v>21.5</v>
      </c>
      <c r="F2577" s="2">
        <v>-35.229999999999997</v>
      </c>
      <c r="G2577" s="2">
        <v>41.94</v>
      </c>
      <c r="H2577" s="2">
        <v>-2.37</v>
      </c>
      <c r="I2577" s="2">
        <v>6.59</v>
      </c>
      <c r="J2577" s="2">
        <v>7.25</v>
      </c>
      <c r="K2577" s="2">
        <v>-3.88</v>
      </c>
      <c r="L2577" s="2">
        <v>8.2200000000000006</v>
      </c>
      <c r="M2577" s="2">
        <v>1.66</v>
      </c>
      <c r="N2577" t="s">
        <v>278</v>
      </c>
      <c r="O2577">
        <v>76</v>
      </c>
    </row>
    <row r="2578" spans="1:15">
      <c r="A2578" s="1">
        <v>46055</v>
      </c>
      <c r="B2578">
        <v>18</v>
      </c>
      <c r="C2578" t="s">
        <v>99</v>
      </c>
      <c r="D2578">
        <v>18</v>
      </c>
      <c r="E2578" s="2">
        <v>22</v>
      </c>
      <c r="F2578" s="2">
        <v>-83.64</v>
      </c>
      <c r="G2578" s="2">
        <v>89.89</v>
      </c>
      <c r="H2578" s="2">
        <v>12.47</v>
      </c>
      <c r="I2578" s="2">
        <v>8</v>
      </c>
      <c r="J2578" s="2">
        <v>6.66</v>
      </c>
      <c r="K2578" s="2">
        <v>-3.28</v>
      </c>
      <c r="L2578" s="2">
        <v>7.42</v>
      </c>
      <c r="M2578" s="2">
        <v>1.54</v>
      </c>
      <c r="N2578" t="s">
        <v>278</v>
      </c>
      <c r="O2578">
        <v>76</v>
      </c>
    </row>
    <row r="2579" spans="1:15">
      <c r="A2579" s="1">
        <v>46055</v>
      </c>
      <c r="B2579">
        <v>18</v>
      </c>
      <c r="C2579" t="s">
        <v>99</v>
      </c>
      <c r="D2579">
        <v>18</v>
      </c>
      <c r="E2579" s="2">
        <v>22.5</v>
      </c>
      <c r="F2579" s="2">
        <v>-72.069999999999993</v>
      </c>
      <c r="G2579" s="2">
        <v>81.03</v>
      </c>
      <c r="H2579" s="2">
        <v>-97.33</v>
      </c>
      <c r="I2579" s="2">
        <v>74.61</v>
      </c>
      <c r="J2579" s="2">
        <v>6</v>
      </c>
      <c r="K2579" s="2">
        <v>-2.74</v>
      </c>
      <c r="L2579" s="2">
        <v>6.6</v>
      </c>
      <c r="M2579" s="2">
        <v>1.38</v>
      </c>
      <c r="N2579" t="s">
        <v>278</v>
      </c>
      <c r="O2579">
        <v>76</v>
      </c>
    </row>
    <row r="2580" spans="1:15">
      <c r="A2580" s="1">
        <v>46055</v>
      </c>
      <c r="B2580">
        <v>18</v>
      </c>
      <c r="C2580" t="s">
        <v>99</v>
      </c>
      <c r="D2580">
        <v>18</v>
      </c>
      <c r="E2580" s="2">
        <v>23</v>
      </c>
      <c r="F2580" s="2">
        <v>-83.29</v>
      </c>
      <c r="G2580" s="2">
        <v>84.57</v>
      </c>
      <c r="H2580" s="2">
        <v>-151.49</v>
      </c>
      <c r="I2580" s="2">
        <v>149.32</v>
      </c>
      <c r="J2580" s="2">
        <v>5.28</v>
      </c>
      <c r="K2580" s="2">
        <v>-1.84</v>
      </c>
      <c r="L2580" s="2">
        <v>5.59</v>
      </c>
      <c r="M2580" s="2">
        <v>1.07</v>
      </c>
      <c r="N2580" t="s">
        <v>278</v>
      </c>
      <c r="O2580">
        <v>76</v>
      </c>
    </row>
    <row r="2581" spans="1:15">
      <c r="A2581" s="1">
        <v>46055</v>
      </c>
      <c r="B2581">
        <v>18</v>
      </c>
      <c r="C2581" t="s">
        <v>99</v>
      </c>
      <c r="D2581">
        <v>18</v>
      </c>
      <c r="E2581" s="2">
        <v>23.5</v>
      </c>
      <c r="F2581" s="2">
        <v>-142.24</v>
      </c>
      <c r="G2581" s="2">
        <v>150.21</v>
      </c>
      <c r="H2581" s="2">
        <v>-183.41</v>
      </c>
      <c r="I2581" s="2">
        <v>203.57</v>
      </c>
      <c r="J2581" s="2">
        <v>4.6399999999999997</v>
      </c>
      <c r="K2581" s="2">
        <v>-1.48</v>
      </c>
      <c r="L2581" s="2">
        <v>4.87</v>
      </c>
      <c r="M2581" s="2">
        <v>1.03</v>
      </c>
      <c r="N2581" t="s">
        <v>278</v>
      </c>
      <c r="O2581">
        <v>76</v>
      </c>
    </row>
    <row r="2582" spans="1:15">
      <c r="A2582" s="1">
        <v>46055</v>
      </c>
      <c r="B2582">
        <v>18</v>
      </c>
      <c r="C2582" t="s">
        <v>99</v>
      </c>
      <c r="D2582">
        <v>18</v>
      </c>
      <c r="E2582" s="2">
        <v>24</v>
      </c>
      <c r="F2582" s="2">
        <v>-176.14</v>
      </c>
      <c r="G2582" s="2">
        <v>181.88</v>
      </c>
      <c r="H2582" s="2">
        <v>-246.8</v>
      </c>
      <c r="I2582" s="2">
        <v>254.9</v>
      </c>
      <c r="J2582" s="2">
        <v>4.1900000000000004</v>
      </c>
      <c r="K2582" s="2">
        <v>-1.23</v>
      </c>
      <c r="L2582" s="2">
        <v>4.37</v>
      </c>
      <c r="M2582" s="2">
        <v>0.91</v>
      </c>
      <c r="N2582" t="s">
        <v>278</v>
      </c>
      <c r="O2582">
        <v>76</v>
      </c>
    </row>
    <row r="2583" spans="1:15">
      <c r="A2583" s="1">
        <v>46055</v>
      </c>
      <c r="B2583">
        <v>18</v>
      </c>
      <c r="C2583" t="s">
        <v>99</v>
      </c>
      <c r="D2583">
        <v>18</v>
      </c>
      <c r="E2583" s="2">
        <v>24.5</v>
      </c>
      <c r="F2583" s="2">
        <v>-77.09</v>
      </c>
      <c r="G2583" s="2">
        <v>77.14</v>
      </c>
      <c r="H2583" s="2">
        <v>-243.07</v>
      </c>
      <c r="I2583" s="2">
        <v>234.53</v>
      </c>
      <c r="J2583" s="2">
        <v>3.7</v>
      </c>
      <c r="K2583" s="2">
        <v>-1.02</v>
      </c>
      <c r="L2583" s="2">
        <v>3.84</v>
      </c>
      <c r="M2583" s="2">
        <v>0.82</v>
      </c>
      <c r="N2583" t="s">
        <v>278</v>
      </c>
      <c r="O2583">
        <v>76</v>
      </c>
    </row>
    <row r="2584" spans="1:15">
      <c r="A2584" s="1">
        <v>46055</v>
      </c>
      <c r="B2584">
        <v>18</v>
      </c>
      <c r="C2584" t="s">
        <v>99</v>
      </c>
      <c r="D2584">
        <v>18</v>
      </c>
      <c r="E2584" s="2">
        <v>25</v>
      </c>
      <c r="F2584" s="2">
        <v>16.43</v>
      </c>
      <c r="G2584" s="2">
        <v>-11.76</v>
      </c>
      <c r="H2584" s="2">
        <v>-226.46</v>
      </c>
      <c r="I2584" s="2">
        <v>217.16</v>
      </c>
      <c r="J2584" s="2">
        <v>3.08</v>
      </c>
      <c r="K2584" s="2">
        <v>-0.96</v>
      </c>
      <c r="L2584" s="2">
        <v>3.22</v>
      </c>
      <c r="M2584" s="2">
        <v>0.67</v>
      </c>
      <c r="N2584" t="s">
        <v>278</v>
      </c>
      <c r="O2584">
        <v>76</v>
      </c>
    </row>
    <row r="2585" spans="1:15">
      <c r="A2585" s="1">
        <v>46055</v>
      </c>
      <c r="B2585">
        <v>18</v>
      </c>
      <c r="C2585" t="s">
        <v>99</v>
      </c>
      <c r="D2585">
        <v>18</v>
      </c>
      <c r="E2585" s="2">
        <v>25.5</v>
      </c>
      <c r="F2585" s="2">
        <v>77.58</v>
      </c>
      <c r="G2585" s="2">
        <v>-73.84</v>
      </c>
      <c r="H2585" s="2">
        <v>-167.86</v>
      </c>
      <c r="I2585" s="2">
        <v>180.22</v>
      </c>
      <c r="J2585" s="2">
        <v>2.38</v>
      </c>
      <c r="K2585" s="2">
        <v>-0.69</v>
      </c>
      <c r="L2585" s="2">
        <v>2.4700000000000002</v>
      </c>
      <c r="M2585" s="2">
        <v>0.51</v>
      </c>
      <c r="N2585" t="s">
        <v>278</v>
      </c>
      <c r="O2585">
        <v>76</v>
      </c>
    </row>
    <row r="2586" spans="1:15">
      <c r="A2586" s="1">
        <v>46055</v>
      </c>
      <c r="B2586">
        <v>18</v>
      </c>
      <c r="C2586" t="s">
        <v>99</v>
      </c>
      <c r="D2586">
        <v>18</v>
      </c>
      <c r="E2586" s="2">
        <v>26</v>
      </c>
      <c r="F2586" s="2">
        <v>121.79</v>
      </c>
      <c r="G2586" s="2">
        <v>-117.88</v>
      </c>
      <c r="H2586" s="2">
        <v>-231.08</v>
      </c>
      <c r="I2586" s="2">
        <v>239.33</v>
      </c>
      <c r="J2586" s="2">
        <v>1.8</v>
      </c>
      <c r="K2586" s="2">
        <v>0.15</v>
      </c>
      <c r="L2586" s="2">
        <v>1.8</v>
      </c>
      <c r="M2586" s="2">
        <v>0.41</v>
      </c>
      <c r="N2586" t="s">
        <v>278</v>
      </c>
      <c r="O2586">
        <v>76</v>
      </c>
    </row>
    <row r="2587" spans="1:15">
      <c r="A2587" s="1">
        <v>46055</v>
      </c>
      <c r="B2587">
        <v>18</v>
      </c>
      <c r="C2587" t="s">
        <v>99</v>
      </c>
      <c r="D2587">
        <v>18</v>
      </c>
      <c r="E2587" s="2">
        <v>26.5</v>
      </c>
      <c r="F2587" s="2">
        <v>104.82</v>
      </c>
      <c r="G2587" s="2">
        <v>-101.04</v>
      </c>
      <c r="H2587" s="2">
        <v>-260.31</v>
      </c>
      <c r="I2587" s="2">
        <v>283.01</v>
      </c>
      <c r="J2587" s="2">
        <v>1.19</v>
      </c>
      <c r="K2587" s="2">
        <v>0.4</v>
      </c>
      <c r="L2587" s="2">
        <v>1.26</v>
      </c>
      <c r="M2587" s="2">
        <v>0.35</v>
      </c>
      <c r="N2587" t="s">
        <v>278</v>
      </c>
      <c r="O2587">
        <v>76</v>
      </c>
    </row>
    <row r="2588" spans="1:15">
      <c r="A2588" s="1">
        <v>46055</v>
      </c>
      <c r="B2588">
        <v>18</v>
      </c>
      <c r="C2588" t="s">
        <v>100</v>
      </c>
      <c r="D2588">
        <v>17</v>
      </c>
      <c r="E2588" s="2">
        <v>0.5</v>
      </c>
      <c r="F2588" s="2">
        <v>426.73</v>
      </c>
      <c r="G2588" s="2">
        <v>-425.71</v>
      </c>
      <c r="H2588" s="2">
        <v>490.32</v>
      </c>
      <c r="I2588" s="2">
        <v>-466.72</v>
      </c>
      <c r="J2588" s="2">
        <v>0.9</v>
      </c>
      <c r="K2588" s="2">
        <v>1.95</v>
      </c>
      <c r="L2588" s="2">
        <v>2.15</v>
      </c>
      <c r="M2588" s="2">
        <v>1.1100000000000001</v>
      </c>
      <c r="N2588" t="s">
        <v>278</v>
      </c>
      <c r="O2588">
        <v>110</v>
      </c>
    </row>
    <row r="2589" spans="1:15">
      <c r="A2589" s="1">
        <v>46055</v>
      </c>
      <c r="B2589">
        <v>18</v>
      </c>
      <c r="C2589" t="s">
        <v>100</v>
      </c>
      <c r="D2589">
        <v>17</v>
      </c>
      <c r="E2589" s="2">
        <v>1</v>
      </c>
      <c r="F2589" s="2">
        <v>426.78</v>
      </c>
      <c r="G2589" s="2">
        <v>-423.18</v>
      </c>
      <c r="H2589" s="2">
        <v>479.63</v>
      </c>
      <c r="I2589" s="2">
        <v>-463.17</v>
      </c>
      <c r="J2589" s="2">
        <v>1.47</v>
      </c>
      <c r="K2589" s="2">
        <v>1.79</v>
      </c>
      <c r="L2589" s="2">
        <v>2.31</v>
      </c>
      <c r="M2589" s="2">
        <v>0.85</v>
      </c>
      <c r="N2589" t="s">
        <v>278</v>
      </c>
      <c r="O2589">
        <v>110</v>
      </c>
    </row>
    <row r="2590" spans="1:15">
      <c r="A2590" s="1">
        <v>46055</v>
      </c>
      <c r="B2590">
        <v>18</v>
      </c>
      <c r="C2590" t="s">
        <v>100</v>
      </c>
      <c r="D2590">
        <v>17</v>
      </c>
      <c r="E2590" s="2">
        <v>1.5</v>
      </c>
      <c r="F2590" s="2">
        <v>468.06</v>
      </c>
      <c r="G2590" s="2">
        <v>-466.06</v>
      </c>
      <c r="H2590" s="2">
        <v>436.14</v>
      </c>
      <c r="I2590" s="2">
        <v>-406.6</v>
      </c>
      <c r="J2590" s="2">
        <v>2.02</v>
      </c>
      <c r="K2590" s="2">
        <v>1.44</v>
      </c>
      <c r="L2590" s="2">
        <v>2.48</v>
      </c>
      <c r="M2590" s="2">
        <v>0.62</v>
      </c>
      <c r="N2590" t="s">
        <v>278</v>
      </c>
      <c r="O2590">
        <v>110</v>
      </c>
    </row>
    <row r="2591" spans="1:15">
      <c r="A2591" s="1">
        <v>46055</v>
      </c>
      <c r="B2591">
        <v>18</v>
      </c>
      <c r="C2591" t="s">
        <v>100</v>
      </c>
      <c r="D2591">
        <v>17</v>
      </c>
      <c r="E2591" s="2">
        <v>2</v>
      </c>
      <c r="F2591" s="2">
        <v>535.79999999999995</v>
      </c>
      <c r="G2591" s="2">
        <v>-532.82000000000005</v>
      </c>
      <c r="H2591" s="2">
        <v>225.21</v>
      </c>
      <c r="I2591" s="2">
        <v>-238.94</v>
      </c>
      <c r="J2591" s="2">
        <v>2.81</v>
      </c>
      <c r="K2591" s="2">
        <v>1.72</v>
      </c>
      <c r="L2591" s="2">
        <v>3.3</v>
      </c>
      <c r="M2591" s="2">
        <v>0.73</v>
      </c>
      <c r="N2591" t="s">
        <v>278</v>
      </c>
      <c r="O2591">
        <v>110</v>
      </c>
    </row>
    <row r="2592" spans="1:15">
      <c r="A2592" s="1">
        <v>46055</v>
      </c>
      <c r="B2592">
        <v>18</v>
      </c>
      <c r="C2592" t="s">
        <v>100</v>
      </c>
      <c r="D2592">
        <v>17</v>
      </c>
      <c r="E2592" s="2">
        <v>2.5</v>
      </c>
      <c r="F2592" s="2">
        <v>488.5</v>
      </c>
      <c r="G2592" s="2">
        <v>-485.68</v>
      </c>
      <c r="H2592" s="2">
        <v>143.80000000000001</v>
      </c>
      <c r="I2592" s="2">
        <v>-121.7</v>
      </c>
      <c r="J2592" s="2">
        <v>3.86</v>
      </c>
      <c r="K2592" s="2">
        <v>1.53</v>
      </c>
      <c r="L2592" s="2">
        <v>4.1500000000000004</v>
      </c>
      <c r="M2592" s="2">
        <v>0.56999999999999995</v>
      </c>
      <c r="N2592" t="s">
        <v>278</v>
      </c>
      <c r="O2592">
        <v>110</v>
      </c>
    </row>
    <row r="2593" spans="1:15">
      <c r="A2593" s="1">
        <v>46055</v>
      </c>
      <c r="B2593">
        <v>18</v>
      </c>
      <c r="C2593" t="s">
        <v>100</v>
      </c>
      <c r="D2593">
        <v>17</v>
      </c>
      <c r="E2593" s="2">
        <v>3</v>
      </c>
      <c r="F2593" s="2">
        <v>441.45</v>
      </c>
      <c r="G2593" s="2">
        <v>-437.96</v>
      </c>
      <c r="H2593" s="2">
        <v>16.98</v>
      </c>
      <c r="I2593" s="2">
        <v>4.74</v>
      </c>
      <c r="J2593" s="2">
        <v>4.8899999999999997</v>
      </c>
      <c r="K2593" s="2">
        <v>1.72</v>
      </c>
      <c r="L2593" s="2">
        <v>5.18</v>
      </c>
      <c r="M2593" s="2">
        <v>0.56999999999999995</v>
      </c>
      <c r="N2593" t="s">
        <v>278</v>
      </c>
      <c r="O2593">
        <v>110</v>
      </c>
    </row>
    <row r="2594" spans="1:15">
      <c r="A2594" s="1">
        <v>46055</v>
      </c>
      <c r="B2594">
        <v>18</v>
      </c>
      <c r="C2594" t="s">
        <v>100</v>
      </c>
      <c r="D2594">
        <v>17</v>
      </c>
      <c r="E2594" s="2">
        <v>3.5</v>
      </c>
      <c r="F2594" s="2">
        <v>384.93</v>
      </c>
      <c r="G2594" s="2">
        <v>-393.38</v>
      </c>
      <c r="H2594" s="2">
        <v>-70.17</v>
      </c>
      <c r="I2594" s="2">
        <v>92.3</v>
      </c>
      <c r="J2594" s="2">
        <v>6.05</v>
      </c>
      <c r="K2594" s="2">
        <v>2</v>
      </c>
      <c r="L2594" s="2">
        <v>6.37</v>
      </c>
      <c r="M2594" s="2">
        <v>0.62</v>
      </c>
      <c r="N2594" t="s">
        <v>278</v>
      </c>
      <c r="O2594">
        <v>110</v>
      </c>
    </row>
    <row r="2595" spans="1:15">
      <c r="A2595" s="1">
        <v>46055</v>
      </c>
      <c r="B2595">
        <v>18</v>
      </c>
      <c r="C2595" t="s">
        <v>100</v>
      </c>
      <c r="D2595">
        <v>17</v>
      </c>
      <c r="E2595" s="2">
        <v>4</v>
      </c>
      <c r="F2595" s="2">
        <v>390.98</v>
      </c>
      <c r="G2595" s="2">
        <v>-386.68</v>
      </c>
      <c r="H2595" s="2">
        <v>-101.69</v>
      </c>
      <c r="I2595" s="2">
        <v>118.07</v>
      </c>
      <c r="J2595" s="2">
        <v>6.94</v>
      </c>
      <c r="K2595" s="2">
        <v>2.36</v>
      </c>
      <c r="L2595" s="2">
        <v>7.33</v>
      </c>
      <c r="M2595" s="2">
        <v>0.67</v>
      </c>
      <c r="N2595" t="s">
        <v>278</v>
      </c>
      <c r="O2595">
        <v>110</v>
      </c>
    </row>
    <row r="2596" spans="1:15">
      <c r="A2596" s="1">
        <v>46055</v>
      </c>
      <c r="B2596">
        <v>18</v>
      </c>
      <c r="C2596" t="s">
        <v>100</v>
      </c>
      <c r="D2596">
        <v>17</v>
      </c>
      <c r="E2596" s="2">
        <v>4.5</v>
      </c>
      <c r="F2596" s="2">
        <v>395.96</v>
      </c>
      <c r="G2596" s="2">
        <v>-390.04</v>
      </c>
      <c r="H2596" s="2">
        <v>-106.85</v>
      </c>
      <c r="I2596" s="2">
        <v>122.17</v>
      </c>
      <c r="J2596" s="2">
        <v>8.1199999999999992</v>
      </c>
      <c r="K2596" s="2">
        <v>2.4300000000000002</v>
      </c>
      <c r="L2596" s="2">
        <v>8.48</v>
      </c>
      <c r="M2596" s="2">
        <v>0.76</v>
      </c>
      <c r="N2596" t="s">
        <v>278</v>
      </c>
      <c r="O2596">
        <v>110</v>
      </c>
    </row>
    <row r="2597" spans="1:15">
      <c r="A2597" s="1">
        <v>46055</v>
      </c>
      <c r="B2597">
        <v>18</v>
      </c>
      <c r="C2597" t="s">
        <v>100</v>
      </c>
      <c r="D2597">
        <v>17</v>
      </c>
      <c r="E2597" s="2">
        <v>5</v>
      </c>
      <c r="F2597" s="2">
        <v>301.08999999999997</v>
      </c>
      <c r="G2597" s="2">
        <v>-296.72000000000003</v>
      </c>
      <c r="H2597" s="2">
        <v>-68.97</v>
      </c>
      <c r="I2597" s="2">
        <v>87.91</v>
      </c>
      <c r="J2597" s="2">
        <v>9.33</v>
      </c>
      <c r="K2597" s="2">
        <v>2.37</v>
      </c>
      <c r="L2597" s="2">
        <v>9.6300000000000008</v>
      </c>
      <c r="M2597" s="2">
        <v>0.8</v>
      </c>
      <c r="N2597" t="s">
        <v>278</v>
      </c>
      <c r="O2597">
        <v>110</v>
      </c>
    </row>
    <row r="2598" spans="1:15">
      <c r="A2598" s="1">
        <v>46055</v>
      </c>
      <c r="B2598">
        <v>18</v>
      </c>
      <c r="C2598" t="s">
        <v>100</v>
      </c>
      <c r="D2598">
        <v>17</v>
      </c>
      <c r="E2598" s="2">
        <v>5.5</v>
      </c>
      <c r="F2598" s="2">
        <v>218.47</v>
      </c>
      <c r="G2598" s="2">
        <v>-212.44</v>
      </c>
      <c r="H2598" s="2">
        <v>-18.72</v>
      </c>
      <c r="I2598" s="2">
        <v>40.43</v>
      </c>
      <c r="J2598" s="2">
        <v>9.75</v>
      </c>
      <c r="K2598" s="2">
        <v>2.16</v>
      </c>
      <c r="L2598" s="2">
        <v>9.98</v>
      </c>
      <c r="M2598" s="2">
        <v>0.81</v>
      </c>
      <c r="N2598" t="s">
        <v>278</v>
      </c>
      <c r="O2598">
        <v>110</v>
      </c>
    </row>
    <row r="2599" spans="1:15">
      <c r="A2599" s="1">
        <v>46055</v>
      </c>
      <c r="B2599">
        <v>18</v>
      </c>
      <c r="C2599" t="s">
        <v>100</v>
      </c>
      <c r="D2599">
        <v>17</v>
      </c>
      <c r="E2599" s="2">
        <v>6</v>
      </c>
      <c r="F2599" s="2">
        <v>191.65</v>
      </c>
      <c r="G2599" s="2">
        <v>-187.5</v>
      </c>
      <c r="H2599" s="2">
        <v>1.3</v>
      </c>
      <c r="I2599" s="2">
        <v>16.37</v>
      </c>
      <c r="J2599" s="2">
        <v>10.16</v>
      </c>
      <c r="K2599" s="2">
        <v>2.0699999999999998</v>
      </c>
      <c r="L2599" s="2">
        <v>10.37</v>
      </c>
      <c r="M2599" s="2">
        <v>0.85</v>
      </c>
      <c r="N2599" t="s">
        <v>278</v>
      </c>
      <c r="O2599">
        <v>110</v>
      </c>
    </row>
    <row r="2600" spans="1:15">
      <c r="A2600" s="1">
        <v>46055</v>
      </c>
      <c r="B2600">
        <v>18</v>
      </c>
      <c r="C2600" t="s">
        <v>100</v>
      </c>
      <c r="D2600">
        <v>17</v>
      </c>
      <c r="E2600" s="2">
        <v>6.5</v>
      </c>
      <c r="F2600" s="2">
        <v>185.07</v>
      </c>
      <c r="G2600" s="2">
        <v>-180.71</v>
      </c>
      <c r="H2600" s="2">
        <v>71.709999999999994</v>
      </c>
      <c r="I2600" s="2">
        <v>-47.49</v>
      </c>
      <c r="J2600" s="2">
        <v>10.78</v>
      </c>
      <c r="K2600" s="2">
        <v>1.31</v>
      </c>
      <c r="L2600" s="2">
        <v>10.86</v>
      </c>
      <c r="M2600" s="2">
        <v>0.68</v>
      </c>
      <c r="N2600" t="s">
        <v>278</v>
      </c>
      <c r="O2600">
        <v>110</v>
      </c>
    </row>
    <row r="2601" spans="1:15">
      <c r="A2601" s="1">
        <v>46055</v>
      </c>
      <c r="B2601">
        <v>18</v>
      </c>
      <c r="C2601" t="s">
        <v>100</v>
      </c>
      <c r="D2601">
        <v>17</v>
      </c>
      <c r="E2601" s="2">
        <v>7</v>
      </c>
      <c r="F2601" s="2">
        <v>140.44</v>
      </c>
      <c r="G2601" s="2">
        <v>-134.87</v>
      </c>
      <c r="H2601" s="2">
        <v>139.02000000000001</v>
      </c>
      <c r="I2601" s="2">
        <v>-117.35</v>
      </c>
      <c r="J2601" s="2">
        <v>11.14</v>
      </c>
      <c r="K2601" s="2">
        <v>0.99</v>
      </c>
      <c r="L2601" s="2">
        <v>11.18</v>
      </c>
      <c r="M2601" s="2">
        <v>0.71</v>
      </c>
      <c r="N2601" t="s">
        <v>278</v>
      </c>
      <c r="O2601">
        <v>110</v>
      </c>
    </row>
    <row r="2602" spans="1:15">
      <c r="A2602" s="1">
        <v>46055</v>
      </c>
      <c r="B2602">
        <v>18</v>
      </c>
      <c r="C2602" t="s">
        <v>100</v>
      </c>
      <c r="D2602">
        <v>17</v>
      </c>
      <c r="E2602" s="2">
        <v>7.5</v>
      </c>
      <c r="F2602" s="2">
        <v>80.040000000000006</v>
      </c>
      <c r="G2602" s="2">
        <v>-76.69</v>
      </c>
      <c r="H2602" s="2">
        <v>210.47</v>
      </c>
      <c r="I2602" s="2">
        <v>-202.4</v>
      </c>
      <c r="J2602" s="2">
        <v>11.29</v>
      </c>
      <c r="K2602" s="2">
        <v>0.83</v>
      </c>
      <c r="L2602" s="2">
        <v>11.32</v>
      </c>
      <c r="M2602" s="2">
        <v>0.75</v>
      </c>
      <c r="N2602" t="s">
        <v>278</v>
      </c>
      <c r="O2602">
        <v>110</v>
      </c>
    </row>
    <row r="2603" spans="1:15">
      <c r="A2603" s="1">
        <v>46055</v>
      </c>
      <c r="B2603">
        <v>18</v>
      </c>
      <c r="C2603" t="s">
        <v>100</v>
      </c>
      <c r="D2603">
        <v>17</v>
      </c>
      <c r="E2603" s="2">
        <v>8</v>
      </c>
      <c r="F2603" s="2">
        <v>63.29</v>
      </c>
      <c r="G2603" s="2">
        <v>-58.67</v>
      </c>
      <c r="H2603" s="2">
        <v>228.99</v>
      </c>
      <c r="I2603" s="2">
        <v>-232.25</v>
      </c>
      <c r="J2603" s="2">
        <v>10.98</v>
      </c>
      <c r="K2603" s="2">
        <v>0.97</v>
      </c>
      <c r="L2603" s="2">
        <v>11.02</v>
      </c>
      <c r="M2603" s="2">
        <v>0.85</v>
      </c>
      <c r="N2603" t="s">
        <v>278</v>
      </c>
      <c r="O2603">
        <v>110</v>
      </c>
    </row>
    <row r="2604" spans="1:15">
      <c r="A2604" s="1">
        <v>46055</v>
      </c>
      <c r="B2604">
        <v>18</v>
      </c>
      <c r="C2604" t="s">
        <v>100</v>
      </c>
      <c r="D2604">
        <v>17</v>
      </c>
      <c r="E2604" s="2">
        <v>8.5</v>
      </c>
      <c r="F2604" s="2">
        <v>100.56</v>
      </c>
      <c r="G2604" s="2">
        <v>-94.65</v>
      </c>
      <c r="H2604" s="2">
        <v>329.75</v>
      </c>
      <c r="I2604" s="2">
        <v>-315.89</v>
      </c>
      <c r="J2604" s="2">
        <v>10.15</v>
      </c>
      <c r="K2604" s="2">
        <v>0.75</v>
      </c>
      <c r="L2604" s="2">
        <v>10.18</v>
      </c>
      <c r="M2604" s="2">
        <v>0.85</v>
      </c>
      <c r="N2604" t="s">
        <v>278</v>
      </c>
      <c r="O2604">
        <v>110</v>
      </c>
    </row>
    <row r="2605" spans="1:15">
      <c r="A2605" s="1">
        <v>46055</v>
      </c>
      <c r="B2605">
        <v>18</v>
      </c>
      <c r="C2605" t="s">
        <v>100</v>
      </c>
      <c r="D2605">
        <v>17</v>
      </c>
      <c r="E2605" s="2">
        <v>9</v>
      </c>
      <c r="F2605" s="2">
        <v>159.59</v>
      </c>
      <c r="G2605" s="2">
        <v>-149.41999999999999</v>
      </c>
      <c r="H2605" s="2">
        <v>386.62</v>
      </c>
      <c r="I2605" s="2">
        <v>-377.05</v>
      </c>
      <c r="J2605" s="2">
        <v>9.49</v>
      </c>
      <c r="K2605" s="2">
        <v>1</v>
      </c>
      <c r="L2605" s="2">
        <v>9.5500000000000007</v>
      </c>
      <c r="M2605" s="2">
        <v>1.01</v>
      </c>
      <c r="N2605" t="s">
        <v>278</v>
      </c>
      <c r="O2605">
        <v>110</v>
      </c>
    </row>
    <row r="2606" spans="1:15">
      <c r="A2606" s="1">
        <v>46055</v>
      </c>
      <c r="B2606">
        <v>18</v>
      </c>
      <c r="C2606" t="s">
        <v>100</v>
      </c>
      <c r="D2606">
        <v>17</v>
      </c>
      <c r="E2606" s="2">
        <v>9.5</v>
      </c>
      <c r="F2606" s="2">
        <v>133.32</v>
      </c>
      <c r="G2606" s="2">
        <v>-132.18</v>
      </c>
      <c r="H2606" s="2">
        <v>447.56</v>
      </c>
      <c r="I2606" s="2">
        <v>-428.33</v>
      </c>
      <c r="J2606" s="2">
        <v>8.99</v>
      </c>
      <c r="K2606" s="2">
        <v>1.45</v>
      </c>
      <c r="L2606" s="2">
        <v>9.11</v>
      </c>
      <c r="M2606" s="2">
        <v>1.26</v>
      </c>
      <c r="N2606" t="s">
        <v>278</v>
      </c>
      <c r="O2606">
        <v>110</v>
      </c>
    </row>
    <row r="2607" spans="1:15">
      <c r="A2607" s="1">
        <v>46055</v>
      </c>
      <c r="B2607">
        <v>18</v>
      </c>
      <c r="C2607" t="s">
        <v>100</v>
      </c>
      <c r="D2607">
        <v>17</v>
      </c>
      <c r="E2607" s="2">
        <v>10</v>
      </c>
      <c r="F2607" s="2">
        <v>131.27000000000001</v>
      </c>
      <c r="G2607" s="2">
        <v>-125.9</v>
      </c>
      <c r="H2607" s="2">
        <v>453.87</v>
      </c>
      <c r="I2607" s="2">
        <v>-439.59</v>
      </c>
      <c r="J2607" s="2">
        <v>8.27</v>
      </c>
      <c r="K2607" s="2">
        <v>2.02</v>
      </c>
      <c r="L2607" s="2">
        <v>8.51</v>
      </c>
      <c r="M2607" s="2">
        <v>1.55</v>
      </c>
      <c r="N2607" t="s">
        <v>278</v>
      </c>
      <c r="O2607">
        <v>110</v>
      </c>
    </row>
    <row r="2608" spans="1:15">
      <c r="A2608" s="1">
        <v>46055</v>
      </c>
      <c r="B2608">
        <v>18</v>
      </c>
      <c r="C2608" t="s">
        <v>100</v>
      </c>
      <c r="D2608">
        <v>17</v>
      </c>
      <c r="E2608" s="2">
        <v>10.5</v>
      </c>
      <c r="F2608" s="2">
        <v>316.02</v>
      </c>
      <c r="G2608" s="2">
        <v>-310.60000000000002</v>
      </c>
      <c r="H2608" s="2">
        <v>460.29</v>
      </c>
      <c r="I2608" s="2">
        <v>-448.12</v>
      </c>
      <c r="J2608" s="2">
        <v>7.93</v>
      </c>
      <c r="K2608" s="2">
        <v>2.14</v>
      </c>
      <c r="L2608" s="2">
        <v>8.2100000000000009</v>
      </c>
      <c r="M2608" s="2">
        <v>1.66</v>
      </c>
      <c r="N2608" t="s">
        <v>278</v>
      </c>
      <c r="O2608">
        <v>110</v>
      </c>
    </row>
    <row r="2609" spans="1:15">
      <c r="A2609" s="1">
        <v>46055</v>
      </c>
      <c r="B2609">
        <v>18</v>
      </c>
      <c r="C2609" t="s">
        <v>100</v>
      </c>
      <c r="D2609">
        <v>17</v>
      </c>
      <c r="E2609" s="2">
        <v>11</v>
      </c>
      <c r="F2609" s="2">
        <v>322.33</v>
      </c>
      <c r="G2609" s="2">
        <v>-316.14999999999998</v>
      </c>
      <c r="H2609" s="2">
        <v>466.14</v>
      </c>
      <c r="I2609" s="2">
        <v>-442.66</v>
      </c>
      <c r="J2609" s="2">
        <v>7.6</v>
      </c>
      <c r="K2609" s="2">
        <v>1.97</v>
      </c>
      <c r="L2609" s="2">
        <v>7.85</v>
      </c>
      <c r="M2609" s="2">
        <v>1.65</v>
      </c>
      <c r="N2609" t="s">
        <v>278</v>
      </c>
      <c r="O2609">
        <v>110</v>
      </c>
    </row>
    <row r="2610" spans="1:15">
      <c r="A2610" s="1">
        <v>46055</v>
      </c>
      <c r="B2610">
        <v>18</v>
      </c>
      <c r="C2610" t="s">
        <v>100</v>
      </c>
      <c r="D2610">
        <v>17</v>
      </c>
      <c r="E2610" s="2">
        <v>11.5</v>
      </c>
      <c r="F2610" s="2">
        <v>295.79000000000002</v>
      </c>
      <c r="G2610" s="2">
        <v>-284.87</v>
      </c>
      <c r="H2610" s="2">
        <v>363.86</v>
      </c>
      <c r="I2610" s="2">
        <v>-353.96</v>
      </c>
      <c r="J2610" s="2">
        <v>7.03</v>
      </c>
      <c r="K2610" s="2">
        <v>2.02</v>
      </c>
      <c r="L2610" s="2">
        <v>7.32</v>
      </c>
      <c r="M2610" s="2">
        <v>1.68</v>
      </c>
      <c r="N2610" t="s">
        <v>278</v>
      </c>
      <c r="O2610">
        <v>110</v>
      </c>
    </row>
    <row r="2611" spans="1:15">
      <c r="A2611" s="1">
        <v>46055</v>
      </c>
      <c r="B2611">
        <v>18</v>
      </c>
      <c r="C2611" t="s">
        <v>100</v>
      </c>
      <c r="D2611">
        <v>17</v>
      </c>
      <c r="E2611" s="2">
        <v>12</v>
      </c>
      <c r="F2611" s="2">
        <v>276.95999999999998</v>
      </c>
      <c r="G2611" s="2">
        <v>-267.24</v>
      </c>
      <c r="H2611" s="2">
        <v>254.63</v>
      </c>
      <c r="I2611" s="2">
        <v>-261.47000000000003</v>
      </c>
      <c r="J2611" s="2">
        <v>6.44</v>
      </c>
      <c r="K2611" s="2">
        <v>1.79</v>
      </c>
      <c r="L2611" s="2">
        <v>6.69</v>
      </c>
      <c r="M2611" s="2">
        <v>1.61</v>
      </c>
      <c r="N2611" t="s">
        <v>278</v>
      </c>
      <c r="O2611">
        <v>110</v>
      </c>
    </row>
    <row r="2612" spans="1:15">
      <c r="A2612" s="1">
        <v>46055</v>
      </c>
      <c r="B2612">
        <v>18</v>
      </c>
      <c r="C2612" t="s">
        <v>100</v>
      </c>
      <c r="D2612">
        <v>17</v>
      </c>
      <c r="E2612" s="2">
        <v>12.5</v>
      </c>
      <c r="F2612" s="2">
        <v>237.55</v>
      </c>
      <c r="G2612" s="2">
        <v>-230.35</v>
      </c>
      <c r="H2612" s="2">
        <v>171.61</v>
      </c>
      <c r="I2612" s="2">
        <v>-171.97</v>
      </c>
      <c r="J2612" s="2">
        <v>5.96</v>
      </c>
      <c r="K2612" s="2">
        <v>1.1499999999999999</v>
      </c>
      <c r="L2612" s="2">
        <v>6.07</v>
      </c>
      <c r="M2612" s="2">
        <v>1.4</v>
      </c>
      <c r="N2612" t="s">
        <v>278</v>
      </c>
      <c r="O2612">
        <v>110</v>
      </c>
    </row>
    <row r="2613" spans="1:15">
      <c r="A2613" s="1">
        <v>46055</v>
      </c>
      <c r="B2613">
        <v>18</v>
      </c>
      <c r="C2613" t="s">
        <v>100</v>
      </c>
      <c r="D2613">
        <v>17</v>
      </c>
      <c r="E2613" s="2">
        <v>13</v>
      </c>
      <c r="F2613" s="2">
        <v>203.16</v>
      </c>
      <c r="G2613" s="2">
        <v>-195.8</v>
      </c>
      <c r="H2613" s="2">
        <v>130.47</v>
      </c>
      <c r="I2613" s="2">
        <v>-124.4</v>
      </c>
      <c r="J2613" s="2">
        <v>5.67</v>
      </c>
      <c r="K2613" s="2">
        <v>0.68</v>
      </c>
      <c r="L2613" s="2">
        <v>5.71</v>
      </c>
      <c r="M2613" s="2">
        <v>1.25</v>
      </c>
      <c r="N2613" t="s">
        <v>278</v>
      </c>
      <c r="O2613">
        <v>110</v>
      </c>
    </row>
    <row r="2614" spans="1:15">
      <c r="A2614" s="1">
        <v>46055</v>
      </c>
      <c r="B2614">
        <v>18</v>
      </c>
      <c r="C2614" t="s">
        <v>100</v>
      </c>
      <c r="D2614">
        <v>17</v>
      </c>
      <c r="E2614" s="2">
        <v>13.5</v>
      </c>
      <c r="F2614" s="2">
        <v>166.1</v>
      </c>
      <c r="G2614" s="2">
        <v>-161.38999999999999</v>
      </c>
      <c r="H2614" s="2">
        <v>137.63</v>
      </c>
      <c r="I2614" s="2">
        <v>-131.97</v>
      </c>
      <c r="J2614" s="2">
        <v>5.25</v>
      </c>
      <c r="K2614" s="2">
        <v>0.69</v>
      </c>
      <c r="L2614" s="2">
        <v>5.29</v>
      </c>
      <c r="M2614" s="2">
        <v>1.19</v>
      </c>
      <c r="N2614" t="s">
        <v>278</v>
      </c>
      <c r="O2614">
        <v>110</v>
      </c>
    </row>
    <row r="2615" spans="1:15">
      <c r="A2615" s="1">
        <v>46055</v>
      </c>
      <c r="B2615">
        <v>18</v>
      </c>
      <c r="C2615" t="s">
        <v>100</v>
      </c>
      <c r="D2615">
        <v>17</v>
      </c>
      <c r="E2615" s="2">
        <v>14</v>
      </c>
      <c r="F2615" s="2">
        <v>125.9</v>
      </c>
      <c r="G2615" s="2">
        <v>-122.13</v>
      </c>
      <c r="H2615" s="2">
        <v>157.76</v>
      </c>
      <c r="I2615" s="2">
        <v>-154.30000000000001</v>
      </c>
      <c r="J2615" s="2">
        <v>4.59</v>
      </c>
      <c r="K2615" s="2">
        <v>0.86</v>
      </c>
      <c r="L2615" s="2">
        <v>4.67</v>
      </c>
      <c r="M2615" s="2">
        <v>1.19</v>
      </c>
      <c r="N2615" t="s">
        <v>278</v>
      </c>
      <c r="O2615">
        <v>110</v>
      </c>
    </row>
    <row r="2616" spans="1:15">
      <c r="A2616" s="1">
        <v>46055</v>
      </c>
      <c r="B2616">
        <v>18</v>
      </c>
      <c r="C2616" t="s">
        <v>100</v>
      </c>
      <c r="D2616">
        <v>17</v>
      </c>
      <c r="E2616" s="2">
        <v>14.5</v>
      </c>
      <c r="F2616" s="2">
        <v>123.68</v>
      </c>
      <c r="G2616" s="2">
        <v>-118.57</v>
      </c>
      <c r="H2616" s="2">
        <v>170.36</v>
      </c>
      <c r="I2616" s="2">
        <v>-167.56</v>
      </c>
      <c r="J2616" s="2">
        <v>4.0999999999999996</v>
      </c>
      <c r="K2616" s="2">
        <v>0.32</v>
      </c>
      <c r="L2616" s="2">
        <v>4.1100000000000003</v>
      </c>
      <c r="M2616" s="2">
        <v>0.7</v>
      </c>
      <c r="N2616" t="s">
        <v>278</v>
      </c>
      <c r="O2616">
        <v>110</v>
      </c>
    </row>
    <row r="2617" spans="1:15">
      <c r="A2617" s="1">
        <v>46055</v>
      </c>
      <c r="B2617">
        <v>18</v>
      </c>
      <c r="C2617" t="s">
        <v>100</v>
      </c>
      <c r="D2617">
        <v>17</v>
      </c>
      <c r="E2617" s="2">
        <v>15</v>
      </c>
      <c r="F2617" s="2">
        <v>129.26</v>
      </c>
      <c r="G2617" s="2">
        <v>-124.79</v>
      </c>
      <c r="H2617" s="2">
        <v>250</v>
      </c>
      <c r="I2617" s="2">
        <v>-253.93</v>
      </c>
      <c r="J2617" s="2">
        <v>3.61</v>
      </c>
      <c r="K2617" s="2">
        <v>-0.19</v>
      </c>
      <c r="L2617" s="2">
        <v>3.62</v>
      </c>
      <c r="M2617" s="2">
        <v>0.9</v>
      </c>
      <c r="N2617" t="s">
        <v>278</v>
      </c>
      <c r="O2617">
        <v>110</v>
      </c>
    </row>
    <row r="2618" spans="1:15">
      <c r="A2618" s="1">
        <v>46055</v>
      </c>
      <c r="B2618">
        <v>18</v>
      </c>
      <c r="C2618" t="s">
        <v>100</v>
      </c>
      <c r="D2618">
        <v>17</v>
      </c>
      <c r="E2618" s="2">
        <v>15.5</v>
      </c>
      <c r="F2618" s="2">
        <v>50.21</v>
      </c>
      <c r="G2618" s="2">
        <v>-47.56</v>
      </c>
      <c r="H2618" s="2">
        <v>340.69</v>
      </c>
      <c r="I2618" s="2">
        <v>-339.63</v>
      </c>
      <c r="J2618" s="2">
        <v>3.16</v>
      </c>
      <c r="K2618" s="2">
        <v>-0.4</v>
      </c>
      <c r="L2618" s="2">
        <v>3.18</v>
      </c>
      <c r="M2618" s="2">
        <v>0.69</v>
      </c>
      <c r="N2618" t="s">
        <v>278</v>
      </c>
      <c r="O2618">
        <v>110</v>
      </c>
    </row>
    <row r="2619" spans="1:15">
      <c r="A2619" s="1">
        <v>46055</v>
      </c>
      <c r="B2619">
        <v>18</v>
      </c>
      <c r="C2619" t="s">
        <v>100</v>
      </c>
      <c r="D2619">
        <v>17</v>
      </c>
      <c r="E2619" s="2">
        <v>16</v>
      </c>
      <c r="F2619" s="2">
        <v>195.37</v>
      </c>
      <c r="G2619" s="2">
        <v>-182.95</v>
      </c>
      <c r="H2619" s="2">
        <v>205.29</v>
      </c>
      <c r="I2619" s="2">
        <v>-163.91</v>
      </c>
      <c r="J2619" s="2">
        <v>2.9</v>
      </c>
      <c r="K2619" s="2">
        <v>-0.44</v>
      </c>
      <c r="L2619" s="2">
        <v>2.93</v>
      </c>
      <c r="M2619" s="2">
        <v>0.76</v>
      </c>
      <c r="N2619" t="s">
        <v>278</v>
      </c>
      <c r="O2619">
        <v>110</v>
      </c>
    </row>
    <row r="2620" spans="1:15">
      <c r="A2620" s="1">
        <v>46055</v>
      </c>
      <c r="B2620">
        <v>18</v>
      </c>
      <c r="C2620" t="s">
        <v>100</v>
      </c>
      <c r="D2620">
        <v>17</v>
      </c>
      <c r="E2620" s="2">
        <v>16.5</v>
      </c>
      <c r="F2620" s="2">
        <v>316.22000000000003</v>
      </c>
      <c r="G2620" s="2">
        <v>-317.45</v>
      </c>
      <c r="H2620" s="2">
        <v>202.55</v>
      </c>
      <c r="I2620" s="2">
        <v>-186.11</v>
      </c>
      <c r="J2620" s="2">
        <v>2.8</v>
      </c>
      <c r="K2620" s="2">
        <v>-0.6</v>
      </c>
      <c r="L2620" s="2">
        <v>2.86</v>
      </c>
      <c r="M2620" s="2">
        <v>0.61</v>
      </c>
      <c r="N2620" t="s">
        <v>278</v>
      </c>
      <c r="O2620">
        <v>110</v>
      </c>
    </row>
    <row r="2621" spans="1:15">
      <c r="A2621" s="1">
        <v>46055</v>
      </c>
      <c r="B2621">
        <v>18</v>
      </c>
      <c r="C2621" t="s">
        <v>100</v>
      </c>
      <c r="D2621">
        <v>17</v>
      </c>
      <c r="E2621" s="2">
        <v>17</v>
      </c>
      <c r="F2621" s="2">
        <v>376.66</v>
      </c>
      <c r="G2621" s="2">
        <v>-366.7</v>
      </c>
      <c r="H2621" s="2">
        <v>250.99</v>
      </c>
      <c r="I2621" s="2">
        <v>-248.45</v>
      </c>
      <c r="J2621" s="2">
        <v>2.68</v>
      </c>
      <c r="K2621" s="2">
        <v>-0.54</v>
      </c>
      <c r="L2621" s="2">
        <v>2.73</v>
      </c>
      <c r="M2621" s="2">
        <v>0.66</v>
      </c>
      <c r="N2621" t="s">
        <v>278</v>
      </c>
      <c r="O2621">
        <v>110</v>
      </c>
    </row>
    <row r="2622" spans="1:15">
      <c r="A2622" s="1">
        <v>46055</v>
      </c>
      <c r="B2622">
        <v>18</v>
      </c>
      <c r="C2622" t="s">
        <v>100</v>
      </c>
      <c r="D2622">
        <v>17</v>
      </c>
      <c r="E2622" s="2">
        <v>17.5</v>
      </c>
      <c r="F2622" s="2">
        <v>371.52</v>
      </c>
      <c r="G2622" s="2">
        <v>-369.9</v>
      </c>
      <c r="H2622" s="2">
        <v>162.69999999999999</v>
      </c>
      <c r="I2622" s="2">
        <v>-152.02000000000001</v>
      </c>
      <c r="J2622" s="2">
        <v>2.44</v>
      </c>
      <c r="K2622" s="2">
        <v>-0.24</v>
      </c>
      <c r="L2622" s="2">
        <v>2.4500000000000002</v>
      </c>
      <c r="M2622" s="2">
        <v>0.67</v>
      </c>
      <c r="N2622" t="s">
        <v>278</v>
      </c>
      <c r="O2622">
        <v>110</v>
      </c>
    </row>
    <row r="2623" spans="1:15">
      <c r="A2623" s="1">
        <v>46055</v>
      </c>
      <c r="B2623">
        <v>18</v>
      </c>
      <c r="C2623" t="s">
        <v>100</v>
      </c>
      <c r="D2623">
        <v>17</v>
      </c>
      <c r="E2623" s="2">
        <v>18</v>
      </c>
      <c r="F2623" s="2">
        <v>340.53</v>
      </c>
      <c r="G2623" s="2">
        <v>-335.94</v>
      </c>
      <c r="H2623" s="2">
        <v>95.35</v>
      </c>
      <c r="I2623" s="2">
        <v>-89.93</v>
      </c>
      <c r="J2623" s="2">
        <v>2.25</v>
      </c>
      <c r="K2623" s="2">
        <v>0.06</v>
      </c>
      <c r="L2623" s="2">
        <v>2.25</v>
      </c>
      <c r="M2623" s="2">
        <v>0.75</v>
      </c>
      <c r="N2623" t="s">
        <v>278</v>
      </c>
      <c r="O2623">
        <v>110</v>
      </c>
    </row>
    <row r="2624" spans="1:15">
      <c r="A2624" s="1">
        <v>46055</v>
      </c>
      <c r="B2624">
        <v>18</v>
      </c>
      <c r="C2624" t="s">
        <v>100</v>
      </c>
      <c r="D2624">
        <v>17</v>
      </c>
      <c r="E2624" s="2">
        <v>18.5</v>
      </c>
      <c r="F2624" s="2">
        <v>307.64</v>
      </c>
      <c r="G2624" s="2">
        <v>-304.66000000000003</v>
      </c>
      <c r="H2624" s="2">
        <v>51.84</v>
      </c>
      <c r="I2624" s="2">
        <v>-51.28</v>
      </c>
      <c r="J2624" s="2">
        <v>2.0699999999999998</v>
      </c>
      <c r="K2624" s="2">
        <v>-0.01</v>
      </c>
      <c r="L2624" s="2">
        <v>2.0699999999999998</v>
      </c>
      <c r="M2624" s="2">
        <v>0.68</v>
      </c>
      <c r="N2624" t="s">
        <v>278</v>
      </c>
      <c r="O2624">
        <v>110</v>
      </c>
    </row>
    <row r="2625" spans="1:15">
      <c r="A2625" s="1">
        <v>46055</v>
      </c>
      <c r="B2625">
        <v>18</v>
      </c>
      <c r="C2625" t="s">
        <v>100</v>
      </c>
      <c r="D2625">
        <v>17</v>
      </c>
      <c r="E2625" s="2">
        <v>19</v>
      </c>
      <c r="F2625" s="2">
        <v>294.45</v>
      </c>
      <c r="G2625" s="2">
        <v>-293.33</v>
      </c>
      <c r="H2625" s="2">
        <v>51.84</v>
      </c>
      <c r="I2625" s="2">
        <v>-43.26</v>
      </c>
      <c r="J2625" s="2">
        <v>1.75</v>
      </c>
      <c r="K2625" s="2">
        <v>-0.39</v>
      </c>
      <c r="L2625" s="2">
        <v>1.8</v>
      </c>
      <c r="M2625" s="2">
        <v>0.5</v>
      </c>
      <c r="N2625" t="s">
        <v>278</v>
      </c>
      <c r="O2625">
        <v>110</v>
      </c>
    </row>
    <row r="2626" spans="1:15">
      <c r="A2626" s="1">
        <v>46055</v>
      </c>
      <c r="B2626">
        <v>18</v>
      </c>
      <c r="C2626" t="s">
        <v>100</v>
      </c>
      <c r="D2626">
        <v>17</v>
      </c>
      <c r="E2626" s="2">
        <v>19.5</v>
      </c>
      <c r="F2626" s="2">
        <v>198.69</v>
      </c>
      <c r="G2626" s="2">
        <v>-196.22</v>
      </c>
      <c r="H2626" s="2">
        <v>99.7</v>
      </c>
      <c r="I2626" s="2">
        <v>-87.48</v>
      </c>
      <c r="J2626" s="2">
        <v>1.51</v>
      </c>
      <c r="K2626" s="2">
        <v>-0.56999999999999995</v>
      </c>
      <c r="L2626" s="2">
        <v>1.61</v>
      </c>
      <c r="M2626" s="2">
        <v>0.41</v>
      </c>
      <c r="N2626" t="s">
        <v>278</v>
      </c>
      <c r="O2626">
        <v>110</v>
      </c>
    </row>
    <row r="2627" spans="1:15">
      <c r="A2627" s="1">
        <v>46055</v>
      </c>
      <c r="B2627">
        <v>18</v>
      </c>
      <c r="C2627" t="s">
        <v>100</v>
      </c>
      <c r="D2627">
        <v>17</v>
      </c>
      <c r="E2627" s="2">
        <v>20</v>
      </c>
      <c r="F2627" s="2">
        <v>135.11000000000001</v>
      </c>
      <c r="G2627" s="2">
        <v>-133.22</v>
      </c>
      <c r="H2627" s="2">
        <v>138.99</v>
      </c>
      <c r="I2627" s="2">
        <v>-140.25</v>
      </c>
      <c r="J2627" s="2">
        <v>1.1200000000000001</v>
      </c>
      <c r="K2627" s="2">
        <v>-0.27</v>
      </c>
      <c r="L2627" s="2">
        <v>1.1499999999999999</v>
      </c>
      <c r="M2627" s="2">
        <v>0.34</v>
      </c>
      <c r="N2627" t="s">
        <v>278</v>
      </c>
      <c r="O2627">
        <v>110</v>
      </c>
    </row>
    <row r="2628" spans="1:15">
      <c r="A2628" s="1">
        <v>46055</v>
      </c>
      <c r="B2628">
        <v>18</v>
      </c>
      <c r="C2628" t="s">
        <v>100</v>
      </c>
      <c r="D2628">
        <v>17</v>
      </c>
      <c r="E2628" s="2">
        <v>20.5</v>
      </c>
      <c r="F2628" s="2">
        <v>139.52000000000001</v>
      </c>
      <c r="G2628" s="2">
        <v>-138.46</v>
      </c>
      <c r="H2628" s="2">
        <v>152.26</v>
      </c>
      <c r="I2628" s="2">
        <v>-155.08000000000001</v>
      </c>
      <c r="J2628" s="2">
        <v>0.89</v>
      </c>
      <c r="K2628" s="2">
        <v>-0.21</v>
      </c>
      <c r="L2628" s="2">
        <v>0.92</v>
      </c>
      <c r="M2628" s="2">
        <v>0.39</v>
      </c>
      <c r="N2628" t="s">
        <v>278</v>
      </c>
      <c r="O2628">
        <v>110</v>
      </c>
    </row>
    <row r="2629" spans="1:15">
      <c r="A2629" s="1">
        <v>46055</v>
      </c>
      <c r="B2629">
        <v>18</v>
      </c>
      <c r="C2629" t="s">
        <v>100</v>
      </c>
      <c r="D2629">
        <v>17</v>
      </c>
      <c r="E2629" s="2">
        <v>21</v>
      </c>
      <c r="F2629" s="2">
        <v>150.85</v>
      </c>
      <c r="G2629" s="2">
        <v>-149.15</v>
      </c>
      <c r="H2629" s="2">
        <v>163.72</v>
      </c>
      <c r="I2629" s="2">
        <v>-171.2</v>
      </c>
      <c r="J2629" s="2">
        <v>0.54</v>
      </c>
      <c r="K2629" s="2">
        <v>0.08</v>
      </c>
      <c r="L2629" s="2">
        <v>0.55000000000000004</v>
      </c>
      <c r="M2629" s="2">
        <v>0.28000000000000003</v>
      </c>
      <c r="N2629" t="s">
        <v>278</v>
      </c>
      <c r="O2629">
        <v>110</v>
      </c>
    </row>
    <row r="2630" spans="1:15">
      <c r="A2630" s="1">
        <v>46055</v>
      </c>
      <c r="B2630">
        <v>18</v>
      </c>
      <c r="C2630" t="s">
        <v>100</v>
      </c>
      <c r="D2630">
        <v>17</v>
      </c>
      <c r="E2630" s="2">
        <v>21.5</v>
      </c>
      <c r="F2630" s="2">
        <v>173.41</v>
      </c>
      <c r="G2630" s="2">
        <v>-173.13</v>
      </c>
      <c r="H2630" s="2">
        <v>176.19</v>
      </c>
      <c r="I2630" s="2">
        <v>-174.26</v>
      </c>
      <c r="J2630" s="2">
        <v>0.23</v>
      </c>
      <c r="K2630" s="2">
        <v>0.18</v>
      </c>
      <c r="L2630" s="2">
        <v>0.28999999999999998</v>
      </c>
      <c r="M2630" s="2">
        <v>0.21</v>
      </c>
      <c r="N2630" t="s">
        <v>278</v>
      </c>
      <c r="O2630">
        <v>110</v>
      </c>
    </row>
    <row r="2631" spans="1:15">
      <c r="A2631" s="1">
        <v>46055</v>
      </c>
      <c r="B2631">
        <v>18</v>
      </c>
      <c r="C2631" t="s">
        <v>100</v>
      </c>
      <c r="D2631">
        <v>17</v>
      </c>
      <c r="E2631" s="2">
        <v>22</v>
      </c>
      <c r="F2631" s="2">
        <v>185.79</v>
      </c>
      <c r="G2631" s="2">
        <v>-183.48</v>
      </c>
      <c r="H2631" s="2">
        <v>199.99</v>
      </c>
      <c r="I2631" s="2">
        <v>-152.04</v>
      </c>
      <c r="J2631" s="2">
        <v>0.08</v>
      </c>
      <c r="K2631" s="2">
        <v>0.36</v>
      </c>
      <c r="L2631" s="2">
        <v>0.37</v>
      </c>
      <c r="M2631" s="2">
        <v>0.12</v>
      </c>
      <c r="N2631" t="s">
        <v>278</v>
      </c>
      <c r="O2631">
        <v>110</v>
      </c>
    </row>
    <row r="2632" spans="1:15">
      <c r="A2632" s="1">
        <v>46062</v>
      </c>
      <c r="B2632">
        <v>19</v>
      </c>
      <c r="C2632" t="s">
        <v>94</v>
      </c>
      <c r="D2632">
        <v>19</v>
      </c>
      <c r="E2632" s="2">
        <v>0.5</v>
      </c>
      <c r="F2632" s="2">
        <v>-242.37</v>
      </c>
      <c r="G2632" s="2">
        <v>232.41</v>
      </c>
      <c r="H2632" s="2">
        <v>-733.99</v>
      </c>
      <c r="I2632" s="2">
        <v>754.58</v>
      </c>
      <c r="J2632" s="2">
        <v>-1.1299999999999999</v>
      </c>
      <c r="K2632" s="2">
        <v>20.93</v>
      </c>
      <c r="L2632" s="2">
        <v>20.96</v>
      </c>
      <c r="M2632" s="2">
        <v>0.91</v>
      </c>
      <c r="N2632" t="s">
        <v>280</v>
      </c>
      <c r="O2632">
        <v>42</v>
      </c>
    </row>
    <row r="2633" spans="1:15">
      <c r="A2633" s="1">
        <v>46062</v>
      </c>
      <c r="B2633">
        <v>19</v>
      </c>
      <c r="C2633" t="s">
        <v>94</v>
      </c>
      <c r="D2633">
        <v>19</v>
      </c>
      <c r="E2633" s="2">
        <v>1</v>
      </c>
      <c r="F2633" s="2">
        <v>-235.8</v>
      </c>
      <c r="G2633" s="2">
        <v>232.49</v>
      </c>
      <c r="H2633" s="2">
        <v>-721.05</v>
      </c>
      <c r="I2633" s="2">
        <v>754.45</v>
      </c>
      <c r="J2633" s="2">
        <v>3.02</v>
      </c>
      <c r="K2633" s="2">
        <v>24.33</v>
      </c>
      <c r="L2633" s="2">
        <v>24.52</v>
      </c>
      <c r="M2633" s="2">
        <v>0.89</v>
      </c>
      <c r="N2633" t="s">
        <v>280</v>
      </c>
      <c r="O2633">
        <v>42</v>
      </c>
    </row>
    <row r="2634" spans="1:15">
      <c r="A2634" s="1">
        <v>46062</v>
      </c>
      <c r="B2634">
        <v>19</v>
      </c>
      <c r="C2634" t="s">
        <v>94</v>
      </c>
      <c r="D2634">
        <v>19</v>
      </c>
      <c r="E2634" s="2">
        <v>1.5</v>
      </c>
      <c r="F2634" s="2">
        <v>-15.71</v>
      </c>
      <c r="G2634" s="2">
        <v>22.16</v>
      </c>
      <c r="H2634" s="2">
        <v>-268.01</v>
      </c>
      <c r="I2634" s="2">
        <v>292.79000000000002</v>
      </c>
      <c r="J2634" s="2">
        <v>7.3</v>
      </c>
      <c r="K2634" s="2">
        <v>27.5</v>
      </c>
      <c r="L2634" s="2">
        <v>28.45</v>
      </c>
      <c r="M2634" s="2">
        <v>1.0900000000000001</v>
      </c>
      <c r="N2634" t="s">
        <v>280</v>
      </c>
      <c r="O2634">
        <v>42</v>
      </c>
    </row>
    <row r="2635" spans="1:15">
      <c r="A2635" s="1">
        <v>46062</v>
      </c>
      <c r="B2635">
        <v>19</v>
      </c>
      <c r="C2635" t="s">
        <v>94</v>
      </c>
      <c r="D2635">
        <v>19</v>
      </c>
      <c r="E2635" s="2">
        <v>2</v>
      </c>
      <c r="F2635" s="2">
        <v>63.33</v>
      </c>
      <c r="G2635" s="2">
        <v>-64.180000000000007</v>
      </c>
      <c r="H2635" s="2">
        <v>-220.53</v>
      </c>
      <c r="I2635" s="2">
        <v>234.7</v>
      </c>
      <c r="J2635" s="2">
        <v>7</v>
      </c>
      <c r="K2635" s="2">
        <v>27.46</v>
      </c>
      <c r="L2635" s="2">
        <v>28.34</v>
      </c>
      <c r="M2635" s="2">
        <v>1.73</v>
      </c>
      <c r="N2635" t="s">
        <v>280</v>
      </c>
      <c r="O2635">
        <v>42</v>
      </c>
    </row>
    <row r="2636" spans="1:15">
      <c r="A2636" s="1">
        <v>46062</v>
      </c>
      <c r="B2636">
        <v>19</v>
      </c>
      <c r="C2636" t="s">
        <v>94</v>
      </c>
      <c r="D2636">
        <v>19</v>
      </c>
      <c r="E2636" s="2">
        <v>2.5</v>
      </c>
      <c r="F2636" s="2">
        <v>68.86</v>
      </c>
      <c r="G2636" s="2">
        <v>-67.5</v>
      </c>
      <c r="H2636" s="2">
        <v>-194.13</v>
      </c>
      <c r="I2636" s="2">
        <v>209.82</v>
      </c>
      <c r="J2636" s="2">
        <v>8.8699999999999992</v>
      </c>
      <c r="K2636" s="2">
        <v>27.73</v>
      </c>
      <c r="L2636" s="2">
        <v>29.11</v>
      </c>
      <c r="M2636" s="2">
        <v>1.67</v>
      </c>
      <c r="N2636" t="s">
        <v>280</v>
      </c>
      <c r="O2636">
        <v>42</v>
      </c>
    </row>
    <row r="2637" spans="1:15">
      <c r="A2637" s="1">
        <v>46062</v>
      </c>
      <c r="B2637">
        <v>19</v>
      </c>
      <c r="C2637" t="s">
        <v>94</v>
      </c>
      <c r="D2637">
        <v>19</v>
      </c>
      <c r="E2637" s="2">
        <v>3</v>
      </c>
      <c r="F2637" s="2">
        <v>31.59</v>
      </c>
      <c r="G2637" s="2">
        <v>-27.69</v>
      </c>
      <c r="H2637" s="2">
        <v>-141.33000000000001</v>
      </c>
      <c r="I2637" s="2">
        <v>157.66</v>
      </c>
      <c r="J2637" s="2">
        <v>10.119999999999999</v>
      </c>
      <c r="K2637" s="2">
        <v>27.95</v>
      </c>
      <c r="L2637" s="2">
        <v>29.73</v>
      </c>
      <c r="M2637" s="2">
        <v>1.84</v>
      </c>
      <c r="N2637" t="s">
        <v>280</v>
      </c>
      <c r="O2637">
        <v>42</v>
      </c>
    </row>
    <row r="2638" spans="1:15">
      <c r="A2638" s="1">
        <v>46062</v>
      </c>
      <c r="B2638">
        <v>19</v>
      </c>
      <c r="C2638" t="s">
        <v>94</v>
      </c>
      <c r="D2638">
        <v>19</v>
      </c>
      <c r="E2638" s="2">
        <v>3.5</v>
      </c>
      <c r="F2638" s="2">
        <v>-7.92</v>
      </c>
      <c r="G2638" s="2">
        <v>6.55</v>
      </c>
      <c r="H2638" s="2">
        <v>-77.349999999999994</v>
      </c>
      <c r="I2638" s="2">
        <v>100.55</v>
      </c>
      <c r="J2638" s="2">
        <v>10.78</v>
      </c>
      <c r="K2638" s="2">
        <v>28.1</v>
      </c>
      <c r="L2638" s="2">
        <v>30.1</v>
      </c>
      <c r="M2638" s="2">
        <v>2.08</v>
      </c>
      <c r="N2638" t="s">
        <v>280</v>
      </c>
      <c r="O2638">
        <v>42</v>
      </c>
    </row>
    <row r="2639" spans="1:15">
      <c r="A2639" s="1">
        <v>46062</v>
      </c>
      <c r="B2639">
        <v>19</v>
      </c>
      <c r="C2639" t="s">
        <v>94</v>
      </c>
      <c r="D2639">
        <v>19</v>
      </c>
      <c r="E2639" s="2">
        <v>4</v>
      </c>
      <c r="F2639" s="2">
        <v>58.78</v>
      </c>
      <c r="G2639" s="2">
        <v>-54.99</v>
      </c>
      <c r="H2639" s="2">
        <v>-68.55</v>
      </c>
      <c r="I2639" s="2">
        <v>70.77</v>
      </c>
      <c r="J2639" s="2">
        <v>10.94</v>
      </c>
      <c r="K2639" s="2">
        <v>28.5</v>
      </c>
      <c r="L2639" s="2">
        <v>30.53</v>
      </c>
      <c r="M2639" s="2">
        <v>2.21</v>
      </c>
      <c r="N2639" t="s">
        <v>280</v>
      </c>
      <c r="O2639">
        <v>42</v>
      </c>
    </row>
    <row r="2640" spans="1:15">
      <c r="A2640" s="1">
        <v>46062</v>
      </c>
      <c r="B2640">
        <v>19</v>
      </c>
      <c r="C2640" t="s">
        <v>94</v>
      </c>
      <c r="D2640">
        <v>19</v>
      </c>
      <c r="E2640" s="2">
        <v>4.5</v>
      </c>
      <c r="F2640" s="2">
        <v>89.9</v>
      </c>
      <c r="G2640" s="2">
        <v>-85.9</v>
      </c>
      <c r="H2640" s="2">
        <v>-43.72</v>
      </c>
      <c r="I2640" s="2">
        <v>70.099999999999994</v>
      </c>
      <c r="J2640" s="2">
        <v>10.99</v>
      </c>
      <c r="K2640" s="2">
        <v>28.51</v>
      </c>
      <c r="L2640" s="2">
        <v>30.55</v>
      </c>
      <c r="M2640" s="2">
        <v>2.78</v>
      </c>
      <c r="N2640" t="s">
        <v>280</v>
      </c>
      <c r="O2640">
        <v>42</v>
      </c>
    </row>
    <row r="2641" spans="1:15">
      <c r="A2641" s="1">
        <v>46062</v>
      </c>
      <c r="B2641">
        <v>19</v>
      </c>
      <c r="C2641" t="s">
        <v>94</v>
      </c>
      <c r="D2641">
        <v>19</v>
      </c>
      <c r="E2641" s="2">
        <v>5</v>
      </c>
      <c r="F2641" s="2">
        <v>32.07</v>
      </c>
      <c r="G2641" s="2">
        <v>-27.59</v>
      </c>
      <c r="H2641" s="2">
        <v>20.93</v>
      </c>
      <c r="I2641" s="2">
        <v>-4.91</v>
      </c>
      <c r="J2641" s="2">
        <v>12.06</v>
      </c>
      <c r="K2641" s="2">
        <v>27.91</v>
      </c>
      <c r="L2641" s="2">
        <v>30.4</v>
      </c>
      <c r="M2641" s="2">
        <v>2.59</v>
      </c>
      <c r="N2641" t="s">
        <v>280</v>
      </c>
      <c r="O2641">
        <v>42</v>
      </c>
    </row>
    <row r="2642" spans="1:15">
      <c r="A2642" s="1">
        <v>46062</v>
      </c>
      <c r="B2642">
        <v>19</v>
      </c>
      <c r="C2642" t="s">
        <v>94</v>
      </c>
      <c r="D2642">
        <v>19</v>
      </c>
      <c r="E2642" s="2">
        <v>5.5</v>
      </c>
      <c r="F2642" s="2">
        <v>21.66</v>
      </c>
      <c r="G2642" s="2">
        <v>-16.39</v>
      </c>
      <c r="H2642" s="2">
        <v>47.84</v>
      </c>
      <c r="I2642" s="2">
        <v>-30.06</v>
      </c>
      <c r="J2642" s="2">
        <v>12.93</v>
      </c>
      <c r="K2642" s="2">
        <v>27.81</v>
      </c>
      <c r="L2642" s="2">
        <v>30.67</v>
      </c>
      <c r="M2642" s="2">
        <v>2.2599999999999998</v>
      </c>
      <c r="N2642" t="s">
        <v>280</v>
      </c>
      <c r="O2642">
        <v>42</v>
      </c>
    </row>
    <row r="2643" spans="1:15">
      <c r="A2643" s="1">
        <v>46062</v>
      </c>
      <c r="B2643">
        <v>19</v>
      </c>
      <c r="C2643" t="s">
        <v>94</v>
      </c>
      <c r="D2643">
        <v>19</v>
      </c>
      <c r="E2643" s="2">
        <v>6</v>
      </c>
      <c r="F2643" s="2">
        <v>14.86</v>
      </c>
      <c r="G2643" s="2">
        <v>-11.68</v>
      </c>
      <c r="H2643" s="2">
        <v>-9.7200000000000006</v>
      </c>
      <c r="I2643" s="2">
        <v>25.66</v>
      </c>
      <c r="J2643" s="2">
        <v>13.57</v>
      </c>
      <c r="K2643" s="2">
        <v>28.55</v>
      </c>
      <c r="L2643" s="2">
        <v>31.61</v>
      </c>
      <c r="M2643" s="2">
        <v>2.78</v>
      </c>
      <c r="N2643" t="s">
        <v>280</v>
      </c>
      <c r="O2643">
        <v>42</v>
      </c>
    </row>
    <row r="2644" spans="1:15">
      <c r="A2644" s="1">
        <v>46062</v>
      </c>
      <c r="B2644">
        <v>19</v>
      </c>
      <c r="C2644" t="s">
        <v>94</v>
      </c>
      <c r="D2644">
        <v>19</v>
      </c>
      <c r="E2644" s="2">
        <v>6.5</v>
      </c>
      <c r="F2644" s="2">
        <v>14.76</v>
      </c>
      <c r="G2644" s="2">
        <v>-8.26</v>
      </c>
      <c r="H2644" s="2">
        <v>-58.82</v>
      </c>
      <c r="I2644" s="2">
        <v>71.760000000000005</v>
      </c>
      <c r="J2644" s="2">
        <v>13.64</v>
      </c>
      <c r="K2644" s="2">
        <v>29.06</v>
      </c>
      <c r="L2644" s="2">
        <v>32.11</v>
      </c>
      <c r="M2644" s="2">
        <v>2.63</v>
      </c>
      <c r="N2644" t="s">
        <v>280</v>
      </c>
      <c r="O2644">
        <v>42</v>
      </c>
    </row>
    <row r="2645" spans="1:15">
      <c r="A2645" s="1">
        <v>46062</v>
      </c>
      <c r="B2645">
        <v>19</v>
      </c>
      <c r="C2645" t="s">
        <v>94</v>
      </c>
      <c r="D2645">
        <v>19</v>
      </c>
      <c r="E2645" s="2">
        <v>7</v>
      </c>
      <c r="F2645" s="2">
        <v>107.49</v>
      </c>
      <c r="G2645" s="2">
        <v>-105.26</v>
      </c>
      <c r="H2645" s="2">
        <v>-48.16</v>
      </c>
      <c r="I2645" s="2">
        <v>63.1</v>
      </c>
      <c r="J2645" s="2">
        <v>13.18</v>
      </c>
      <c r="K2645" s="2">
        <v>28.97</v>
      </c>
      <c r="L2645" s="2">
        <v>31.83</v>
      </c>
      <c r="M2645" s="2">
        <v>2.6</v>
      </c>
      <c r="N2645" t="s">
        <v>280</v>
      </c>
      <c r="O2645">
        <v>42</v>
      </c>
    </row>
    <row r="2646" spans="1:15">
      <c r="A2646" s="1">
        <v>46062</v>
      </c>
      <c r="B2646">
        <v>19</v>
      </c>
      <c r="C2646" t="s">
        <v>94</v>
      </c>
      <c r="D2646">
        <v>19</v>
      </c>
      <c r="E2646" s="2">
        <v>7.5</v>
      </c>
      <c r="F2646" s="2">
        <v>72.33</v>
      </c>
      <c r="G2646" s="2">
        <v>-69.41</v>
      </c>
      <c r="H2646" s="2">
        <v>-60.77</v>
      </c>
      <c r="I2646" s="2">
        <v>78.53</v>
      </c>
      <c r="J2646" s="2">
        <v>13.3</v>
      </c>
      <c r="K2646" s="2">
        <v>28.88</v>
      </c>
      <c r="L2646" s="2">
        <v>31.79</v>
      </c>
      <c r="M2646" s="2">
        <v>2.58</v>
      </c>
      <c r="N2646" t="s">
        <v>280</v>
      </c>
      <c r="O2646">
        <v>42</v>
      </c>
    </row>
    <row r="2647" spans="1:15">
      <c r="A2647" s="1">
        <v>46062</v>
      </c>
      <c r="B2647">
        <v>19</v>
      </c>
      <c r="C2647" t="s">
        <v>94</v>
      </c>
      <c r="D2647">
        <v>19</v>
      </c>
      <c r="E2647" s="2">
        <v>8</v>
      </c>
      <c r="F2647" s="2">
        <v>60.38</v>
      </c>
      <c r="G2647" s="2">
        <v>-53.89</v>
      </c>
      <c r="H2647" s="2">
        <v>-60.54</v>
      </c>
      <c r="I2647" s="2">
        <v>81.55</v>
      </c>
      <c r="J2647" s="2">
        <v>13.4</v>
      </c>
      <c r="K2647" s="2">
        <v>28.3</v>
      </c>
      <c r="L2647" s="2">
        <v>31.32</v>
      </c>
      <c r="M2647" s="2">
        <v>2.4700000000000002</v>
      </c>
      <c r="N2647" t="s">
        <v>280</v>
      </c>
      <c r="O2647">
        <v>42</v>
      </c>
    </row>
    <row r="2648" spans="1:15">
      <c r="A2648" s="1">
        <v>46062</v>
      </c>
      <c r="B2648">
        <v>19</v>
      </c>
      <c r="C2648" t="s">
        <v>94</v>
      </c>
      <c r="D2648">
        <v>19</v>
      </c>
      <c r="E2648" s="2">
        <v>8.5</v>
      </c>
      <c r="F2648" s="2">
        <v>21.35</v>
      </c>
      <c r="G2648" s="2">
        <v>-14.9</v>
      </c>
      <c r="H2648" s="2">
        <v>-39.36</v>
      </c>
      <c r="I2648" s="2">
        <v>59.18</v>
      </c>
      <c r="J2648" s="2">
        <v>13.76</v>
      </c>
      <c r="K2648" s="2">
        <v>27.38</v>
      </c>
      <c r="L2648" s="2">
        <v>30.65</v>
      </c>
      <c r="M2648" s="2">
        <v>2.38</v>
      </c>
      <c r="N2648" t="s">
        <v>280</v>
      </c>
      <c r="O2648">
        <v>42</v>
      </c>
    </row>
    <row r="2649" spans="1:15">
      <c r="A2649" s="1">
        <v>46062</v>
      </c>
      <c r="B2649">
        <v>19</v>
      </c>
      <c r="C2649" t="s">
        <v>94</v>
      </c>
      <c r="D2649">
        <v>19</v>
      </c>
      <c r="E2649" s="2">
        <v>9</v>
      </c>
      <c r="F2649" s="2">
        <v>-32.450000000000003</v>
      </c>
      <c r="G2649" s="2">
        <v>40.54</v>
      </c>
      <c r="H2649" s="2">
        <v>-30.15</v>
      </c>
      <c r="I2649" s="2">
        <v>53.76</v>
      </c>
      <c r="J2649" s="2">
        <v>14.12</v>
      </c>
      <c r="K2649" s="2">
        <v>26.44</v>
      </c>
      <c r="L2649" s="2">
        <v>29.97</v>
      </c>
      <c r="M2649" s="2">
        <v>2.2000000000000002</v>
      </c>
      <c r="N2649" t="s">
        <v>280</v>
      </c>
      <c r="O2649">
        <v>42</v>
      </c>
    </row>
    <row r="2650" spans="1:15">
      <c r="A2650" s="1">
        <v>46062</v>
      </c>
      <c r="B2650">
        <v>19</v>
      </c>
      <c r="C2650" t="s">
        <v>94</v>
      </c>
      <c r="D2650">
        <v>19</v>
      </c>
      <c r="E2650" s="2">
        <v>9.5</v>
      </c>
      <c r="F2650" s="2">
        <v>-118.82</v>
      </c>
      <c r="G2650" s="2">
        <v>123.14</v>
      </c>
      <c r="H2650" s="2">
        <v>-0.34</v>
      </c>
      <c r="I2650" s="2">
        <v>13.57</v>
      </c>
      <c r="J2650" s="2">
        <v>14.29</v>
      </c>
      <c r="K2650" s="2">
        <v>25.24</v>
      </c>
      <c r="L2650" s="2">
        <v>29.01</v>
      </c>
      <c r="M2650" s="2">
        <v>2.14</v>
      </c>
      <c r="N2650" t="s">
        <v>280</v>
      </c>
      <c r="O2650">
        <v>42</v>
      </c>
    </row>
    <row r="2651" spans="1:15">
      <c r="A2651" s="1">
        <v>46062</v>
      </c>
      <c r="B2651">
        <v>19</v>
      </c>
      <c r="C2651" t="s">
        <v>94</v>
      </c>
      <c r="D2651">
        <v>19</v>
      </c>
      <c r="E2651" s="2">
        <v>10</v>
      </c>
      <c r="F2651" s="2">
        <v>-218.51</v>
      </c>
      <c r="G2651" s="2">
        <v>227.47</v>
      </c>
      <c r="H2651" s="2">
        <v>-85.43</v>
      </c>
      <c r="I2651" s="2">
        <v>106.71</v>
      </c>
      <c r="J2651" s="2">
        <v>13.91</v>
      </c>
      <c r="K2651" s="2">
        <v>24.5</v>
      </c>
      <c r="L2651" s="2">
        <v>28.18</v>
      </c>
      <c r="M2651" s="2">
        <v>2.19</v>
      </c>
      <c r="N2651" t="s">
        <v>280</v>
      </c>
      <c r="O2651">
        <v>42</v>
      </c>
    </row>
    <row r="2652" spans="1:15">
      <c r="A2652" s="1">
        <v>46062</v>
      </c>
      <c r="B2652">
        <v>19</v>
      </c>
      <c r="C2652" t="s">
        <v>94</v>
      </c>
      <c r="D2652">
        <v>19</v>
      </c>
      <c r="E2652" s="2">
        <v>10.5</v>
      </c>
      <c r="F2652" s="2">
        <v>-203.22</v>
      </c>
      <c r="G2652" s="2">
        <v>211.65</v>
      </c>
      <c r="H2652" s="2">
        <v>-73.959999999999994</v>
      </c>
      <c r="I2652" s="2">
        <v>90.47</v>
      </c>
      <c r="J2652" s="2">
        <v>13.23</v>
      </c>
      <c r="K2652" s="2">
        <v>23.26</v>
      </c>
      <c r="L2652" s="2">
        <v>26.76</v>
      </c>
      <c r="M2652" s="2">
        <v>2.15</v>
      </c>
      <c r="N2652" t="s">
        <v>280</v>
      </c>
      <c r="O2652">
        <v>42</v>
      </c>
    </row>
    <row r="2653" spans="1:15">
      <c r="A2653" s="1">
        <v>46062</v>
      </c>
      <c r="B2653">
        <v>19</v>
      </c>
      <c r="C2653" t="s">
        <v>94</v>
      </c>
      <c r="D2653">
        <v>19</v>
      </c>
      <c r="E2653" s="2">
        <v>11</v>
      </c>
      <c r="F2653" s="2">
        <v>-198.13</v>
      </c>
      <c r="G2653" s="2">
        <v>201.63</v>
      </c>
      <c r="H2653" s="2">
        <v>-41.47</v>
      </c>
      <c r="I2653" s="2">
        <v>52.85</v>
      </c>
      <c r="J2653" s="2">
        <v>12.9</v>
      </c>
      <c r="K2653" s="2">
        <v>22.19</v>
      </c>
      <c r="L2653" s="2">
        <v>25.66</v>
      </c>
      <c r="M2653" s="2">
        <v>2.13</v>
      </c>
      <c r="N2653" t="s">
        <v>280</v>
      </c>
      <c r="O2653">
        <v>42</v>
      </c>
    </row>
    <row r="2654" spans="1:15">
      <c r="A2654" s="1">
        <v>46062</v>
      </c>
      <c r="B2654">
        <v>19</v>
      </c>
      <c r="C2654" t="s">
        <v>94</v>
      </c>
      <c r="D2654">
        <v>19</v>
      </c>
      <c r="E2654" s="2">
        <v>11.5</v>
      </c>
      <c r="F2654" s="2">
        <v>-99.28</v>
      </c>
      <c r="G2654" s="2">
        <v>105.95</v>
      </c>
      <c r="H2654" s="2">
        <v>-37.11</v>
      </c>
      <c r="I2654" s="2">
        <v>46.9</v>
      </c>
      <c r="J2654" s="2">
        <v>12.14</v>
      </c>
      <c r="K2654" s="2">
        <v>20.88</v>
      </c>
      <c r="L2654" s="2">
        <v>24.16</v>
      </c>
      <c r="M2654" s="2">
        <v>1.83</v>
      </c>
      <c r="N2654" t="s">
        <v>280</v>
      </c>
      <c r="O2654">
        <v>42</v>
      </c>
    </row>
    <row r="2655" spans="1:15">
      <c r="A2655" s="1">
        <v>46062</v>
      </c>
      <c r="B2655">
        <v>19</v>
      </c>
      <c r="C2655" t="s">
        <v>94</v>
      </c>
      <c r="D2655">
        <v>19</v>
      </c>
      <c r="E2655" s="2">
        <v>12</v>
      </c>
      <c r="F2655" s="2">
        <v>-152.6</v>
      </c>
      <c r="G2655" s="2">
        <v>166.06</v>
      </c>
      <c r="H2655" s="2">
        <v>-43.81</v>
      </c>
      <c r="I2655" s="2">
        <v>61.96</v>
      </c>
      <c r="J2655" s="2">
        <v>11.48</v>
      </c>
      <c r="K2655" s="2">
        <v>19.559999999999999</v>
      </c>
      <c r="L2655" s="2">
        <v>22.68</v>
      </c>
      <c r="M2655" s="2">
        <v>1.77</v>
      </c>
      <c r="N2655" t="s">
        <v>280</v>
      </c>
      <c r="O2655">
        <v>42</v>
      </c>
    </row>
    <row r="2656" spans="1:15">
      <c r="A2656" s="1">
        <v>46062</v>
      </c>
      <c r="B2656">
        <v>19</v>
      </c>
      <c r="C2656" t="s">
        <v>94</v>
      </c>
      <c r="D2656">
        <v>19</v>
      </c>
      <c r="E2656" s="2">
        <v>12.5</v>
      </c>
      <c r="F2656" s="2">
        <v>-149.28</v>
      </c>
      <c r="G2656" s="2">
        <v>156.83000000000001</v>
      </c>
      <c r="H2656" s="2">
        <v>12.49</v>
      </c>
      <c r="I2656" s="2">
        <v>-5.74</v>
      </c>
      <c r="J2656" s="2">
        <v>11.21</v>
      </c>
      <c r="K2656" s="2">
        <v>18.440000000000001</v>
      </c>
      <c r="L2656" s="2">
        <v>21.59</v>
      </c>
      <c r="M2656" s="2">
        <v>1.64</v>
      </c>
      <c r="N2656" t="s">
        <v>280</v>
      </c>
      <c r="O2656">
        <v>42</v>
      </c>
    </row>
    <row r="2657" spans="1:15">
      <c r="A2657" s="1">
        <v>46062</v>
      </c>
      <c r="B2657">
        <v>19</v>
      </c>
      <c r="C2657" t="s">
        <v>94</v>
      </c>
      <c r="D2657">
        <v>19</v>
      </c>
      <c r="E2657" s="2">
        <v>13</v>
      </c>
      <c r="F2657" s="2">
        <v>-107.9</v>
      </c>
      <c r="G2657" s="2">
        <v>117.26</v>
      </c>
      <c r="H2657" s="2">
        <v>-7.43</v>
      </c>
      <c r="I2657" s="2">
        <v>19.22</v>
      </c>
      <c r="J2657" s="2">
        <v>10.75</v>
      </c>
      <c r="K2657" s="2">
        <v>17.45</v>
      </c>
      <c r="L2657" s="2">
        <v>20.49</v>
      </c>
      <c r="M2657" s="2">
        <v>1.72</v>
      </c>
      <c r="N2657" t="s">
        <v>280</v>
      </c>
      <c r="O2657">
        <v>42</v>
      </c>
    </row>
    <row r="2658" spans="1:15">
      <c r="A2658" s="1">
        <v>46062</v>
      </c>
      <c r="B2658">
        <v>19</v>
      </c>
      <c r="C2658" t="s">
        <v>94</v>
      </c>
      <c r="D2658">
        <v>19</v>
      </c>
      <c r="E2658" s="2">
        <v>13.5</v>
      </c>
      <c r="F2658" s="2">
        <v>-109.05</v>
      </c>
      <c r="G2658" s="2">
        <v>117.74</v>
      </c>
      <c r="H2658" s="2">
        <v>-7.63</v>
      </c>
      <c r="I2658" s="2">
        <v>12.13</v>
      </c>
      <c r="J2658" s="2">
        <v>9.39</v>
      </c>
      <c r="K2658" s="2">
        <v>16</v>
      </c>
      <c r="L2658" s="2">
        <v>18.55</v>
      </c>
      <c r="M2658" s="2">
        <v>1.7</v>
      </c>
      <c r="N2658" t="s">
        <v>280</v>
      </c>
      <c r="O2658">
        <v>42</v>
      </c>
    </row>
    <row r="2659" spans="1:15">
      <c r="A2659" s="1">
        <v>46062</v>
      </c>
      <c r="B2659">
        <v>19</v>
      </c>
      <c r="C2659" t="s">
        <v>94</v>
      </c>
      <c r="D2659">
        <v>19</v>
      </c>
      <c r="E2659" s="2">
        <v>14</v>
      </c>
      <c r="F2659" s="2">
        <v>-120.8</v>
      </c>
      <c r="G2659" s="2">
        <v>127.25</v>
      </c>
      <c r="H2659" s="2">
        <v>0.98</v>
      </c>
      <c r="I2659" s="2">
        <v>19.510000000000002</v>
      </c>
      <c r="J2659" s="2">
        <v>7.6</v>
      </c>
      <c r="K2659" s="2">
        <v>14.2</v>
      </c>
      <c r="L2659" s="2">
        <v>16.11</v>
      </c>
      <c r="M2659" s="2">
        <v>1.6</v>
      </c>
      <c r="N2659" t="s">
        <v>280</v>
      </c>
      <c r="O2659">
        <v>42</v>
      </c>
    </row>
    <row r="2660" spans="1:15">
      <c r="A2660" s="1">
        <v>46062</v>
      </c>
      <c r="B2660">
        <v>19</v>
      </c>
      <c r="C2660" t="s">
        <v>94</v>
      </c>
      <c r="D2660">
        <v>19</v>
      </c>
      <c r="E2660" s="2">
        <v>14.5</v>
      </c>
      <c r="F2660" s="2">
        <v>-106.61</v>
      </c>
      <c r="G2660" s="2">
        <v>113.7</v>
      </c>
      <c r="H2660" s="2">
        <v>43.27</v>
      </c>
      <c r="I2660" s="2">
        <v>-22.38</v>
      </c>
      <c r="J2660" s="2">
        <v>5.48</v>
      </c>
      <c r="K2660" s="2">
        <v>11.81</v>
      </c>
      <c r="L2660" s="2">
        <v>13.02</v>
      </c>
      <c r="M2660" s="2">
        <v>1.59</v>
      </c>
      <c r="N2660" t="s">
        <v>280</v>
      </c>
      <c r="O2660">
        <v>42</v>
      </c>
    </row>
    <row r="2661" spans="1:15">
      <c r="A2661" s="1">
        <v>46062</v>
      </c>
      <c r="B2661">
        <v>19</v>
      </c>
      <c r="C2661" t="s">
        <v>94</v>
      </c>
      <c r="D2661">
        <v>19</v>
      </c>
      <c r="E2661" s="2">
        <v>15</v>
      </c>
      <c r="F2661" s="2">
        <v>-42.85</v>
      </c>
      <c r="G2661" s="2">
        <v>50.75</v>
      </c>
      <c r="H2661" s="2">
        <v>71.27</v>
      </c>
      <c r="I2661" s="2">
        <v>-58.68</v>
      </c>
      <c r="J2661" s="2">
        <v>3.51</v>
      </c>
      <c r="K2661" s="2">
        <v>9.9700000000000006</v>
      </c>
      <c r="L2661" s="2">
        <v>10.57</v>
      </c>
      <c r="M2661" s="2">
        <v>1.51</v>
      </c>
      <c r="N2661" t="s">
        <v>280</v>
      </c>
      <c r="O2661">
        <v>42</v>
      </c>
    </row>
    <row r="2662" spans="1:15">
      <c r="A2662" s="1">
        <v>46062</v>
      </c>
      <c r="B2662">
        <v>19</v>
      </c>
      <c r="C2662" t="s">
        <v>94</v>
      </c>
      <c r="D2662">
        <v>19</v>
      </c>
      <c r="E2662" s="2">
        <v>15.5</v>
      </c>
      <c r="F2662" s="2">
        <v>-158.41999999999999</v>
      </c>
      <c r="G2662" s="2">
        <v>161</v>
      </c>
      <c r="H2662" s="2">
        <v>-50.67</v>
      </c>
      <c r="I2662" s="2">
        <v>77.98</v>
      </c>
      <c r="J2662" s="2">
        <v>2.44</v>
      </c>
      <c r="K2662" s="2">
        <v>8.58</v>
      </c>
      <c r="L2662" s="2">
        <v>8.92</v>
      </c>
      <c r="M2662" s="2">
        <v>1.41</v>
      </c>
      <c r="N2662" t="s">
        <v>280</v>
      </c>
      <c r="O2662">
        <v>42</v>
      </c>
    </row>
    <row r="2663" spans="1:15">
      <c r="A2663" s="1">
        <v>46062</v>
      </c>
      <c r="B2663">
        <v>19</v>
      </c>
      <c r="C2663" t="s">
        <v>94</v>
      </c>
      <c r="D2663">
        <v>19</v>
      </c>
      <c r="E2663" s="2">
        <v>16</v>
      </c>
      <c r="F2663" s="2">
        <v>-10.97</v>
      </c>
      <c r="G2663" s="2">
        <v>17.8</v>
      </c>
      <c r="H2663" s="2">
        <v>-31.29</v>
      </c>
      <c r="I2663" s="2">
        <v>23.55</v>
      </c>
      <c r="J2663" s="2">
        <v>-1.23</v>
      </c>
      <c r="K2663" s="2">
        <v>3.57</v>
      </c>
      <c r="L2663" s="2">
        <v>3.78</v>
      </c>
      <c r="M2663" s="2">
        <v>1.1299999999999999</v>
      </c>
      <c r="N2663" t="s">
        <v>280</v>
      </c>
      <c r="O2663">
        <v>42</v>
      </c>
    </row>
    <row r="2664" spans="1:15">
      <c r="A2664" s="1">
        <v>46062</v>
      </c>
      <c r="B2664">
        <v>19</v>
      </c>
      <c r="C2664" t="s">
        <v>94</v>
      </c>
      <c r="D2664">
        <v>19</v>
      </c>
      <c r="E2664" s="2">
        <v>16.5</v>
      </c>
      <c r="F2664" s="2">
        <v>6.31</v>
      </c>
      <c r="G2664" s="2">
        <v>-0.59</v>
      </c>
      <c r="H2664" s="2">
        <v>-13.49</v>
      </c>
      <c r="I2664" s="2">
        <v>15.59</v>
      </c>
      <c r="J2664" s="2">
        <v>-1.1200000000000001</v>
      </c>
      <c r="K2664" s="2">
        <v>3.68</v>
      </c>
      <c r="L2664" s="2">
        <v>3.85</v>
      </c>
      <c r="M2664" s="2">
        <v>0.88</v>
      </c>
      <c r="N2664" t="s">
        <v>280</v>
      </c>
      <c r="O2664">
        <v>42</v>
      </c>
    </row>
    <row r="2665" spans="1:15">
      <c r="A2665" s="1">
        <v>46062</v>
      </c>
      <c r="B2665">
        <v>19</v>
      </c>
      <c r="C2665" t="s">
        <v>94</v>
      </c>
      <c r="D2665">
        <v>19</v>
      </c>
      <c r="E2665" s="2">
        <v>17</v>
      </c>
      <c r="F2665" s="2">
        <v>14.58</v>
      </c>
      <c r="G2665" s="2">
        <v>-9.92</v>
      </c>
      <c r="H2665" s="2">
        <v>-2.1</v>
      </c>
      <c r="I2665" s="2">
        <v>-0.4</v>
      </c>
      <c r="J2665" s="2">
        <v>-1.07</v>
      </c>
      <c r="K2665" s="2">
        <v>3.73</v>
      </c>
      <c r="L2665" s="2">
        <v>3.88</v>
      </c>
      <c r="M2665" s="2">
        <v>0.87</v>
      </c>
      <c r="N2665" t="s">
        <v>280</v>
      </c>
      <c r="O2665">
        <v>42</v>
      </c>
    </row>
    <row r="2666" spans="1:15">
      <c r="A2666" s="1">
        <v>46062</v>
      </c>
      <c r="B2666">
        <v>19</v>
      </c>
      <c r="C2666" t="s">
        <v>94</v>
      </c>
      <c r="D2666">
        <v>19</v>
      </c>
      <c r="E2666" s="2">
        <v>17.5</v>
      </c>
      <c r="F2666" s="2">
        <v>-11.7</v>
      </c>
      <c r="G2666" s="2">
        <v>17.510000000000002</v>
      </c>
      <c r="H2666" s="2">
        <v>29.51</v>
      </c>
      <c r="I2666" s="2">
        <v>-28.27</v>
      </c>
      <c r="J2666" s="2">
        <v>-1.1499999999999999</v>
      </c>
      <c r="K2666" s="2">
        <v>3.79</v>
      </c>
      <c r="L2666" s="2">
        <v>3.96</v>
      </c>
      <c r="M2666" s="2">
        <v>0.86</v>
      </c>
      <c r="N2666" t="s">
        <v>280</v>
      </c>
      <c r="O2666">
        <v>42</v>
      </c>
    </row>
    <row r="2667" spans="1:15">
      <c r="A2667" s="1">
        <v>46062</v>
      </c>
      <c r="B2667">
        <v>19</v>
      </c>
      <c r="C2667" t="s">
        <v>94</v>
      </c>
      <c r="D2667">
        <v>19</v>
      </c>
      <c r="E2667" s="2">
        <v>18</v>
      </c>
      <c r="F2667" s="2">
        <v>-31.2</v>
      </c>
      <c r="G2667" s="2">
        <v>34.75</v>
      </c>
      <c r="H2667" s="2">
        <v>44.9</v>
      </c>
      <c r="I2667" s="2">
        <v>-34.770000000000003</v>
      </c>
      <c r="J2667" s="2">
        <v>-1.1599999999999999</v>
      </c>
      <c r="K2667" s="2">
        <v>3.7</v>
      </c>
      <c r="L2667" s="2">
        <v>3.87</v>
      </c>
      <c r="M2667" s="2">
        <v>0.85</v>
      </c>
      <c r="N2667" t="s">
        <v>280</v>
      </c>
      <c r="O2667">
        <v>42</v>
      </c>
    </row>
    <row r="2668" spans="1:15">
      <c r="A2668" s="1">
        <v>46062</v>
      </c>
      <c r="B2668">
        <v>19</v>
      </c>
      <c r="C2668" t="s">
        <v>94</v>
      </c>
      <c r="D2668">
        <v>19</v>
      </c>
      <c r="E2668" s="2">
        <v>18.5</v>
      </c>
      <c r="F2668" s="2">
        <v>-34.86</v>
      </c>
      <c r="G2668" s="2">
        <v>45.73</v>
      </c>
      <c r="H2668" s="2">
        <v>54.92</v>
      </c>
      <c r="I2668" s="2">
        <v>-48</v>
      </c>
      <c r="J2668" s="2">
        <v>-1.1599999999999999</v>
      </c>
      <c r="K2668" s="2">
        <v>3.57</v>
      </c>
      <c r="L2668" s="2">
        <v>3.75</v>
      </c>
      <c r="M2668" s="2">
        <v>0.76</v>
      </c>
      <c r="N2668" t="s">
        <v>280</v>
      </c>
      <c r="O2668">
        <v>42</v>
      </c>
    </row>
    <row r="2669" spans="1:15">
      <c r="A2669" s="1">
        <v>46062</v>
      </c>
      <c r="B2669">
        <v>19</v>
      </c>
      <c r="C2669" t="s">
        <v>94</v>
      </c>
      <c r="D2669">
        <v>19</v>
      </c>
      <c r="E2669" s="2">
        <v>19</v>
      </c>
      <c r="F2669" s="2">
        <v>-139.77000000000001</v>
      </c>
      <c r="G2669" s="2">
        <v>137.97999999999999</v>
      </c>
      <c r="H2669" s="2">
        <v>-39.9</v>
      </c>
      <c r="I2669" s="2">
        <v>57.31</v>
      </c>
      <c r="J2669" s="2">
        <v>-1.1499999999999999</v>
      </c>
      <c r="K2669" s="2">
        <v>3.22</v>
      </c>
      <c r="L2669" s="2">
        <v>3.42</v>
      </c>
      <c r="M2669" s="2">
        <v>0.62</v>
      </c>
      <c r="N2669" t="s">
        <v>280</v>
      </c>
      <c r="O2669">
        <v>42</v>
      </c>
    </row>
    <row r="2670" spans="1:15">
      <c r="A2670" s="1">
        <v>46062</v>
      </c>
      <c r="B2670">
        <v>19</v>
      </c>
      <c r="C2670" t="s">
        <v>94</v>
      </c>
      <c r="D2670">
        <v>19</v>
      </c>
      <c r="E2670" s="2">
        <v>19.5</v>
      </c>
      <c r="F2670" s="2">
        <v>-133.82</v>
      </c>
      <c r="G2670" s="2">
        <v>138.32</v>
      </c>
      <c r="H2670" s="2">
        <v>-41.23</v>
      </c>
      <c r="I2670" s="2">
        <v>54.6</v>
      </c>
      <c r="J2670" s="2">
        <v>-1.22</v>
      </c>
      <c r="K2670" s="2">
        <v>2.96</v>
      </c>
      <c r="L2670" s="2">
        <v>3.2</v>
      </c>
      <c r="M2670" s="2">
        <v>0.5</v>
      </c>
      <c r="N2670" t="s">
        <v>280</v>
      </c>
      <c r="O2670">
        <v>42</v>
      </c>
    </row>
    <row r="2671" spans="1:15">
      <c r="A2671" s="1">
        <v>46062</v>
      </c>
      <c r="B2671">
        <v>19</v>
      </c>
      <c r="C2671" t="s">
        <v>94</v>
      </c>
      <c r="D2671">
        <v>19</v>
      </c>
      <c r="E2671" s="2">
        <v>20</v>
      </c>
      <c r="F2671" s="2">
        <v>-150.32</v>
      </c>
      <c r="G2671" s="2">
        <v>154.13</v>
      </c>
      <c r="H2671" s="2">
        <v>-46.63</v>
      </c>
      <c r="I2671" s="2">
        <v>52.45</v>
      </c>
      <c r="J2671" s="2">
        <v>-1.3</v>
      </c>
      <c r="K2671" s="2">
        <v>2.69</v>
      </c>
      <c r="L2671" s="2">
        <v>2.99</v>
      </c>
      <c r="M2671" s="2">
        <v>0.35</v>
      </c>
      <c r="N2671" t="s">
        <v>280</v>
      </c>
      <c r="O2671">
        <v>42</v>
      </c>
    </row>
    <row r="2672" spans="1:15">
      <c r="A2672" s="1">
        <v>46062</v>
      </c>
      <c r="B2672">
        <v>19</v>
      </c>
      <c r="C2672" t="s">
        <v>94</v>
      </c>
      <c r="D2672">
        <v>19</v>
      </c>
      <c r="E2672" s="2">
        <v>20.5</v>
      </c>
      <c r="F2672" s="2">
        <v>-164.55</v>
      </c>
      <c r="G2672" s="2">
        <v>167.67</v>
      </c>
      <c r="H2672" s="2">
        <v>-22.16</v>
      </c>
      <c r="I2672" s="2">
        <v>31.62</v>
      </c>
      <c r="J2672" s="2">
        <v>-1.51</v>
      </c>
      <c r="K2672" s="2">
        <v>2.39</v>
      </c>
      <c r="L2672" s="2">
        <v>2.83</v>
      </c>
      <c r="M2672" s="2">
        <v>0.19</v>
      </c>
      <c r="N2672" t="s">
        <v>280</v>
      </c>
      <c r="O2672">
        <v>42</v>
      </c>
    </row>
    <row r="2673" spans="1:15">
      <c r="A2673" s="1">
        <v>46062</v>
      </c>
      <c r="B2673">
        <v>19</v>
      </c>
      <c r="C2673" t="s">
        <v>94</v>
      </c>
      <c r="D2673">
        <v>19</v>
      </c>
      <c r="E2673" s="2">
        <v>21</v>
      </c>
      <c r="F2673" s="2">
        <v>-153.99</v>
      </c>
      <c r="G2673" s="2">
        <v>156.63999999999999</v>
      </c>
      <c r="H2673" s="2">
        <v>-9.08</v>
      </c>
      <c r="I2673" s="2">
        <v>22.05</v>
      </c>
      <c r="J2673" s="2">
        <v>-1.43</v>
      </c>
      <c r="K2673" s="2">
        <v>2.2200000000000002</v>
      </c>
      <c r="L2673" s="2">
        <v>2.64</v>
      </c>
      <c r="M2673" s="2">
        <v>-0.01</v>
      </c>
      <c r="N2673" t="s">
        <v>280</v>
      </c>
      <c r="O2673">
        <v>42</v>
      </c>
    </row>
    <row r="2674" spans="1:15">
      <c r="A2674" s="1">
        <v>46062</v>
      </c>
      <c r="B2674">
        <v>19</v>
      </c>
      <c r="C2674" t="s">
        <v>94</v>
      </c>
      <c r="D2674">
        <v>19</v>
      </c>
      <c r="E2674" s="2">
        <v>21.5</v>
      </c>
      <c r="F2674" s="2">
        <v>-79.010000000000005</v>
      </c>
      <c r="G2674" s="2">
        <v>82.12</v>
      </c>
      <c r="H2674" s="2">
        <v>-18.100000000000001</v>
      </c>
      <c r="I2674" s="2">
        <v>31.87</v>
      </c>
      <c r="J2674" s="2">
        <v>-1.39</v>
      </c>
      <c r="K2674" s="2">
        <v>2.29</v>
      </c>
      <c r="L2674" s="2">
        <v>2.68</v>
      </c>
      <c r="M2674" s="2">
        <v>-0.02</v>
      </c>
      <c r="N2674" t="s">
        <v>280</v>
      </c>
      <c r="O2674">
        <v>42</v>
      </c>
    </row>
    <row r="2675" spans="1:15">
      <c r="A2675" s="1">
        <v>46062</v>
      </c>
      <c r="B2675">
        <v>19</v>
      </c>
      <c r="C2675" t="s">
        <v>94</v>
      </c>
      <c r="D2675">
        <v>19</v>
      </c>
      <c r="E2675" s="2">
        <v>22</v>
      </c>
      <c r="F2675" s="2">
        <v>0.03</v>
      </c>
      <c r="G2675" s="2">
        <v>1.76</v>
      </c>
      <c r="H2675" s="2">
        <v>-107.61</v>
      </c>
      <c r="I2675" s="2">
        <v>127.3</v>
      </c>
      <c r="J2675" s="2">
        <v>-1.46</v>
      </c>
      <c r="K2675" s="2">
        <v>2.2799999999999998</v>
      </c>
      <c r="L2675" s="2">
        <v>2.7</v>
      </c>
      <c r="M2675" s="2">
        <v>0</v>
      </c>
      <c r="N2675" t="s">
        <v>280</v>
      </c>
      <c r="O2675">
        <v>42</v>
      </c>
    </row>
    <row r="2676" spans="1:15">
      <c r="A2676" s="1">
        <v>46062</v>
      </c>
      <c r="B2676">
        <v>19</v>
      </c>
      <c r="C2676" t="s">
        <v>94</v>
      </c>
      <c r="D2676">
        <v>19</v>
      </c>
      <c r="E2676" s="2">
        <v>22.5</v>
      </c>
      <c r="F2676" s="2">
        <v>-38.17</v>
      </c>
      <c r="G2676" s="2">
        <v>38.51</v>
      </c>
      <c r="H2676" s="2">
        <v>-61.84</v>
      </c>
      <c r="I2676" s="2">
        <v>54.34</v>
      </c>
      <c r="J2676" s="2">
        <v>-1.66</v>
      </c>
      <c r="K2676" s="2">
        <v>1.9</v>
      </c>
      <c r="L2676" s="2">
        <v>2.52</v>
      </c>
      <c r="M2676" s="2">
        <v>-0.04</v>
      </c>
      <c r="N2676" t="s">
        <v>280</v>
      </c>
      <c r="O2676">
        <v>42</v>
      </c>
    </row>
    <row r="2677" spans="1:15">
      <c r="A2677" s="1">
        <v>46062</v>
      </c>
      <c r="B2677">
        <v>19</v>
      </c>
      <c r="C2677" t="s">
        <v>94</v>
      </c>
      <c r="D2677">
        <v>19</v>
      </c>
      <c r="E2677" s="2">
        <v>23</v>
      </c>
      <c r="F2677" s="2">
        <v>-64.36</v>
      </c>
      <c r="G2677" s="2">
        <v>64.819999999999993</v>
      </c>
      <c r="H2677" s="2">
        <v>-25.02</v>
      </c>
      <c r="I2677" s="2">
        <v>16.09</v>
      </c>
      <c r="J2677" s="2">
        <v>-1.99</v>
      </c>
      <c r="K2677" s="2">
        <v>1.43</v>
      </c>
      <c r="L2677" s="2">
        <v>2.4500000000000002</v>
      </c>
      <c r="M2677" s="2">
        <v>-0.14000000000000001</v>
      </c>
      <c r="N2677" t="s">
        <v>280</v>
      </c>
      <c r="O2677">
        <v>42</v>
      </c>
    </row>
    <row r="2678" spans="1:15">
      <c r="A2678" s="1">
        <v>46062</v>
      </c>
      <c r="B2678">
        <v>19</v>
      </c>
      <c r="C2678" t="s">
        <v>94</v>
      </c>
      <c r="D2678">
        <v>19</v>
      </c>
      <c r="E2678" s="2">
        <v>23.5</v>
      </c>
      <c r="F2678" s="2">
        <v>-79.14</v>
      </c>
      <c r="G2678" s="2">
        <v>81.209999999999994</v>
      </c>
      <c r="H2678" s="2">
        <v>1.25</v>
      </c>
      <c r="I2678" s="2">
        <v>-10.08</v>
      </c>
      <c r="J2678" s="2">
        <v>-2.39</v>
      </c>
      <c r="K2678" s="2">
        <v>0.92</v>
      </c>
      <c r="L2678" s="2">
        <v>2.56</v>
      </c>
      <c r="M2678" s="2">
        <v>-0.03</v>
      </c>
      <c r="N2678" t="s">
        <v>280</v>
      </c>
      <c r="O2678">
        <v>42</v>
      </c>
    </row>
    <row r="2679" spans="1:15">
      <c r="A2679" s="1">
        <v>46062</v>
      </c>
      <c r="B2679">
        <v>19</v>
      </c>
      <c r="C2679" t="s">
        <v>94</v>
      </c>
      <c r="D2679">
        <v>19</v>
      </c>
      <c r="E2679" s="2">
        <v>24</v>
      </c>
      <c r="F2679" s="2">
        <v>-80.45</v>
      </c>
      <c r="G2679" s="2">
        <v>81.28</v>
      </c>
      <c r="H2679" s="2">
        <v>5.28</v>
      </c>
      <c r="I2679" s="2">
        <v>-14.57</v>
      </c>
      <c r="J2679" s="2">
        <v>-2.7</v>
      </c>
      <c r="K2679" s="2">
        <v>0.52</v>
      </c>
      <c r="L2679" s="2">
        <v>2.75</v>
      </c>
      <c r="M2679" s="2">
        <v>0.04</v>
      </c>
      <c r="N2679" t="s">
        <v>280</v>
      </c>
      <c r="O2679">
        <v>42</v>
      </c>
    </row>
    <row r="2680" spans="1:15">
      <c r="A2680" s="1">
        <v>46062</v>
      </c>
      <c r="B2680">
        <v>19</v>
      </c>
      <c r="C2680" t="s">
        <v>94</v>
      </c>
      <c r="D2680">
        <v>19</v>
      </c>
      <c r="E2680" s="2">
        <v>24.5</v>
      </c>
      <c r="F2680" s="2">
        <v>-88.44</v>
      </c>
      <c r="G2680" s="2">
        <v>70</v>
      </c>
      <c r="H2680" s="2">
        <v>43.89</v>
      </c>
      <c r="I2680" s="2">
        <v>-35.68</v>
      </c>
      <c r="J2680" s="2">
        <v>-2.4500000000000002</v>
      </c>
      <c r="K2680" s="2">
        <v>0.2</v>
      </c>
      <c r="L2680" s="2">
        <v>2.46</v>
      </c>
      <c r="M2680" s="2">
        <v>0.09</v>
      </c>
      <c r="N2680" t="s">
        <v>280</v>
      </c>
      <c r="O2680">
        <v>42</v>
      </c>
    </row>
    <row r="2681" spans="1:15">
      <c r="A2681" s="1">
        <v>46062</v>
      </c>
      <c r="B2681">
        <v>19</v>
      </c>
      <c r="C2681" t="s">
        <v>94</v>
      </c>
      <c r="D2681">
        <v>19</v>
      </c>
      <c r="E2681" s="2">
        <v>25</v>
      </c>
      <c r="F2681" s="2">
        <v>-102.87</v>
      </c>
      <c r="G2681" s="2">
        <v>119.08</v>
      </c>
      <c r="H2681" s="2">
        <v>-35.28</v>
      </c>
      <c r="I2681" s="2">
        <v>62.67</v>
      </c>
      <c r="J2681" s="2">
        <v>-1.43</v>
      </c>
      <c r="K2681" s="2">
        <v>0.9</v>
      </c>
      <c r="L2681" s="2">
        <v>1.69</v>
      </c>
      <c r="M2681" s="2">
        <v>-0.37</v>
      </c>
      <c r="N2681" t="s">
        <v>280</v>
      </c>
      <c r="O2681">
        <v>42</v>
      </c>
    </row>
    <row r="2682" spans="1:15">
      <c r="A2682" s="1">
        <v>46062</v>
      </c>
      <c r="B2682">
        <v>19</v>
      </c>
      <c r="C2682" t="s">
        <v>94</v>
      </c>
      <c r="D2682">
        <v>19</v>
      </c>
      <c r="E2682" s="2">
        <v>25.5</v>
      </c>
      <c r="F2682" s="2">
        <v>-103.71</v>
      </c>
      <c r="G2682" s="2">
        <v>105.2</v>
      </c>
      <c r="H2682" s="2">
        <v>-45.89</v>
      </c>
      <c r="I2682" s="2">
        <v>43.27</v>
      </c>
      <c r="J2682" s="2">
        <v>-1.43</v>
      </c>
      <c r="K2682" s="2">
        <v>0.61</v>
      </c>
      <c r="L2682" s="2">
        <v>1.56</v>
      </c>
      <c r="M2682" s="2">
        <v>-0.48</v>
      </c>
      <c r="N2682" t="s">
        <v>280</v>
      </c>
      <c r="O2682">
        <v>42</v>
      </c>
    </row>
    <row r="2683" spans="1:15">
      <c r="A2683" s="1">
        <v>46062</v>
      </c>
      <c r="B2683">
        <v>19</v>
      </c>
      <c r="C2683" t="s">
        <v>94</v>
      </c>
      <c r="D2683">
        <v>19</v>
      </c>
      <c r="E2683" s="2">
        <v>26</v>
      </c>
      <c r="F2683" s="2">
        <v>-59.28</v>
      </c>
      <c r="G2683" s="2">
        <v>61.14</v>
      </c>
      <c r="H2683" s="2">
        <v>-35.090000000000003</v>
      </c>
      <c r="I2683" s="2">
        <v>30.16</v>
      </c>
      <c r="J2683" s="2">
        <v>-1.7</v>
      </c>
      <c r="K2683" s="2">
        <v>0.37</v>
      </c>
      <c r="L2683" s="2">
        <v>1.74</v>
      </c>
      <c r="M2683" s="2">
        <v>-0.25</v>
      </c>
      <c r="N2683" t="s">
        <v>280</v>
      </c>
      <c r="O2683">
        <v>42</v>
      </c>
    </row>
    <row r="2684" spans="1:15">
      <c r="A2684" s="1">
        <v>46062</v>
      </c>
      <c r="B2684">
        <v>19</v>
      </c>
      <c r="C2684" t="s">
        <v>94</v>
      </c>
      <c r="D2684">
        <v>19</v>
      </c>
      <c r="E2684" s="2">
        <v>26.5</v>
      </c>
      <c r="F2684" s="2">
        <v>-5.63</v>
      </c>
      <c r="G2684" s="2">
        <v>5.81</v>
      </c>
      <c r="H2684" s="2">
        <v>4.72</v>
      </c>
      <c r="I2684" s="2">
        <v>-5.67</v>
      </c>
      <c r="J2684" s="2">
        <v>-1.65</v>
      </c>
      <c r="K2684" s="2">
        <v>0.24</v>
      </c>
      <c r="L2684" s="2">
        <v>1.67</v>
      </c>
      <c r="M2684" s="2">
        <v>-0.12</v>
      </c>
      <c r="N2684" t="s">
        <v>280</v>
      </c>
      <c r="O2684">
        <v>42</v>
      </c>
    </row>
    <row r="2685" spans="1:15">
      <c r="A2685" s="1">
        <v>46062</v>
      </c>
      <c r="B2685">
        <v>19</v>
      </c>
      <c r="C2685" t="s">
        <v>94</v>
      </c>
      <c r="D2685">
        <v>19</v>
      </c>
      <c r="E2685" s="2">
        <v>27</v>
      </c>
      <c r="F2685" s="2">
        <v>56.94</v>
      </c>
      <c r="G2685" s="2">
        <v>-55.46</v>
      </c>
      <c r="H2685" s="2">
        <v>50.94</v>
      </c>
      <c r="I2685" s="2">
        <v>-54.82</v>
      </c>
      <c r="J2685" s="2">
        <v>-1.01</v>
      </c>
      <c r="K2685" s="2">
        <v>0.13</v>
      </c>
      <c r="L2685" s="2">
        <v>1.02</v>
      </c>
      <c r="M2685" s="2">
        <v>-0.04</v>
      </c>
      <c r="N2685" t="s">
        <v>280</v>
      </c>
      <c r="O2685">
        <v>42</v>
      </c>
    </row>
    <row r="2686" spans="1:15">
      <c r="A2686" s="1">
        <v>46062</v>
      </c>
      <c r="B2686">
        <v>19</v>
      </c>
      <c r="C2686" t="s">
        <v>99</v>
      </c>
      <c r="D2686">
        <v>19</v>
      </c>
      <c r="E2686" s="2">
        <v>0.5</v>
      </c>
      <c r="F2686" s="2">
        <v>-415.54</v>
      </c>
      <c r="G2686" s="2">
        <v>411.74</v>
      </c>
      <c r="H2686" s="2">
        <v>-144.86000000000001</v>
      </c>
      <c r="I2686" s="2">
        <v>148.6</v>
      </c>
      <c r="J2686" s="2">
        <v>3.92</v>
      </c>
      <c r="K2686" s="2">
        <v>-5.82</v>
      </c>
      <c r="L2686" s="2">
        <v>7.02</v>
      </c>
      <c r="M2686" s="2">
        <v>1.02</v>
      </c>
      <c r="N2686" t="s">
        <v>280</v>
      </c>
      <c r="O2686">
        <v>80</v>
      </c>
    </row>
    <row r="2687" spans="1:15">
      <c r="A2687" s="1">
        <v>46062</v>
      </c>
      <c r="B2687">
        <v>19</v>
      </c>
      <c r="C2687" t="s">
        <v>99</v>
      </c>
      <c r="D2687">
        <v>19</v>
      </c>
      <c r="E2687" s="2">
        <v>1</v>
      </c>
      <c r="F2687" s="2">
        <v>-416.85</v>
      </c>
      <c r="G2687" s="2">
        <v>404.53</v>
      </c>
      <c r="H2687" s="2">
        <v>-145.94999999999999</v>
      </c>
      <c r="I2687" s="2">
        <v>145.86000000000001</v>
      </c>
      <c r="J2687" s="2">
        <v>4</v>
      </c>
      <c r="K2687" s="2">
        <v>-5.15</v>
      </c>
      <c r="L2687" s="2">
        <v>6.52</v>
      </c>
      <c r="M2687" s="2">
        <v>0.89</v>
      </c>
      <c r="N2687" t="s">
        <v>280</v>
      </c>
      <c r="O2687">
        <v>80</v>
      </c>
    </row>
    <row r="2688" spans="1:15">
      <c r="A2688" s="1">
        <v>46062</v>
      </c>
      <c r="B2688">
        <v>19</v>
      </c>
      <c r="C2688" t="s">
        <v>99</v>
      </c>
      <c r="D2688">
        <v>19</v>
      </c>
      <c r="E2688" s="2">
        <v>1.5</v>
      </c>
      <c r="F2688" s="2">
        <v>-376.06</v>
      </c>
      <c r="G2688" s="2">
        <v>377.18</v>
      </c>
      <c r="H2688" s="2">
        <v>-168.16</v>
      </c>
      <c r="I2688" s="2">
        <v>157.34</v>
      </c>
      <c r="J2688" s="2">
        <v>4.22</v>
      </c>
      <c r="K2688" s="2">
        <v>-4.49</v>
      </c>
      <c r="L2688" s="2">
        <v>6.16</v>
      </c>
      <c r="M2688" s="2">
        <v>0.61</v>
      </c>
      <c r="N2688" t="s">
        <v>280</v>
      </c>
      <c r="O2688">
        <v>80</v>
      </c>
    </row>
    <row r="2689" spans="1:15">
      <c r="A2689" s="1">
        <v>46062</v>
      </c>
      <c r="B2689">
        <v>19</v>
      </c>
      <c r="C2689" t="s">
        <v>99</v>
      </c>
      <c r="D2689">
        <v>19</v>
      </c>
      <c r="E2689" s="2">
        <v>2</v>
      </c>
      <c r="F2689" s="2">
        <v>-332.43</v>
      </c>
      <c r="G2689" s="2">
        <v>336.12</v>
      </c>
      <c r="H2689" s="2">
        <v>-199.78</v>
      </c>
      <c r="I2689" s="2">
        <v>208.63</v>
      </c>
      <c r="J2689" s="2">
        <v>4.4000000000000004</v>
      </c>
      <c r="K2689" s="2">
        <v>-4.5599999999999996</v>
      </c>
      <c r="L2689" s="2">
        <v>6.34</v>
      </c>
      <c r="M2689" s="2">
        <v>0.81</v>
      </c>
      <c r="N2689" t="s">
        <v>280</v>
      </c>
      <c r="O2689">
        <v>80</v>
      </c>
    </row>
    <row r="2690" spans="1:15">
      <c r="A2690" s="1">
        <v>46062</v>
      </c>
      <c r="B2690">
        <v>19</v>
      </c>
      <c r="C2690" t="s">
        <v>99</v>
      </c>
      <c r="D2690">
        <v>19</v>
      </c>
      <c r="E2690" s="2">
        <v>2.5</v>
      </c>
      <c r="F2690" s="2">
        <v>-309.70999999999998</v>
      </c>
      <c r="G2690" s="2">
        <v>312.52999999999997</v>
      </c>
      <c r="H2690" s="2">
        <v>-198.2</v>
      </c>
      <c r="I2690" s="2">
        <v>199.66</v>
      </c>
      <c r="J2690" s="2">
        <v>4.5199999999999996</v>
      </c>
      <c r="K2690" s="2">
        <v>-4.33</v>
      </c>
      <c r="L2690" s="2">
        <v>6.26</v>
      </c>
      <c r="M2690" s="2">
        <v>0.76</v>
      </c>
      <c r="N2690" t="s">
        <v>280</v>
      </c>
      <c r="O2690">
        <v>80</v>
      </c>
    </row>
    <row r="2691" spans="1:15">
      <c r="A2691" s="1">
        <v>46062</v>
      </c>
      <c r="B2691">
        <v>19</v>
      </c>
      <c r="C2691" t="s">
        <v>99</v>
      </c>
      <c r="D2691">
        <v>19</v>
      </c>
      <c r="E2691" s="2">
        <v>3</v>
      </c>
      <c r="F2691" s="2">
        <v>-271.08999999999997</v>
      </c>
      <c r="G2691" s="2">
        <v>274.17</v>
      </c>
      <c r="H2691" s="2">
        <v>-136.16</v>
      </c>
      <c r="I2691" s="2">
        <v>148.38999999999999</v>
      </c>
      <c r="J2691" s="2">
        <v>4.51</v>
      </c>
      <c r="K2691" s="2">
        <v>-4.5599999999999996</v>
      </c>
      <c r="L2691" s="2">
        <v>6.41</v>
      </c>
      <c r="M2691" s="2">
        <v>0.77</v>
      </c>
      <c r="N2691" t="s">
        <v>280</v>
      </c>
      <c r="O2691">
        <v>80</v>
      </c>
    </row>
    <row r="2692" spans="1:15">
      <c r="A2692" s="1">
        <v>46062</v>
      </c>
      <c r="B2692">
        <v>19</v>
      </c>
      <c r="C2692" t="s">
        <v>99</v>
      </c>
      <c r="D2692">
        <v>19</v>
      </c>
      <c r="E2692" s="2">
        <v>3.5</v>
      </c>
      <c r="F2692" s="2">
        <v>-205.45</v>
      </c>
      <c r="G2692" s="2">
        <v>208.44</v>
      </c>
      <c r="H2692" s="2">
        <v>-79.319999999999993</v>
      </c>
      <c r="I2692" s="2">
        <v>80.31</v>
      </c>
      <c r="J2692" s="2">
        <v>4.57</v>
      </c>
      <c r="K2692" s="2">
        <v>-4.67</v>
      </c>
      <c r="L2692" s="2">
        <v>6.53</v>
      </c>
      <c r="M2692" s="2">
        <v>0.82</v>
      </c>
      <c r="N2692" t="s">
        <v>280</v>
      </c>
      <c r="O2692">
        <v>80</v>
      </c>
    </row>
    <row r="2693" spans="1:15">
      <c r="A2693" s="1">
        <v>46062</v>
      </c>
      <c r="B2693">
        <v>19</v>
      </c>
      <c r="C2693" t="s">
        <v>99</v>
      </c>
      <c r="D2693">
        <v>19</v>
      </c>
      <c r="E2693" s="2">
        <v>4</v>
      </c>
      <c r="F2693" s="2">
        <v>-149.81</v>
      </c>
      <c r="G2693" s="2">
        <v>153.97999999999999</v>
      </c>
      <c r="H2693" s="2">
        <v>-66.73</v>
      </c>
      <c r="I2693" s="2">
        <v>66.62</v>
      </c>
      <c r="J2693" s="2">
        <v>4.78</v>
      </c>
      <c r="K2693" s="2">
        <v>-4.5</v>
      </c>
      <c r="L2693" s="2">
        <v>6.56</v>
      </c>
      <c r="M2693" s="2">
        <v>0.88</v>
      </c>
      <c r="N2693" t="s">
        <v>280</v>
      </c>
      <c r="O2693">
        <v>80</v>
      </c>
    </row>
    <row r="2694" spans="1:15">
      <c r="A2694" s="1">
        <v>46062</v>
      </c>
      <c r="B2694">
        <v>19</v>
      </c>
      <c r="C2694" t="s">
        <v>99</v>
      </c>
      <c r="D2694">
        <v>19</v>
      </c>
      <c r="E2694" s="2">
        <v>4.5</v>
      </c>
      <c r="F2694" s="2">
        <v>-100.54</v>
      </c>
      <c r="G2694" s="2">
        <v>102.53</v>
      </c>
      <c r="H2694" s="2">
        <v>-107.45</v>
      </c>
      <c r="I2694" s="2">
        <v>123.13</v>
      </c>
      <c r="J2694" s="2">
        <v>4.97</v>
      </c>
      <c r="K2694" s="2">
        <v>-4.49</v>
      </c>
      <c r="L2694" s="2">
        <v>6.69</v>
      </c>
      <c r="M2694" s="2">
        <v>0.81</v>
      </c>
      <c r="N2694" t="s">
        <v>280</v>
      </c>
      <c r="O2694">
        <v>80</v>
      </c>
    </row>
    <row r="2695" spans="1:15">
      <c r="A2695" s="1">
        <v>46062</v>
      </c>
      <c r="B2695">
        <v>19</v>
      </c>
      <c r="C2695" t="s">
        <v>99</v>
      </c>
      <c r="D2695">
        <v>19</v>
      </c>
      <c r="E2695" s="2">
        <v>5</v>
      </c>
      <c r="F2695" s="2">
        <v>-25.6</v>
      </c>
      <c r="G2695" s="2">
        <v>29.81</v>
      </c>
      <c r="H2695" s="2">
        <v>-139.96</v>
      </c>
      <c r="I2695" s="2">
        <v>152.69999999999999</v>
      </c>
      <c r="J2695" s="2">
        <v>5.18</v>
      </c>
      <c r="K2695" s="2">
        <v>-4.45</v>
      </c>
      <c r="L2695" s="2">
        <v>6.83</v>
      </c>
      <c r="M2695" s="2">
        <v>0.84</v>
      </c>
      <c r="N2695" t="s">
        <v>280</v>
      </c>
      <c r="O2695">
        <v>80</v>
      </c>
    </row>
    <row r="2696" spans="1:15">
      <c r="A2696" s="1">
        <v>46062</v>
      </c>
      <c r="B2696">
        <v>19</v>
      </c>
      <c r="C2696" t="s">
        <v>99</v>
      </c>
      <c r="D2696">
        <v>19</v>
      </c>
      <c r="E2696" s="2">
        <v>5.5</v>
      </c>
      <c r="F2696" s="2">
        <v>39.51</v>
      </c>
      <c r="G2696" s="2">
        <v>-36.76</v>
      </c>
      <c r="H2696" s="2">
        <v>-150.1</v>
      </c>
      <c r="I2696" s="2">
        <v>155.27000000000001</v>
      </c>
      <c r="J2696" s="2">
        <v>5.46</v>
      </c>
      <c r="K2696" s="2">
        <v>-4.3099999999999996</v>
      </c>
      <c r="L2696" s="2">
        <v>6.96</v>
      </c>
      <c r="M2696" s="2">
        <v>0.89</v>
      </c>
      <c r="N2696" t="s">
        <v>280</v>
      </c>
      <c r="O2696">
        <v>80</v>
      </c>
    </row>
    <row r="2697" spans="1:15">
      <c r="A2697" s="1">
        <v>46062</v>
      </c>
      <c r="B2697">
        <v>19</v>
      </c>
      <c r="C2697" t="s">
        <v>99</v>
      </c>
      <c r="D2697">
        <v>19</v>
      </c>
      <c r="E2697" s="2">
        <v>6</v>
      </c>
      <c r="F2697" s="2">
        <v>76.569999999999993</v>
      </c>
      <c r="G2697" s="2">
        <v>-72.599999999999994</v>
      </c>
      <c r="H2697" s="2">
        <v>-179.91</v>
      </c>
      <c r="I2697" s="2">
        <v>183.94</v>
      </c>
      <c r="J2697" s="2">
        <v>5.73</v>
      </c>
      <c r="K2697" s="2">
        <v>-4.43</v>
      </c>
      <c r="L2697" s="2">
        <v>7.25</v>
      </c>
      <c r="M2697" s="2">
        <v>0.92</v>
      </c>
      <c r="N2697" t="s">
        <v>280</v>
      </c>
      <c r="O2697">
        <v>80</v>
      </c>
    </row>
    <row r="2698" spans="1:15">
      <c r="A2698" s="1">
        <v>46062</v>
      </c>
      <c r="B2698">
        <v>19</v>
      </c>
      <c r="C2698" t="s">
        <v>99</v>
      </c>
      <c r="D2698">
        <v>19</v>
      </c>
      <c r="E2698" s="2">
        <v>6.5</v>
      </c>
      <c r="F2698" s="2">
        <v>181.3</v>
      </c>
      <c r="G2698" s="2">
        <v>-176.62</v>
      </c>
      <c r="H2698" s="2">
        <v>-178.07</v>
      </c>
      <c r="I2698" s="2">
        <v>174.51</v>
      </c>
      <c r="J2698" s="2">
        <v>5.95</v>
      </c>
      <c r="K2698" s="2">
        <v>-4.29</v>
      </c>
      <c r="L2698" s="2">
        <v>7.34</v>
      </c>
      <c r="M2698" s="2">
        <v>0.81</v>
      </c>
      <c r="N2698" t="s">
        <v>280</v>
      </c>
      <c r="O2698">
        <v>80</v>
      </c>
    </row>
    <row r="2699" spans="1:15">
      <c r="A2699" s="1">
        <v>46062</v>
      </c>
      <c r="B2699">
        <v>19</v>
      </c>
      <c r="C2699" t="s">
        <v>99</v>
      </c>
      <c r="D2699">
        <v>19</v>
      </c>
      <c r="E2699" s="2">
        <v>7</v>
      </c>
      <c r="F2699" s="2">
        <v>283.14999999999998</v>
      </c>
      <c r="G2699" s="2">
        <v>-279.74</v>
      </c>
      <c r="H2699" s="2">
        <v>-190.46</v>
      </c>
      <c r="I2699" s="2">
        <v>177.07</v>
      </c>
      <c r="J2699" s="2">
        <v>6.21</v>
      </c>
      <c r="K2699" s="2">
        <v>-4.1399999999999997</v>
      </c>
      <c r="L2699" s="2">
        <v>7.46</v>
      </c>
      <c r="M2699" s="2">
        <v>0.8</v>
      </c>
      <c r="N2699" t="s">
        <v>280</v>
      </c>
      <c r="O2699">
        <v>80</v>
      </c>
    </row>
    <row r="2700" spans="1:15">
      <c r="A2700" s="1">
        <v>46062</v>
      </c>
      <c r="B2700">
        <v>19</v>
      </c>
      <c r="C2700" t="s">
        <v>99</v>
      </c>
      <c r="D2700">
        <v>19</v>
      </c>
      <c r="E2700" s="2">
        <v>7.5</v>
      </c>
      <c r="F2700" s="2">
        <v>308.45</v>
      </c>
      <c r="G2700" s="2">
        <v>-298.82</v>
      </c>
      <c r="H2700" s="2">
        <v>-173.05</v>
      </c>
      <c r="I2700" s="2">
        <v>168.16</v>
      </c>
      <c r="J2700" s="2">
        <v>6.38</v>
      </c>
      <c r="K2700" s="2">
        <v>-4.05</v>
      </c>
      <c r="L2700" s="2">
        <v>7.56</v>
      </c>
      <c r="M2700" s="2">
        <v>0.73</v>
      </c>
      <c r="N2700" t="s">
        <v>280</v>
      </c>
      <c r="O2700">
        <v>80</v>
      </c>
    </row>
    <row r="2701" spans="1:15">
      <c r="A2701" s="1">
        <v>46062</v>
      </c>
      <c r="B2701">
        <v>19</v>
      </c>
      <c r="C2701" t="s">
        <v>99</v>
      </c>
      <c r="D2701">
        <v>19</v>
      </c>
      <c r="E2701" s="2">
        <v>8</v>
      </c>
      <c r="F2701" s="2">
        <v>274.73</v>
      </c>
      <c r="G2701" s="2">
        <v>-275.43</v>
      </c>
      <c r="H2701" s="2">
        <v>-72.900000000000006</v>
      </c>
      <c r="I2701" s="2">
        <v>80.11</v>
      </c>
      <c r="J2701" s="2">
        <v>6.69</v>
      </c>
      <c r="K2701" s="2">
        <v>-4.21</v>
      </c>
      <c r="L2701" s="2">
        <v>7.9</v>
      </c>
      <c r="M2701" s="2">
        <v>0.76</v>
      </c>
      <c r="N2701" t="s">
        <v>280</v>
      </c>
      <c r="O2701">
        <v>80</v>
      </c>
    </row>
    <row r="2702" spans="1:15">
      <c r="A2702" s="1">
        <v>46062</v>
      </c>
      <c r="B2702">
        <v>19</v>
      </c>
      <c r="C2702" t="s">
        <v>99</v>
      </c>
      <c r="D2702">
        <v>19</v>
      </c>
      <c r="E2702" s="2">
        <v>8.5</v>
      </c>
      <c r="F2702" s="2">
        <v>342.91</v>
      </c>
      <c r="G2702" s="2">
        <v>-333.14</v>
      </c>
      <c r="H2702" s="2">
        <v>-15.99</v>
      </c>
      <c r="I2702" s="2">
        <v>25.64</v>
      </c>
      <c r="J2702" s="2">
        <v>6.94</v>
      </c>
      <c r="K2702" s="2">
        <v>-4.34</v>
      </c>
      <c r="L2702" s="2">
        <v>8.19</v>
      </c>
      <c r="M2702" s="2">
        <v>0.7</v>
      </c>
      <c r="N2702" t="s">
        <v>280</v>
      </c>
      <c r="O2702">
        <v>80</v>
      </c>
    </row>
    <row r="2703" spans="1:15">
      <c r="A2703" s="1">
        <v>46062</v>
      </c>
      <c r="B2703">
        <v>19</v>
      </c>
      <c r="C2703" t="s">
        <v>99</v>
      </c>
      <c r="D2703">
        <v>19</v>
      </c>
      <c r="E2703" s="2">
        <v>9</v>
      </c>
      <c r="F2703" s="2">
        <v>321.24</v>
      </c>
      <c r="G2703" s="2">
        <v>-320.13</v>
      </c>
      <c r="H2703" s="2">
        <v>22.64</v>
      </c>
      <c r="I2703" s="2">
        <v>10.75</v>
      </c>
      <c r="J2703" s="2">
        <v>7.12</v>
      </c>
      <c r="K2703" s="2">
        <v>-4.75</v>
      </c>
      <c r="L2703" s="2">
        <v>8.56</v>
      </c>
      <c r="M2703" s="2">
        <v>0.72</v>
      </c>
      <c r="N2703" t="s">
        <v>280</v>
      </c>
      <c r="O2703">
        <v>80</v>
      </c>
    </row>
    <row r="2704" spans="1:15">
      <c r="A2704" s="1">
        <v>46062</v>
      </c>
      <c r="B2704">
        <v>19</v>
      </c>
      <c r="C2704" t="s">
        <v>99</v>
      </c>
      <c r="D2704">
        <v>19</v>
      </c>
      <c r="E2704" s="2">
        <v>9.5</v>
      </c>
      <c r="F2704" s="2">
        <v>221.65</v>
      </c>
      <c r="G2704" s="2">
        <v>-212.49</v>
      </c>
      <c r="H2704" s="2">
        <v>109.67</v>
      </c>
      <c r="I2704" s="2">
        <v>-104.64</v>
      </c>
      <c r="J2704" s="2">
        <v>7.35</v>
      </c>
      <c r="K2704" s="2">
        <v>-5.99</v>
      </c>
      <c r="L2704" s="2">
        <v>9.49</v>
      </c>
      <c r="M2704" s="2">
        <v>0.57999999999999996</v>
      </c>
      <c r="N2704" t="s">
        <v>280</v>
      </c>
      <c r="O2704">
        <v>80</v>
      </c>
    </row>
    <row r="2705" spans="1:15">
      <c r="A2705" s="1">
        <v>46062</v>
      </c>
      <c r="B2705">
        <v>19</v>
      </c>
      <c r="C2705" t="s">
        <v>99</v>
      </c>
      <c r="D2705">
        <v>19</v>
      </c>
      <c r="E2705" s="2">
        <v>10</v>
      </c>
      <c r="F2705" s="2">
        <v>80.52</v>
      </c>
      <c r="G2705" s="2">
        <v>-65.69</v>
      </c>
      <c r="H2705" s="2">
        <v>145.07</v>
      </c>
      <c r="I2705" s="2">
        <v>-143.62</v>
      </c>
      <c r="J2705" s="2">
        <v>7.85</v>
      </c>
      <c r="K2705" s="2">
        <v>-6.26</v>
      </c>
      <c r="L2705" s="2">
        <v>10.039999999999999</v>
      </c>
      <c r="M2705" s="2">
        <v>0.61</v>
      </c>
      <c r="N2705" t="s">
        <v>280</v>
      </c>
      <c r="O2705">
        <v>80</v>
      </c>
    </row>
    <row r="2706" spans="1:15">
      <c r="A2706" s="1">
        <v>46062</v>
      </c>
      <c r="B2706">
        <v>19</v>
      </c>
      <c r="C2706" t="s">
        <v>99</v>
      </c>
      <c r="D2706">
        <v>19</v>
      </c>
      <c r="E2706" s="2">
        <v>10.5</v>
      </c>
      <c r="F2706" s="2">
        <v>99.22</v>
      </c>
      <c r="G2706" s="2">
        <v>-93.82</v>
      </c>
      <c r="H2706" s="2">
        <v>80.099999999999994</v>
      </c>
      <c r="I2706" s="2">
        <v>-71.8</v>
      </c>
      <c r="J2706" s="2">
        <v>8.32</v>
      </c>
      <c r="K2706" s="2">
        <v>-6.54</v>
      </c>
      <c r="L2706" s="2">
        <v>10.59</v>
      </c>
      <c r="M2706" s="2">
        <v>0.64</v>
      </c>
      <c r="N2706" t="s">
        <v>280</v>
      </c>
      <c r="O2706">
        <v>80</v>
      </c>
    </row>
    <row r="2707" spans="1:15">
      <c r="A2707" s="1">
        <v>46062</v>
      </c>
      <c r="B2707">
        <v>19</v>
      </c>
      <c r="C2707" t="s">
        <v>99</v>
      </c>
      <c r="D2707">
        <v>19</v>
      </c>
      <c r="E2707" s="2">
        <v>11</v>
      </c>
      <c r="F2707" s="2">
        <v>33.22</v>
      </c>
      <c r="G2707" s="2">
        <v>-24.19</v>
      </c>
      <c r="H2707" s="2">
        <v>26.62</v>
      </c>
      <c r="I2707" s="2">
        <v>-22.29</v>
      </c>
      <c r="J2707" s="2">
        <v>8.83</v>
      </c>
      <c r="K2707" s="2">
        <v>-6.61</v>
      </c>
      <c r="L2707" s="2">
        <v>11.03</v>
      </c>
      <c r="M2707" s="2">
        <v>0.54</v>
      </c>
      <c r="N2707" t="s">
        <v>280</v>
      </c>
      <c r="O2707">
        <v>80</v>
      </c>
    </row>
    <row r="2708" spans="1:15">
      <c r="A2708" s="1">
        <v>46062</v>
      </c>
      <c r="B2708">
        <v>19</v>
      </c>
      <c r="C2708" t="s">
        <v>99</v>
      </c>
      <c r="D2708">
        <v>19</v>
      </c>
      <c r="E2708" s="2">
        <v>11.5</v>
      </c>
      <c r="F2708" s="2">
        <v>-42.63</v>
      </c>
      <c r="G2708" s="2">
        <v>45.97</v>
      </c>
      <c r="H2708" s="2">
        <v>7.48</v>
      </c>
      <c r="I2708" s="2">
        <v>-6.8</v>
      </c>
      <c r="J2708" s="2">
        <v>9.33</v>
      </c>
      <c r="K2708" s="2">
        <v>-6.99</v>
      </c>
      <c r="L2708" s="2">
        <v>11.66</v>
      </c>
      <c r="M2708" s="2">
        <v>0.41</v>
      </c>
      <c r="N2708" t="s">
        <v>280</v>
      </c>
      <c r="O2708">
        <v>80</v>
      </c>
    </row>
    <row r="2709" spans="1:15">
      <c r="A2709" s="1">
        <v>46062</v>
      </c>
      <c r="B2709">
        <v>19</v>
      </c>
      <c r="C2709" t="s">
        <v>99</v>
      </c>
      <c r="D2709">
        <v>19</v>
      </c>
      <c r="E2709" s="2">
        <v>12</v>
      </c>
      <c r="F2709" s="2">
        <v>-57.44</v>
      </c>
      <c r="G2709" s="2">
        <v>67.709999999999994</v>
      </c>
      <c r="H2709" s="2">
        <v>13.82</v>
      </c>
      <c r="I2709" s="2">
        <v>-12.34</v>
      </c>
      <c r="J2709" s="2">
        <v>9.8000000000000007</v>
      </c>
      <c r="K2709" s="2">
        <v>-6.95</v>
      </c>
      <c r="L2709" s="2">
        <v>12.02</v>
      </c>
      <c r="M2709" s="2">
        <v>0.4</v>
      </c>
      <c r="N2709" t="s">
        <v>280</v>
      </c>
      <c r="O2709">
        <v>80</v>
      </c>
    </row>
    <row r="2710" spans="1:15">
      <c r="A2710" s="1">
        <v>46062</v>
      </c>
      <c r="B2710">
        <v>19</v>
      </c>
      <c r="C2710" t="s">
        <v>99</v>
      </c>
      <c r="D2710">
        <v>19</v>
      </c>
      <c r="E2710" s="2">
        <v>12.5</v>
      </c>
      <c r="F2710" s="2">
        <v>-24.06</v>
      </c>
      <c r="G2710" s="2">
        <v>31.97</v>
      </c>
      <c r="H2710" s="2">
        <v>15.11</v>
      </c>
      <c r="I2710" s="2">
        <v>-16.73</v>
      </c>
      <c r="J2710" s="2">
        <v>10.210000000000001</v>
      </c>
      <c r="K2710" s="2">
        <v>-7.02</v>
      </c>
      <c r="L2710" s="2">
        <v>12.39</v>
      </c>
      <c r="M2710" s="2">
        <v>0.42</v>
      </c>
      <c r="N2710" t="s">
        <v>280</v>
      </c>
      <c r="O2710">
        <v>80</v>
      </c>
    </row>
    <row r="2711" spans="1:15">
      <c r="A2711" s="1">
        <v>46062</v>
      </c>
      <c r="B2711">
        <v>19</v>
      </c>
      <c r="C2711" t="s">
        <v>99</v>
      </c>
      <c r="D2711">
        <v>19</v>
      </c>
      <c r="E2711" s="2">
        <v>13</v>
      </c>
      <c r="F2711" s="2">
        <v>-83.37</v>
      </c>
      <c r="G2711" s="2">
        <v>89.12</v>
      </c>
      <c r="H2711" s="2">
        <v>-34.549999999999997</v>
      </c>
      <c r="I2711" s="2">
        <v>42.29</v>
      </c>
      <c r="J2711" s="2">
        <v>10.54</v>
      </c>
      <c r="K2711" s="2">
        <v>-6.97</v>
      </c>
      <c r="L2711" s="2">
        <v>12.64</v>
      </c>
      <c r="M2711" s="2">
        <v>0.46</v>
      </c>
      <c r="N2711" t="s">
        <v>280</v>
      </c>
      <c r="O2711">
        <v>80</v>
      </c>
    </row>
    <row r="2712" spans="1:15">
      <c r="A2712" s="1">
        <v>46062</v>
      </c>
      <c r="B2712">
        <v>19</v>
      </c>
      <c r="C2712" t="s">
        <v>99</v>
      </c>
      <c r="D2712">
        <v>19</v>
      </c>
      <c r="E2712" s="2">
        <v>13.5</v>
      </c>
      <c r="F2712" s="2">
        <v>-253.49</v>
      </c>
      <c r="G2712" s="2">
        <v>263.16000000000003</v>
      </c>
      <c r="H2712" s="2">
        <v>-162.37</v>
      </c>
      <c r="I2712" s="2">
        <v>177.45</v>
      </c>
      <c r="J2712" s="2">
        <v>10.87</v>
      </c>
      <c r="K2712" s="2">
        <v>-6.97</v>
      </c>
      <c r="L2712" s="2">
        <v>12.92</v>
      </c>
      <c r="M2712" s="2">
        <v>0.49</v>
      </c>
      <c r="N2712" t="s">
        <v>280</v>
      </c>
      <c r="O2712">
        <v>80</v>
      </c>
    </row>
    <row r="2713" spans="1:15">
      <c r="A2713" s="1">
        <v>46062</v>
      </c>
      <c r="B2713">
        <v>19</v>
      </c>
      <c r="C2713" t="s">
        <v>99</v>
      </c>
      <c r="D2713">
        <v>19</v>
      </c>
      <c r="E2713" s="2">
        <v>14</v>
      </c>
      <c r="F2713" s="2">
        <v>-265.62</v>
      </c>
      <c r="G2713" s="2">
        <v>275.2</v>
      </c>
      <c r="H2713" s="2">
        <v>-303.68</v>
      </c>
      <c r="I2713" s="2">
        <v>305.39999999999998</v>
      </c>
      <c r="J2713" s="2">
        <v>11.11</v>
      </c>
      <c r="K2713" s="2">
        <v>-6.73</v>
      </c>
      <c r="L2713" s="2">
        <v>12.99</v>
      </c>
      <c r="M2713" s="2">
        <v>0.48</v>
      </c>
      <c r="N2713" t="s">
        <v>280</v>
      </c>
      <c r="O2713">
        <v>80</v>
      </c>
    </row>
    <row r="2714" spans="1:15">
      <c r="A2714" s="1">
        <v>46062</v>
      </c>
      <c r="B2714">
        <v>19</v>
      </c>
      <c r="C2714" t="s">
        <v>99</v>
      </c>
      <c r="D2714">
        <v>19</v>
      </c>
      <c r="E2714" s="2">
        <v>14.5</v>
      </c>
      <c r="F2714" s="2">
        <v>-238.77</v>
      </c>
      <c r="G2714" s="2">
        <v>248.38</v>
      </c>
      <c r="H2714" s="2">
        <v>-271.39</v>
      </c>
      <c r="I2714" s="2">
        <v>269.07</v>
      </c>
      <c r="J2714" s="2">
        <v>11.8</v>
      </c>
      <c r="K2714" s="2">
        <v>-6.74</v>
      </c>
      <c r="L2714" s="2">
        <v>13.59</v>
      </c>
      <c r="M2714" s="2">
        <v>0.55000000000000004</v>
      </c>
      <c r="N2714" t="s">
        <v>280</v>
      </c>
      <c r="O2714">
        <v>80</v>
      </c>
    </row>
    <row r="2715" spans="1:15">
      <c r="A2715" s="1">
        <v>46062</v>
      </c>
      <c r="B2715">
        <v>19</v>
      </c>
      <c r="C2715" t="s">
        <v>99</v>
      </c>
      <c r="D2715">
        <v>19</v>
      </c>
      <c r="E2715" s="2">
        <v>15</v>
      </c>
      <c r="F2715" s="2">
        <v>-208.7</v>
      </c>
      <c r="G2715" s="2">
        <v>220.2</v>
      </c>
      <c r="H2715" s="2">
        <v>-206.08</v>
      </c>
      <c r="I2715" s="2">
        <v>200.13</v>
      </c>
      <c r="J2715" s="2">
        <v>12.27</v>
      </c>
      <c r="K2715" s="2">
        <v>-7.06</v>
      </c>
      <c r="L2715" s="2">
        <v>14.16</v>
      </c>
      <c r="M2715" s="2">
        <v>0.65</v>
      </c>
      <c r="N2715" t="s">
        <v>280</v>
      </c>
      <c r="O2715">
        <v>80</v>
      </c>
    </row>
    <row r="2716" spans="1:15">
      <c r="A2716" s="1">
        <v>46062</v>
      </c>
      <c r="B2716">
        <v>19</v>
      </c>
      <c r="C2716" t="s">
        <v>99</v>
      </c>
      <c r="D2716">
        <v>19</v>
      </c>
      <c r="E2716" s="2">
        <v>15.5</v>
      </c>
      <c r="F2716" s="2">
        <v>-142.38</v>
      </c>
      <c r="G2716" s="2">
        <v>149.24</v>
      </c>
      <c r="H2716" s="2">
        <v>-198.96</v>
      </c>
      <c r="I2716" s="2">
        <v>194.5</v>
      </c>
      <c r="J2716" s="2">
        <v>12.6</v>
      </c>
      <c r="K2716" s="2">
        <v>-7.09</v>
      </c>
      <c r="L2716" s="2">
        <v>14.46</v>
      </c>
      <c r="M2716" s="2">
        <v>0.74</v>
      </c>
      <c r="N2716" t="s">
        <v>280</v>
      </c>
      <c r="O2716">
        <v>80</v>
      </c>
    </row>
    <row r="2717" spans="1:15">
      <c r="A2717" s="1">
        <v>46062</v>
      </c>
      <c r="B2717">
        <v>19</v>
      </c>
      <c r="C2717" t="s">
        <v>99</v>
      </c>
      <c r="D2717">
        <v>19</v>
      </c>
      <c r="E2717" s="2">
        <v>16</v>
      </c>
      <c r="F2717" s="2">
        <v>-63.19</v>
      </c>
      <c r="G2717" s="2">
        <v>70.8</v>
      </c>
      <c r="H2717" s="2">
        <v>-179.71</v>
      </c>
      <c r="I2717" s="2">
        <v>184.73</v>
      </c>
      <c r="J2717" s="2">
        <v>12.97</v>
      </c>
      <c r="K2717" s="2">
        <v>-7.31</v>
      </c>
      <c r="L2717" s="2">
        <v>14.89</v>
      </c>
      <c r="M2717" s="2">
        <v>0.83</v>
      </c>
      <c r="N2717" t="s">
        <v>280</v>
      </c>
      <c r="O2717">
        <v>80</v>
      </c>
    </row>
    <row r="2718" spans="1:15">
      <c r="A2718" s="1">
        <v>46062</v>
      </c>
      <c r="B2718">
        <v>19</v>
      </c>
      <c r="C2718" t="s">
        <v>99</v>
      </c>
      <c r="D2718">
        <v>19</v>
      </c>
      <c r="E2718" s="2">
        <v>16.5</v>
      </c>
      <c r="F2718" s="2">
        <v>113.61</v>
      </c>
      <c r="G2718" s="2">
        <v>-105.28</v>
      </c>
      <c r="H2718" s="2">
        <v>-111.22</v>
      </c>
      <c r="I2718" s="2">
        <v>127.94</v>
      </c>
      <c r="J2718" s="2">
        <v>13.19</v>
      </c>
      <c r="K2718" s="2">
        <v>-7.59</v>
      </c>
      <c r="L2718" s="2">
        <v>15.21</v>
      </c>
      <c r="M2718" s="2">
        <v>0.92</v>
      </c>
      <c r="N2718" t="s">
        <v>280</v>
      </c>
      <c r="O2718">
        <v>80</v>
      </c>
    </row>
    <row r="2719" spans="1:15">
      <c r="A2719" s="1">
        <v>46062</v>
      </c>
      <c r="B2719">
        <v>19</v>
      </c>
      <c r="C2719" t="s">
        <v>99</v>
      </c>
      <c r="D2719">
        <v>19</v>
      </c>
      <c r="E2719" s="2">
        <v>17</v>
      </c>
      <c r="F2719" s="2">
        <v>259.58</v>
      </c>
      <c r="G2719" s="2">
        <v>-250.51</v>
      </c>
      <c r="H2719" s="2">
        <v>-53.82</v>
      </c>
      <c r="I2719" s="2">
        <v>53.02</v>
      </c>
      <c r="J2719" s="2">
        <v>13.21</v>
      </c>
      <c r="K2719" s="2">
        <v>-7.82</v>
      </c>
      <c r="L2719" s="2">
        <v>15.35</v>
      </c>
      <c r="M2719" s="2">
        <v>0.86</v>
      </c>
      <c r="N2719" t="s">
        <v>280</v>
      </c>
      <c r="O2719">
        <v>80</v>
      </c>
    </row>
    <row r="2720" spans="1:15">
      <c r="A2720" s="1">
        <v>46062</v>
      </c>
      <c r="B2720">
        <v>19</v>
      </c>
      <c r="C2720" t="s">
        <v>99</v>
      </c>
      <c r="D2720">
        <v>19</v>
      </c>
      <c r="E2720" s="2">
        <v>17.5</v>
      </c>
      <c r="F2720" s="2">
        <v>308.54000000000002</v>
      </c>
      <c r="G2720" s="2">
        <v>-301.99</v>
      </c>
      <c r="H2720" s="2">
        <v>-55.03</v>
      </c>
      <c r="I2720" s="2">
        <v>50.21</v>
      </c>
      <c r="J2720" s="2">
        <v>12.84</v>
      </c>
      <c r="K2720" s="2">
        <v>-7.46</v>
      </c>
      <c r="L2720" s="2">
        <v>14.85</v>
      </c>
      <c r="M2720" s="2">
        <v>0.92</v>
      </c>
      <c r="N2720" t="s">
        <v>280</v>
      </c>
      <c r="O2720">
        <v>80</v>
      </c>
    </row>
    <row r="2721" spans="1:15">
      <c r="A2721" s="1">
        <v>46062</v>
      </c>
      <c r="B2721">
        <v>19</v>
      </c>
      <c r="C2721" t="s">
        <v>99</v>
      </c>
      <c r="D2721">
        <v>19</v>
      </c>
      <c r="E2721" s="2">
        <v>18</v>
      </c>
      <c r="F2721" s="2">
        <v>402.85</v>
      </c>
      <c r="G2721" s="2">
        <v>-392.63</v>
      </c>
      <c r="H2721" s="2">
        <v>-95.06</v>
      </c>
      <c r="I2721" s="2">
        <v>95.98</v>
      </c>
      <c r="J2721" s="2">
        <v>12.39</v>
      </c>
      <c r="K2721" s="2">
        <v>-6.93</v>
      </c>
      <c r="L2721" s="2">
        <v>14.2</v>
      </c>
      <c r="M2721" s="2">
        <v>0.92</v>
      </c>
      <c r="N2721" t="s">
        <v>280</v>
      </c>
      <c r="O2721">
        <v>80</v>
      </c>
    </row>
    <row r="2722" spans="1:15">
      <c r="A2722" s="1">
        <v>46062</v>
      </c>
      <c r="B2722">
        <v>19</v>
      </c>
      <c r="C2722" t="s">
        <v>99</v>
      </c>
      <c r="D2722">
        <v>19</v>
      </c>
      <c r="E2722" s="2">
        <v>18.5</v>
      </c>
      <c r="F2722" s="2">
        <v>425.87</v>
      </c>
      <c r="G2722" s="2">
        <v>-419.64</v>
      </c>
      <c r="H2722" s="2">
        <v>-98.21</v>
      </c>
      <c r="I2722" s="2">
        <v>104.72</v>
      </c>
      <c r="J2722" s="2">
        <v>12.56</v>
      </c>
      <c r="K2722" s="2">
        <v>-6.74</v>
      </c>
      <c r="L2722" s="2">
        <v>14.25</v>
      </c>
      <c r="M2722" s="2">
        <v>1.02</v>
      </c>
      <c r="N2722" t="s">
        <v>280</v>
      </c>
      <c r="O2722">
        <v>80</v>
      </c>
    </row>
    <row r="2723" spans="1:15">
      <c r="A2723" s="1">
        <v>46062</v>
      </c>
      <c r="B2723">
        <v>19</v>
      </c>
      <c r="C2723" t="s">
        <v>99</v>
      </c>
      <c r="D2723">
        <v>19</v>
      </c>
      <c r="E2723" s="2">
        <v>19</v>
      </c>
      <c r="F2723" s="2">
        <v>407.14</v>
      </c>
      <c r="G2723" s="2">
        <v>-401.28</v>
      </c>
      <c r="H2723" s="2">
        <v>-86.51</v>
      </c>
      <c r="I2723" s="2">
        <v>87.84</v>
      </c>
      <c r="J2723" s="2">
        <v>12.24</v>
      </c>
      <c r="K2723" s="2">
        <v>-6.36</v>
      </c>
      <c r="L2723" s="2">
        <v>13.8</v>
      </c>
      <c r="M2723" s="2">
        <v>0.98</v>
      </c>
      <c r="N2723" t="s">
        <v>280</v>
      </c>
      <c r="O2723">
        <v>80</v>
      </c>
    </row>
    <row r="2724" spans="1:15">
      <c r="A2724" s="1">
        <v>46062</v>
      </c>
      <c r="B2724">
        <v>19</v>
      </c>
      <c r="C2724" t="s">
        <v>99</v>
      </c>
      <c r="D2724">
        <v>19</v>
      </c>
      <c r="E2724" s="2">
        <v>19.5</v>
      </c>
      <c r="F2724" s="2">
        <v>309.95999999999998</v>
      </c>
      <c r="G2724" s="2">
        <v>-304.52</v>
      </c>
      <c r="H2724" s="2">
        <v>-35.78</v>
      </c>
      <c r="I2724" s="2">
        <v>40.14</v>
      </c>
      <c r="J2724" s="2">
        <v>11.21</v>
      </c>
      <c r="K2724" s="2">
        <v>-5.56</v>
      </c>
      <c r="L2724" s="2">
        <v>12.51</v>
      </c>
      <c r="M2724" s="2">
        <v>0.96</v>
      </c>
      <c r="N2724" t="s">
        <v>280</v>
      </c>
      <c r="O2724">
        <v>80</v>
      </c>
    </row>
    <row r="2725" spans="1:15">
      <c r="A2725" s="1">
        <v>46062</v>
      </c>
      <c r="B2725">
        <v>19</v>
      </c>
      <c r="C2725" t="s">
        <v>99</v>
      </c>
      <c r="D2725">
        <v>19</v>
      </c>
      <c r="E2725" s="2">
        <v>20</v>
      </c>
      <c r="F2725" s="2">
        <v>168.01</v>
      </c>
      <c r="G2725" s="2">
        <v>-159.71</v>
      </c>
      <c r="H2725" s="2">
        <v>21.44</v>
      </c>
      <c r="I2725" s="2">
        <v>-3.61</v>
      </c>
      <c r="J2725" s="2">
        <v>10.73</v>
      </c>
      <c r="K2725" s="2">
        <v>-5.27</v>
      </c>
      <c r="L2725" s="2">
        <v>11.96</v>
      </c>
      <c r="M2725" s="2">
        <v>0.94</v>
      </c>
      <c r="N2725" t="s">
        <v>280</v>
      </c>
      <c r="O2725">
        <v>80</v>
      </c>
    </row>
    <row r="2726" spans="1:15">
      <c r="A2726" s="1">
        <v>46062</v>
      </c>
      <c r="B2726">
        <v>19</v>
      </c>
      <c r="C2726" t="s">
        <v>99</v>
      </c>
      <c r="D2726">
        <v>19</v>
      </c>
      <c r="E2726" s="2">
        <v>20.5</v>
      </c>
      <c r="F2726" s="2">
        <v>125.39</v>
      </c>
      <c r="G2726" s="2">
        <v>-120.37</v>
      </c>
      <c r="H2726" s="2">
        <v>13.51</v>
      </c>
      <c r="I2726" s="2">
        <v>1.46</v>
      </c>
      <c r="J2726" s="2">
        <v>10</v>
      </c>
      <c r="K2726" s="2">
        <v>-4.6500000000000004</v>
      </c>
      <c r="L2726" s="2">
        <v>11.03</v>
      </c>
      <c r="M2726" s="2">
        <v>1.04</v>
      </c>
      <c r="N2726" t="s">
        <v>280</v>
      </c>
      <c r="O2726">
        <v>80</v>
      </c>
    </row>
    <row r="2727" spans="1:15">
      <c r="A2727" s="1">
        <v>46062</v>
      </c>
      <c r="B2727">
        <v>19</v>
      </c>
      <c r="C2727" t="s">
        <v>99</v>
      </c>
      <c r="D2727">
        <v>19</v>
      </c>
      <c r="E2727" s="2">
        <v>21</v>
      </c>
      <c r="F2727" s="2">
        <v>94.14</v>
      </c>
      <c r="G2727" s="2">
        <v>-87.25</v>
      </c>
      <c r="H2727" s="2">
        <v>7.58</v>
      </c>
      <c r="I2727" s="2">
        <v>4.18</v>
      </c>
      <c r="J2727" s="2">
        <v>9.17</v>
      </c>
      <c r="K2727" s="2">
        <v>-4.1100000000000003</v>
      </c>
      <c r="L2727" s="2">
        <v>10.050000000000001</v>
      </c>
      <c r="M2727" s="2">
        <v>1.06</v>
      </c>
      <c r="N2727" t="s">
        <v>280</v>
      </c>
      <c r="O2727">
        <v>80</v>
      </c>
    </row>
    <row r="2728" spans="1:15">
      <c r="A2728" s="1">
        <v>46062</v>
      </c>
      <c r="B2728">
        <v>19</v>
      </c>
      <c r="C2728" t="s">
        <v>99</v>
      </c>
      <c r="D2728">
        <v>19</v>
      </c>
      <c r="E2728" s="2">
        <v>21.5</v>
      </c>
      <c r="F2728" s="2">
        <v>-33.54</v>
      </c>
      <c r="G2728" s="2">
        <v>40.32</v>
      </c>
      <c r="H2728" s="2">
        <v>-0.04</v>
      </c>
      <c r="I2728" s="2">
        <v>7.14</v>
      </c>
      <c r="J2728" s="2">
        <v>8.44</v>
      </c>
      <c r="K2728" s="2">
        <v>-3.86</v>
      </c>
      <c r="L2728" s="2">
        <v>9.2799999999999994</v>
      </c>
      <c r="M2728" s="2">
        <v>1.06</v>
      </c>
      <c r="N2728" t="s">
        <v>280</v>
      </c>
      <c r="O2728">
        <v>80</v>
      </c>
    </row>
    <row r="2729" spans="1:15">
      <c r="A2729" s="1">
        <v>46062</v>
      </c>
      <c r="B2729">
        <v>19</v>
      </c>
      <c r="C2729" t="s">
        <v>99</v>
      </c>
      <c r="D2729">
        <v>19</v>
      </c>
      <c r="E2729" s="2">
        <v>22</v>
      </c>
      <c r="F2729" s="2">
        <v>-87.06</v>
      </c>
      <c r="G2729" s="2">
        <v>90.95</v>
      </c>
      <c r="H2729" s="2">
        <v>10.64</v>
      </c>
      <c r="I2729" s="2">
        <v>4.4800000000000004</v>
      </c>
      <c r="J2729" s="2">
        <v>7.89</v>
      </c>
      <c r="K2729" s="2">
        <v>-3.23</v>
      </c>
      <c r="L2729" s="2">
        <v>8.5299999999999994</v>
      </c>
      <c r="M2729" s="2">
        <v>1.1100000000000001</v>
      </c>
      <c r="N2729" t="s">
        <v>280</v>
      </c>
      <c r="O2729">
        <v>80</v>
      </c>
    </row>
    <row r="2730" spans="1:15">
      <c r="A2730" s="1">
        <v>46062</v>
      </c>
      <c r="B2730">
        <v>19</v>
      </c>
      <c r="C2730" t="s">
        <v>99</v>
      </c>
      <c r="D2730">
        <v>19</v>
      </c>
      <c r="E2730" s="2">
        <v>22.5</v>
      </c>
      <c r="F2730" s="2">
        <v>-74.83</v>
      </c>
      <c r="G2730" s="2">
        <v>82.15</v>
      </c>
      <c r="H2730" s="2">
        <v>-86.6</v>
      </c>
      <c r="I2730" s="2">
        <v>103.44</v>
      </c>
      <c r="J2730" s="2">
        <v>7.18</v>
      </c>
      <c r="K2730" s="2">
        <v>-2.68</v>
      </c>
      <c r="L2730" s="2">
        <v>7.66</v>
      </c>
      <c r="M2730" s="2">
        <v>1.06</v>
      </c>
      <c r="N2730" t="s">
        <v>280</v>
      </c>
      <c r="O2730">
        <v>80</v>
      </c>
    </row>
    <row r="2731" spans="1:15">
      <c r="A2731" s="1">
        <v>46062</v>
      </c>
      <c r="B2731">
        <v>19</v>
      </c>
      <c r="C2731" t="s">
        <v>99</v>
      </c>
      <c r="D2731">
        <v>19</v>
      </c>
      <c r="E2731" s="2">
        <v>23</v>
      </c>
      <c r="F2731" s="2">
        <v>-85.42</v>
      </c>
      <c r="G2731" s="2">
        <v>87.6</v>
      </c>
      <c r="H2731" s="2">
        <v>-146.49</v>
      </c>
      <c r="I2731" s="2">
        <v>152.69</v>
      </c>
      <c r="J2731" s="2">
        <v>6.41</v>
      </c>
      <c r="K2731" s="2">
        <v>-2</v>
      </c>
      <c r="L2731" s="2">
        <v>6.71</v>
      </c>
      <c r="M2731" s="2">
        <v>1.1200000000000001</v>
      </c>
      <c r="N2731" t="s">
        <v>280</v>
      </c>
      <c r="O2731">
        <v>80</v>
      </c>
    </row>
    <row r="2732" spans="1:15">
      <c r="A2732" s="1">
        <v>46062</v>
      </c>
      <c r="B2732">
        <v>19</v>
      </c>
      <c r="C2732" t="s">
        <v>99</v>
      </c>
      <c r="D2732">
        <v>19</v>
      </c>
      <c r="E2732" s="2">
        <v>23.5</v>
      </c>
      <c r="F2732" s="2">
        <v>-142.97999999999999</v>
      </c>
      <c r="G2732" s="2">
        <v>152.02000000000001</v>
      </c>
      <c r="H2732" s="2">
        <v>-179.05</v>
      </c>
      <c r="I2732" s="2">
        <v>199.48</v>
      </c>
      <c r="J2732" s="2">
        <v>5.7</v>
      </c>
      <c r="K2732" s="2">
        <v>-1.63</v>
      </c>
      <c r="L2732" s="2">
        <v>5.93</v>
      </c>
      <c r="M2732" s="2">
        <v>1.06</v>
      </c>
      <c r="N2732" t="s">
        <v>280</v>
      </c>
      <c r="O2732">
        <v>80</v>
      </c>
    </row>
    <row r="2733" spans="1:15">
      <c r="A2733" s="1">
        <v>46062</v>
      </c>
      <c r="B2733">
        <v>19</v>
      </c>
      <c r="C2733" t="s">
        <v>99</v>
      </c>
      <c r="D2733">
        <v>19</v>
      </c>
      <c r="E2733" s="2">
        <v>24</v>
      </c>
      <c r="F2733" s="2">
        <v>-178.76</v>
      </c>
      <c r="G2733" s="2">
        <v>184.92</v>
      </c>
      <c r="H2733" s="2">
        <v>-250.43</v>
      </c>
      <c r="I2733" s="2">
        <v>249.16</v>
      </c>
      <c r="J2733" s="2">
        <v>5.22</v>
      </c>
      <c r="K2733" s="2">
        <v>-1.27</v>
      </c>
      <c r="L2733" s="2">
        <v>5.38</v>
      </c>
      <c r="M2733" s="2">
        <v>1.01</v>
      </c>
      <c r="N2733" t="s">
        <v>280</v>
      </c>
      <c r="O2733">
        <v>80</v>
      </c>
    </row>
    <row r="2734" spans="1:15">
      <c r="A2734" s="1">
        <v>46062</v>
      </c>
      <c r="B2734">
        <v>19</v>
      </c>
      <c r="C2734" t="s">
        <v>99</v>
      </c>
      <c r="D2734">
        <v>19</v>
      </c>
      <c r="E2734" s="2">
        <v>24.5</v>
      </c>
      <c r="F2734" s="2">
        <v>-83.81</v>
      </c>
      <c r="G2734" s="2">
        <v>83.15</v>
      </c>
      <c r="H2734" s="2">
        <v>-242.7</v>
      </c>
      <c r="I2734" s="2">
        <v>233.37</v>
      </c>
      <c r="J2734" s="2">
        <v>4.67</v>
      </c>
      <c r="K2734" s="2">
        <v>-1.03</v>
      </c>
      <c r="L2734" s="2">
        <v>4.78</v>
      </c>
      <c r="M2734" s="2">
        <v>0.94</v>
      </c>
      <c r="N2734" t="s">
        <v>280</v>
      </c>
      <c r="O2734">
        <v>80</v>
      </c>
    </row>
    <row r="2735" spans="1:15">
      <c r="A2735" s="1">
        <v>46062</v>
      </c>
      <c r="B2735">
        <v>19</v>
      </c>
      <c r="C2735" t="s">
        <v>99</v>
      </c>
      <c r="D2735">
        <v>19</v>
      </c>
      <c r="E2735" s="2">
        <v>25</v>
      </c>
      <c r="F2735" s="2">
        <v>9.33</v>
      </c>
      <c r="G2735" s="2">
        <v>-4.67</v>
      </c>
      <c r="H2735" s="2">
        <v>-224.54</v>
      </c>
      <c r="I2735" s="2">
        <v>218.58</v>
      </c>
      <c r="J2735" s="2">
        <v>3.88</v>
      </c>
      <c r="K2735" s="2">
        <v>-0.95</v>
      </c>
      <c r="L2735" s="2">
        <v>3.99</v>
      </c>
      <c r="M2735" s="2">
        <v>0.77</v>
      </c>
      <c r="N2735" t="s">
        <v>280</v>
      </c>
      <c r="O2735">
        <v>80</v>
      </c>
    </row>
    <row r="2736" spans="1:15">
      <c r="A2736" s="1">
        <v>46062</v>
      </c>
      <c r="B2736">
        <v>19</v>
      </c>
      <c r="C2736" t="s">
        <v>99</v>
      </c>
      <c r="D2736">
        <v>19</v>
      </c>
      <c r="E2736" s="2">
        <v>25.5</v>
      </c>
      <c r="F2736" s="2">
        <v>69.98</v>
      </c>
      <c r="G2736" s="2">
        <v>-67.66</v>
      </c>
      <c r="H2736" s="2">
        <v>-187.22</v>
      </c>
      <c r="I2736" s="2">
        <v>192.37</v>
      </c>
      <c r="J2736" s="2">
        <v>3</v>
      </c>
      <c r="K2736" s="2">
        <v>-0.67</v>
      </c>
      <c r="L2736" s="2">
        <v>3.07</v>
      </c>
      <c r="M2736" s="2">
        <v>0.6</v>
      </c>
      <c r="N2736" t="s">
        <v>280</v>
      </c>
      <c r="O2736">
        <v>80</v>
      </c>
    </row>
    <row r="2737" spans="1:15">
      <c r="A2737" s="1">
        <v>46062</v>
      </c>
      <c r="B2737">
        <v>19</v>
      </c>
      <c r="C2737" t="s">
        <v>99</v>
      </c>
      <c r="D2737">
        <v>19</v>
      </c>
      <c r="E2737" s="2">
        <v>26</v>
      </c>
      <c r="F2737" s="2">
        <v>116.99</v>
      </c>
      <c r="G2737" s="2">
        <v>-111.62</v>
      </c>
      <c r="H2737" s="2">
        <v>-224.68</v>
      </c>
      <c r="I2737" s="2">
        <v>247.96</v>
      </c>
      <c r="J2737" s="2">
        <v>2.25</v>
      </c>
      <c r="K2737" s="2">
        <v>-0.23</v>
      </c>
      <c r="L2737" s="2">
        <v>2.2599999999999998</v>
      </c>
      <c r="M2737" s="2">
        <v>0.46</v>
      </c>
      <c r="N2737" t="s">
        <v>280</v>
      </c>
      <c r="O2737">
        <v>80</v>
      </c>
    </row>
    <row r="2738" spans="1:15">
      <c r="A2738" s="1">
        <v>46062</v>
      </c>
      <c r="B2738">
        <v>19</v>
      </c>
      <c r="C2738" t="s">
        <v>99</v>
      </c>
      <c r="D2738">
        <v>19</v>
      </c>
      <c r="E2738" s="2">
        <v>26.5</v>
      </c>
      <c r="F2738" s="2">
        <v>92.04</v>
      </c>
      <c r="G2738" s="2">
        <v>-88.72</v>
      </c>
      <c r="H2738" s="2">
        <v>-255.71</v>
      </c>
      <c r="I2738" s="2">
        <v>255.02</v>
      </c>
      <c r="J2738" s="2">
        <v>1.51</v>
      </c>
      <c r="K2738" s="2">
        <v>-0.01</v>
      </c>
      <c r="L2738" s="2">
        <v>1.51</v>
      </c>
      <c r="M2738" s="2">
        <v>0.25</v>
      </c>
      <c r="N2738" t="s">
        <v>280</v>
      </c>
      <c r="O2738">
        <v>80</v>
      </c>
    </row>
    <row r="2739" spans="1:15">
      <c r="A2739" s="1">
        <v>46062</v>
      </c>
      <c r="B2739">
        <v>19</v>
      </c>
      <c r="C2739" t="s">
        <v>100</v>
      </c>
      <c r="D2739">
        <v>18</v>
      </c>
      <c r="E2739" s="2">
        <v>0.5</v>
      </c>
      <c r="F2739" s="2">
        <v>424.37</v>
      </c>
      <c r="G2739" s="2">
        <v>-423.63</v>
      </c>
      <c r="H2739" s="2">
        <v>474.16</v>
      </c>
      <c r="I2739" s="2">
        <v>-454.08</v>
      </c>
      <c r="J2739" s="2">
        <v>-0.22</v>
      </c>
      <c r="K2739" s="2">
        <v>4.8899999999999997</v>
      </c>
      <c r="L2739" s="2">
        <v>4.9000000000000004</v>
      </c>
      <c r="M2739" s="2">
        <v>2.75</v>
      </c>
      <c r="N2739" t="s">
        <v>280</v>
      </c>
      <c r="O2739">
        <v>116</v>
      </c>
    </row>
    <row r="2740" spans="1:15">
      <c r="A2740" s="1">
        <v>46062</v>
      </c>
      <c r="B2740">
        <v>19</v>
      </c>
      <c r="C2740" t="s">
        <v>100</v>
      </c>
      <c r="D2740">
        <v>18</v>
      </c>
      <c r="E2740" s="2">
        <v>1</v>
      </c>
      <c r="F2740" s="2">
        <v>424.3</v>
      </c>
      <c r="G2740" s="2">
        <v>-419.64</v>
      </c>
      <c r="H2740" s="2">
        <v>474.33</v>
      </c>
      <c r="I2740" s="2">
        <v>-467.58</v>
      </c>
      <c r="J2740" s="2">
        <v>0.28999999999999998</v>
      </c>
      <c r="K2740" s="2">
        <v>4.37</v>
      </c>
      <c r="L2740" s="2">
        <v>4.38</v>
      </c>
      <c r="M2740" s="2">
        <v>2.06</v>
      </c>
      <c r="N2740" t="s">
        <v>280</v>
      </c>
      <c r="O2740">
        <v>116</v>
      </c>
    </row>
    <row r="2741" spans="1:15">
      <c r="A2741" s="1">
        <v>46062</v>
      </c>
      <c r="B2741">
        <v>19</v>
      </c>
      <c r="C2741" t="s">
        <v>100</v>
      </c>
      <c r="D2741">
        <v>18</v>
      </c>
      <c r="E2741" s="2">
        <v>1.5</v>
      </c>
      <c r="F2741" s="2">
        <v>472.01</v>
      </c>
      <c r="G2741" s="2">
        <v>-470.7</v>
      </c>
      <c r="H2741" s="2">
        <v>408.03</v>
      </c>
      <c r="I2741" s="2">
        <v>-405.48</v>
      </c>
      <c r="J2741" s="2">
        <v>0.77</v>
      </c>
      <c r="K2741" s="2">
        <v>4.01</v>
      </c>
      <c r="L2741" s="2">
        <v>4.09</v>
      </c>
      <c r="M2741" s="2">
        <v>1.6</v>
      </c>
      <c r="N2741" t="s">
        <v>280</v>
      </c>
      <c r="O2741">
        <v>116</v>
      </c>
    </row>
    <row r="2742" spans="1:15">
      <c r="A2742" s="1">
        <v>46062</v>
      </c>
      <c r="B2742">
        <v>19</v>
      </c>
      <c r="C2742" t="s">
        <v>100</v>
      </c>
      <c r="D2742">
        <v>18</v>
      </c>
      <c r="E2742" s="2">
        <v>2</v>
      </c>
      <c r="F2742" s="2">
        <v>544.12</v>
      </c>
      <c r="G2742" s="2">
        <v>-542.42999999999995</v>
      </c>
      <c r="H2742" s="2">
        <v>224.32</v>
      </c>
      <c r="I2742" s="2">
        <v>-219.84</v>
      </c>
      <c r="J2742" s="2">
        <v>1.67</v>
      </c>
      <c r="K2742" s="2">
        <v>3.93</v>
      </c>
      <c r="L2742" s="2">
        <v>4.2699999999999996</v>
      </c>
      <c r="M2742" s="2">
        <v>0.97</v>
      </c>
      <c r="N2742" t="s">
        <v>280</v>
      </c>
      <c r="O2742">
        <v>116</v>
      </c>
    </row>
    <row r="2743" spans="1:15">
      <c r="A2743" s="1">
        <v>46062</v>
      </c>
      <c r="B2743">
        <v>19</v>
      </c>
      <c r="C2743" t="s">
        <v>100</v>
      </c>
      <c r="D2743">
        <v>18</v>
      </c>
      <c r="E2743" s="2">
        <v>2.5</v>
      </c>
      <c r="F2743" s="2">
        <v>495.68</v>
      </c>
      <c r="G2743" s="2">
        <v>-494.57</v>
      </c>
      <c r="H2743" s="2">
        <v>116.66</v>
      </c>
      <c r="I2743" s="2">
        <v>-107.74</v>
      </c>
      <c r="J2743" s="2">
        <v>2.94</v>
      </c>
      <c r="K2743" s="2">
        <v>3.49</v>
      </c>
      <c r="L2743" s="2">
        <v>4.5599999999999996</v>
      </c>
      <c r="M2743" s="2">
        <v>0.41</v>
      </c>
      <c r="N2743" t="s">
        <v>280</v>
      </c>
      <c r="O2743">
        <v>116</v>
      </c>
    </row>
    <row r="2744" spans="1:15">
      <c r="A2744" s="1">
        <v>46062</v>
      </c>
      <c r="B2744">
        <v>19</v>
      </c>
      <c r="C2744" t="s">
        <v>100</v>
      </c>
      <c r="D2744">
        <v>18</v>
      </c>
      <c r="E2744" s="2">
        <v>3</v>
      </c>
      <c r="F2744" s="2">
        <v>448.68</v>
      </c>
      <c r="G2744" s="2">
        <v>-445.32</v>
      </c>
      <c r="H2744" s="2">
        <v>-10.65</v>
      </c>
      <c r="I2744" s="2">
        <v>16.05</v>
      </c>
      <c r="J2744" s="2">
        <v>4.17</v>
      </c>
      <c r="K2744" s="2">
        <v>3.16</v>
      </c>
      <c r="L2744" s="2">
        <v>5.23</v>
      </c>
      <c r="M2744" s="2">
        <v>0.05</v>
      </c>
      <c r="N2744" t="s">
        <v>280</v>
      </c>
      <c r="O2744">
        <v>116</v>
      </c>
    </row>
    <row r="2745" spans="1:15">
      <c r="A2745" s="1">
        <v>46062</v>
      </c>
      <c r="B2745">
        <v>19</v>
      </c>
      <c r="C2745" t="s">
        <v>100</v>
      </c>
      <c r="D2745">
        <v>18</v>
      </c>
      <c r="E2745" s="2">
        <v>3.5</v>
      </c>
      <c r="F2745" s="2">
        <v>402.63</v>
      </c>
      <c r="G2745" s="2">
        <v>-401.46</v>
      </c>
      <c r="H2745" s="2">
        <v>-84.66</v>
      </c>
      <c r="I2745" s="2">
        <v>93.71</v>
      </c>
      <c r="J2745" s="2">
        <v>5.51</v>
      </c>
      <c r="K2745" s="2">
        <v>2.95</v>
      </c>
      <c r="L2745" s="2">
        <v>6.25</v>
      </c>
      <c r="M2745" s="2">
        <v>-0.12</v>
      </c>
      <c r="N2745" t="s">
        <v>280</v>
      </c>
      <c r="O2745">
        <v>116</v>
      </c>
    </row>
    <row r="2746" spans="1:15">
      <c r="A2746" s="1">
        <v>46062</v>
      </c>
      <c r="B2746">
        <v>19</v>
      </c>
      <c r="C2746" t="s">
        <v>100</v>
      </c>
      <c r="D2746">
        <v>18</v>
      </c>
      <c r="E2746" s="2">
        <v>4</v>
      </c>
      <c r="F2746" s="2">
        <v>395.82</v>
      </c>
      <c r="G2746" s="2">
        <v>-393.35</v>
      </c>
      <c r="H2746" s="2">
        <v>-102.66</v>
      </c>
      <c r="I2746" s="2">
        <v>117.73</v>
      </c>
      <c r="J2746" s="2">
        <v>6.72</v>
      </c>
      <c r="K2746" s="2">
        <v>3.11</v>
      </c>
      <c r="L2746" s="2">
        <v>7.41</v>
      </c>
      <c r="M2746" s="2">
        <v>0.08</v>
      </c>
      <c r="N2746" t="s">
        <v>280</v>
      </c>
      <c r="O2746">
        <v>116</v>
      </c>
    </row>
    <row r="2747" spans="1:15">
      <c r="A2747" s="1">
        <v>46062</v>
      </c>
      <c r="B2747">
        <v>19</v>
      </c>
      <c r="C2747" t="s">
        <v>100</v>
      </c>
      <c r="D2747">
        <v>18</v>
      </c>
      <c r="E2747" s="2">
        <v>4.5</v>
      </c>
      <c r="F2747" s="2">
        <v>401.2</v>
      </c>
      <c r="G2747" s="2">
        <v>-395.47</v>
      </c>
      <c r="H2747" s="2">
        <v>-107.14</v>
      </c>
      <c r="I2747" s="2">
        <v>127</v>
      </c>
      <c r="J2747" s="2">
        <v>8.0500000000000007</v>
      </c>
      <c r="K2747" s="2">
        <v>3.18</v>
      </c>
      <c r="L2747" s="2">
        <v>8.66</v>
      </c>
      <c r="M2747" s="2">
        <v>0.18</v>
      </c>
      <c r="N2747" t="s">
        <v>280</v>
      </c>
      <c r="O2747">
        <v>116</v>
      </c>
    </row>
    <row r="2748" spans="1:15">
      <c r="A2748" s="1">
        <v>46062</v>
      </c>
      <c r="B2748">
        <v>19</v>
      </c>
      <c r="C2748" t="s">
        <v>100</v>
      </c>
      <c r="D2748">
        <v>18</v>
      </c>
      <c r="E2748" s="2">
        <v>5</v>
      </c>
      <c r="F2748" s="2">
        <v>306.45999999999998</v>
      </c>
      <c r="G2748" s="2">
        <v>-302.29000000000002</v>
      </c>
      <c r="H2748" s="2">
        <v>-68.180000000000007</v>
      </c>
      <c r="I2748" s="2">
        <v>92.27</v>
      </c>
      <c r="J2748" s="2">
        <v>9.4</v>
      </c>
      <c r="K2748" s="2">
        <v>3.05</v>
      </c>
      <c r="L2748" s="2">
        <v>9.8800000000000008</v>
      </c>
      <c r="M2748" s="2">
        <v>0.25</v>
      </c>
      <c r="N2748" t="s">
        <v>280</v>
      </c>
      <c r="O2748">
        <v>116</v>
      </c>
    </row>
    <row r="2749" spans="1:15">
      <c r="A2749" s="1">
        <v>46062</v>
      </c>
      <c r="B2749">
        <v>19</v>
      </c>
      <c r="C2749" t="s">
        <v>100</v>
      </c>
      <c r="D2749">
        <v>18</v>
      </c>
      <c r="E2749" s="2">
        <v>5.5</v>
      </c>
      <c r="F2749" s="2">
        <v>224.4</v>
      </c>
      <c r="G2749" s="2">
        <v>-219.19</v>
      </c>
      <c r="H2749" s="2">
        <v>-19.95</v>
      </c>
      <c r="I2749" s="2">
        <v>36.56</v>
      </c>
      <c r="J2749" s="2">
        <v>9.94</v>
      </c>
      <c r="K2749" s="2">
        <v>2.8</v>
      </c>
      <c r="L2749" s="2">
        <v>10.33</v>
      </c>
      <c r="M2749" s="2">
        <v>0.35</v>
      </c>
      <c r="N2749" t="s">
        <v>280</v>
      </c>
      <c r="O2749">
        <v>116</v>
      </c>
    </row>
    <row r="2750" spans="1:15">
      <c r="A2750" s="1">
        <v>46062</v>
      </c>
      <c r="B2750">
        <v>19</v>
      </c>
      <c r="C2750" t="s">
        <v>100</v>
      </c>
      <c r="D2750">
        <v>18</v>
      </c>
      <c r="E2750" s="2">
        <v>6</v>
      </c>
      <c r="F2750" s="2">
        <v>197.75</v>
      </c>
      <c r="G2750" s="2">
        <v>-193.45</v>
      </c>
      <c r="H2750" s="2">
        <v>-1.68</v>
      </c>
      <c r="I2750" s="2">
        <v>22.06</v>
      </c>
      <c r="J2750" s="2">
        <v>10.52</v>
      </c>
      <c r="K2750" s="2">
        <v>2.74</v>
      </c>
      <c r="L2750" s="2">
        <v>10.87</v>
      </c>
      <c r="M2750" s="2">
        <v>0.5</v>
      </c>
      <c r="N2750" t="s">
        <v>280</v>
      </c>
      <c r="O2750">
        <v>116</v>
      </c>
    </row>
    <row r="2751" spans="1:15">
      <c r="A2751" s="1">
        <v>46062</v>
      </c>
      <c r="B2751">
        <v>19</v>
      </c>
      <c r="C2751" t="s">
        <v>100</v>
      </c>
      <c r="D2751">
        <v>18</v>
      </c>
      <c r="E2751" s="2">
        <v>6.5</v>
      </c>
      <c r="F2751" s="2">
        <v>190.31</v>
      </c>
      <c r="G2751" s="2">
        <v>-184.87</v>
      </c>
      <c r="H2751" s="2">
        <v>70.77</v>
      </c>
      <c r="I2751" s="2">
        <v>-49.15</v>
      </c>
      <c r="J2751" s="2">
        <v>11.29</v>
      </c>
      <c r="K2751" s="2">
        <v>1.87</v>
      </c>
      <c r="L2751" s="2">
        <v>11.44</v>
      </c>
      <c r="M2751" s="2">
        <v>0.57999999999999996</v>
      </c>
      <c r="N2751" t="s">
        <v>280</v>
      </c>
      <c r="O2751">
        <v>116</v>
      </c>
    </row>
    <row r="2752" spans="1:15">
      <c r="A2752" s="1">
        <v>46062</v>
      </c>
      <c r="B2752">
        <v>19</v>
      </c>
      <c r="C2752" t="s">
        <v>100</v>
      </c>
      <c r="D2752">
        <v>18</v>
      </c>
      <c r="E2752" s="2">
        <v>7</v>
      </c>
      <c r="F2752" s="2">
        <v>146.5</v>
      </c>
      <c r="G2752" s="2">
        <v>-140.30000000000001</v>
      </c>
      <c r="H2752" s="2">
        <v>139.99</v>
      </c>
      <c r="I2752" s="2">
        <v>-121.77</v>
      </c>
      <c r="J2752" s="2">
        <v>11.76</v>
      </c>
      <c r="K2752" s="2">
        <v>1.57</v>
      </c>
      <c r="L2752" s="2">
        <v>11.87</v>
      </c>
      <c r="M2752" s="2">
        <v>0.68</v>
      </c>
      <c r="N2752" t="s">
        <v>280</v>
      </c>
      <c r="O2752">
        <v>116</v>
      </c>
    </row>
    <row r="2753" spans="1:15">
      <c r="A2753" s="1">
        <v>46062</v>
      </c>
      <c r="B2753">
        <v>19</v>
      </c>
      <c r="C2753" t="s">
        <v>100</v>
      </c>
      <c r="D2753">
        <v>18</v>
      </c>
      <c r="E2753" s="2">
        <v>7.5</v>
      </c>
      <c r="F2753" s="2">
        <v>87.43</v>
      </c>
      <c r="G2753" s="2">
        <v>-83.62</v>
      </c>
      <c r="H2753" s="2">
        <v>211.04</v>
      </c>
      <c r="I2753" s="2">
        <v>-201.24</v>
      </c>
      <c r="J2753" s="2">
        <v>12.06</v>
      </c>
      <c r="K2753" s="2">
        <v>1.47</v>
      </c>
      <c r="L2753" s="2">
        <v>12.15</v>
      </c>
      <c r="M2753" s="2">
        <v>0.83</v>
      </c>
      <c r="N2753" t="s">
        <v>280</v>
      </c>
      <c r="O2753">
        <v>116</v>
      </c>
    </row>
    <row r="2754" spans="1:15">
      <c r="A2754" s="1">
        <v>46062</v>
      </c>
      <c r="B2754">
        <v>19</v>
      </c>
      <c r="C2754" t="s">
        <v>100</v>
      </c>
      <c r="D2754">
        <v>18</v>
      </c>
      <c r="E2754" s="2">
        <v>8</v>
      </c>
      <c r="F2754" s="2">
        <v>69.849999999999994</v>
      </c>
      <c r="G2754" s="2">
        <v>-66.14</v>
      </c>
      <c r="H2754" s="2">
        <v>229.11</v>
      </c>
      <c r="I2754" s="2">
        <v>-227.6</v>
      </c>
      <c r="J2754" s="2">
        <v>11.92</v>
      </c>
      <c r="K2754" s="2">
        <v>1.6</v>
      </c>
      <c r="L2754" s="2">
        <v>12.03</v>
      </c>
      <c r="M2754" s="2">
        <v>1.01</v>
      </c>
      <c r="N2754" t="s">
        <v>280</v>
      </c>
      <c r="O2754">
        <v>116</v>
      </c>
    </row>
    <row r="2755" spans="1:15">
      <c r="A2755" s="1">
        <v>46062</v>
      </c>
      <c r="B2755">
        <v>19</v>
      </c>
      <c r="C2755" t="s">
        <v>100</v>
      </c>
      <c r="D2755">
        <v>18</v>
      </c>
      <c r="E2755" s="2">
        <v>8.5</v>
      </c>
      <c r="F2755" s="2">
        <v>107.33</v>
      </c>
      <c r="G2755" s="2">
        <v>-102.42</v>
      </c>
      <c r="H2755" s="2">
        <v>330.81</v>
      </c>
      <c r="I2755" s="2">
        <v>-321.37</v>
      </c>
      <c r="J2755" s="2">
        <v>11.28</v>
      </c>
      <c r="K2755" s="2">
        <v>1.33</v>
      </c>
      <c r="L2755" s="2">
        <v>11.35</v>
      </c>
      <c r="M2755" s="2">
        <v>1.17</v>
      </c>
      <c r="N2755" t="s">
        <v>280</v>
      </c>
      <c r="O2755">
        <v>116</v>
      </c>
    </row>
    <row r="2756" spans="1:15">
      <c r="A2756" s="1">
        <v>46062</v>
      </c>
      <c r="B2756">
        <v>19</v>
      </c>
      <c r="C2756" t="s">
        <v>100</v>
      </c>
      <c r="D2756">
        <v>18</v>
      </c>
      <c r="E2756" s="2">
        <v>9</v>
      </c>
      <c r="F2756" s="2">
        <v>164.15</v>
      </c>
      <c r="G2756" s="2">
        <v>-155.75</v>
      </c>
      <c r="H2756" s="2">
        <v>388.24</v>
      </c>
      <c r="I2756" s="2">
        <v>-375.51</v>
      </c>
      <c r="J2756" s="2">
        <v>10.8</v>
      </c>
      <c r="K2756" s="2">
        <v>1.66</v>
      </c>
      <c r="L2756" s="2">
        <v>10.93</v>
      </c>
      <c r="M2756" s="2">
        <v>1.38</v>
      </c>
      <c r="N2756" t="s">
        <v>280</v>
      </c>
      <c r="O2756">
        <v>116</v>
      </c>
    </row>
    <row r="2757" spans="1:15">
      <c r="A2757" s="1">
        <v>46062</v>
      </c>
      <c r="B2757">
        <v>19</v>
      </c>
      <c r="C2757" t="s">
        <v>100</v>
      </c>
      <c r="D2757">
        <v>18</v>
      </c>
      <c r="E2757" s="2">
        <v>9.5</v>
      </c>
      <c r="F2757" s="2">
        <v>138.11000000000001</v>
      </c>
      <c r="G2757" s="2">
        <v>-136.91</v>
      </c>
      <c r="H2757" s="2">
        <v>450.69</v>
      </c>
      <c r="I2757" s="2">
        <v>-433.84</v>
      </c>
      <c r="J2757" s="2">
        <v>10.43</v>
      </c>
      <c r="K2757" s="2">
        <v>2.11</v>
      </c>
      <c r="L2757" s="2">
        <v>10.65</v>
      </c>
      <c r="M2757" s="2">
        <v>1.54</v>
      </c>
      <c r="N2757" t="s">
        <v>280</v>
      </c>
      <c r="O2757">
        <v>116</v>
      </c>
    </row>
    <row r="2758" spans="1:15">
      <c r="A2758" s="1">
        <v>46062</v>
      </c>
      <c r="B2758">
        <v>19</v>
      </c>
      <c r="C2758" t="s">
        <v>100</v>
      </c>
      <c r="D2758">
        <v>18</v>
      </c>
      <c r="E2758" s="2">
        <v>10</v>
      </c>
      <c r="F2758" s="2">
        <v>135.87</v>
      </c>
      <c r="G2758" s="2">
        <v>-128.83000000000001</v>
      </c>
      <c r="H2758" s="2">
        <v>451.83</v>
      </c>
      <c r="I2758" s="2">
        <v>-443.53</v>
      </c>
      <c r="J2758" s="2">
        <v>9.83</v>
      </c>
      <c r="K2758" s="2">
        <v>2.79</v>
      </c>
      <c r="L2758" s="2">
        <v>10.210000000000001</v>
      </c>
      <c r="M2758" s="2">
        <v>1.7</v>
      </c>
      <c r="N2758" t="s">
        <v>280</v>
      </c>
      <c r="O2758">
        <v>116</v>
      </c>
    </row>
    <row r="2759" spans="1:15">
      <c r="A2759" s="1">
        <v>46062</v>
      </c>
      <c r="B2759">
        <v>19</v>
      </c>
      <c r="C2759" t="s">
        <v>100</v>
      </c>
      <c r="D2759">
        <v>18</v>
      </c>
      <c r="E2759" s="2">
        <v>10.5</v>
      </c>
      <c r="F2759" s="2">
        <v>315.32</v>
      </c>
      <c r="G2759" s="2">
        <v>-309.83999999999997</v>
      </c>
      <c r="H2759" s="2">
        <v>461.76</v>
      </c>
      <c r="I2759" s="2">
        <v>-451.18</v>
      </c>
      <c r="J2759" s="2">
        <v>9.58</v>
      </c>
      <c r="K2759" s="2">
        <v>2.93</v>
      </c>
      <c r="L2759" s="2">
        <v>10.02</v>
      </c>
      <c r="M2759" s="2">
        <v>1.81</v>
      </c>
      <c r="N2759" t="s">
        <v>280</v>
      </c>
      <c r="O2759">
        <v>116</v>
      </c>
    </row>
    <row r="2760" spans="1:15">
      <c r="A2760" s="1">
        <v>46062</v>
      </c>
      <c r="B2760">
        <v>19</v>
      </c>
      <c r="C2760" t="s">
        <v>100</v>
      </c>
      <c r="D2760">
        <v>18</v>
      </c>
      <c r="E2760" s="2">
        <v>11</v>
      </c>
      <c r="F2760" s="2">
        <v>324.75</v>
      </c>
      <c r="G2760" s="2">
        <v>-315.05</v>
      </c>
      <c r="H2760" s="2">
        <v>440.76</v>
      </c>
      <c r="I2760" s="2">
        <v>-445.64</v>
      </c>
      <c r="J2760" s="2">
        <v>9.23</v>
      </c>
      <c r="K2760" s="2">
        <v>2.82</v>
      </c>
      <c r="L2760" s="2">
        <v>9.65</v>
      </c>
      <c r="M2760" s="2">
        <v>1.81</v>
      </c>
      <c r="N2760" t="s">
        <v>280</v>
      </c>
      <c r="O2760">
        <v>116</v>
      </c>
    </row>
    <row r="2761" spans="1:15">
      <c r="A2761" s="1">
        <v>46062</v>
      </c>
      <c r="B2761">
        <v>19</v>
      </c>
      <c r="C2761" t="s">
        <v>100</v>
      </c>
      <c r="D2761">
        <v>18</v>
      </c>
      <c r="E2761" s="2">
        <v>11.5</v>
      </c>
      <c r="F2761" s="2">
        <v>298.85000000000002</v>
      </c>
      <c r="G2761" s="2">
        <v>-285.04000000000002</v>
      </c>
      <c r="H2761" s="2">
        <v>354.11</v>
      </c>
      <c r="I2761" s="2">
        <v>-354.81</v>
      </c>
      <c r="J2761" s="2">
        <v>8.69</v>
      </c>
      <c r="K2761" s="2">
        <v>2.59</v>
      </c>
      <c r="L2761" s="2">
        <v>9.06</v>
      </c>
      <c r="M2761" s="2">
        <v>1.75</v>
      </c>
      <c r="N2761" t="s">
        <v>280</v>
      </c>
      <c r="O2761">
        <v>116</v>
      </c>
    </row>
    <row r="2762" spans="1:15">
      <c r="A2762" s="1">
        <v>46062</v>
      </c>
      <c r="B2762">
        <v>19</v>
      </c>
      <c r="C2762" t="s">
        <v>100</v>
      </c>
      <c r="D2762">
        <v>18</v>
      </c>
      <c r="E2762" s="2">
        <v>12</v>
      </c>
      <c r="F2762" s="2">
        <v>282.73</v>
      </c>
      <c r="G2762" s="2">
        <v>-270.24</v>
      </c>
      <c r="H2762" s="2">
        <v>257.79000000000002</v>
      </c>
      <c r="I2762" s="2">
        <v>-263.33999999999997</v>
      </c>
      <c r="J2762" s="2">
        <v>8.14</v>
      </c>
      <c r="K2762" s="2">
        <v>2.2400000000000002</v>
      </c>
      <c r="L2762" s="2">
        <v>8.44</v>
      </c>
      <c r="M2762" s="2">
        <v>1.75</v>
      </c>
      <c r="N2762" t="s">
        <v>280</v>
      </c>
      <c r="O2762">
        <v>116</v>
      </c>
    </row>
    <row r="2763" spans="1:15">
      <c r="A2763" s="1">
        <v>46062</v>
      </c>
      <c r="B2763">
        <v>19</v>
      </c>
      <c r="C2763" t="s">
        <v>100</v>
      </c>
      <c r="D2763">
        <v>18</v>
      </c>
      <c r="E2763" s="2">
        <v>12.5</v>
      </c>
      <c r="F2763" s="2">
        <v>240.57</v>
      </c>
      <c r="G2763" s="2">
        <v>-231.91</v>
      </c>
      <c r="H2763" s="2">
        <v>178.06</v>
      </c>
      <c r="I2763" s="2">
        <v>-166.07</v>
      </c>
      <c r="J2763" s="2">
        <v>7.76</v>
      </c>
      <c r="K2763" s="2">
        <v>1.67</v>
      </c>
      <c r="L2763" s="2">
        <v>7.94</v>
      </c>
      <c r="M2763" s="2">
        <v>1.87</v>
      </c>
      <c r="N2763" t="s">
        <v>280</v>
      </c>
      <c r="O2763">
        <v>116</v>
      </c>
    </row>
    <row r="2764" spans="1:15">
      <c r="A2764" s="1">
        <v>46062</v>
      </c>
      <c r="B2764">
        <v>19</v>
      </c>
      <c r="C2764" t="s">
        <v>100</v>
      </c>
      <c r="D2764">
        <v>18</v>
      </c>
      <c r="E2764" s="2">
        <v>13</v>
      </c>
      <c r="F2764" s="2">
        <v>202.13</v>
      </c>
      <c r="G2764" s="2">
        <v>-192.21</v>
      </c>
      <c r="H2764" s="2">
        <v>125.63</v>
      </c>
      <c r="I2764" s="2">
        <v>-112.44</v>
      </c>
      <c r="J2764" s="2">
        <v>7.53</v>
      </c>
      <c r="K2764" s="2">
        <v>1.2</v>
      </c>
      <c r="L2764" s="2">
        <v>7.63</v>
      </c>
      <c r="M2764" s="2">
        <v>1.92</v>
      </c>
      <c r="N2764" t="s">
        <v>280</v>
      </c>
      <c r="O2764">
        <v>116</v>
      </c>
    </row>
    <row r="2765" spans="1:15">
      <c r="A2765" s="1">
        <v>46062</v>
      </c>
      <c r="B2765">
        <v>19</v>
      </c>
      <c r="C2765" t="s">
        <v>100</v>
      </c>
      <c r="D2765">
        <v>18</v>
      </c>
      <c r="E2765" s="2">
        <v>13.5</v>
      </c>
      <c r="F2765" s="2">
        <v>162.16999999999999</v>
      </c>
      <c r="G2765" s="2">
        <v>-155.09</v>
      </c>
      <c r="H2765" s="2">
        <v>136.31</v>
      </c>
      <c r="I2765" s="2">
        <v>-132.53</v>
      </c>
      <c r="J2765" s="2">
        <v>7.05</v>
      </c>
      <c r="K2765" s="2">
        <v>1.01</v>
      </c>
      <c r="L2765" s="2">
        <v>7.12</v>
      </c>
      <c r="M2765" s="2">
        <v>1.83</v>
      </c>
      <c r="N2765" t="s">
        <v>280</v>
      </c>
      <c r="O2765">
        <v>116</v>
      </c>
    </row>
    <row r="2766" spans="1:15">
      <c r="A2766" s="1">
        <v>46062</v>
      </c>
      <c r="B2766">
        <v>19</v>
      </c>
      <c r="C2766" t="s">
        <v>100</v>
      </c>
      <c r="D2766">
        <v>18</v>
      </c>
      <c r="E2766" s="2">
        <v>14</v>
      </c>
      <c r="F2766" s="2">
        <v>122.79</v>
      </c>
      <c r="G2766" s="2">
        <v>-115.68</v>
      </c>
      <c r="H2766" s="2">
        <v>154.18</v>
      </c>
      <c r="I2766" s="2">
        <v>-150.53</v>
      </c>
      <c r="J2766" s="2">
        <v>6.27</v>
      </c>
      <c r="K2766" s="2">
        <v>1.1599999999999999</v>
      </c>
      <c r="L2766" s="2">
        <v>6.38</v>
      </c>
      <c r="M2766" s="2">
        <v>1.7</v>
      </c>
      <c r="N2766" t="s">
        <v>280</v>
      </c>
      <c r="O2766">
        <v>116</v>
      </c>
    </row>
    <row r="2767" spans="1:15">
      <c r="A2767" s="1">
        <v>46062</v>
      </c>
      <c r="B2767">
        <v>19</v>
      </c>
      <c r="C2767" t="s">
        <v>100</v>
      </c>
      <c r="D2767">
        <v>18</v>
      </c>
      <c r="E2767" s="2">
        <v>14.5</v>
      </c>
      <c r="F2767" s="2">
        <v>118.31</v>
      </c>
      <c r="G2767" s="2">
        <v>-110.62</v>
      </c>
      <c r="H2767" s="2">
        <v>169.56</v>
      </c>
      <c r="I2767" s="2">
        <v>-156.69999999999999</v>
      </c>
      <c r="J2767" s="2">
        <v>5.65</v>
      </c>
      <c r="K2767" s="2">
        <v>0.53</v>
      </c>
      <c r="L2767" s="2">
        <v>5.68</v>
      </c>
      <c r="M2767" s="2">
        <v>1.57</v>
      </c>
      <c r="N2767" t="s">
        <v>280</v>
      </c>
      <c r="O2767">
        <v>116</v>
      </c>
    </row>
    <row r="2768" spans="1:15">
      <c r="A2768" s="1">
        <v>46062</v>
      </c>
      <c r="B2768">
        <v>19</v>
      </c>
      <c r="C2768" t="s">
        <v>100</v>
      </c>
      <c r="D2768">
        <v>18</v>
      </c>
      <c r="E2768" s="2">
        <v>15</v>
      </c>
      <c r="F2768" s="2">
        <v>125.13</v>
      </c>
      <c r="G2768" s="2">
        <v>-118.06</v>
      </c>
      <c r="H2768" s="2">
        <v>249.52</v>
      </c>
      <c r="I2768" s="2">
        <v>-268.36</v>
      </c>
      <c r="J2768" s="2">
        <v>5</v>
      </c>
      <c r="K2768" s="2">
        <v>-0.12</v>
      </c>
      <c r="L2768" s="2">
        <v>5</v>
      </c>
      <c r="M2768" s="2">
        <v>1.38</v>
      </c>
      <c r="N2768" t="s">
        <v>280</v>
      </c>
      <c r="O2768">
        <v>116</v>
      </c>
    </row>
    <row r="2769" spans="1:15">
      <c r="A2769" s="1">
        <v>46062</v>
      </c>
      <c r="B2769">
        <v>19</v>
      </c>
      <c r="C2769" t="s">
        <v>100</v>
      </c>
      <c r="D2769">
        <v>18</v>
      </c>
      <c r="E2769" s="2">
        <v>15.5</v>
      </c>
      <c r="F2769" s="2">
        <v>48.66</v>
      </c>
      <c r="G2769" s="2">
        <v>-46.33</v>
      </c>
      <c r="H2769" s="2">
        <v>341.66</v>
      </c>
      <c r="I2769" s="2">
        <v>-326.24</v>
      </c>
      <c r="J2769" s="2">
        <v>4.41</v>
      </c>
      <c r="K2769" s="2">
        <v>-0.16</v>
      </c>
      <c r="L2769" s="2">
        <v>4.41</v>
      </c>
      <c r="M2769" s="2">
        <v>1.23</v>
      </c>
      <c r="N2769" t="s">
        <v>280</v>
      </c>
      <c r="O2769">
        <v>116</v>
      </c>
    </row>
    <row r="2770" spans="1:15">
      <c r="A2770" s="1">
        <v>46062</v>
      </c>
      <c r="B2770">
        <v>19</v>
      </c>
      <c r="C2770" t="s">
        <v>100</v>
      </c>
      <c r="D2770">
        <v>18</v>
      </c>
      <c r="E2770" s="2">
        <v>16</v>
      </c>
      <c r="F2770" s="2">
        <v>192.8</v>
      </c>
      <c r="G2770" s="2">
        <v>-177.88</v>
      </c>
      <c r="H2770" s="2">
        <v>183.5</v>
      </c>
      <c r="I2770" s="2">
        <v>-175.48</v>
      </c>
      <c r="J2770" s="2">
        <v>4.12</v>
      </c>
      <c r="K2770" s="2">
        <v>-0.35</v>
      </c>
      <c r="L2770" s="2">
        <v>4.13</v>
      </c>
      <c r="M2770" s="2">
        <v>1.2</v>
      </c>
      <c r="N2770" t="s">
        <v>280</v>
      </c>
      <c r="O2770">
        <v>116</v>
      </c>
    </row>
    <row r="2771" spans="1:15">
      <c r="A2771" s="1">
        <v>46062</v>
      </c>
      <c r="B2771">
        <v>19</v>
      </c>
      <c r="C2771" t="s">
        <v>100</v>
      </c>
      <c r="D2771">
        <v>18</v>
      </c>
      <c r="E2771" s="2">
        <v>16.5</v>
      </c>
      <c r="F2771" s="2">
        <v>313.27999999999997</v>
      </c>
      <c r="G2771" s="2">
        <v>-310.33</v>
      </c>
      <c r="H2771" s="2">
        <v>208.01</v>
      </c>
      <c r="I2771" s="2">
        <v>-186.86</v>
      </c>
      <c r="J2771" s="2">
        <v>3.92</v>
      </c>
      <c r="K2771" s="2">
        <v>-0.64</v>
      </c>
      <c r="L2771" s="2">
        <v>3.97</v>
      </c>
      <c r="M2771" s="2">
        <v>1.1100000000000001</v>
      </c>
      <c r="N2771" t="s">
        <v>280</v>
      </c>
      <c r="O2771">
        <v>116</v>
      </c>
    </row>
    <row r="2772" spans="1:15">
      <c r="A2772" s="1">
        <v>46062</v>
      </c>
      <c r="B2772">
        <v>19</v>
      </c>
      <c r="C2772" t="s">
        <v>100</v>
      </c>
      <c r="D2772">
        <v>18</v>
      </c>
      <c r="E2772" s="2">
        <v>17</v>
      </c>
      <c r="F2772" s="2">
        <v>373.24</v>
      </c>
      <c r="G2772" s="2">
        <v>-364.53</v>
      </c>
      <c r="H2772" s="2">
        <v>245.56</v>
      </c>
      <c r="I2772" s="2">
        <v>-244.82</v>
      </c>
      <c r="J2772" s="2">
        <v>3.67</v>
      </c>
      <c r="K2772" s="2">
        <v>-0.5</v>
      </c>
      <c r="L2772" s="2">
        <v>3.71</v>
      </c>
      <c r="M2772" s="2">
        <v>0.98</v>
      </c>
      <c r="N2772" t="s">
        <v>280</v>
      </c>
      <c r="O2772">
        <v>116</v>
      </c>
    </row>
    <row r="2773" spans="1:15">
      <c r="A2773" s="1">
        <v>46062</v>
      </c>
      <c r="B2773">
        <v>19</v>
      </c>
      <c r="C2773" t="s">
        <v>100</v>
      </c>
      <c r="D2773">
        <v>18</v>
      </c>
      <c r="E2773" s="2">
        <v>17.5</v>
      </c>
      <c r="F2773" s="2">
        <v>368.46</v>
      </c>
      <c r="G2773" s="2">
        <v>-364.98</v>
      </c>
      <c r="H2773" s="2">
        <v>158.84</v>
      </c>
      <c r="I2773" s="2">
        <v>-164.04</v>
      </c>
      <c r="J2773" s="2">
        <v>3.37</v>
      </c>
      <c r="K2773" s="2">
        <v>-0.31</v>
      </c>
      <c r="L2773" s="2">
        <v>3.38</v>
      </c>
      <c r="M2773" s="2">
        <v>0.93</v>
      </c>
      <c r="N2773" t="s">
        <v>280</v>
      </c>
      <c r="O2773">
        <v>116</v>
      </c>
    </row>
    <row r="2774" spans="1:15">
      <c r="A2774" s="1">
        <v>46062</v>
      </c>
      <c r="B2774">
        <v>19</v>
      </c>
      <c r="C2774" t="s">
        <v>100</v>
      </c>
      <c r="D2774">
        <v>18</v>
      </c>
      <c r="E2774" s="2">
        <v>18</v>
      </c>
      <c r="F2774" s="2">
        <v>338.44</v>
      </c>
      <c r="G2774" s="2">
        <v>-332.47</v>
      </c>
      <c r="H2774" s="2">
        <v>92.83</v>
      </c>
      <c r="I2774" s="2">
        <v>-87.82</v>
      </c>
      <c r="J2774" s="2">
        <v>3.08</v>
      </c>
      <c r="K2774" s="2">
        <v>0.08</v>
      </c>
      <c r="L2774" s="2">
        <v>3.08</v>
      </c>
      <c r="M2774" s="2">
        <v>0.83</v>
      </c>
      <c r="N2774" t="s">
        <v>280</v>
      </c>
      <c r="O2774">
        <v>116</v>
      </c>
    </row>
    <row r="2775" spans="1:15">
      <c r="A2775" s="1">
        <v>46062</v>
      </c>
      <c r="B2775">
        <v>19</v>
      </c>
      <c r="C2775" t="s">
        <v>100</v>
      </c>
      <c r="D2775">
        <v>18</v>
      </c>
      <c r="E2775" s="2">
        <v>18.5</v>
      </c>
      <c r="F2775" s="2">
        <v>303.75</v>
      </c>
      <c r="G2775" s="2">
        <v>-300.58</v>
      </c>
      <c r="H2775" s="2">
        <v>57.8</v>
      </c>
      <c r="I2775" s="2">
        <v>-64.459999999999994</v>
      </c>
      <c r="J2775" s="2">
        <v>2.83</v>
      </c>
      <c r="K2775" s="2">
        <v>-0.05</v>
      </c>
      <c r="L2775" s="2">
        <v>2.83</v>
      </c>
      <c r="M2775" s="2">
        <v>0.76</v>
      </c>
      <c r="N2775" t="s">
        <v>280</v>
      </c>
      <c r="O2775">
        <v>116</v>
      </c>
    </row>
    <row r="2776" spans="1:15">
      <c r="A2776" s="1">
        <v>46062</v>
      </c>
      <c r="B2776">
        <v>19</v>
      </c>
      <c r="C2776" t="s">
        <v>100</v>
      </c>
      <c r="D2776">
        <v>18</v>
      </c>
      <c r="E2776" s="2">
        <v>19</v>
      </c>
      <c r="F2776" s="2">
        <v>291.60000000000002</v>
      </c>
      <c r="G2776" s="2">
        <v>-288.97000000000003</v>
      </c>
      <c r="H2776" s="2">
        <v>51.97</v>
      </c>
      <c r="I2776" s="2">
        <v>-47.01</v>
      </c>
      <c r="J2776" s="2">
        <v>2.41</v>
      </c>
      <c r="K2776" s="2">
        <v>-0.18</v>
      </c>
      <c r="L2776" s="2">
        <v>2.42</v>
      </c>
      <c r="M2776" s="2">
        <v>0.62</v>
      </c>
      <c r="N2776" t="s">
        <v>280</v>
      </c>
      <c r="O2776">
        <v>116</v>
      </c>
    </row>
    <row r="2777" spans="1:15">
      <c r="A2777" s="1">
        <v>46062</v>
      </c>
      <c r="B2777">
        <v>19</v>
      </c>
      <c r="C2777" t="s">
        <v>100</v>
      </c>
      <c r="D2777">
        <v>18</v>
      </c>
      <c r="E2777" s="2">
        <v>19.5</v>
      </c>
      <c r="F2777" s="2">
        <v>193.56</v>
      </c>
      <c r="G2777" s="2">
        <v>-190.34</v>
      </c>
      <c r="H2777" s="2">
        <v>94.67</v>
      </c>
      <c r="I2777" s="2">
        <v>-78.849999999999994</v>
      </c>
      <c r="J2777" s="2">
        <v>2.08</v>
      </c>
      <c r="K2777" s="2">
        <v>-0.31</v>
      </c>
      <c r="L2777" s="2">
        <v>2.1</v>
      </c>
      <c r="M2777" s="2">
        <v>0.49</v>
      </c>
      <c r="N2777" t="s">
        <v>280</v>
      </c>
      <c r="O2777">
        <v>116</v>
      </c>
    </row>
    <row r="2778" spans="1:15">
      <c r="A2778" s="1">
        <v>46062</v>
      </c>
      <c r="B2778">
        <v>19</v>
      </c>
      <c r="C2778" t="s">
        <v>100</v>
      </c>
      <c r="D2778">
        <v>18</v>
      </c>
      <c r="E2778" s="2">
        <v>20</v>
      </c>
      <c r="F2778" s="2">
        <v>130.63</v>
      </c>
      <c r="G2778" s="2">
        <v>-127.25</v>
      </c>
      <c r="H2778" s="2">
        <v>141.62</v>
      </c>
      <c r="I2778" s="2">
        <v>-140.77000000000001</v>
      </c>
      <c r="J2778" s="2">
        <v>1.55</v>
      </c>
      <c r="K2778" s="2">
        <v>-0.18</v>
      </c>
      <c r="L2778" s="2">
        <v>1.56</v>
      </c>
      <c r="M2778" s="2">
        <v>0.41</v>
      </c>
      <c r="N2778" t="s">
        <v>280</v>
      </c>
      <c r="O2778">
        <v>116</v>
      </c>
    </row>
    <row r="2779" spans="1:15">
      <c r="A2779" s="1">
        <v>46062</v>
      </c>
      <c r="B2779">
        <v>19</v>
      </c>
      <c r="C2779" t="s">
        <v>100</v>
      </c>
      <c r="D2779">
        <v>18</v>
      </c>
      <c r="E2779" s="2">
        <v>20.5</v>
      </c>
      <c r="F2779" s="2">
        <v>133.38999999999999</v>
      </c>
      <c r="G2779" s="2">
        <v>-131.43</v>
      </c>
      <c r="H2779" s="2">
        <v>152.63999999999999</v>
      </c>
      <c r="I2779" s="2">
        <v>-156.25</v>
      </c>
      <c r="J2779" s="2">
        <v>1.19</v>
      </c>
      <c r="K2779" s="2">
        <v>-0.09</v>
      </c>
      <c r="L2779" s="2">
        <v>1.2</v>
      </c>
      <c r="M2779" s="2">
        <v>0.28000000000000003</v>
      </c>
      <c r="N2779" t="s">
        <v>280</v>
      </c>
      <c r="O2779">
        <v>116</v>
      </c>
    </row>
    <row r="2780" spans="1:15">
      <c r="A2780" s="1">
        <v>46062</v>
      </c>
      <c r="B2780">
        <v>19</v>
      </c>
      <c r="C2780" t="s">
        <v>100</v>
      </c>
      <c r="D2780">
        <v>18</v>
      </c>
      <c r="E2780" s="2">
        <v>21</v>
      </c>
      <c r="F2780" s="2">
        <v>149.83000000000001</v>
      </c>
      <c r="G2780" s="2">
        <v>-146.5</v>
      </c>
      <c r="H2780" s="2">
        <v>175.73</v>
      </c>
      <c r="I2780" s="2">
        <v>-170.19</v>
      </c>
      <c r="J2780" s="2">
        <v>0.68</v>
      </c>
      <c r="K2780" s="2">
        <v>0.22</v>
      </c>
      <c r="L2780" s="2">
        <v>0.71</v>
      </c>
      <c r="M2780" s="2">
        <v>0.16</v>
      </c>
      <c r="N2780" t="s">
        <v>280</v>
      </c>
      <c r="O2780">
        <v>116</v>
      </c>
    </row>
    <row r="2781" spans="1:15">
      <c r="A2781" s="1">
        <v>46062</v>
      </c>
      <c r="B2781">
        <v>19</v>
      </c>
      <c r="C2781" t="s">
        <v>100</v>
      </c>
      <c r="D2781">
        <v>18</v>
      </c>
      <c r="E2781" s="2">
        <v>21.5</v>
      </c>
      <c r="F2781" s="2">
        <v>171.56</v>
      </c>
      <c r="G2781" s="2">
        <v>-170.58</v>
      </c>
      <c r="H2781" s="2">
        <v>162.58000000000001</v>
      </c>
      <c r="I2781" s="2">
        <v>-168.09</v>
      </c>
      <c r="J2781" s="2">
        <v>0.32</v>
      </c>
      <c r="K2781" s="2">
        <v>0.46</v>
      </c>
      <c r="L2781" s="2">
        <v>0.56000000000000005</v>
      </c>
      <c r="M2781" s="2">
        <v>0.27</v>
      </c>
      <c r="N2781" t="s">
        <v>280</v>
      </c>
      <c r="O2781">
        <v>116</v>
      </c>
    </row>
    <row r="2782" spans="1:15">
      <c r="A2782" s="1">
        <v>46062</v>
      </c>
      <c r="B2782">
        <v>19</v>
      </c>
      <c r="C2782" t="s">
        <v>100</v>
      </c>
      <c r="D2782">
        <v>18</v>
      </c>
      <c r="E2782" s="2">
        <v>22</v>
      </c>
      <c r="F2782" s="2">
        <v>184.59</v>
      </c>
      <c r="G2782" s="2">
        <v>-181.96</v>
      </c>
      <c r="H2782" s="2">
        <v>186.03</v>
      </c>
      <c r="I2782" s="2">
        <v>-163.22</v>
      </c>
      <c r="J2782" s="2">
        <v>0.12</v>
      </c>
      <c r="K2782" s="2">
        <v>0.4</v>
      </c>
      <c r="L2782" s="2">
        <v>0.41</v>
      </c>
      <c r="M2782" s="2">
        <v>0.04</v>
      </c>
      <c r="N2782" t="s">
        <v>280</v>
      </c>
      <c r="O2782">
        <v>116</v>
      </c>
    </row>
    <row r="2783" spans="1:15">
      <c r="A2783" s="1">
        <v>46069</v>
      </c>
      <c r="B2783">
        <v>20</v>
      </c>
      <c r="C2783" t="s">
        <v>94</v>
      </c>
      <c r="D2783">
        <v>20</v>
      </c>
      <c r="E2783" s="2">
        <v>0.5</v>
      </c>
      <c r="F2783" s="2">
        <v>-242.74</v>
      </c>
      <c r="G2783" s="2">
        <v>224.31</v>
      </c>
      <c r="H2783" s="2">
        <v>-735.61</v>
      </c>
      <c r="I2783" s="2">
        <v>793.6</v>
      </c>
      <c r="J2783" s="2">
        <v>-1.22</v>
      </c>
      <c r="K2783" s="2">
        <v>21.88</v>
      </c>
      <c r="L2783" s="2">
        <v>21.92</v>
      </c>
      <c r="M2783" s="2">
        <v>0.96</v>
      </c>
      <c r="N2783" t="s">
        <v>282</v>
      </c>
      <c r="O2783">
        <v>44</v>
      </c>
    </row>
    <row r="2784" spans="1:15">
      <c r="A2784" s="1">
        <v>46069</v>
      </c>
      <c r="B2784">
        <v>20</v>
      </c>
      <c r="C2784" t="s">
        <v>94</v>
      </c>
      <c r="D2784">
        <v>20</v>
      </c>
      <c r="E2784" s="2">
        <v>1</v>
      </c>
      <c r="F2784" s="2">
        <v>-235.55</v>
      </c>
      <c r="G2784" s="2">
        <v>226.1</v>
      </c>
      <c r="H2784" s="2">
        <v>-731.79</v>
      </c>
      <c r="I2784" s="2">
        <v>785.51</v>
      </c>
      <c r="J2784" s="2">
        <v>3.02</v>
      </c>
      <c r="K2784" s="2">
        <v>24.78</v>
      </c>
      <c r="L2784" s="2">
        <v>24.96</v>
      </c>
      <c r="M2784" s="2">
        <v>0.44</v>
      </c>
      <c r="N2784" t="s">
        <v>282</v>
      </c>
      <c r="O2784">
        <v>44</v>
      </c>
    </row>
    <row r="2785" spans="1:15">
      <c r="A2785" s="1">
        <v>46069</v>
      </c>
      <c r="B2785">
        <v>20</v>
      </c>
      <c r="C2785" t="s">
        <v>94</v>
      </c>
      <c r="D2785">
        <v>20</v>
      </c>
      <c r="E2785" s="2">
        <v>1.5</v>
      </c>
      <c r="F2785" s="2">
        <v>-17.010000000000002</v>
      </c>
      <c r="G2785" s="2">
        <v>23.79</v>
      </c>
      <c r="H2785" s="2">
        <v>-277.64999999999998</v>
      </c>
      <c r="I2785" s="2">
        <v>319.37</v>
      </c>
      <c r="J2785" s="2">
        <v>7.39</v>
      </c>
      <c r="K2785" s="2">
        <v>27.42</v>
      </c>
      <c r="L2785" s="2">
        <v>28.4</v>
      </c>
      <c r="M2785" s="2">
        <v>-0.05</v>
      </c>
      <c r="N2785" t="s">
        <v>282</v>
      </c>
      <c r="O2785">
        <v>44</v>
      </c>
    </row>
    <row r="2786" spans="1:15">
      <c r="A2786" s="1">
        <v>46069</v>
      </c>
      <c r="B2786">
        <v>20</v>
      </c>
      <c r="C2786" t="s">
        <v>94</v>
      </c>
      <c r="D2786">
        <v>20</v>
      </c>
      <c r="E2786" s="2">
        <v>2</v>
      </c>
      <c r="F2786" s="2">
        <v>63.63</v>
      </c>
      <c r="G2786" s="2">
        <v>-61.34</v>
      </c>
      <c r="H2786" s="2">
        <v>-223.94</v>
      </c>
      <c r="I2786" s="2">
        <v>241.5</v>
      </c>
      <c r="J2786" s="2">
        <v>7.06</v>
      </c>
      <c r="K2786" s="2">
        <v>26.93</v>
      </c>
      <c r="L2786" s="2">
        <v>27.84</v>
      </c>
      <c r="M2786" s="2">
        <v>-0.5</v>
      </c>
      <c r="N2786" t="s">
        <v>282</v>
      </c>
      <c r="O2786">
        <v>44</v>
      </c>
    </row>
    <row r="2787" spans="1:15">
      <c r="A2787" s="1">
        <v>46069</v>
      </c>
      <c r="B2787">
        <v>20</v>
      </c>
      <c r="C2787" t="s">
        <v>94</v>
      </c>
      <c r="D2787">
        <v>20</v>
      </c>
      <c r="E2787" s="2">
        <v>2.5</v>
      </c>
      <c r="F2787" s="2">
        <v>68.7</v>
      </c>
      <c r="G2787" s="2">
        <v>-65.94</v>
      </c>
      <c r="H2787" s="2">
        <v>-195.05</v>
      </c>
      <c r="I2787" s="2">
        <v>208.54</v>
      </c>
      <c r="J2787" s="2">
        <v>8.89</v>
      </c>
      <c r="K2787" s="2">
        <v>27.07</v>
      </c>
      <c r="L2787" s="2">
        <v>28.5</v>
      </c>
      <c r="M2787" s="2">
        <v>-0.62</v>
      </c>
      <c r="N2787" t="s">
        <v>282</v>
      </c>
      <c r="O2787">
        <v>44</v>
      </c>
    </row>
    <row r="2788" spans="1:15">
      <c r="A2788" s="1">
        <v>46069</v>
      </c>
      <c r="B2788">
        <v>20</v>
      </c>
      <c r="C2788" t="s">
        <v>94</v>
      </c>
      <c r="D2788">
        <v>20</v>
      </c>
      <c r="E2788" s="2">
        <v>3</v>
      </c>
      <c r="F2788" s="2">
        <v>30.78</v>
      </c>
      <c r="G2788" s="2">
        <v>-28.09</v>
      </c>
      <c r="H2788" s="2">
        <v>-141.16999999999999</v>
      </c>
      <c r="I2788" s="2">
        <v>163.47</v>
      </c>
      <c r="J2788" s="2">
        <v>10.119999999999999</v>
      </c>
      <c r="K2788" s="2">
        <v>27.3</v>
      </c>
      <c r="L2788" s="2">
        <v>29.11</v>
      </c>
      <c r="M2788" s="2">
        <v>-0.61</v>
      </c>
      <c r="N2788" t="s">
        <v>282</v>
      </c>
      <c r="O2788">
        <v>44</v>
      </c>
    </row>
    <row r="2789" spans="1:15">
      <c r="A2789" s="1">
        <v>46069</v>
      </c>
      <c r="B2789">
        <v>20</v>
      </c>
      <c r="C2789" t="s">
        <v>94</v>
      </c>
      <c r="D2789">
        <v>20</v>
      </c>
      <c r="E2789" s="2">
        <v>3.5</v>
      </c>
      <c r="F2789" s="2">
        <v>-7.22</v>
      </c>
      <c r="G2789" s="2">
        <v>7.86</v>
      </c>
      <c r="H2789" s="2">
        <v>-78.73</v>
      </c>
      <c r="I2789" s="2">
        <v>88.64</v>
      </c>
      <c r="J2789" s="2">
        <v>10.78</v>
      </c>
      <c r="K2789" s="2">
        <v>27.38</v>
      </c>
      <c r="L2789" s="2">
        <v>29.43</v>
      </c>
      <c r="M2789" s="2">
        <v>-0.68</v>
      </c>
      <c r="N2789" t="s">
        <v>282</v>
      </c>
      <c r="O2789">
        <v>44</v>
      </c>
    </row>
    <row r="2790" spans="1:15">
      <c r="A2790" s="1">
        <v>46069</v>
      </c>
      <c r="B2790">
        <v>20</v>
      </c>
      <c r="C2790" t="s">
        <v>94</v>
      </c>
      <c r="D2790">
        <v>20</v>
      </c>
      <c r="E2790" s="2">
        <v>4</v>
      </c>
      <c r="F2790" s="2">
        <v>59.24</v>
      </c>
      <c r="G2790" s="2">
        <v>-54.43</v>
      </c>
      <c r="H2790" s="2">
        <v>-66.819999999999993</v>
      </c>
      <c r="I2790" s="2">
        <v>68.989999999999995</v>
      </c>
      <c r="J2790" s="2">
        <v>10.93</v>
      </c>
      <c r="K2790" s="2">
        <v>27.91</v>
      </c>
      <c r="L2790" s="2">
        <v>29.97</v>
      </c>
      <c r="M2790" s="2">
        <v>-0.56000000000000005</v>
      </c>
      <c r="N2790" t="s">
        <v>282</v>
      </c>
      <c r="O2790">
        <v>44</v>
      </c>
    </row>
    <row r="2791" spans="1:15">
      <c r="A2791" s="1">
        <v>46069</v>
      </c>
      <c r="B2791">
        <v>20</v>
      </c>
      <c r="C2791" t="s">
        <v>94</v>
      </c>
      <c r="D2791">
        <v>20</v>
      </c>
      <c r="E2791" s="2">
        <v>4.5</v>
      </c>
      <c r="F2791" s="2">
        <v>91.29</v>
      </c>
      <c r="G2791" s="2">
        <v>-86.2</v>
      </c>
      <c r="H2791" s="2">
        <v>-50.31</v>
      </c>
      <c r="I2791" s="2">
        <v>76.48</v>
      </c>
      <c r="J2791" s="2">
        <v>10.98</v>
      </c>
      <c r="K2791" s="2">
        <v>27.96</v>
      </c>
      <c r="L2791" s="2">
        <v>30.04</v>
      </c>
      <c r="M2791" s="2">
        <v>-0.51</v>
      </c>
      <c r="N2791" t="s">
        <v>282</v>
      </c>
      <c r="O2791">
        <v>44</v>
      </c>
    </row>
    <row r="2792" spans="1:15">
      <c r="A2792" s="1">
        <v>46069</v>
      </c>
      <c r="B2792">
        <v>20</v>
      </c>
      <c r="C2792" t="s">
        <v>94</v>
      </c>
      <c r="D2792">
        <v>20</v>
      </c>
      <c r="E2792" s="2">
        <v>5</v>
      </c>
      <c r="F2792" s="2">
        <v>33.270000000000003</v>
      </c>
      <c r="G2792" s="2">
        <v>-27.42</v>
      </c>
      <c r="H2792" s="2">
        <v>24.97</v>
      </c>
      <c r="I2792" s="2">
        <v>6.38</v>
      </c>
      <c r="J2792" s="2">
        <v>12.06</v>
      </c>
      <c r="K2792" s="2">
        <v>27.2</v>
      </c>
      <c r="L2792" s="2">
        <v>29.76</v>
      </c>
      <c r="M2792" s="2">
        <v>-0.65</v>
      </c>
      <c r="N2792" t="s">
        <v>282</v>
      </c>
      <c r="O2792">
        <v>44</v>
      </c>
    </row>
    <row r="2793" spans="1:15">
      <c r="A2793" s="1">
        <v>46069</v>
      </c>
      <c r="B2793">
        <v>20</v>
      </c>
      <c r="C2793" t="s">
        <v>94</v>
      </c>
      <c r="D2793">
        <v>20</v>
      </c>
      <c r="E2793" s="2">
        <v>5.5</v>
      </c>
      <c r="F2793" s="2">
        <v>22.82</v>
      </c>
      <c r="G2793" s="2">
        <v>-16.82</v>
      </c>
      <c r="H2793" s="2">
        <v>50.22</v>
      </c>
      <c r="I2793" s="2">
        <v>-26.36</v>
      </c>
      <c r="J2793" s="2">
        <v>12.95</v>
      </c>
      <c r="K2793" s="2">
        <v>27.01</v>
      </c>
      <c r="L2793" s="2">
        <v>29.96</v>
      </c>
      <c r="M2793" s="2">
        <v>-0.71</v>
      </c>
      <c r="N2793" t="s">
        <v>282</v>
      </c>
      <c r="O2793">
        <v>44</v>
      </c>
    </row>
    <row r="2794" spans="1:15">
      <c r="A2794" s="1">
        <v>46069</v>
      </c>
      <c r="B2794">
        <v>20</v>
      </c>
      <c r="C2794" t="s">
        <v>94</v>
      </c>
      <c r="D2794">
        <v>20</v>
      </c>
      <c r="E2794" s="2">
        <v>6</v>
      </c>
      <c r="F2794" s="2">
        <v>15.02</v>
      </c>
      <c r="G2794" s="2">
        <v>-10.69</v>
      </c>
      <c r="H2794" s="2">
        <v>-8.35</v>
      </c>
      <c r="I2794" s="2">
        <v>24.6</v>
      </c>
      <c r="J2794" s="2">
        <v>13.61</v>
      </c>
      <c r="K2794" s="2">
        <v>27.74</v>
      </c>
      <c r="L2794" s="2">
        <v>30.9</v>
      </c>
      <c r="M2794" s="2">
        <v>-0.72</v>
      </c>
      <c r="N2794" t="s">
        <v>282</v>
      </c>
      <c r="O2794">
        <v>44</v>
      </c>
    </row>
    <row r="2795" spans="1:15">
      <c r="A2795" s="1">
        <v>46069</v>
      </c>
      <c r="B2795">
        <v>20</v>
      </c>
      <c r="C2795" t="s">
        <v>94</v>
      </c>
      <c r="D2795">
        <v>20</v>
      </c>
      <c r="E2795" s="2">
        <v>6.5</v>
      </c>
      <c r="F2795" s="2">
        <v>13.49</v>
      </c>
      <c r="G2795" s="2">
        <v>-6.63</v>
      </c>
      <c r="H2795" s="2">
        <v>-64.28</v>
      </c>
      <c r="I2795" s="2">
        <v>73.09</v>
      </c>
      <c r="J2795" s="2">
        <v>13.67</v>
      </c>
      <c r="K2795" s="2">
        <v>28.28</v>
      </c>
      <c r="L2795" s="2">
        <v>31.41</v>
      </c>
      <c r="M2795" s="2">
        <v>-0.7</v>
      </c>
      <c r="N2795" t="s">
        <v>282</v>
      </c>
      <c r="O2795">
        <v>44</v>
      </c>
    </row>
    <row r="2796" spans="1:15">
      <c r="A2796" s="1">
        <v>46069</v>
      </c>
      <c r="B2796">
        <v>20</v>
      </c>
      <c r="C2796" t="s">
        <v>94</v>
      </c>
      <c r="D2796">
        <v>20</v>
      </c>
      <c r="E2796" s="2">
        <v>7</v>
      </c>
      <c r="F2796" s="2">
        <v>108.45</v>
      </c>
      <c r="G2796" s="2">
        <v>-105.24</v>
      </c>
      <c r="H2796" s="2">
        <v>-45.45</v>
      </c>
      <c r="I2796" s="2">
        <v>59.42</v>
      </c>
      <c r="J2796" s="2">
        <v>13.17</v>
      </c>
      <c r="K2796" s="2">
        <v>28.1</v>
      </c>
      <c r="L2796" s="2">
        <v>31.03</v>
      </c>
      <c r="M2796" s="2">
        <v>-0.79</v>
      </c>
      <c r="N2796" t="s">
        <v>282</v>
      </c>
      <c r="O2796">
        <v>44</v>
      </c>
    </row>
    <row r="2797" spans="1:15">
      <c r="A2797" s="1">
        <v>46069</v>
      </c>
      <c r="B2797">
        <v>20</v>
      </c>
      <c r="C2797" t="s">
        <v>94</v>
      </c>
      <c r="D2797">
        <v>20</v>
      </c>
      <c r="E2797" s="2">
        <v>7.5</v>
      </c>
      <c r="F2797" s="2">
        <v>72.52</v>
      </c>
      <c r="G2797" s="2">
        <v>-68.05</v>
      </c>
      <c r="H2797" s="2">
        <v>-71.06</v>
      </c>
      <c r="I2797" s="2">
        <v>77.5</v>
      </c>
      <c r="J2797" s="2">
        <v>13.31</v>
      </c>
      <c r="K2797" s="2">
        <v>28.08</v>
      </c>
      <c r="L2797" s="2">
        <v>31.08</v>
      </c>
      <c r="M2797" s="2">
        <v>-0.71</v>
      </c>
      <c r="N2797" t="s">
        <v>282</v>
      </c>
      <c r="O2797">
        <v>44</v>
      </c>
    </row>
    <row r="2798" spans="1:15">
      <c r="A2798" s="1">
        <v>46069</v>
      </c>
      <c r="B2798">
        <v>20</v>
      </c>
      <c r="C2798" t="s">
        <v>94</v>
      </c>
      <c r="D2798">
        <v>20</v>
      </c>
      <c r="E2798" s="2">
        <v>8</v>
      </c>
      <c r="F2798" s="2">
        <v>60.72</v>
      </c>
      <c r="G2798" s="2">
        <v>-53.95</v>
      </c>
      <c r="H2798" s="2">
        <v>-71.349999999999994</v>
      </c>
      <c r="I2798" s="2">
        <v>75.53</v>
      </c>
      <c r="J2798" s="2">
        <v>13.39</v>
      </c>
      <c r="K2798" s="2">
        <v>27.4</v>
      </c>
      <c r="L2798" s="2">
        <v>30.5</v>
      </c>
      <c r="M2798" s="2">
        <v>-0.82</v>
      </c>
      <c r="N2798" t="s">
        <v>282</v>
      </c>
      <c r="O2798">
        <v>44</v>
      </c>
    </row>
    <row r="2799" spans="1:15">
      <c r="A2799" s="1">
        <v>46069</v>
      </c>
      <c r="B2799">
        <v>20</v>
      </c>
      <c r="C2799" t="s">
        <v>94</v>
      </c>
      <c r="D2799">
        <v>20</v>
      </c>
      <c r="E2799" s="2">
        <v>8.5</v>
      </c>
      <c r="F2799" s="2">
        <v>21.63</v>
      </c>
      <c r="G2799" s="2">
        <v>-14.68</v>
      </c>
      <c r="H2799" s="2">
        <v>-44.65</v>
      </c>
      <c r="I2799" s="2">
        <v>48.98</v>
      </c>
      <c r="J2799" s="2">
        <v>13.76</v>
      </c>
      <c r="K2799" s="2">
        <v>26.42</v>
      </c>
      <c r="L2799" s="2">
        <v>29.78</v>
      </c>
      <c r="M2799" s="2">
        <v>-0.86</v>
      </c>
      <c r="N2799" t="s">
        <v>282</v>
      </c>
      <c r="O2799">
        <v>44</v>
      </c>
    </row>
    <row r="2800" spans="1:15">
      <c r="A2800" s="1">
        <v>46069</v>
      </c>
      <c r="B2800">
        <v>20</v>
      </c>
      <c r="C2800" t="s">
        <v>94</v>
      </c>
      <c r="D2800">
        <v>20</v>
      </c>
      <c r="E2800" s="2">
        <v>9</v>
      </c>
      <c r="F2800" s="2">
        <v>-31.97</v>
      </c>
      <c r="G2800" s="2">
        <v>40.83</v>
      </c>
      <c r="H2800" s="2">
        <v>-39.68</v>
      </c>
      <c r="I2800" s="2">
        <v>44.94</v>
      </c>
      <c r="J2800" s="2">
        <v>14.11</v>
      </c>
      <c r="K2800" s="2">
        <v>25.53</v>
      </c>
      <c r="L2800" s="2">
        <v>29.17</v>
      </c>
      <c r="M2800" s="2">
        <v>-0.8</v>
      </c>
      <c r="N2800" t="s">
        <v>282</v>
      </c>
      <c r="O2800">
        <v>44</v>
      </c>
    </row>
    <row r="2801" spans="1:15">
      <c r="A2801" s="1">
        <v>46069</v>
      </c>
      <c r="B2801">
        <v>20</v>
      </c>
      <c r="C2801" t="s">
        <v>94</v>
      </c>
      <c r="D2801">
        <v>20</v>
      </c>
      <c r="E2801" s="2">
        <v>9.5</v>
      </c>
      <c r="F2801" s="2">
        <v>-117.84</v>
      </c>
      <c r="G2801" s="2">
        <v>124.23</v>
      </c>
      <c r="H2801" s="2">
        <v>-4.3899999999999997</v>
      </c>
      <c r="I2801" s="2">
        <v>19.3</v>
      </c>
      <c r="J2801" s="2">
        <v>14.29</v>
      </c>
      <c r="K2801" s="2">
        <v>24.33</v>
      </c>
      <c r="L2801" s="2">
        <v>28.21</v>
      </c>
      <c r="M2801" s="2">
        <v>-0.79</v>
      </c>
      <c r="N2801" t="s">
        <v>282</v>
      </c>
      <c r="O2801">
        <v>44</v>
      </c>
    </row>
    <row r="2802" spans="1:15">
      <c r="A2802" s="1">
        <v>46069</v>
      </c>
      <c r="B2802">
        <v>20</v>
      </c>
      <c r="C2802" t="s">
        <v>94</v>
      </c>
      <c r="D2802">
        <v>20</v>
      </c>
      <c r="E2802" s="2">
        <v>10</v>
      </c>
      <c r="F2802" s="2">
        <v>-218.9</v>
      </c>
      <c r="G2802" s="2">
        <v>229.44</v>
      </c>
      <c r="H2802" s="2">
        <v>-87.45</v>
      </c>
      <c r="I2802" s="2">
        <v>96.85</v>
      </c>
      <c r="J2802" s="2">
        <v>13.91</v>
      </c>
      <c r="K2802" s="2">
        <v>23.47</v>
      </c>
      <c r="L2802" s="2">
        <v>27.28</v>
      </c>
      <c r="M2802" s="2">
        <v>-0.9</v>
      </c>
      <c r="N2802" t="s">
        <v>282</v>
      </c>
      <c r="O2802">
        <v>44</v>
      </c>
    </row>
    <row r="2803" spans="1:15">
      <c r="A2803" s="1">
        <v>46069</v>
      </c>
      <c r="B2803">
        <v>20</v>
      </c>
      <c r="C2803" t="s">
        <v>94</v>
      </c>
      <c r="D2803">
        <v>20</v>
      </c>
      <c r="E2803" s="2">
        <v>10.5</v>
      </c>
      <c r="F2803" s="2">
        <v>-202.26</v>
      </c>
      <c r="G2803" s="2">
        <v>212.66</v>
      </c>
      <c r="H2803" s="2">
        <v>-78.739999999999995</v>
      </c>
      <c r="I2803" s="2">
        <v>85.45</v>
      </c>
      <c r="J2803" s="2">
        <v>13.2</v>
      </c>
      <c r="K2803" s="2">
        <v>22.32</v>
      </c>
      <c r="L2803" s="2">
        <v>25.93</v>
      </c>
      <c r="M2803" s="2">
        <v>-0.83</v>
      </c>
      <c r="N2803" t="s">
        <v>282</v>
      </c>
      <c r="O2803">
        <v>44</v>
      </c>
    </row>
    <row r="2804" spans="1:15">
      <c r="A2804" s="1">
        <v>46069</v>
      </c>
      <c r="B2804">
        <v>20</v>
      </c>
      <c r="C2804" t="s">
        <v>94</v>
      </c>
      <c r="D2804">
        <v>20</v>
      </c>
      <c r="E2804" s="2">
        <v>11</v>
      </c>
      <c r="F2804" s="2">
        <v>-196.98</v>
      </c>
      <c r="G2804" s="2">
        <v>203.45</v>
      </c>
      <c r="H2804" s="2">
        <v>-42.23</v>
      </c>
      <c r="I2804" s="2">
        <v>67.67</v>
      </c>
      <c r="J2804" s="2">
        <v>12.86</v>
      </c>
      <c r="K2804" s="2">
        <v>21.25</v>
      </c>
      <c r="L2804" s="2">
        <v>24.84</v>
      </c>
      <c r="M2804" s="2">
        <v>-0.82</v>
      </c>
      <c r="N2804" t="s">
        <v>282</v>
      </c>
      <c r="O2804">
        <v>44</v>
      </c>
    </row>
    <row r="2805" spans="1:15">
      <c r="A2805" s="1">
        <v>46069</v>
      </c>
      <c r="B2805">
        <v>20</v>
      </c>
      <c r="C2805" t="s">
        <v>94</v>
      </c>
      <c r="D2805">
        <v>20</v>
      </c>
      <c r="E2805" s="2">
        <v>11.5</v>
      </c>
      <c r="F2805" s="2">
        <v>-98.39</v>
      </c>
      <c r="G2805" s="2">
        <v>107.29</v>
      </c>
      <c r="H2805" s="2">
        <v>-29.87</v>
      </c>
      <c r="I2805" s="2">
        <v>50.81</v>
      </c>
      <c r="J2805" s="2">
        <v>12.1</v>
      </c>
      <c r="K2805" s="2">
        <v>19.75</v>
      </c>
      <c r="L2805" s="2">
        <v>23.16</v>
      </c>
      <c r="M2805" s="2">
        <v>-0.99</v>
      </c>
      <c r="N2805" t="s">
        <v>282</v>
      </c>
      <c r="O2805">
        <v>44</v>
      </c>
    </row>
    <row r="2806" spans="1:15">
      <c r="A2806" s="1">
        <v>46069</v>
      </c>
      <c r="B2806">
        <v>20</v>
      </c>
      <c r="C2806" t="s">
        <v>94</v>
      </c>
      <c r="D2806">
        <v>20</v>
      </c>
      <c r="E2806" s="2">
        <v>12</v>
      </c>
      <c r="F2806" s="2">
        <v>-151.1</v>
      </c>
      <c r="G2806" s="2">
        <v>167.31</v>
      </c>
      <c r="H2806" s="2">
        <v>-45.37</v>
      </c>
      <c r="I2806" s="2">
        <v>60.49</v>
      </c>
      <c r="J2806" s="2">
        <v>11.43</v>
      </c>
      <c r="K2806" s="2">
        <v>18.47</v>
      </c>
      <c r="L2806" s="2">
        <v>21.72</v>
      </c>
      <c r="M2806" s="2">
        <v>-0.96</v>
      </c>
      <c r="N2806" t="s">
        <v>282</v>
      </c>
      <c r="O2806">
        <v>44</v>
      </c>
    </row>
    <row r="2807" spans="1:15">
      <c r="A2807" s="1">
        <v>46069</v>
      </c>
      <c r="B2807">
        <v>20</v>
      </c>
      <c r="C2807" t="s">
        <v>94</v>
      </c>
      <c r="D2807">
        <v>20</v>
      </c>
      <c r="E2807" s="2">
        <v>12.5</v>
      </c>
      <c r="F2807" s="2">
        <v>-148.71</v>
      </c>
      <c r="G2807" s="2">
        <v>158.65</v>
      </c>
      <c r="H2807" s="2">
        <v>17.239999999999998</v>
      </c>
      <c r="I2807" s="2">
        <v>-2.68</v>
      </c>
      <c r="J2807" s="2">
        <v>11.17</v>
      </c>
      <c r="K2807" s="2">
        <v>17.36</v>
      </c>
      <c r="L2807" s="2">
        <v>20.64</v>
      </c>
      <c r="M2807" s="2">
        <v>-0.95</v>
      </c>
      <c r="N2807" t="s">
        <v>282</v>
      </c>
      <c r="O2807">
        <v>44</v>
      </c>
    </row>
    <row r="2808" spans="1:15">
      <c r="A2808" s="1">
        <v>46069</v>
      </c>
      <c r="B2808">
        <v>20</v>
      </c>
      <c r="C2808" t="s">
        <v>94</v>
      </c>
      <c r="D2808">
        <v>20</v>
      </c>
      <c r="E2808" s="2">
        <v>13</v>
      </c>
      <c r="F2808" s="2">
        <v>-107.66</v>
      </c>
      <c r="G2808" s="2">
        <v>118</v>
      </c>
      <c r="H2808" s="2">
        <v>-6.11</v>
      </c>
      <c r="I2808" s="2">
        <v>19.079999999999998</v>
      </c>
      <c r="J2808" s="2">
        <v>10.69</v>
      </c>
      <c r="K2808" s="2">
        <v>16.38</v>
      </c>
      <c r="L2808" s="2">
        <v>19.559999999999999</v>
      </c>
      <c r="M2808" s="2">
        <v>-0.93</v>
      </c>
      <c r="N2808" t="s">
        <v>282</v>
      </c>
      <c r="O2808">
        <v>44</v>
      </c>
    </row>
    <row r="2809" spans="1:15">
      <c r="A2809" s="1">
        <v>46069</v>
      </c>
      <c r="B2809">
        <v>20</v>
      </c>
      <c r="C2809" t="s">
        <v>94</v>
      </c>
      <c r="D2809">
        <v>20</v>
      </c>
      <c r="E2809" s="2">
        <v>13.5</v>
      </c>
      <c r="F2809" s="2">
        <v>-108.55</v>
      </c>
      <c r="G2809" s="2">
        <v>119.37</v>
      </c>
      <c r="H2809" s="2">
        <v>-9.5500000000000007</v>
      </c>
      <c r="I2809" s="2">
        <v>13.41</v>
      </c>
      <c r="J2809" s="2">
        <v>9.33</v>
      </c>
      <c r="K2809" s="2">
        <v>14.95</v>
      </c>
      <c r="L2809" s="2">
        <v>17.62</v>
      </c>
      <c r="M2809" s="2">
        <v>-0.93</v>
      </c>
      <c r="N2809" t="s">
        <v>282</v>
      </c>
      <c r="O2809">
        <v>44</v>
      </c>
    </row>
    <row r="2810" spans="1:15">
      <c r="A2810" s="1">
        <v>46069</v>
      </c>
      <c r="B2810">
        <v>20</v>
      </c>
      <c r="C2810" t="s">
        <v>94</v>
      </c>
      <c r="D2810">
        <v>20</v>
      </c>
      <c r="E2810" s="2">
        <v>14</v>
      </c>
      <c r="F2810" s="2">
        <v>-120.89</v>
      </c>
      <c r="G2810" s="2">
        <v>129.93</v>
      </c>
      <c r="H2810" s="2">
        <v>0.06</v>
      </c>
      <c r="I2810" s="2">
        <v>9.69</v>
      </c>
      <c r="J2810" s="2">
        <v>7.51</v>
      </c>
      <c r="K2810" s="2">
        <v>13.11</v>
      </c>
      <c r="L2810" s="2">
        <v>15.11</v>
      </c>
      <c r="M2810" s="2">
        <v>-0.99</v>
      </c>
      <c r="N2810" t="s">
        <v>282</v>
      </c>
      <c r="O2810">
        <v>44</v>
      </c>
    </row>
    <row r="2811" spans="1:15">
      <c r="A2811" s="1">
        <v>46069</v>
      </c>
      <c r="B2811">
        <v>20</v>
      </c>
      <c r="C2811" t="s">
        <v>94</v>
      </c>
      <c r="D2811">
        <v>20</v>
      </c>
      <c r="E2811" s="2">
        <v>14.5</v>
      </c>
      <c r="F2811" s="2">
        <v>-106.32</v>
      </c>
      <c r="G2811" s="2">
        <v>115.5</v>
      </c>
      <c r="H2811" s="2">
        <v>41.01</v>
      </c>
      <c r="I2811" s="2">
        <v>-33.85</v>
      </c>
      <c r="J2811" s="2">
        <v>5.36</v>
      </c>
      <c r="K2811" s="2">
        <v>10.83</v>
      </c>
      <c r="L2811" s="2">
        <v>12.09</v>
      </c>
      <c r="M2811" s="2">
        <v>-0.93</v>
      </c>
      <c r="N2811" t="s">
        <v>282</v>
      </c>
      <c r="O2811">
        <v>44</v>
      </c>
    </row>
    <row r="2812" spans="1:15">
      <c r="A2812" s="1">
        <v>46069</v>
      </c>
      <c r="B2812">
        <v>20</v>
      </c>
      <c r="C2812" t="s">
        <v>94</v>
      </c>
      <c r="D2812">
        <v>20</v>
      </c>
      <c r="E2812" s="2">
        <v>15</v>
      </c>
      <c r="F2812" s="2">
        <v>-42.02</v>
      </c>
      <c r="G2812" s="2">
        <v>52.97</v>
      </c>
      <c r="H2812" s="2">
        <v>70.81</v>
      </c>
      <c r="I2812" s="2">
        <v>-53.94</v>
      </c>
      <c r="J2812" s="2">
        <v>3.37</v>
      </c>
      <c r="K2812" s="2">
        <v>9.11</v>
      </c>
      <c r="L2812" s="2">
        <v>9.7100000000000009</v>
      </c>
      <c r="M2812" s="2">
        <v>-0.86</v>
      </c>
      <c r="N2812" t="s">
        <v>282</v>
      </c>
      <c r="O2812">
        <v>44</v>
      </c>
    </row>
    <row r="2813" spans="1:15">
      <c r="A2813" s="1">
        <v>46069</v>
      </c>
      <c r="B2813">
        <v>20</v>
      </c>
      <c r="C2813" t="s">
        <v>94</v>
      </c>
      <c r="D2813">
        <v>20</v>
      </c>
      <c r="E2813" s="2">
        <v>15.5</v>
      </c>
      <c r="F2813" s="2">
        <v>-158.81</v>
      </c>
      <c r="G2813" s="2">
        <v>163.1</v>
      </c>
      <c r="H2813" s="2">
        <v>-53.57</v>
      </c>
      <c r="I2813" s="2">
        <v>86.21</v>
      </c>
      <c r="J2813" s="2">
        <v>2.29</v>
      </c>
      <c r="K2813" s="2">
        <v>7.65</v>
      </c>
      <c r="L2813" s="2">
        <v>7.99</v>
      </c>
      <c r="M2813" s="2">
        <v>-0.93</v>
      </c>
      <c r="N2813" t="s">
        <v>282</v>
      </c>
      <c r="O2813">
        <v>44</v>
      </c>
    </row>
    <row r="2814" spans="1:15">
      <c r="A2814" s="1">
        <v>46069</v>
      </c>
      <c r="B2814">
        <v>20</v>
      </c>
      <c r="C2814" t="s">
        <v>94</v>
      </c>
      <c r="D2814">
        <v>20</v>
      </c>
      <c r="E2814" s="2">
        <v>16</v>
      </c>
      <c r="F2814" s="2">
        <v>-9.3800000000000008</v>
      </c>
      <c r="G2814" s="2">
        <v>17.57</v>
      </c>
      <c r="H2814" s="2">
        <v>-16.420000000000002</v>
      </c>
      <c r="I2814" s="2">
        <v>24.58</v>
      </c>
      <c r="J2814" s="2">
        <v>-1.42</v>
      </c>
      <c r="K2814" s="2">
        <v>2.5</v>
      </c>
      <c r="L2814" s="2">
        <v>2.88</v>
      </c>
      <c r="M2814" s="2">
        <v>-0.9</v>
      </c>
      <c r="N2814" t="s">
        <v>282</v>
      </c>
      <c r="O2814">
        <v>44</v>
      </c>
    </row>
    <row r="2815" spans="1:15">
      <c r="A2815" s="1">
        <v>46069</v>
      </c>
      <c r="B2815">
        <v>20</v>
      </c>
      <c r="C2815" t="s">
        <v>94</v>
      </c>
      <c r="D2815">
        <v>20</v>
      </c>
      <c r="E2815" s="2">
        <v>16.5</v>
      </c>
      <c r="F2815" s="2">
        <v>8</v>
      </c>
      <c r="G2815" s="2">
        <v>-7.0000000000000007E-2</v>
      </c>
      <c r="H2815" s="2">
        <v>-5.33</v>
      </c>
      <c r="I2815" s="2">
        <v>13.9</v>
      </c>
      <c r="J2815" s="2">
        <v>-1.28</v>
      </c>
      <c r="K2815" s="2">
        <v>2.79</v>
      </c>
      <c r="L2815" s="2">
        <v>3.07</v>
      </c>
      <c r="M2815" s="2">
        <v>-0.78</v>
      </c>
      <c r="N2815" t="s">
        <v>282</v>
      </c>
      <c r="O2815">
        <v>44</v>
      </c>
    </row>
    <row r="2816" spans="1:15">
      <c r="A2816" s="1">
        <v>46069</v>
      </c>
      <c r="B2816">
        <v>20</v>
      </c>
      <c r="C2816" t="s">
        <v>94</v>
      </c>
      <c r="D2816">
        <v>20</v>
      </c>
      <c r="E2816" s="2">
        <v>17</v>
      </c>
      <c r="F2816" s="2">
        <v>15.95</v>
      </c>
      <c r="G2816" s="2">
        <v>-9.7899999999999991</v>
      </c>
      <c r="H2816" s="2">
        <v>-0.77</v>
      </c>
      <c r="I2816" s="2">
        <v>10.11</v>
      </c>
      <c r="J2816" s="2">
        <v>-1.21</v>
      </c>
      <c r="K2816" s="2">
        <v>2.96</v>
      </c>
      <c r="L2816" s="2">
        <v>3.2</v>
      </c>
      <c r="M2816" s="2">
        <v>-0.68</v>
      </c>
      <c r="N2816" t="s">
        <v>282</v>
      </c>
      <c r="O2816">
        <v>44</v>
      </c>
    </row>
    <row r="2817" spans="1:15">
      <c r="A2817" s="1">
        <v>46069</v>
      </c>
      <c r="B2817">
        <v>20</v>
      </c>
      <c r="C2817" t="s">
        <v>94</v>
      </c>
      <c r="D2817">
        <v>20</v>
      </c>
      <c r="E2817" s="2">
        <v>17.5</v>
      </c>
      <c r="F2817" s="2">
        <v>-9.74</v>
      </c>
      <c r="G2817" s="2">
        <v>17.86</v>
      </c>
      <c r="H2817" s="2">
        <v>32.619999999999997</v>
      </c>
      <c r="I2817" s="2">
        <v>-28.32</v>
      </c>
      <c r="J2817" s="2">
        <v>-1.28</v>
      </c>
      <c r="K2817" s="2">
        <v>2.9</v>
      </c>
      <c r="L2817" s="2">
        <v>3.17</v>
      </c>
      <c r="M2817" s="2">
        <v>-0.79</v>
      </c>
      <c r="N2817" t="s">
        <v>282</v>
      </c>
      <c r="O2817">
        <v>44</v>
      </c>
    </row>
    <row r="2818" spans="1:15">
      <c r="A2818" s="1">
        <v>46069</v>
      </c>
      <c r="B2818">
        <v>20</v>
      </c>
      <c r="C2818" t="s">
        <v>94</v>
      </c>
      <c r="D2818">
        <v>20</v>
      </c>
      <c r="E2818" s="2">
        <v>18</v>
      </c>
      <c r="F2818" s="2">
        <v>-29.63</v>
      </c>
      <c r="G2818" s="2">
        <v>35.67</v>
      </c>
      <c r="H2818" s="2">
        <v>48.13</v>
      </c>
      <c r="I2818" s="2">
        <v>-43.08</v>
      </c>
      <c r="J2818" s="2">
        <v>-1.27</v>
      </c>
      <c r="K2818" s="2">
        <v>2.85</v>
      </c>
      <c r="L2818" s="2">
        <v>3.12</v>
      </c>
      <c r="M2818" s="2">
        <v>-0.75</v>
      </c>
      <c r="N2818" t="s">
        <v>282</v>
      </c>
      <c r="O2818">
        <v>44</v>
      </c>
    </row>
    <row r="2819" spans="1:15">
      <c r="A2819" s="1">
        <v>46069</v>
      </c>
      <c r="B2819">
        <v>20</v>
      </c>
      <c r="C2819" t="s">
        <v>94</v>
      </c>
      <c r="D2819">
        <v>20</v>
      </c>
      <c r="E2819" s="2">
        <v>18.5</v>
      </c>
      <c r="F2819" s="2">
        <v>-32.68</v>
      </c>
      <c r="G2819" s="2">
        <v>46.2</v>
      </c>
      <c r="H2819" s="2">
        <v>71.77</v>
      </c>
      <c r="I2819" s="2">
        <v>-48.09</v>
      </c>
      <c r="J2819" s="2">
        <v>-1.26</v>
      </c>
      <c r="K2819" s="2">
        <v>2.87</v>
      </c>
      <c r="L2819" s="2">
        <v>3.13</v>
      </c>
      <c r="M2819" s="2">
        <v>-0.62</v>
      </c>
      <c r="N2819" t="s">
        <v>282</v>
      </c>
      <c r="O2819">
        <v>44</v>
      </c>
    </row>
    <row r="2820" spans="1:15">
      <c r="A2820" s="1">
        <v>46069</v>
      </c>
      <c r="B2820">
        <v>20</v>
      </c>
      <c r="C2820" t="s">
        <v>94</v>
      </c>
      <c r="D2820">
        <v>20</v>
      </c>
      <c r="E2820" s="2">
        <v>19</v>
      </c>
      <c r="F2820" s="2">
        <v>-138.18</v>
      </c>
      <c r="G2820" s="2">
        <v>138.81</v>
      </c>
      <c r="H2820" s="2">
        <v>-41.87</v>
      </c>
      <c r="I2820" s="2">
        <v>55.95</v>
      </c>
      <c r="J2820" s="2">
        <v>-1.23</v>
      </c>
      <c r="K2820" s="2">
        <v>2.73</v>
      </c>
      <c r="L2820" s="2">
        <v>3</v>
      </c>
      <c r="M2820" s="2">
        <v>-0.43</v>
      </c>
      <c r="N2820" t="s">
        <v>282</v>
      </c>
      <c r="O2820">
        <v>44</v>
      </c>
    </row>
    <row r="2821" spans="1:15">
      <c r="A2821" s="1">
        <v>46069</v>
      </c>
      <c r="B2821">
        <v>20</v>
      </c>
      <c r="C2821" t="s">
        <v>94</v>
      </c>
      <c r="D2821">
        <v>20</v>
      </c>
      <c r="E2821" s="2">
        <v>19.5</v>
      </c>
      <c r="F2821" s="2">
        <v>-133.19999999999999</v>
      </c>
      <c r="G2821" s="2">
        <v>138.63</v>
      </c>
      <c r="H2821" s="2">
        <v>-41.41</v>
      </c>
      <c r="I2821" s="2">
        <v>47.05</v>
      </c>
      <c r="J2821" s="2">
        <v>-1.29</v>
      </c>
      <c r="K2821" s="2">
        <v>2.46</v>
      </c>
      <c r="L2821" s="2">
        <v>2.78</v>
      </c>
      <c r="M2821" s="2">
        <v>-0.42</v>
      </c>
      <c r="N2821" t="s">
        <v>282</v>
      </c>
      <c r="O2821">
        <v>44</v>
      </c>
    </row>
    <row r="2822" spans="1:15">
      <c r="A2822" s="1">
        <v>46069</v>
      </c>
      <c r="B2822">
        <v>20</v>
      </c>
      <c r="C2822" t="s">
        <v>94</v>
      </c>
      <c r="D2822">
        <v>20</v>
      </c>
      <c r="E2822" s="2">
        <v>20</v>
      </c>
      <c r="F2822" s="2">
        <v>-149.87</v>
      </c>
      <c r="G2822" s="2">
        <v>156.32</v>
      </c>
      <c r="H2822" s="2">
        <v>-54.82</v>
      </c>
      <c r="I2822" s="2">
        <v>52.66</v>
      </c>
      <c r="J2822" s="2">
        <v>-1.36</v>
      </c>
      <c r="K2822" s="2">
        <v>2.29</v>
      </c>
      <c r="L2822" s="2">
        <v>2.66</v>
      </c>
      <c r="M2822" s="2">
        <v>-0.33</v>
      </c>
      <c r="N2822" t="s">
        <v>282</v>
      </c>
      <c r="O2822">
        <v>44</v>
      </c>
    </row>
    <row r="2823" spans="1:15">
      <c r="A2823" s="1">
        <v>46069</v>
      </c>
      <c r="B2823">
        <v>20</v>
      </c>
      <c r="C2823" t="s">
        <v>94</v>
      </c>
      <c r="D2823">
        <v>20</v>
      </c>
      <c r="E2823" s="2">
        <v>20.5</v>
      </c>
      <c r="F2823" s="2">
        <v>-162.52000000000001</v>
      </c>
      <c r="G2823" s="2">
        <v>168.21</v>
      </c>
      <c r="H2823" s="2">
        <v>-19.899999999999999</v>
      </c>
      <c r="I2823" s="2">
        <v>31.03</v>
      </c>
      <c r="J2823" s="2">
        <v>-1.59</v>
      </c>
      <c r="K2823" s="2">
        <v>1.88</v>
      </c>
      <c r="L2823" s="2">
        <v>2.4700000000000002</v>
      </c>
      <c r="M2823" s="2">
        <v>-0.36</v>
      </c>
      <c r="N2823" t="s">
        <v>282</v>
      </c>
      <c r="O2823">
        <v>44</v>
      </c>
    </row>
    <row r="2824" spans="1:15">
      <c r="A2824" s="1">
        <v>46069</v>
      </c>
      <c r="B2824">
        <v>20</v>
      </c>
      <c r="C2824" t="s">
        <v>94</v>
      </c>
      <c r="D2824">
        <v>20</v>
      </c>
      <c r="E2824" s="2">
        <v>21</v>
      </c>
      <c r="F2824" s="2">
        <v>-152.47999999999999</v>
      </c>
      <c r="G2824" s="2">
        <v>157.47</v>
      </c>
      <c r="H2824" s="2">
        <v>-5.52</v>
      </c>
      <c r="I2824" s="2">
        <v>22.01</v>
      </c>
      <c r="J2824" s="2">
        <v>-1.5</v>
      </c>
      <c r="K2824" s="2">
        <v>1.74</v>
      </c>
      <c r="L2824" s="2">
        <v>2.2999999999999998</v>
      </c>
      <c r="M2824" s="2">
        <v>-0.34</v>
      </c>
      <c r="N2824" t="s">
        <v>282</v>
      </c>
      <c r="O2824">
        <v>44</v>
      </c>
    </row>
    <row r="2825" spans="1:15">
      <c r="A2825" s="1">
        <v>46069</v>
      </c>
      <c r="B2825">
        <v>20</v>
      </c>
      <c r="C2825" t="s">
        <v>94</v>
      </c>
      <c r="D2825">
        <v>20</v>
      </c>
      <c r="E2825" s="2">
        <v>21.5</v>
      </c>
      <c r="F2825" s="2">
        <v>-76.3</v>
      </c>
      <c r="G2825" s="2">
        <v>83.97</v>
      </c>
      <c r="H2825" s="2">
        <v>-22.22</v>
      </c>
      <c r="I2825" s="2">
        <v>37.729999999999997</v>
      </c>
      <c r="J2825" s="2">
        <v>-1.45</v>
      </c>
      <c r="K2825" s="2">
        <v>1.86</v>
      </c>
      <c r="L2825" s="2">
        <v>2.36</v>
      </c>
      <c r="M2825" s="2">
        <v>-0.32</v>
      </c>
      <c r="N2825" t="s">
        <v>282</v>
      </c>
      <c r="O2825">
        <v>44</v>
      </c>
    </row>
    <row r="2826" spans="1:15">
      <c r="A2826" s="1">
        <v>46069</v>
      </c>
      <c r="B2826">
        <v>20</v>
      </c>
      <c r="C2826" t="s">
        <v>94</v>
      </c>
      <c r="D2826">
        <v>20</v>
      </c>
      <c r="E2826" s="2">
        <v>22</v>
      </c>
      <c r="F2826" s="2">
        <v>2.5</v>
      </c>
      <c r="G2826" s="2">
        <v>0.25</v>
      </c>
      <c r="H2826" s="2">
        <v>-104.3</v>
      </c>
      <c r="I2826" s="2">
        <v>113.67</v>
      </c>
      <c r="J2826" s="2">
        <v>-1.51</v>
      </c>
      <c r="K2826" s="2">
        <v>1.72</v>
      </c>
      <c r="L2826" s="2">
        <v>2.29</v>
      </c>
      <c r="M2826" s="2">
        <v>-0.41</v>
      </c>
      <c r="N2826" t="s">
        <v>282</v>
      </c>
      <c r="O2826">
        <v>44</v>
      </c>
    </row>
    <row r="2827" spans="1:15">
      <c r="A2827" s="1">
        <v>46069</v>
      </c>
      <c r="B2827">
        <v>20</v>
      </c>
      <c r="C2827" t="s">
        <v>94</v>
      </c>
      <c r="D2827">
        <v>20</v>
      </c>
      <c r="E2827" s="2">
        <v>22.5</v>
      </c>
      <c r="F2827" s="2">
        <v>-35.74</v>
      </c>
      <c r="G2827" s="2">
        <v>39.380000000000003</v>
      </c>
      <c r="H2827" s="2">
        <v>-53.28</v>
      </c>
      <c r="I2827" s="2">
        <v>57.97</v>
      </c>
      <c r="J2827" s="2">
        <v>-1.66</v>
      </c>
      <c r="K2827" s="2">
        <v>1.55</v>
      </c>
      <c r="L2827" s="2">
        <v>2.27</v>
      </c>
      <c r="M2827" s="2">
        <v>-0.25</v>
      </c>
      <c r="N2827" t="s">
        <v>282</v>
      </c>
      <c r="O2827">
        <v>44</v>
      </c>
    </row>
    <row r="2828" spans="1:15">
      <c r="A2828" s="1">
        <v>46069</v>
      </c>
      <c r="B2828">
        <v>20</v>
      </c>
      <c r="C2828" t="s">
        <v>94</v>
      </c>
      <c r="D2828">
        <v>20</v>
      </c>
      <c r="E2828" s="2">
        <v>23</v>
      </c>
      <c r="F2828" s="2">
        <v>-62.56</v>
      </c>
      <c r="G2828" s="2">
        <v>66.02</v>
      </c>
      <c r="H2828" s="2">
        <v>-13.95</v>
      </c>
      <c r="I2828" s="2">
        <v>21.57</v>
      </c>
      <c r="J2828" s="2">
        <v>-1.97</v>
      </c>
      <c r="K2828" s="2">
        <v>1.1499999999999999</v>
      </c>
      <c r="L2828" s="2">
        <v>2.2799999999999998</v>
      </c>
      <c r="M2828" s="2">
        <v>-0.17</v>
      </c>
      <c r="N2828" t="s">
        <v>282</v>
      </c>
      <c r="O2828">
        <v>44</v>
      </c>
    </row>
    <row r="2829" spans="1:15">
      <c r="A2829" s="1">
        <v>46069</v>
      </c>
      <c r="B2829">
        <v>20</v>
      </c>
      <c r="C2829" t="s">
        <v>94</v>
      </c>
      <c r="D2829">
        <v>20</v>
      </c>
      <c r="E2829" s="2">
        <v>23.5</v>
      </c>
      <c r="F2829" s="2">
        <v>-77.84</v>
      </c>
      <c r="G2829" s="2">
        <v>83.06</v>
      </c>
      <c r="H2829" s="2">
        <v>12.54</v>
      </c>
      <c r="I2829" s="2">
        <v>-7.04</v>
      </c>
      <c r="J2829" s="2">
        <v>-2.37</v>
      </c>
      <c r="K2829" s="2">
        <v>0.71</v>
      </c>
      <c r="L2829" s="2">
        <v>2.4700000000000002</v>
      </c>
      <c r="M2829" s="2">
        <v>-0.09</v>
      </c>
      <c r="N2829" t="s">
        <v>282</v>
      </c>
      <c r="O2829">
        <v>44</v>
      </c>
    </row>
    <row r="2830" spans="1:15">
      <c r="A2830" s="1">
        <v>46069</v>
      </c>
      <c r="B2830">
        <v>20</v>
      </c>
      <c r="C2830" t="s">
        <v>94</v>
      </c>
      <c r="D2830">
        <v>20</v>
      </c>
      <c r="E2830" s="2">
        <v>24</v>
      </c>
      <c r="F2830" s="2">
        <v>-79.11</v>
      </c>
      <c r="G2830" s="2">
        <v>83.14</v>
      </c>
      <c r="H2830" s="2">
        <v>13.54</v>
      </c>
      <c r="I2830" s="2">
        <v>-7.94</v>
      </c>
      <c r="J2830" s="2">
        <v>-2.68</v>
      </c>
      <c r="K2830" s="2">
        <v>0.41</v>
      </c>
      <c r="L2830" s="2">
        <v>2.71</v>
      </c>
      <c r="M2830" s="2">
        <v>-0.04</v>
      </c>
      <c r="N2830" t="s">
        <v>282</v>
      </c>
      <c r="O2830">
        <v>44</v>
      </c>
    </row>
    <row r="2831" spans="1:15">
      <c r="A2831" s="1">
        <v>46069</v>
      </c>
      <c r="B2831">
        <v>20</v>
      </c>
      <c r="C2831" t="s">
        <v>94</v>
      </c>
      <c r="D2831">
        <v>20</v>
      </c>
      <c r="E2831" s="2">
        <v>24.5</v>
      </c>
      <c r="F2831" s="2">
        <v>-86.3</v>
      </c>
      <c r="G2831" s="2">
        <v>70.78</v>
      </c>
      <c r="H2831" s="2">
        <v>50.94</v>
      </c>
      <c r="I2831" s="2">
        <v>-26.35</v>
      </c>
      <c r="J2831" s="2">
        <v>-2.44</v>
      </c>
      <c r="K2831" s="2">
        <v>0.11</v>
      </c>
      <c r="L2831" s="2">
        <v>2.44</v>
      </c>
      <c r="M2831" s="2">
        <v>-0.02</v>
      </c>
      <c r="N2831" t="s">
        <v>282</v>
      </c>
      <c r="O2831">
        <v>44</v>
      </c>
    </row>
    <row r="2832" spans="1:15">
      <c r="A2832" s="1">
        <v>46069</v>
      </c>
      <c r="B2832">
        <v>20</v>
      </c>
      <c r="C2832" t="s">
        <v>94</v>
      </c>
      <c r="D2832">
        <v>20</v>
      </c>
      <c r="E2832" s="2">
        <v>25</v>
      </c>
      <c r="F2832" s="2">
        <v>-103.04</v>
      </c>
      <c r="G2832" s="2">
        <v>122.6</v>
      </c>
      <c r="H2832" s="2">
        <v>-38.39</v>
      </c>
      <c r="I2832" s="2">
        <v>60.49</v>
      </c>
      <c r="J2832" s="2">
        <v>-1.4</v>
      </c>
      <c r="K2832" s="2">
        <v>0.78</v>
      </c>
      <c r="L2832" s="2">
        <v>1.6</v>
      </c>
      <c r="M2832" s="2">
        <v>-0.09</v>
      </c>
      <c r="N2832" t="s">
        <v>282</v>
      </c>
      <c r="O2832">
        <v>44</v>
      </c>
    </row>
    <row r="2833" spans="1:15">
      <c r="A2833" s="1">
        <v>46069</v>
      </c>
      <c r="B2833">
        <v>20</v>
      </c>
      <c r="C2833" t="s">
        <v>94</v>
      </c>
      <c r="D2833">
        <v>20</v>
      </c>
      <c r="E2833" s="2">
        <v>25.5</v>
      </c>
      <c r="F2833" s="2">
        <v>-103.15</v>
      </c>
      <c r="G2833" s="2">
        <v>105.9</v>
      </c>
      <c r="H2833" s="2">
        <v>-47.44</v>
      </c>
      <c r="I2833" s="2">
        <v>51.27</v>
      </c>
      <c r="J2833" s="2">
        <v>-1.45</v>
      </c>
      <c r="K2833" s="2">
        <v>0.48</v>
      </c>
      <c r="L2833" s="2">
        <v>1.53</v>
      </c>
      <c r="M2833" s="2">
        <v>-0.03</v>
      </c>
      <c r="N2833" t="s">
        <v>282</v>
      </c>
      <c r="O2833">
        <v>44</v>
      </c>
    </row>
    <row r="2834" spans="1:15">
      <c r="A2834" s="1">
        <v>46069</v>
      </c>
      <c r="B2834">
        <v>20</v>
      </c>
      <c r="C2834" t="s">
        <v>94</v>
      </c>
      <c r="D2834">
        <v>20</v>
      </c>
      <c r="E2834" s="2">
        <v>26</v>
      </c>
      <c r="F2834" s="2">
        <v>-57.78</v>
      </c>
      <c r="G2834" s="2">
        <v>62.26</v>
      </c>
      <c r="H2834" s="2">
        <v>-32.33</v>
      </c>
      <c r="I2834" s="2">
        <v>43.55</v>
      </c>
      <c r="J2834" s="2">
        <v>-1.71</v>
      </c>
      <c r="K2834" s="2">
        <v>0.12</v>
      </c>
      <c r="L2834" s="2">
        <v>1.72</v>
      </c>
      <c r="M2834" s="2">
        <v>-0.02</v>
      </c>
      <c r="N2834" t="s">
        <v>282</v>
      </c>
      <c r="O2834">
        <v>44</v>
      </c>
    </row>
    <row r="2835" spans="1:15">
      <c r="A2835" s="1">
        <v>46069</v>
      </c>
      <c r="B2835">
        <v>20</v>
      </c>
      <c r="C2835" t="s">
        <v>94</v>
      </c>
      <c r="D2835">
        <v>20</v>
      </c>
      <c r="E2835" s="2">
        <v>26.5</v>
      </c>
      <c r="F2835" s="2">
        <v>-4.58</v>
      </c>
      <c r="G2835" s="2">
        <v>6.5</v>
      </c>
      <c r="H2835" s="2">
        <v>18.71</v>
      </c>
      <c r="I2835" s="2">
        <v>-3.47</v>
      </c>
      <c r="J2835" s="2">
        <v>-1.67</v>
      </c>
      <c r="K2835" s="2">
        <v>-0.14000000000000001</v>
      </c>
      <c r="L2835" s="2">
        <v>1.67</v>
      </c>
      <c r="M2835" s="2">
        <v>0</v>
      </c>
      <c r="N2835" t="s">
        <v>282</v>
      </c>
      <c r="O2835">
        <v>44</v>
      </c>
    </row>
    <row r="2836" spans="1:15">
      <c r="A2836" s="1">
        <v>46069</v>
      </c>
      <c r="B2836">
        <v>20</v>
      </c>
      <c r="C2836" t="s">
        <v>94</v>
      </c>
      <c r="D2836">
        <v>20</v>
      </c>
      <c r="E2836" s="2">
        <v>27</v>
      </c>
      <c r="F2836" s="2">
        <v>58.61</v>
      </c>
      <c r="G2836" s="2">
        <v>-54.5</v>
      </c>
      <c r="H2836" s="2">
        <v>70.11</v>
      </c>
      <c r="I2836" s="2">
        <v>-54.34</v>
      </c>
      <c r="J2836" s="2">
        <v>-1.02</v>
      </c>
      <c r="K2836" s="2">
        <v>-0.11</v>
      </c>
      <c r="L2836" s="2">
        <v>1.03</v>
      </c>
      <c r="M2836" s="2">
        <v>0.01</v>
      </c>
      <c r="N2836" t="s">
        <v>282</v>
      </c>
      <c r="O2836">
        <v>44</v>
      </c>
    </row>
    <row r="2837" spans="1:15">
      <c r="A2837" s="1">
        <v>46069</v>
      </c>
      <c r="B2837">
        <v>20</v>
      </c>
      <c r="C2837" t="s">
        <v>99</v>
      </c>
      <c r="D2837">
        <v>20</v>
      </c>
      <c r="E2837" s="2">
        <v>0.5</v>
      </c>
      <c r="F2837" s="2">
        <v>-399.57</v>
      </c>
      <c r="G2837" s="2">
        <v>396.2</v>
      </c>
      <c r="H2837" s="2">
        <v>-187.9</v>
      </c>
      <c r="I2837" s="2">
        <v>166.97</v>
      </c>
      <c r="J2837" s="2">
        <v>4.09</v>
      </c>
      <c r="K2837" s="2">
        <v>-4.71</v>
      </c>
      <c r="L2837" s="2">
        <v>6.23</v>
      </c>
      <c r="M2837" s="2">
        <v>-0.78</v>
      </c>
      <c r="N2837" t="s">
        <v>282</v>
      </c>
      <c r="O2837">
        <v>84</v>
      </c>
    </row>
    <row r="2838" spans="1:15">
      <c r="A2838" s="1">
        <v>46069</v>
      </c>
      <c r="B2838">
        <v>20</v>
      </c>
      <c r="C2838" t="s">
        <v>99</v>
      </c>
      <c r="D2838">
        <v>20</v>
      </c>
      <c r="E2838" s="2">
        <v>1</v>
      </c>
      <c r="F2838" s="2">
        <v>-376.43</v>
      </c>
      <c r="G2838" s="2">
        <v>405.96</v>
      </c>
      <c r="H2838" s="2">
        <v>-173.36</v>
      </c>
      <c r="I2838" s="2">
        <v>139.84</v>
      </c>
      <c r="J2838" s="2">
        <v>4.5599999999999996</v>
      </c>
      <c r="K2838" s="2">
        <v>-4.8</v>
      </c>
      <c r="L2838" s="2">
        <v>6.62</v>
      </c>
      <c r="M2838" s="2">
        <v>0.1</v>
      </c>
      <c r="N2838" t="s">
        <v>282</v>
      </c>
      <c r="O2838">
        <v>84</v>
      </c>
    </row>
    <row r="2839" spans="1:15">
      <c r="A2839" s="1">
        <v>46069</v>
      </c>
      <c r="B2839">
        <v>20</v>
      </c>
      <c r="C2839" t="s">
        <v>99</v>
      </c>
      <c r="D2839">
        <v>20</v>
      </c>
      <c r="E2839" s="2">
        <v>1.5</v>
      </c>
      <c r="F2839" s="2">
        <v>-376.48</v>
      </c>
      <c r="G2839" s="2">
        <v>378.61</v>
      </c>
      <c r="H2839" s="2">
        <v>-162.47999999999999</v>
      </c>
      <c r="I2839" s="2">
        <v>147.51</v>
      </c>
      <c r="J2839" s="2">
        <v>5.27</v>
      </c>
      <c r="K2839" s="2">
        <v>-4.41</v>
      </c>
      <c r="L2839" s="2">
        <v>6.87</v>
      </c>
      <c r="M2839" s="2">
        <v>0.71</v>
      </c>
      <c r="N2839" t="s">
        <v>282</v>
      </c>
      <c r="O2839">
        <v>84</v>
      </c>
    </row>
    <row r="2840" spans="1:15">
      <c r="A2840" s="1">
        <v>46069</v>
      </c>
      <c r="B2840">
        <v>20</v>
      </c>
      <c r="C2840" t="s">
        <v>99</v>
      </c>
      <c r="D2840">
        <v>20</v>
      </c>
      <c r="E2840" s="2">
        <v>2</v>
      </c>
      <c r="F2840" s="2">
        <v>-332.29</v>
      </c>
      <c r="G2840" s="2">
        <v>336.13</v>
      </c>
      <c r="H2840" s="2">
        <v>-207.36</v>
      </c>
      <c r="I2840" s="2">
        <v>219.89</v>
      </c>
      <c r="J2840" s="2">
        <v>5.43</v>
      </c>
      <c r="K2840" s="2">
        <v>-4.29</v>
      </c>
      <c r="L2840" s="2">
        <v>6.92</v>
      </c>
      <c r="M2840" s="2">
        <v>0.57999999999999996</v>
      </c>
      <c r="N2840" t="s">
        <v>282</v>
      </c>
      <c r="O2840">
        <v>84</v>
      </c>
    </row>
    <row r="2841" spans="1:15">
      <c r="A2841" s="1">
        <v>46069</v>
      </c>
      <c r="B2841">
        <v>20</v>
      </c>
      <c r="C2841" t="s">
        <v>99</v>
      </c>
      <c r="D2841">
        <v>20</v>
      </c>
      <c r="E2841" s="2">
        <v>2.5</v>
      </c>
      <c r="F2841" s="2">
        <v>-310.45</v>
      </c>
      <c r="G2841" s="2">
        <v>312.67</v>
      </c>
      <c r="H2841" s="2">
        <v>-199.21</v>
      </c>
      <c r="I2841" s="2">
        <v>204.91</v>
      </c>
      <c r="J2841" s="2">
        <v>5.55</v>
      </c>
      <c r="K2841" s="2">
        <v>-4.29</v>
      </c>
      <c r="L2841" s="2">
        <v>7.01</v>
      </c>
      <c r="M2841" s="2">
        <v>0.75</v>
      </c>
      <c r="N2841" t="s">
        <v>282</v>
      </c>
      <c r="O2841">
        <v>84</v>
      </c>
    </row>
    <row r="2842" spans="1:15">
      <c r="A2842" s="1">
        <v>46069</v>
      </c>
      <c r="B2842">
        <v>20</v>
      </c>
      <c r="C2842" t="s">
        <v>99</v>
      </c>
      <c r="D2842">
        <v>20</v>
      </c>
      <c r="E2842" s="2">
        <v>3</v>
      </c>
      <c r="F2842" s="2">
        <v>-271.48</v>
      </c>
      <c r="G2842" s="2">
        <v>273.63</v>
      </c>
      <c r="H2842" s="2">
        <v>-138.58000000000001</v>
      </c>
      <c r="I2842" s="2">
        <v>140.08000000000001</v>
      </c>
      <c r="J2842" s="2">
        <v>5.53</v>
      </c>
      <c r="K2842" s="2">
        <v>-4.5999999999999996</v>
      </c>
      <c r="L2842" s="2">
        <v>7.19</v>
      </c>
      <c r="M2842" s="2">
        <v>0.78</v>
      </c>
      <c r="N2842" t="s">
        <v>282</v>
      </c>
      <c r="O2842">
        <v>84</v>
      </c>
    </row>
    <row r="2843" spans="1:15">
      <c r="A2843" s="1">
        <v>46069</v>
      </c>
      <c r="B2843">
        <v>20</v>
      </c>
      <c r="C2843" t="s">
        <v>99</v>
      </c>
      <c r="D2843">
        <v>20</v>
      </c>
      <c r="E2843" s="2">
        <v>3.5</v>
      </c>
      <c r="F2843" s="2">
        <v>-206.23</v>
      </c>
      <c r="G2843" s="2">
        <v>207.64</v>
      </c>
      <c r="H2843" s="2">
        <v>-85.23</v>
      </c>
      <c r="I2843" s="2">
        <v>76.040000000000006</v>
      </c>
      <c r="J2843" s="2">
        <v>5.59</v>
      </c>
      <c r="K2843" s="2">
        <v>-4.63</v>
      </c>
      <c r="L2843" s="2">
        <v>7.26</v>
      </c>
      <c r="M2843" s="2">
        <v>0.73</v>
      </c>
      <c r="N2843" t="s">
        <v>282</v>
      </c>
      <c r="O2843">
        <v>84</v>
      </c>
    </row>
    <row r="2844" spans="1:15">
      <c r="A2844" s="1">
        <v>46069</v>
      </c>
      <c r="B2844">
        <v>20</v>
      </c>
      <c r="C2844" t="s">
        <v>99</v>
      </c>
      <c r="D2844">
        <v>20</v>
      </c>
      <c r="E2844" s="2">
        <v>4</v>
      </c>
      <c r="F2844" s="2">
        <v>-149.47</v>
      </c>
      <c r="G2844" s="2">
        <v>154.16999999999999</v>
      </c>
      <c r="H2844" s="2">
        <v>-60.57</v>
      </c>
      <c r="I2844" s="2">
        <v>66.66</v>
      </c>
      <c r="J2844" s="2">
        <v>5.79</v>
      </c>
      <c r="K2844" s="2">
        <v>-4.4800000000000004</v>
      </c>
      <c r="L2844" s="2">
        <v>7.33</v>
      </c>
      <c r="M2844" s="2">
        <v>0.77</v>
      </c>
      <c r="N2844" t="s">
        <v>282</v>
      </c>
      <c r="O2844">
        <v>84</v>
      </c>
    </row>
    <row r="2845" spans="1:15">
      <c r="A2845" s="1">
        <v>46069</v>
      </c>
      <c r="B2845">
        <v>20</v>
      </c>
      <c r="C2845" t="s">
        <v>99</v>
      </c>
      <c r="D2845">
        <v>20</v>
      </c>
      <c r="E2845" s="2">
        <v>4.5</v>
      </c>
      <c r="F2845" s="2">
        <v>-100.92</v>
      </c>
      <c r="G2845" s="2">
        <v>102.59</v>
      </c>
      <c r="H2845" s="2">
        <v>-115.49</v>
      </c>
      <c r="I2845" s="2">
        <v>124.04</v>
      </c>
      <c r="J2845" s="2">
        <v>5.99</v>
      </c>
      <c r="K2845" s="2">
        <v>-4.4000000000000004</v>
      </c>
      <c r="L2845" s="2">
        <v>7.43</v>
      </c>
      <c r="M2845" s="2">
        <v>0.74</v>
      </c>
      <c r="N2845" t="s">
        <v>282</v>
      </c>
      <c r="O2845">
        <v>84</v>
      </c>
    </row>
    <row r="2846" spans="1:15">
      <c r="A2846" s="1">
        <v>46069</v>
      </c>
      <c r="B2846">
        <v>20</v>
      </c>
      <c r="C2846" t="s">
        <v>99</v>
      </c>
      <c r="D2846">
        <v>20</v>
      </c>
      <c r="E2846" s="2">
        <v>5</v>
      </c>
      <c r="F2846" s="2">
        <v>-26.85</v>
      </c>
      <c r="G2846" s="2">
        <v>28.68</v>
      </c>
      <c r="H2846" s="2">
        <v>-162.81</v>
      </c>
      <c r="I2846" s="2">
        <v>154.85</v>
      </c>
      <c r="J2846" s="2">
        <v>6.19</v>
      </c>
      <c r="K2846" s="2">
        <v>-4.47</v>
      </c>
      <c r="L2846" s="2">
        <v>7.64</v>
      </c>
      <c r="M2846" s="2">
        <v>0.81</v>
      </c>
      <c r="N2846" t="s">
        <v>282</v>
      </c>
      <c r="O2846">
        <v>84</v>
      </c>
    </row>
    <row r="2847" spans="1:15">
      <c r="A2847" s="1">
        <v>46069</v>
      </c>
      <c r="B2847">
        <v>20</v>
      </c>
      <c r="C2847" t="s">
        <v>99</v>
      </c>
      <c r="D2847">
        <v>20</v>
      </c>
      <c r="E2847" s="2">
        <v>5.5</v>
      </c>
      <c r="F2847" s="2">
        <v>40.01</v>
      </c>
      <c r="G2847" s="2">
        <v>-37.020000000000003</v>
      </c>
      <c r="H2847" s="2">
        <v>-167.5</v>
      </c>
      <c r="I2847" s="2">
        <v>155.21</v>
      </c>
      <c r="J2847" s="2">
        <v>6.48</v>
      </c>
      <c r="K2847" s="2">
        <v>-4.6500000000000004</v>
      </c>
      <c r="L2847" s="2">
        <v>7.97</v>
      </c>
      <c r="M2847" s="2">
        <v>1.01</v>
      </c>
      <c r="N2847" t="s">
        <v>282</v>
      </c>
      <c r="O2847">
        <v>84</v>
      </c>
    </row>
    <row r="2848" spans="1:15">
      <c r="A2848" s="1">
        <v>46069</v>
      </c>
      <c r="B2848">
        <v>20</v>
      </c>
      <c r="C2848" t="s">
        <v>99</v>
      </c>
      <c r="D2848">
        <v>20</v>
      </c>
      <c r="E2848" s="2">
        <v>6</v>
      </c>
      <c r="F2848" s="2">
        <v>77.05</v>
      </c>
      <c r="G2848" s="2">
        <v>-72.8</v>
      </c>
      <c r="H2848" s="2">
        <v>-177.78</v>
      </c>
      <c r="I2848" s="2">
        <v>189.51</v>
      </c>
      <c r="J2848" s="2">
        <v>6.76</v>
      </c>
      <c r="K2848" s="2">
        <v>-4.99</v>
      </c>
      <c r="L2848" s="2">
        <v>8.4</v>
      </c>
      <c r="M2848" s="2">
        <v>1.1499999999999999</v>
      </c>
      <c r="N2848" t="s">
        <v>282</v>
      </c>
      <c r="O2848">
        <v>84</v>
      </c>
    </row>
    <row r="2849" spans="1:15">
      <c r="A2849" s="1">
        <v>46069</v>
      </c>
      <c r="B2849">
        <v>20</v>
      </c>
      <c r="C2849" t="s">
        <v>99</v>
      </c>
      <c r="D2849">
        <v>20</v>
      </c>
      <c r="E2849" s="2">
        <v>6.5</v>
      </c>
      <c r="F2849" s="2">
        <v>180.69</v>
      </c>
      <c r="G2849" s="2">
        <v>-176.64</v>
      </c>
      <c r="H2849" s="2">
        <v>-178.49</v>
      </c>
      <c r="I2849" s="2">
        <v>184.31</v>
      </c>
      <c r="J2849" s="2">
        <v>6.98</v>
      </c>
      <c r="K2849" s="2">
        <v>-4.8899999999999997</v>
      </c>
      <c r="L2849" s="2">
        <v>8.5299999999999994</v>
      </c>
      <c r="M2849" s="2">
        <v>1.19</v>
      </c>
      <c r="N2849" t="s">
        <v>282</v>
      </c>
      <c r="O2849">
        <v>84</v>
      </c>
    </row>
    <row r="2850" spans="1:15">
      <c r="A2850" s="1">
        <v>46069</v>
      </c>
      <c r="B2850">
        <v>20</v>
      </c>
      <c r="C2850" t="s">
        <v>99</v>
      </c>
      <c r="D2850">
        <v>20</v>
      </c>
      <c r="E2850" s="2">
        <v>7</v>
      </c>
      <c r="F2850" s="2">
        <v>285.23</v>
      </c>
      <c r="G2850" s="2">
        <v>-280.29000000000002</v>
      </c>
      <c r="H2850" s="2">
        <v>-175.39</v>
      </c>
      <c r="I2850" s="2">
        <v>184.51</v>
      </c>
      <c r="J2850" s="2">
        <v>7.24</v>
      </c>
      <c r="K2850" s="2">
        <v>-4.8600000000000003</v>
      </c>
      <c r="L2850" s="2">
        <v>8.7200000000000006</v>
      </c>
      <c r="M2850" s="2">
        <v>1.25</v>
      </c>
      <c r="N2850" t="s">
        <v>282</v>
      </c>
      <c r="O2850">
        <v>84</v>
      </c>
    </row>
    <row r="2851" spans="1:15">
      <c r="A2851" s="1">
        <v>46069</v>
      </c>
      <c r="B2851">
        <v>20</v>
      </c>
      <c r="C2851" t="s">
        <v>99</v>
      </c>
      <c r="D2851">
        <v>20</v>
      </c>
      <c r="E2851" s="2">
        <v>7.5</v>
      </c>
      <c r="F2851" s="2">
        <v>308.88</v>
      </c>
      <c r="G2851" s="2">
        <v>-297.58</v>
      </c>
      <c r="H2851" s="2">
        <v>-171.21</v>
      </c>
      <c r="I2851" s="2">
        <v>188.72</v>
      </c>
      <c r="J2851" s="2">
        <v>7.44</v>
      </c>
      <c r="K2851" s="2">
        <v>-4.68</v>
      </c>
      <c r="L2851" s="2">
        <v>8.7899999999999991</v>
      </c>
      <c r="M2851" s="2">
        <v>1.23</v>
      </c>
      <c r="N2851" t="s">
        <v>282</v>
      </c>
      <c r="O2851">
        <v>84</v>
      </c>
    </row>
    <row r="2852" spans="1:15">
      <c r="A2852" s="1">
        <v>46069</v>
      </c>
      <c r="B2852">
        <v>20</v>
      </c>
      <c r="C2852" t="s">
        <v>99</v>
      </c>
      <c r="D2852">
        <v>20</v>
      </c>
      <c r="E2852" s="2">
        <v>8</v>
      </c>
      <c r="F2852" s="2">
        <v>274.74</v>
      </c>
      <c r="G2852" s="2">
        <v>-276.48</v>
      </c>
      <c r="H2852" s="2">
        <v>-72.45</v>
      </c>
      <c r="I2852" s="2">
        <v>88.17</v>
      </c>
      <c r="J2852" s="2">
        <v>7.73</v>
      </c>
      <c r="K2852" s="2">
        <v>-5.07</v>
      </c>
      <c r="L2852" s="2">
        <v>9.25</v>
      </c>
      <c r="M2852" s="2">
        <v>1.35</v>
      </c>
      <c r="N2852" t="s">
        <v>282</v>
      </c>
      <c r="O2852">
        <v>84</v>
      </c>
    </row>
    <row r="2853" spans="1:15">
      <c r="A2853" s="1">
        <v>46069</v>
      </c>
      <c r="B2853">
        <v>20</v>
      </c>
      <c r="C2853" t="s">
        <v>99</v>
      </c>
      <c r="D2853">
        <v>20</v>
      </c>
      <c r="E2853" s="2">
        <v>8.5</v>
      </c>
      <c r="F2853" s="2">
        <v>339.71</v>
      </c>
      <c r="G2853" s="2">
        <v>-334.03</v>
      </c>
      <c r="H2853" s="2">
        <v>-13.41</v>
      </c>
      <c r="I2853" s="2">
        <v>24.52</v>
      </c>
      <c r="J2853" s="2">
        <v>8</v>
      </c>
      <c r="K2853" s="2">
        <v>-5.3</v>
      </c>
      <c r="L2853" s="2">
        <v>9.6</v>
      </c>
      <c r="M2853" s="2">
        <v>1.41</v>
      </c>
      <c r="N2853" t="s">
        <v>282</v>
      </c>
      <c r="O2853">
        <v>84</v>
      </c>
    </row>
    <row r="2854" spans="1:15">
      <c r="A2854" s="1">
        <v>46069</v>
      </c>
      <c r="B2854">
        <v>20</v>
      </c>
      <c r="C2854" t="s">
        <v>99</v>
      </c>
      <c r="D2854">
        <v>20</v>
      </c>
      <c r="E2854" s="2">
        <v>9</v>
      </c>
      <c r="F2854" s="2">
        <v>322.19</v>
      </c>
      <c r="G2854" s="2">
        <v>-315.45</v>
      </c>
      <c r="H2854" s="2">
        <v>20.07</v>
      </c>
      <c r="I2854" s="2">
        <v>-6.43</v>
      </c>
      <c r="J2854" s="2">
        <v>8.15</v>
      </c>
      <c r="K2854" s="2">
        <v>-5.66</v>
      </c>
      <c r="L2854" s="2">
        <v>9.92</v>
      </c>
      <c r="M2854" s="2">
        <v>1.36</v>
      </c>
      <c r="N2854" t="s">
        <v>282</v>
      </c>
      <c r="O2854">
        <v>84</v>
      </c>
    </row>
    <row r="2855" spans="1:15">
      <c r="A2855" s="1">
        <v>46069</v>
      </c>
      <c r="B2855">
        <v>20</v>
      </c>
      <c r="C2855" t="s">
        <v>99</v>
      </c>
      <c r="D2855">
        <v>20</v>
      </c>
      <c r="E2855" s="2">
        <v>9.5</v>
      </c>
      <c r="F2855" s="2">
        <v>222.57</v>
      </c>
      <c r="G2855" s="2">
        <v>-215.24</v>
      </c>
      <c r="H2855" s="2">
        <v>99.55</v>
      </c>
      <c r="I2855" s="2">
        <v>-108.53</v>
      </c>
      <c r="J2855" s="2">
        <v>8.34</v>
      </c>
      <c r="K2855" s="2">
        <v>-6.72</v>
      </c>
      <c r="L2855" s="2">
        <v>10.71</v>
      </c>
      <c r="M2855" s="2">
        <v>1.22</v>
      </c>
      <c r="N2855" t="s">
        <v>282</v>
      </c>
      <c r="O2855">
        <v>84</v>
      </c>
    </row>
    <row r="2856" spans="1:15">
      <c r="A2856" s="1">
        <v>46069</v>
      </c>
      <c r="B2856">
        <v>20</v>
      </c>
      <c r="C2856" t="s">
        <v>99</v>
      </c>
      <c r="D2856">
        <v>20</v>
      </c>
      <c r="E2856" s="2">
        <v>10</v>
      </c>
      <c r="F2856" s="2">
        <v>78.239999999999995</v>
      </c>
      <c r="G2856" s="2">
        <v>-67.61</v>
      </c>
      <c r="H2856" s="2">
        <v>172.9</v>
      </c>
      <c r="I2856" s="2">
        <v>-141.93</v>
      </c>
      <c r="J2856" s="2">
        <v>8.8800000000000008</v>
      </c>
      <c r="K2856" s="2">
        <v>-7.07</v>
      </c>
      <c r="L2856" s="2">
        <v>11.35</v>
      </c>
      <c r="M2856" s="2">
        <v>1.31</v>
      </c>
      <c r="N2856" t="s">
        <v>282</v>
      </c>
      <c r="O2856">
        <v>84</v>
      </c>
    </row>
    <row r="2857" spans="1:15">
      <c r="A2857" s="1">
        <v>46069</v>
      </c>
      <c r="B2857">
        <v>20</v>
      </c>
      <c r="C2857" t="s">
        <v>99</v>
      </c>
      <c r="D2857">
        <v>20</v>
      </c>
      <c r="E2857" s="2">
        <v>10.5</v>
      </c>
      <c r="F2857" s="2">
        <v>97.54</v>
      </c>
      <c r="G2857" s="2">
        <v>-94.89</v>
      </c>
      <c r="H2857" s="2">
        <v>71.569999999999993</v>
      </c>
      <c r="I2857" s="2">
        <v>-75.72</v>
      </c>
      <c r="J2857" s="2">
        <v>9.35</v>
      </c>
      <c r="K2857" s="2">
        <v>-7.02</v>
      </c>
      <c r="L2857" s="2">
        <v>11.69</v>
      </c>
      <c r="M2857" s="2">
        <v>1.1100000000000001</v>
      </c>
      <c r="N2857" t="s">
        <v>282</v>
      </c>
      <c r="O2857">
        <v>84</v>
      </c>
    </row>
    <row r="2858" spans="1:15">
      <c r="A2858" s="1">
        <v>46069</v>
      </c>
      <c r="B2858">
        <v>20</v>
      </c>
      <c r="C2858" t="s">
        <v>99</v>
      </c>
      <c r="D2858">
        <v>20</v>
      </c>
      <c r="E2858" s="2">
        <v>11</v>
      </c>
      <c r="F2858" s="2">
        <v>32.93</v>
      </c>
      <c r="G2858" s="2">
        <v>-26.59</v>
      </c>
      <c r="H2858" s="2">
        <v>23.9</v>
      </c>
      <c r="I2858" s="2">
        <v>-28.84</v>
      </c>
      <c r="J2858" s="2">
        <v>9.84</v>
      </c>
      <c r="K2858" s="2">
        <v>-7.14</v>
      </c>
      <c r="L2858" s="2">
        <v>12.16</v>
      </c>
      <c r="M2858" s="2">
        <v>1.1399999999999999</v>
      </c>
      <c r="N2858" t="s">
        <v>282</v>
      </c>
      <c r="O2858">
        <v>84</v>
      </c>
    </row>
    <row r="2859" spans="1:15">
      <c r="A2859" s="1">
        <v>46069</v>
      </c>
      <c r="B2859">
        <v>20</v>
      </c>
      <c r="C2859" t="s">
        <v>99</v>
      </c>
      <c r="D2859">
        <v>20</v>
      </c>
      <c r="E2859" s="2">
        <v>11.5</v>
      </c>
      <c r="F2859" s="2">
        <v>-43.58</v>
      </c>
      <c r="G2859" s="2">
        <v>44.71</v>
      </c>
      <c r="H2859" s="2">
        <v>4.63</v>
      </c>
      <c r="I2859" s="2">
        <v>-8.64</v>
      </c>
      <c r="J2859" s="2">
        <v>10.37</v>
      </c>
      <c r="K2859" s="2">
        <v>-7.48</v>
      </c>
      <c r="L2859" s="2">
        <v>12.79</v>
      </c>
      <c r="M2859" s="2">
        <v>1.1299999999999999</v>
      </c>
      <c r="N2859" t="s">
        <v>282</v>
      </c>
      <c r="O2859">
        <v>84</v>
      </c>
    </row>
    <row r="2860" spans="1:15">
      <c r="A2860" s="1">
        <v>46069</v>
      </c>
      <c r="B2860">
        <v>20</v>
      </c>
      <c r="C2860" t="s">
        <v>99</v>
      </c>
      <c r="D2860">
        <v>20</v>
      </c>
      <c r="E2860" s="2">
        <v>12</v>
      </c>
      <c r="F2860" s="2">
        <v>-56.98</v>
      </c>
      <c r="G2860" s="2">
        <v>66.63</v>
      </c>
      <c r="H2860" s="2">
        <v>13.45</v>
      </c>
      <c r="I2860" s="2">
        <v>-10.79</v>
      </c>
      <c r="J2860" s="2">
        <v>10.85</v>
      </c>
      <c r="K2860" s="2">
        <v>-7.46</v>
      </c>
      <c r="L2860" s="2">
        <v>13.16</v>
      </c>
      <c r="M2860" s="2">
        <v>1.1499999999999999</v>
      </c>
      <c r="N2860" t="s">
        <v>282</v>
      </c>
      <c r="O2860">
        <v>84</v>
      </c>
    </row>
    <row r="2861" spans="1:15">
      <c r="A2861" s="1">
        <v>46069</v>
      </c>
      <c r="B2861">
        <v>20</v>
      </c>
      <c r="C2861" t="s">
        <v>99</v>
      </c>
      <c r="D2861">
        <v>20</v>
      </c>
      <c r="E2861" s="2">
        <v>12.5</v>
      </c>
      <c r="F2861" s="2">
        <v>-22.21</v>
      </c>
      <c r="G2861" s="2">
        <v>30.56</v>
      </c>
      <c r="H2861" s="2">
        <v>17.010000000000002</v>
      </c>
      <c r="I2861" s="2">
        <v>-11.6</v>
      </c>
      <c r="J2861" s="2">
        <v>11.27</v>
      </c>
      <c r="K2861" s="2">
        <v>-7.55</v>
      </c>
      <c r="L2861" s="2">
        <v>13.57</v>
      </c>
      <c r="M2861" s="2">
        <v>1.18</v>
      </c>
      <c r="N2861" t="s">
        <v>282</v>
      </c>
      <c r="O2861">
        <v>84</v>
      </c>
    </row>
    <row r="2862" spans="1:15">
      <c r="A2862" s="1">
        <v>46069</v>
      </c>
      <c r="B2862">
        <v>20</v>
      </c>
      <c r="C2862" t="s">
        <v>99</v>
      </c>
      <c r="D2862">
        <v>20</v>
      </c>
      <c r="E2862" s="2">
        <v>13</v>
      </c>
      <c r="F2862" s="2">
        <v>-84.4</v>
      </c>
      <c r="G2862" s="2">
        <v>90.73</v>
      </c>
      <c r="H2862" s="2">
        <v>-52.03</v>
      </c>
      <c r="I2862" s="2">
        <v>41.44</v>
      </c>
      <c r="J2862" s="2">
        <v>11.65</v>
      </c>
      <c r="K2862" s="2">
        <v>-7.54</v>
      </c>
      <c r="L2862" s="2">
        <v>13.87</v>
      </c>
      <c r="M2862" s="2">
        <v>1.24</v>
      </c>
      <c r="N2862" t="s">
        <v>282</v>
      </c>
      <c r="O2862">
        <v>84</v>
      </c>
    </row>
    <row r="2863" spans="1:15">
      <c r="A2863" s="1">
        <v>46069</v>
      </c>
      <c r="B2863">
        <v>20</v>
      </c>
      <c r="C2863" t="s">
        <v>99</v>
      </c>
      <c r="D2863">
        <v>20</v>
      </c>
      <c r="E2863" s="2">
        <v>13.5</v>
      </c>
      <c r="F2863" s="2">
        <v>-253.57</v>
      </c>
      <c r="G2863" s="2">
        <v>265.32</v>
      </c>
      <c r="H2863" s="2">
        <v>-167.28</v>
      </c>
      <c r="I2863" s="2">
        <v>182.45</v>
      </c>
      <c r="J2863" s="2">
        <v>11.95</v>
      </c>
      <c r="K2863" s="2">
        <v>-7.75</v>
      </c>
      <c r="L2863" s="2">
        <v>14.24</v>
      </c>
      <c r="M2863" s="2">
        <v>1.32</v>
      </c>
      <c r="N2863" t="s">
        <v>282</v>
      </c>
      <c r="O2863">
        <v>84</v>
      </c>
    </row>
    <row r="2864" spans="1:15">
      <c r="A2864" s="1">
        <v>46069</v>
      </c>
      <c r="B2864">
        <v>20</v>
      </c>
      <c r="C2864" t="s">
        <v>99</v>
      </c>
      <c r="D2864">
        <v>20</v>
      </c>
      <c r="E2864" s="2">
        <v>14</v>
      </c>
      <c r="F2864" s="2">
        <v>-263.14</v>
      </c>
      <c r="G2864" s="2">
        <v>273.75</v>
      </c>
      <c r="H2864" s="2">
        <v>-298.48</v>
      </c>
      <c r="I2864" s="2">
        <v>306.52</v>
      </c>
      <c r="J2864" s="2">
        <v>12.15</v>
      </c>
      <c r="K2864" s="2">
        <v>-7.62</v>
      </c>
      <c r="L2864" s="2">
        <v>14.35</v>
      </c>
      <c r="M2864" s="2">
        <v>1.36</v>
      </c>
      <c r="N2864" t="s">
        <v>282</v>
      </c>
      <c r="O2864">
        <v>84</v>
      </c>
    </row>
    <row r="2865" spans="1:15">
      <c r="A2865" s="1">
        <v>46069</v>
      </c>
      <c r="B2865">
        <v>20</v>
      </c>
      <c r="C2865" t="s">
        <v>99</v>
      </c>
      <c r="D2865">
        <v>20</v>
      </c>
      <c r="E2865" s="2">
        <v>14.5</v>
      </c>
      <c r="F2865" s="2">
        <v>-234.62</v>
      </c>
      <c r="G2865" s="2">
        <v>244.89</v>
      </c>
      <c r="H2865" s="2">
        <v>-272.01</v>
      </c>
      <c r="I2865" s="2">
        <v>268.54000000000002</v>
      </c>
      <c r="J2865" s="2">
        <v>12.89</v>
      </c>
      <c r="K2865" s="2">
        <v>-7.59</v>
      </c>
      <c r="L2865" s="2">
        <v>14.96</v>
      </c>
      <c r="M2865" s="2">
        <v>1.37</v>
      </c>
      <c r="N2865" t="s">
        <v>282</v>
      </c>
      <c r="O2865">
        <v>84</v>
      </c>
    </row>
    <row r="2866" spans="1:15">
      <c r="A2866" s="1">
        <v>46069</v>
      </c>
      <c r="B2866">
        <v>20</v>
      </c>
      <c r="C2866" t="s">
        <v>99</v>
      </c>
      <c r="D2866">
        <v>20</v>
      </c>
      <c r="E2866" s="2">
        <v>15</v>
      </c>
      <c r="F2866" s="2">
        <v>-204</v>
      </c>
      <c r="G2866" s="2">
        <v>218.49</v>
      </c>
      <c r="H2866" s="2">
        <v>-201.11</v>
      </c>
      <c r="I2866" s="2">
        <v>209.92</v>
      </c>
      <c r="J2866" s="2">
        <v>13.46</v>
      </c>
      <c r="K2866" s="2">
        <v>-7.91</v>
      </c>
      <c r="L2866" s="2">
        <v>15.62</v>
      </c>
      <c r="M2866" s="2">
        <v>1.46</v>
      </c>
      <c r="N2866" t="s">
        <v>282</v>
      </c>
      <c r="O2866">
        <v>84</v>
      </c>
    </row>
    <row r="2867" spans="1:15">
      <c r="A2867" s="1">
        <v>46069</v>
      </c>
      <c r="B2867">
        <v>20</v>
      </c>
      <c r="C2867" t="s">
        <v>99</v>
      </c>
      <c r="D2867">
        <v>20</v>
      </c>
      <c r="E2867" s="2">
        <v>15.5</v>
      </c>
      <c r="F2867" s="2">
        <v>-139.03</v>
      </c>
      <c r="G2867" s="2">
        <v>146.56</v>
      </c>
      <c r="H2867" s="2">
        <v>-198.36</v>
      </c>
      <c r="I2867" s="2">
        <v>189.4</v>
      </c>
      <c r="J2867" s="2">
        <v>13.87</v>
      </c>
      <c r="K2867" s="2">
        <v>-8</v>
      </c>
      <c r="L2867" s="2">
        <v>16.010000000000002</v>
      </c>
      <c r="M2867" s="2">
        <v>1.55</v>
      </c>
      <c r="N2867" t="s">
        <v>282</v>
      </c>
      <c r="O2867">
        <v>84</v>
      </c>
    </row>
    <row r="2868" spans="1:15">
      <c r="A2868" s="1">
        <v>46069</v>
      </c>
      <c r="B2868">
        <v>20</v>
      </c>
      <c r="C2868" t="s">
        <v>99</v>
      </c>
      <c r="D2868">
        <v>20</v>
      </c>
      <c r="E2868" s="2">
        <v>16</v>
      </c>
      <c r="F2868" s="2">
        <v>-60.92</v>
      </c>
      <c r="G2868" s="2">
        <v>70.33</v>
      </c>
      <c r="H2868" s="2">
        <v>-183.9</v>
      </c>
      <c r="I2868" s="2">
        <v>186.12</v>
      </c>
      <c r="J2868" s="2">
        <v>14.32</v>
      </c>
      <c r="K2868" s="2">
        <v>-8.15</v>
      </c>
      <c r="L2868" s="2">
        <v>16.48</v>
      </c>
      <c r="M2868" s="2">
        <v>1.58</v>
      </c>
      <c r="N2868" t="s">
        <v>282</v>
      </c>
      <c r="O2868">
        <v>84</v>
      </c>
    </row>
    <row r="2869" spans="1:15">
      <c r="A2869" s="1">
        <v>46069</v>
      </c>
      <c r="B2869">
        <v>20</v>
      </c>
      <c r="C2869" t="s">
        <v>99</v>
      </c>
      <c r="D2869">
        <v>20</v>
      </c>
      <c r="E2869" s="2">
        <v>16.5</v>
      </c>
      <c r="F2869" s="2">
        <v>116.9</v>
      </c>
      <c r="G2869" s="2">
        <v>-108.78</v>
      </c>
      <c r="H2869" s="2">
        <v>-118.96</v>
      </c>
      <c r="I2869" s="2">
        <v>138.63</v>
      </c>
      <c r="J2869" s="2">
        <v>14.57</v>
      </c>
      <c r="K2869" s="2">
        <v>-8.49</v>
      </c>
      <c r="L2869" s="2">
        <v>16.86</v>
      </c>
      <c r="M2869" s="2">
        <v>1.65</v>
      </c>
      <c r="N2869" t="s">
        <v>282</v>
      </c>
      <c r="O2869">
        <v>84</v>
      </c>
    </row>
    <row r="2870" spans="1:15">
      <c r="A2870" s="1">
        <v>46069</v>
      </c>
      <c r="B2870">
        <v>20</v>
      </c>
      <c r="C2870" t="s">
        <v>99</v>
      </c>
      <c r="D2870">
        <v>20</v>
      </c>
      <c r="E2870" s="2">
        <v>17</v>
      </c>
      <c r="F2870" s="2">
        <v>262.47000000000003</v>
      </c>
      <c r="G2870" s="2">
        <v>-250.94</v>
      </c>
      <c r="H2870" s="2">
        <v>-47.8</v>
      </c>
      <c r="I2870" s="2">
        <v>69.03</v>
      </c>
      <c r="J2870" s="2">
        <v>14.67</v>
      </c>
      <c r="K2870" s="2">
        <v>-8.9499999999999993</v>
      </c>
      <c r="L2870" s="2">
        <v>17.190000000000001</v>
      </c>
      <c r="M2870" s="2">
        <v>1.84</v>
      </c>
      <c r="N2870" t="s">
        <v>282</v>
      </c>
      <c r="O2870">
        <v>84</v>
      </c>
    </row>
    <row r="2871" spans="1:15">
      <c r="A2871" s="1">
        <v>46069</v>
      </c>
      <c r="B2871">
        <v>20</v>
      </c>
      <c r="C2871" t="s">
        <v>99</v>
      </c>
      <c r="D2871">
        <v>20</v>
      </c>
      <c r="E2871" s="2">
        <v>17.5</v>
      </c>
      <c r="F2871" s="2">
        <v>314.01</v>
      </c>
      <c r="G2871" s="2">
        <v>-306.45</v>
      </c>
      <c r="H2871" s="2">
        <v>-55.86</v>
      </c>
      <c r="I2871" s="2">
        <v>50.31</v>
      </c>
      <c r="J2871" s="2">
        <v>14.35</v>
      </c>
      <c r="K2871" s="2">
        <v>-8.7200000000000006</v>
      </c>
      <c r="L2871" s="2">
        <v>16.79</v>
      </c>
      <c r="M2871" s="2">
        <v>1.94</v>
      </c>
      <c r="N2871" t="s">
        <v>282</v>
      </c>
      <c r="O2871">
        <v>84</v>
      </c>
    </row>
    <row r="2872" spans="1:15">
      <c r="A2872" s="1">
        <v>46069</v>
      </c>
      <c r="B2872">
        <v>20</v>
      </c>
      <c r="C2872" t="s">
        <v>99</v>
      </c>
      <c r="D2872">
        <v>20</v>
      </c>
      <c r="E2872" s="2">
        <v>18</v>
      </c>
      <c r="F2872" s="2">
        <v>406.51</v>
      </c>
      <c r="G2872" s="2">
        <v>-396.56</v>
      </c>
      <c r="H2872" s="2">
        <v>-90.45</v>
      </c>
      <c r="I2872" s="2">
        <v>89.51</v>
      </c>
      <c r="J2872" s="2">
        <v>14.02</v>
      </c>
      <c r="K2872" s="2">
        <v>-8.1999999999999993</v>
      </c>
      <c r="L2872" s="2">
        <v>16.25</v>
      </c>
      <c r="M2872" s="2">
        <v>2.0499999999999998</v>
      </c>
      <c r="N2872" t="s">
        <v>282</v>
      </c>
      <c r="O2872">
        <v>84</v>
      </c>
    </row>
    <row r="2873" spans="1:15">
      <c r="A2873" s="1">
        <v>46069</v>
      </c>
      <c r="B2873">
        <v>20</v>
      </c>
      <c r="C2873" t="s">
        <v>99</v>
      </c>
      <c r="D2873">
        <v>20</v>
      </c>
      <c r="E2873" s="2">
        <v>18.5</v>
      </c>
      <c r="F2873" s="2">
        <v>430.74</v>
      </c>
      <c r="G2873" s="2">
        <v>-421.28</v>
      </c>
      <c r="H2873" s="2">
        <v>-93.8</v>
      </c>
      <c r="I2873" s="2">
        <v>106.46</v>
      </c>
      <c r="J2873" s="2">
        <v>14.28</v>
      </c>
      <c r="K2873" s="2">
        <v>-7.87</v>
      </c>
      <c r="L2873" s="2">
        <v>16.309999999999999</v>
      </c>
      <c r="M2873" s="2">
        <v>2.06</v>
      </c>
      <c r="N2873" t="s">
        <v>282</v>
      </c>
      <c r="O2873">
        <v>84</v>
      </c>
    </row>
    <row r="2874" spans="1:15">
      <c r="A2874" s="1">
        <v>46069</v>
      </c>
      <c r="B2874">
        <v>20</v>
      </c>
      <c r="C2874" t="s">
        <v>99</v>
      </c>
      <c r="D2874">
        <v>20</v>
      </c>
      <c r="E2874" s="2">
        <v>19</v>
      </c>
      <c r="F2874" s="2">
        <v>410.87</v>
      </c>
      <c r="G2874" s="2">
        <v>-403.24</v>
      </c>
      <c r="H2874" s="2">
        <v>-68.400000000000006</v>
      </c>
      <c r="I2874" s="2">
        <v>80.66</v>
      </c>
      <c r="J2874" s="2">
        <v>14.05</v>
      </c>
      <c r="K2874" s="2">
        <v>-7.47</v>
      </c>
      <c r="L2874" s="2">
        <v>15.91</v>
      </c>
      <c r="M2874" s="2">
        <v>2.11</v>
      </c>
      <c r="N2874" t="s">
        <v>282</v>
      </c>
      <c r="O2874">
        <v>84</v>
      </c>
    </row>
    <row r="2875" spans="1:15">
      <c r="A2875" s="1">
        <v>46069</v>
      </c>
      <c r="B2875">
        <v>20</v>
      </c>
      <c r="C2875" t="s">
        <v>99</v>
      </c>
      <c r="D2875">
        <v>20</v>
      </c>
      <c r="E2875" s="2">
        <v>19.5</v>
      </c>
      <c r="F2875" s="2">
        <v>310.89</v>
      </c>
      <c r="G2875" s="2">
        <v>-302.52999999999997</v>
      </c>
      <c r="H2875" s="2">
        <v>-32.159999999999997</v>
      </c>
      <c r="I2875" s="2">
        <v>37.28</v>
      </c>
      <c r="J2875" s="2">
        <v>13.09</v>
      </c>
      <c r="K2875" s="2">
        <v>-6.34</v>
      </c>
      <c r="L2875" s="2">
        <v>14.55</v>
      </c>
      <c r="M2875" s="2">
        <v>2.0299999999999998</v>
      </c>
      <c r="N2875" t="s">
        <v>282</v>
      </c>
      <c r="O2875">
        <v>84</v>
      </c>
    </row>
    <row r="2876" spans="1:15">
      <c r="A2876" s="1">
        <v>46069</v>
      </c>
      <c r="B2876">
        <v>20</v>
      </c>
      <c r="C2876" t="s">
        <v>99</v>
      </c>
      <c r="D2876">
        <v>20</v>
      </c>
      <c r="E2876" s="2">
        <v>20</v>
      </c>
      <c r="F2876" s="2">
        <v>169.53</v>
      </c>
      <c r="G2876" s="2">
        <v>-161.05000000000001</v>
      </c>
      <c r="H2876" s="2">
        <v>19.84</v>
      </c>
      <c r="I2876" s="2">
        <v>-0.01</v>
      </c>
      <c r="J2876" s="2">
        <v>12.6</v>
      </c>
      <c r="K2876" s="2">
        <v>-5.98</v>
      </c>
      <c r="L2876" s="2">
        <v>13.95</v>
      </c>
      <c r="M2876" s="2">
        <v>1.99</v>
      </c>
      <c r="N2876" t="s">
        <v>282</v>
      </c>
      <c r="O2876">
        <v>84</v>
      </c>
    </row>
    <row r="2877" spans="1:15">
      <c r="A2877" s="1">
        <v>46069</v>
      </c>
      <c r="B2877">
        <v>20</v>
      </c>
      <c r="C2877" t="s">
        <v>99</v>
      </c>
      <c r="D2877">
        <v>20</v>
      </c>
      <c r="E2877" s="2">
        <v>20.5</v>
      </c>
      <c r="F2877" s="2">
        <v>126.42</v>
      </c>
      <c r="G2877" s="2">
        <v>-118.93</v>
      </c>
      <c r="H2877" s="2">
        <v>14.4</v>
      </c>
      <c r="I2877" s="2">
        <v>-4.9000000000000004</v>
      </c>
      <c r="J2877" s="2">
        <v>11.9</v>
      </c>
      <c r="K2877" s="2">
        <v>-5.42</v>
      </c>
      <c r="L2877" s="2">
        <v>13.08</v>
      </c>
      <c r="M2877" s="2">
        <v>2.0499999999999998</v>
      </c>
      <c r="N2877" t="s">
        <v>282</v>
      </c>
      <c r="O2877">
        <v>84</v>
      </c>
    </row>
    <row r="2878" spans="1:15">
      <c r="A2878" s="1">
        <v>46069</v>
      </c>
      <c r="B2878">
        <v>20</v>
      </c>
      <c r="C2878" t="s">
        <v>99</v>
      </c>
      <c r="D2878">
        <v>20</v>
      </c>
      <c r="E2878" s="2">
        <v>21</v>
      </c>
      <c r="F2878" s="2">
        <v>96.82</v>
      </c>
      <c r="G2878" s="2">
        <v>-87.58</v>
      </c>
      <c r="H2878" s="2">
        <v>16.09</v>
      </c>
      <c r="I2878" s="2">
        <v>9.09</v>
      </c>
      <c r="J2878" s="2">
        <v>11.07</v>
      </c>
      <c r="K2878" s="2">
        <v>-4.79</v>
      </c>
      <c r="L2878" s="2">
        <v>12.06</v>
      </c>
      <c r="M2878" s="2">
        <v>2.0099999999999998</v>
      </c>
      <c r="N2878" t="s">
        <v>282</v>
      </c>
      <c r="O2878">
        <v>84</v>
      </c>
    </row>
    <row r="2879" spans="1:15">
      <c r="A2879" s="1">
        <v>46069</v>
      </c>
      <c r="B2879">
        <v>20</v>
      </c>
      <c r="C2879" t="s">
        <v>99</v>
      </c>
      <c r="D2879">
        <v>20</v>
      </c>
      <c r="E2879" s="2">
        <v>21.5</v>
      </c>
      <c r="F2879" s="2">
        <v>-34.549999999999997</v>
      </c>
      <c r="G2879" s="2">
        <v>45.67</v>
      </c>
      <c r="H2879" s="2">
        <v>5.79</v>
      </c>
      <c r="I2879" s="2">
        <v>5.7</v>
      </c>
      <c r="J2879" s="2">
        <v>10.37</v>
      </c>
      <c r="K2879" s="2">
        <v>-4.49</v>
      </c>
      <c r="L2879" s="2">
        <v>11.31</v>
      </c>
      <c r="M2879" s="2">
        <v>2.02</v>
      </c>
      <c r="N2879" t="s">
        <v>282</v>
      </c>
      <c r="O2879">
        <v>84</v>
      </c>
    </row>
    <row r="2880" spans="1:15">
      <c r="A2880" s="1">
        <v>46069</v>
      </c>
      <c r="B2880">
        <v>20</v>
      </c>
      <c r="C2880" t="s">
        <v>99</v>
      </c>
      <c r="D2880">
        <v>20</v>
      </c>
      <c r="E2880" s="2">
        <v>22</v>
      </c>
      <c r="F2880" s="2">
        <v>-88.21</v>
      </c>
      <c r="G2880" s="2">
        <v>95</v>
      </c>
      <c r="H2880" s="2">
        <v>17.899999999999999</v>
      </c>
      <c r="I2880" s="2">
        <v>2.63</v>
      </c>
      <c r="J2880" s="2">
        <v>9.75</v>
      </c>
      <c r="K2880" s="2">
        <v>-3.78</v>
      </c>
      <c r="L2880" s="2">
        <v>10.46</v>
      </c>
      <c r="M2880" s="2">
        <v>1.92</v>
      </c>
      <c r="N2880" t="s">
        <v>282</v>
      </c>
      <c r="O2880">
        <v>84</v>
      </c>
    </row>
    <row r="2881" spans="1:15">
      <c r="A2881" s="1">
        <v>46069</v>
      </c>
      <c r="B2881">
        <v>20</v>
      </c>
      <c r="C2881" t="s">
        <v>99</v>
      </c>
      <c r="D2881">
        <v>20</v>
      </c>
      <c r="E2881" s="2">
        <v>22.5</v>
      </c>
      <c r="F2881" s="2">
        <v>-76.28</v>
      </c>
      <c r="G2881" s="2">
        <v>86.31</v>
      </c>
      <c r="H2881" s="2">
        <v>-71.650000000000006</v>
      </c>
      <c r="I2881" s="2">
        <v>105</v>
      </c>
      <c r="J2881" s="2">
        <v>8.9600000000000009</v>
      </c>
      <c r="K2881" s="2">
        <v>-3.11</v>
      </c>
      <c r="L2881" s="2">
        <v>9.49</v>
      </c>
      <c r="M2881" s="2">
        <v>1.83</v>
      </c>
      <c r="N2881" t="s">
        <v>282</v>
      </c>
      <c r="O2881">
        <v>84</v>
      </c>
    </row>
    <row r="2882" spans="1:15">
      <c r="A2882" s="1">
        <v>46069</v>
      </c>
      <c r="B2882">
        <v>20</v>
      </c>
      <c r="C2882" t="s">
        <v>99</v>
      </c>
      <c r="D2882">
        <v>20</v>
      </c>
      <c r="E2882" s="2">
        <v>23</v>
      </c>
      <c r="F2882" s="2">
        <v>-88.4</v>
      </c>
      <c r="G2882" s="2">
        <v>91.4</v>
      </c>
      <c r="H2882" s="2">
        <v>-158.6</v>
      </c>
      <c r="I2882" s="2">
        <v>146.46</v>
      </c>
      <c r="J2882" s="2">
        <v>8.1199999999999992</v>
      </c>
      <c r="K2882" s="2">
        <v>-2.2599999999999998</v>
      </c>
      <c r="L2882" s="2">
        <v>8.43</v>
      </c>
      <c r="M2882" s="2">
        <v>1.72</v>
      </c>
      <c r="N2882" t="s">
        <v>282</v>
      </c>
      <c r="O2882">
        <v>84</v>
      </c>
    </row>
    <row r="2883" spans="1:15">
      <c r="A2883" s="1">
        <v>46069</v>
      </c>
      <c r="B2883">
        <v>20</v>
      </c>
      <c r="C2883" t="s">
        <v>99</v>
      </c>
      <c r="D2883">
        <v>20</v>
      </c>
      <c r="E2883" s="2">
        <v>23.5</v>
      </c>
      <c r="F2883" s="2">
        <v>-145.01</v>
      </c>
      <c r="G2883" s="2">
        <v>157.94999999999999</v>
      </c>
      <c r="H2883" s="2">
        <v>-179.35</v>
      </c>
      <c r="I2883" s="2">
        <v>207.07</v>
      </c>
      <c r="J2883" s="2">
        <v>7.34</v>
      </c>
      <c r="K2883" s="2">
        <v>-1.96</v>
      </c>
      <c r="L2883" s="2">
        <v>7.6</v>
      </c>
      <c r="M2883" s="2">
        <v>1.66</v>
      </c>
      <c r="N2883" t="s">
        <v>282</v>
      </c>
      <c r="O2883">
        <v>84</v>
      </c>
    </row>
    <row r="2884" spans="1:15">
      <c r="A2884" s="1">
        <v>46069</v>
      </c>
      <c r="B2884">
        <v>20</v>
      </c>
      <c r="C2884" t="s">
        <v>99</v>
      </c>
      <c r="D2884">
        <v>20</v>
      </c>
      <c r="E2884" s="2">
        <v>24</v>
      </c>
      <c r="F2884" s="2">
        <v>-184.57</v>
      </c>
      <c r="G2884" s="2">
        <v>189.67</v>
      </c>
      <c r="H2884" s="2">
        <v>-243.27</v>
      </c>
      <c r="I2884" s="2">
        <v>248.07</v>
      </c>
      <c r="J2884" s="2">
        <v>6.76</v>
      </c>
      <c r="K2884" s="2">
        <v>-1.71</v>
      </c>
      <c r="L2884" s="2">
        <v>6.97</v>
      </c>
      <c r="M2884" s="2">
        <v>1.59</v>
      </c>
      <c r="N2884" t="s">
        <v>282</v>
      </c>
      <c r="O2884">
        <v>84</v>
      </c>
    </row>
    <row r="2885" spans="1:15">
      <c r="A2885" s="1">
        <v>46069</v>
      </c>
      <c r="B2885">
        <v>20</v>
      </c>
      <c r="C2885" t="s">
        <v>99</v>
      </c>
      <c r="D2885">
        <v>20</v>
      </c>
      <c r="E2885" s="2">
        <v>24.5</v>
      </c>
      <c r="F2885" s="2">
        <v>-88.77</v>
      </c>
      <c r="G2885" s="2">
        <v>92.03</v>
      </c>
      <c r="H2885" s="2">
        <v>-242.47</v>
      </c>
      <c r="I2885" s="2">
        <v>236.34</v>
      </c>
      <c r="J2885" s="2">
        <v>6.07</v>
      </c>
      <c r="K2885" s="2">
        <v>-1.36</v>
      </c>
      <c r="L2885" s="2">
        <v>6.22</v>
      </c>
      <c r="M2885" s="2">
        <v>1.44</v>
      </c>
      <c r="N2885" t="s">
        <v>282</v>
      </c>
      <c r="O2885">
        <v>84</v>
      </c>
    </row>
    <row r="2886" spans="1:15">
      <c r="A2886" s="1">
        <v>46069</v>
      </c>
      <c r="B2886">
        <v>20</v>
      </c>
      <c r="C2886" t="s">
        <v>99</v>
      </c>
      <c r="D2886">
        <v>20</v>
      </c>
      <c r="E2886" s="2">
        <v>25</v>
      </c>
      <c r="F2886" s="2">
        <v>0.15</v>
      </c>
      <c r="G2886" s="2">
        <v>7.38</v>
      </c>
      <c r="H2886" s="2">
        <v>-227.33</v>
      </c>
      <c r="I2886" s="2">
        <v>220.35</v>
      </c>
      <c r="J2886" s="2">
        <v>5.1100000000000003</v>
      </c>
      <c r="K2886" s="2">
        <v>-1.31</v>
      </c>
      <c r="L2886" s="2">
        <v>5.27</v>
      </c>
      <c r="M2886" s="2">
        <v>1.28</v>
      </c>
      <c r="N2886" t="s">
        <v>282</v>
      </c>
      <c r="O2886">
        <v>84</v>
      </c>
    </row>
    <row r="2887" spans="1:15">
      <c r="A2887" s="1">
        <v>46069</v>
      </c>
      <c r="B2887">
        <v>20</v>
      </c>
      <c r="C2887" t="s">
        <v>99</v>
      </c>
      <c r="D2887">
        <v>20</v>
      </c>
      <c r="E2887" s="2">
        <v>25.5</v>
      </c>
      <c r="F2887" s="2">
        <v>64.349999999999994</v>
      </c>
      <c r="G2887" s="2">
        <v>-60.29</v>
      </c>
      <c r="H2887" s="2">
        <v>-189.77</v>
      </c>
      <c r="I2887" s="2">
        <v>182.78</v>
      </c>
      <c r="J2887" s="2">
        <v>3.96</v>
      </c>
      <c r="K2887" s="2">
        <v>-1.1000000000000001</v>
      </c>
      <c r="L2887" s="2">
        <v>4.1100000000000003</v>
      </c>
      <c r="M2887" s="2">
        <v>1.04</v>
      </c>
      <c r="N2887" t="s">
        <v>282</v>
      </c>
      <c r="O2887">
        <v>84</v>
      </c>
    </row>
    <row r="2888" spans="1:15">
      <c r="A2888" s="1">
        <v>46069</v>
      </c>
      <c r="B2888">
        <v>20</v>
      </c>
      <c r="C2888" t="s">
        <v>99</v>
      </c>
      <c r="D2888">
        <v>20</v>
      </c>
      <c r="E2888" s="2">
        <v>26</v>
      </c>
      <c r="F2888" s="2">
        <v>106.32</v>
      </c>
      <c r="G2888" s="2">
        <v>-97.33</v>
      </c>
      <c r="H2888" s="2">
        <v>-233.85</v>
      </c>
      <c r="I2888" s="2">
        <v>236.05</v>
      </c>
      <c r="J2888" s="2">
        <v>3.05</v>
      </c>
      <c r="K2888" s="2">
        <v>-0.56999999999999995</v>
      </c>
      <c r="L2888" s="2">
        <v>3.1</v>
      </c>
      <c r="M2888" s="2">
        <v>0.84</v>
      </c>
      <c r="N2888" t="s">
        <v>282</v>
      </c>
      <c r="O2888">
        <v>84</v>
      </c>
    </row>
    <row r="2889" spans="1:15">
      <c r="A2889" s="1">
        <v>46069</v>
      </c>
      <c r="B2889">
        <v>20</v>
      </c>
      <c r="C2889" t="s">
        <v>99</v>
      </c>
      <c r="D2889">
        <v>20</v>
      </c>
      <c r="E2889" s="2">
        <v>26.5</v>
      </c>
      <c r="F2889" s="2">
        <v>74.510000000000005</v>
      </c>
      <c r="G2889" s="2">
        <v>-67.06</v>
      </c>
      <c r="H2889" s="2">
        <v>-236.97</v>
      </c>
      <c r="I2889" s="2">
        <v>249.72</v>
      </c>
      <c r="J2889" s="2">
        <v>2</v>
      </c>
      <c r="K2889" s="2">
        <v>-0.31</v>
      </c>
      <c r="L2889" s="2">
        <v>2.02</v>
      </c>
      <c r="M2889" s="2">
        <v>0.51</v>
      </c>
      <c r="N2889" t="s">
        <v>282</v>
      </c>
      <c r="O2889">
        <v>84</v>
      </c>
    </row>
    <row r="2890" spans="1:15">
      <c r="A2890" s="1">
        <v>46069</v>
      </c>
      <c r="B2890">
        <v>20</v>
      </c>
      <c r="C2890" t="s">
        <v>100</v>
      </c>
      <c r="D2890">
        <v>19</v>
      </c>
      <c r="E2890" s="2">
        <v>0.5</v>
      </c>
      <c r="F2890" s="2">
        <v>424.59</v>
      </c>
      <c r="G2890" s="2">
        <v>-423.36</v>
      </c>
      <c r="H2890" s="2">
        <v>496.34</v>
      </c>
      <c r="I2890" s="2">
        <v>-461.76</v>
      </c>
      <c r="J2890" s="2">
        <v>-0.32</v>
      </c>
      <c r="K2890" s="2">
        <v>0.64</v>
      </c>
      <c r="L2890" s="2">
        <v>0.71</v>
      </c>
      <c r="M2890" s="2">
        <v>-4.18</v>
      </c>
      <c r="N2890" t="s">
        <v>282</v>
      </c>
      <c r="O2890">
        <v>122</v>
      </c>
    </row>
    <row r="2891" spans="1:15">
      <c r="A2891" s="1">
        <v>46069</v>
      </c>
      <c r="B2891">
        <v>20</v>
      </c>
      <c r="C2891" t="s">
        <v>100</v>
      </c>
      <c r="D2891">
        <v>19</v>
      </c>
      <c r="E2891" s="2">
        <v>1</v>
      </c>
      <c r="F2891" s="2">
        <v>423.66</v>
      </c>
      <c r="G2891" s="2">
        <v>-418.73</v>
      </c>
      <c r="H2891" s="2">
        <v>492.02</v>
      </c>
      <c r="I2891" s="2">
        <v>-470.86</v>
      </c>
      <c r="J2891" s="2">
        <v>0.2</v>
      </c>
      <c r="K2891" s="2">
        <v>0.49</v>
      </c>
      <c r="L2891" s="2">
        <v>0.52</v>
      </c>
      <c r="M2891" s="2">
        <v>-3.85</v>
      </c>
      <c r="N2891" t="s">
        <v>282</v>
      </c>
      <c r="O2891">
        <v>122</v>
      </c>
    </row>
    <row r="2892" spans="1:15">
      <c r="A2892" s="1">
        <v>46069</v>
      </c>
      <c r="B2892">
        <v>20</v>
      </c>
      <c r="C2892" t="s">
        <v>100</v>
      </c>
      <c r="D2892">
        <v>19</v>
      </c>
      <c r="E2892" s="2">
        <v>1.5</v>
      </c>
      <c r="F2892" s="2">
        <v>470.82</v>
      </c>
      <c r="G2892" s="2">
        <v>-469.14</v>
      </c>
      <c r="H2892" s="2">
        <v>429.75</v>
      </c>
      <c r="I2892" s="2">
        <v>-408.32</v>
      </c>
      <c r="J2892" s="2">
        <v>0.65</v>
      </c>
      <c r="K2892" s="2">
        <v>0.39</v>
      </c>
      <c r="L2892" s="2">
        <v>0.76</v>
      </c>
      <c r="M2892" s="2">
        <v>-3.32</v>
      </c>
      <c r="N2892" t="s">
        <v>282</v>
      </c>
      <c r="O2892">
        <v>122</v>
      </c>
    </row>
    <row r="2893" spans="1:15">
      <c r="A2893" s="1">
        <v>46069</v>
      </c>
      <c r="B2893">
        <v>20</v>
      </c>
      <c r="C2893" t="s">
        <v>100</v>
      </c>
      <c r="D2893">
        <v>19</v>
      </c>
      <c r="E2893" s="2">
        <v>2</v>
      </c>
      <c r="F2893" s="2">
        <v>544.46</v>
      </c>
      <c r="G2893" s="2">
        <v>-543.29</v>
      </c>
      <c r="H2893" s="2">
        <v>232.07</v>
      </c>
      <c r="I2893" s="2">
        <v>-237.29</v>
      </c>
      <c r="J2893" s="2">
        <v>1.51</v>
      </c>
      <c r="K2893" s="2">
        <v>0.62</v>
      </c>
      <c r="L2893" s="2">
        <v>1.63</v>
      </c>
      <c r="M2893" s="2">
        <v>-2.63</v>
      </c>
      <c r="N2893" t="s">
        <v>282</v>
      </c>
      <c r="O2893">
        <v>122</v>
      </c>
    </row>
    <row r="2894" spans="1:15">
      <c r="A2894" s="1">
        <v>46069</v>
      </c>
      <c r="B2894">
        <v>20</v>
      </c>
      <c r="C2894" t="s">
        <v>100</v>
      </c>
      <c r="D2894">
        <v>19</v>
      </c>
      <c r="E2894" s="2">
        <v>2.5</v>
      </c>
      <c r="F2894" s="2">
        <v>496.18</v>
      </c>
      <c r="G2894" s="2">
        <v>-496.29</v>
      </c>
      <c r="H2894" s="2">
        <v>138.88</v>
      </c>
      <c r="I2894" s="2">
        <v>-123.41</v>
      </c>
      <c r="J2894" s="2">
        <v>2.8</v>
      </c>
      <c r="K2894" s="2">
        <v>0.49</v>
      </c>
      <c r="L2894" s="2">
        <v>2.85</v>
      </c>
      <c r="M2894" s="2">
        <v>-1.71</v>
      </c>
      <c r="N2894" t="s">
        <v>282</v>
      </c>
      <c r="O2894">
        <v>122</v>
      </c>
    </row>
    <row r="2895" spans="1:15">
      <c r="A2895" s="1">
        <v>46069</v>
      </c>
      <c r="B2895">
        <v>20</v>
      </c>
      <c r="C2895" t="s">
        <v>100</v>
      </c>
      <c r="D2895">
        <v>19</v>
      </c>
      <c r="E2895" s="2">
        <v>3</v>
      </c>
      <c r="F2895" s="2">
        <v>450.45</v>
      </c>
      <c r="G2895" s="2">
        <v>-447.18</v>
      </c>
      <c r="H2895" s="2">
        <v>11.9</v>
      </c>
      <c r="I2895" s="2">
        <v>5.22</v>
      </c>
      <c r="J2895" s="2">
        <v>4.0599999999999996</v>
      </c>
      <c r="K2895" s="2">
        <v>0.64</v>
      </c>
      <c r="L2895" s="2">
        <v>4.1100000000000003</v>
      </c>
      <c r="M2895" s="2">
        <v>-1.1200000000000001</v>
      </c>
      <c r="N2895" t="s">
        <v>282</v>
      </c>
      <c r="O2895">
        <v>122</v>
      </c>
    </row>
    <row r="2896" spans="1:15">
      <c r="A2896" s="1">
        <v>46069</v>
      </c>
      <c r="B2896">
        <v>20</v>
      </c>
      <c r="C2896" t="s">
        <v>100</v>
      </c>
      <c r="D2896">
        <v>19</v>
      </c>
      <c r="E2896" s="2">
        <v>3.5</v>
      </c>
      <c r="F2896" s="2">
        <v>403.73</v>
      </c>
      <c r="G2896" s="2">
        <v>-402.74</v>
      </c>
      <c r="H2896" s="2">
        <v>-76.209999999999994</v>
      </c>
      <c r="I2896" s="2">
        <v>92.49</v>
      </c>
      <c r="J2896" s="2">
        <v>5.45</v>
      </c>
      <c r="K2896" s="2">
        <v>0.85</v>
      </c>
      <c r="L2896" s="2">
        <v>5.51</v>
      </c>
      <c r="M2896" s="2">
        <v>-0.74</v>
      </c>
      <c r="N2896" t="s">
        <v>282</v>
      </c>
      <c r="O2896">
        <v>122</v>
      </c>
    </row>
    <row r="2897" spans="1:15">
      <c r="A2897" s="1">
        <v>46069</v>
      </c>
      <c r="B2897">
        <v>20</v>
      </c>
      <c r="C2897" t="s">
        <v>100</v>
      </c>
      <c r="D2897">
        <v>19</v>
      </c>
      <c r="E2897" s="2">
        <v>4</v>
      </c>
      <c r="F2897" s="2">
        <v>395.78</v>
      </c>
      <c r="G2897" s="2">
        <v>-393.82</v>
      </c>
      <c r="H2897" s="2">
        <v>-102.27</v>
      </c>
      <c r="I2897" s="2">
        <v>118.53</v>
      </c>
      <c r="J2897" s="2">
        <v>6.69</v>
      </c>
      <c r="K2897" s="2">
        <v>1.1299999999999999</v>
      </c>
      <c r="L2897" s="2">
        <v>6.78</v>
      </c>
      <c r="M2897" s="2">
        <v>-0.63</v>
      </c>
      <c r="N2897" t="s">
        <v>282</v>
      </c>
      <c r="O2897">
        <v>122</v>
      </c>
    </row>
    <row r="2898" spans="1:15">
      <c r="A2898" s="1">
        <v>46069</v>
      </c>
      <c r="B2898">
        <v>20</v>
      </c>
      <c r="C2898" t="s">
        <v>100</v>
      </c>
      <c r="D2898">
        <v>19</v>
      </c>
      <c r="E2898" s="2">
        <v>4.5</v>
      </c>
      <c r="F2898" s="2">
        <v>401.77</v>
      </c>
      <c r="G2898" s="2">
        <v>-397.03</v>
      </c>
      <c r="H2898" s="2">
        <v>-108.55</v>
      </c>
      <c r="I2898" s="2">
        <v>125.59</v>
      </c>
      <c r="J2898" s="2">
        <v>8.02</v>
      </c>
      <c r="K2898" s="2">
        <v>1.19</v>
      </c>
      <c r="L2898" s="2">
        <v>8.11</v>
      </c>
      <c r="M2898" s="2">
        <v>-0.55000000000000004</v>
      </c>
      <c r="N2898" t="s">
        <v>282</v>
      </c>
      <c r="O2898">
        <v>122</v>
      </c>
    </row>
    <row r="2899" spans="1:15">
      <c r="A2899" s="1">
        <v>46069</v>
      </c>
      <c r="B2899">
        <v>20</v>
      </c>
      <c r="C2899" t="s">
        <v>100</v>
      </c>
      <c r="D2899">
        <v>19</v>
      </c>
      <c r="E2899" s="2">
        <v>5</v>
      </c>
      <c r="F2899" s="2">
        <v>307.93</v>
      </c>
      <c r="G2899" s="2">
        <v>-302.60000000000002</v>
      </c>
      <c r="H2899" s="2">
        <v>-68.67</v>
      </c>
      <c r="I2899" s="2">
        <v>74.13</v>
      </c>
      <c r="J2899" s="2">
        <v>9.39</v>
      </c>
      <c r="K2899" s="2">
        <v>1.06</v>
      </c>
      <c r="L2899" s="2">
        <v>9.4499999999999993</v>
      </c>
      <c r="M2899" s="2">
        <v>-0.43</v>
      </c>
      <c r="N2899" t="s">
        <v>282</v>
      </c>
      <c r="O2899">
        <v>122</v>
      </c>
    </row>
    <row r="2900" spans="1:15">
      <c r="A2900" s="1">
        <v>46069</v>
      </c>
      <c r="B2900">
        <v>20</v>
      </c>
      <c r="C2900" t="s">
        <v>100</v>
      </c>
      <c r="D2900">
        <v>19</v>
      </c>
      <c r="E2900" s="2">
        <v>5.5</v>
      </c>
      <c r="F2900" s="2">
        <v>225.51</v>
      </c>
      <c r="G2900" s="2">
        <v>-218.65</v>
      </c>
      <c r="H2900" s="2">
        <v>-17.86</v>
      </c>
      <c r="I2900" s="2">
        <v>37.57</v>
      </c>
      <c r="J2900" s="2">
        <v>9.9700000000000006</v>
      </c>
      <c r="K2900" s="2">
        <v>1.03</v>
      </c>
      <c r="L2900" s="2">
        <v>10.02</v>
      </c>
      <c r="M2900" s="2">
        <v>-0.31</v>
      </c>
      <c r="N2900" t="s">
        <v>282</v>
      </c>
      <c r="O2900">
        <v>122</v>
      </c>
    </row>
    <row r="2901" spans="1:15">
      <c r="A2901" s="1">
        <v>46069</v>
      </c>
      <c r="B2901">
        <v>20</v>
      </c>
      <c r="C2901" t="s">
        <v>100</v>
      </c>
      <c r="D2901">
        <v>19</v>
      </c>
      <c r="E2901" s="2">
        <v>6</v>
      </c>
      <c r="F2901" s="2">
        <v>197.89</v>
      </c>
      <c r="G2901" s="2">
        <v>-191.87</v>
      </c>
      <c r="H2901" s="2">
        <v>-3.32</v>
      </c>
      <c r="I2901" s="2">
        <v>9.82</v>
      </c>
      <c r="J2901" s="2">
        <v>10.54</v>
      </c>
      <c r="K2901" s="2">
        <v>0.98</v>
      </c>
      <c r="L2901" s="2">
        <v>10.59</v>
      </c>
      <c r="M2901" s="2">
        <v>-0.28000000000000003</v>
      </c>
      <c r="N2901" t="s">
        <v>282</v>
      </c>
      <c r="O2901">
        <v>122</v>
      </c>
    </row>
    <row r="2902" spans="1:15">
      <c r="A2902" s="1">
        <v>46069</v>
      </c>
      <c r="B2902">
        <v>20</v>
      </c>
      <c r="C2902" t="s">
        <v>100</v>
      </c>
      <c r="D2902">
        <v>19</v>
      </c>
      <c r="E2902" s="2">
        <v>6.5</v>
      </c>
      <c r="F2902" s="2">
        <v>189.12</v>
      </c>
      <c r="G2902" s="2">
        <v>-183.76</v>
      </c>
      <c r="H2902" s="2">
        <v>69.59</v>
      </c>
      <c r="I2902" s="2">
        <v>-44.53</v>
      </c>
      <c r="J2902" s="2">
        <v>11.29</v>
      </c>
      <c r="K2902" s="2">
        <v>0.25</v>
      </c>
      <c r="L2902" s="2">
        <v>11.3</v>
      </c>
      <c r="M2902" s="2">
        <v>-0.14000000000000001</v>
      </c>
      <c r="N2902" t="s">
        <v>282</v>
      </c>
      <c r="O2902">
        <v>122</v>
      </c>
    </row>
    <row r="2903" spans="1:15">
      <c r="A2903" s="1">
        <v>46069</v>
      </c>
      <c r="B2903">
        <v>20</v>
      </c>
      <c r="C2903" t="s">
        <v>100</v>
      </c>
      <c r="D2903">
        <v>19</v>
      </c>
      <c r="E2903" s="2">
        <v>7</v>
      </c>
      <c r="F2903" s="2">
        <v>147.82</v>
      </c>
      <c r="G2903" s="2">
        <v>-139.71</v>
      </c>
      <c r="H2903" s="2">
        <v>139.57</v>
      </c>
      <c r="I2903" s="2">
        <v>-121.11</v>
      </c>
      <c r="J2903" s="2">
        <v>11.74</v>
      </c>
      <c r="K2903" s="2">
        <v>-0.13</v>
      </c>
      <c r="L2903" s="2">
        <v>11.74</v>
      </c>
      <c r="M2903" s="2">
        <v>-0.12</v>
      </c>
      <c r="N2903" t="s">
        <v>282</v>
      </c>
      <c r="O2903">
        <v>122</v>
      </c>
    </row>
    <row r="2904" spans="1:15">
      <c r="A2904" s="1">
        <v>46069</v>
      </c>
      <c r="B2904">
        <v>20</v>
      </c>
      <c r="C2904" t="s">
        <v>100</v>
      </c>
      <c r="D2904">
        <v>19</v>
      </c>
      <c r="E2904" s="2">
        <v>7.5</v>
      </c>
      <c r="F2904" s="2">
        <v>88.87</v>
      </c>
      <c r="G2904" s="2">
        <v>-83.58</v>
      </c>
      <c r="H2904" s="2">
        <v>212.31</v>
      </c>
      <c r="I2904" s="2">
        <v>-202.13</v>
      </c>
      <c r="J2904" s="2">
        <v>12.05</v>
      </c>
      <c r="K2904" s="2">
        <v>-0.24</v>
      </c>
      <c r="L2904" s="2">
        <v>12.05</v>
      </c>
      <c r="M2904" s="2">
        <v>-0.1</v>
      </c>
      <c r="N2904" t="s">
        <v>282</v>
      </c>
      <c r="O2904">
        <v>122</v>
      </c>
    </row>
    <row r="2905" spans="1:15">
      <c r="A2905" s="1">
        <v>46069</v>
      </c>
      <c r="B2905">
        <v>20</v>
      </c>
      <c r="C2905" t="s">
        <v>100</v>
      </c>
      <c r="D2905">
        <v>19</v>
      </c>
      <c r="E2905" s="2">
        <v>8</v>
      </c>
      <c r="F2905" s="2">
        <v>72.31</v>
      </c>
      <c r="G2905" s="2">
        <v>-65</v>
      </c>
      <c r="H2905" s="2">
        <v>230.14</v>
      </c>
      <c r="I2905" s="2">
        <v>-225.48</v>
      </c>
      <c r="J2905" s="2">
        <v>11.93</v>
      </c>
      <c r="K2905" s="2">
        <v>-0.08</v>
      </c>
      <c r="L2905" s="2">
        <v>11.93</v>
      </c>
      <c r="M2905" s="2">
        <v>-0.1</v>
      </c>
      <c r="N2905" t="s">
        <v>282</v>
      </c>
      <c r="O2905">
        <v>122</v>
      </c>
    </row>
    <row r="2906" spans="1:15">
      <c r="A2906" s="1">
        <v>46069</v>
      </c>
      <c r="B2906">
        <v>20</v>
      </c>
      <c r="C2906" t="s">
        <v>100</v>
      </c>
      <c r="D2906">
        <v>19</v>
      </c>
      <c r="E2906" s="2">
        <v>8.5</v>
      </c>
      <c r="F2906" s="2">
        <v>109.09</v>
      </c>
      <c r="G2906" s="2">
        <v>-101.79</v>
      </c>
      <c r="H2906" s="2">
        <v>330.21</v>
      </c>
      <c r="I2906" s="2">
        <v>-319.13</v>
      </c>
      <c r="J2906" s="2">
        <v>11.3</v>
      </c>
      <c r="K2906" s="2">
        <v>-0.37</v>
      </c>
      <c r="L2906" s="2">
        <v>11.31</v>
      </c>
      <c r="M2906" s="2">
        <v>-0.05</v>
      </c>
      <c r="N2906" t="s">
        <v>282</v>
      </c>
      <c r="O2906">
        <v>122</v>
      </c>
    </row>
    <row r="2907" spans="1:15">
      <c r="A2907" s="1">
        <v>46069</v>
      </c>
      <c r="B2907">
        <v>20</v>
      </c>
      <c r="C2907" t="s">
        <v>100</v>
      </c>
      <c r="D2907">
        <v>19</v>
      </c>
      <c r="E2907" s="2">
        <v>9</v>
      </c>
      <c r="F2907" s="2">
        <v>168.78</v>
      </c>
      <c r="G2907" s="2">
        <v>-155.82</v>
      </c>
      <c r="H2907" s="2">
        <v>390.51</v>
      </c>
      <c r="I2907" s="2">
        <v>-380.9</v>
      </c>
      <c r="J2907" s="2">
        <v>10.84</v>
      </c>
      <c r="K2907" s="2">
        <v>-7.0000000000000007E-2</v>
      </c>
      <c r="L2907" s="2">
        <v>10.84</v>
      </c>
      <c r="M2907" s="2">
        <v>-0.09</v>
      </c>
      <c r="N2907" t="s">
        <v>282</v>
      </c>
      <c r="O2907">
        <v>122</v>
      </c>
    </row>
    <row r="2908" spans="1:15">
      <c r="A2908" s="1">
        <v>46069</v>
      </c>
      <c r="B2908">
        <v>20</v>
      </c>
      <c r="C2908" t="s">
        <v>100</v>
      </c>
      <c r="D2908">
        <v>19</v>
      </c>
      <c r="E2908" s="2">
        <v>9.5</v>
      </c>
      <c r="F2908" s="2">
        <v>142.82</v>
      </c>
      <c r="G2908" s="2">
        <v>-139.94</v>
      </c>
      <c r="H2908" s="2">
        <v>450.97</v>
      </c>
      <c r="I2908" s="2">
        <v>-432.54</v>
      </c>
      <c r="J2908" s="2">
        <v>10.53</v>
      </c>
      <c r="K2908" s="2">
        <v>0.47</v>
      </c>
      <c r="L2908" s="2">
        <v>10.54</v>
      </c>
      <c r="M2908" s="2">
        <v>-0.1</v>
      </c>
      <c r="N2908" t="s">
        <v>282</v>
      </c>
      <c r="O2908">
        <v>122</v>
      </c>
    </row>
    <row r="2909" spans="1:15">
      <c r="A2909" s="1">
        <v>46069</v>
      </c>
      <c r="B2909">
        <v>20</v>
      </c>
      <c r="C2909" t="s">
        <v>100</v>
      </c>
      <c r="D2909">
        <v>19</v>
      </c>
      <c r="E2909" s="2">
        <v>10</v>
      </c>
      <c r="F2909" s="2">
        <v>139.24</v>
      </c>
      <c r="G2909" s="2">
        <v>-129.99</v>
      </c>
      <c r="H2909" s="2">
        <v>463.57</v>
      </c>
      <c r="I2909" s="2">
        <v>-443.99</v>
      </c>
      <c r="J2909" s="2">
        <v>10.02</v>
      </c>
      <c r="K2909" s="2">
        <v>1.1399999999999999</v>
      </c>
      <c r="L2909" s="2">
        <v>10.08</v>
      </c>
      <c r="M2909" s="2">
        <v>-0.13</v>
      </c>
      <c r="N2909" t="s">
        <v>282</v>
      </c>
      <c r="O2909">
        <v>122</v>
      </c>
    </row>
    <row r="2910" spans="1:15">
      <c r="A2910" s="1">
        <v>46069</v>
      </c>
      <c r="B2910">
        <v>20</v>
      </c>
      <c r="C2910" t="s">
        <v>100</v>
      </c>
      <c r="D2910">
        <v>19</v>
      </c>
      <c r="E2910" s="2">
        <v>10.5</v>
      </c>
      <c r="F2910" s="2">
        <v>316.72000000000003</v>
      </c>
      <c r="G2910" s="2">
        <v>-312.11</v>
      </c>
      <c r="H2910" s="2">
        <v>466.42</v>
      </c>
      <c r="I2910" s="2">
        <v>-433.33</v>
      </c>
      <c r="J2910" s="2">
        <v>9.83</v>
      </c>
      <c r="K2910" s="2">
        <v>1.44</v>
      </c>
      <c r="L2910" s="2">
        <v>9.94</v>
      </c>
      <c r="M2910" s="2">
        <v>-0.08</v>
      </c>
      <c r="N2910" t="s">
        <v>282</v>
      </c>
      <c r="O2910">
        <v>122</v>
      </c>
    </row>
    <row r="2911" spans="1:15">
      <c r="A2911" s="1">
        <v>46069</v>
      </c>
      <c r="B2911">
        <v>20</v>
      </c>
      <c r="C2911" t="s">
        <v>100</v>
      </c>
      <c r="D2911">
        <v>19</v>
      </c>
      <c r="E2911" s="2">
        <v>11</v>
      </c>
      <c r="F2911" s="2">
        <v>326.19</v>
      </c>
      <c r="G2911" s="2">
        <v>-318.42</v>
      </c>
      <c r="H2911" s="2">
        <v>466.13</v>
      </c>
      <c r="I2911" s="2">
        <v>-447.46</v>
      </c>
      <c r="J2911" s="2">
        <v>9.5299999999999994</v>
      </c>
      <c r="K2911" s="2">
        <v>1.1599999999999999</v>
      </c>
      <c r="L2911" s="2">
        <v>9.6</v>
      </c>
      <c r="M2911" s="2">
        <v>-0.06</v>
      </c>
      <c r="N2911" t="s">
        <v>282</v>
      </c>
      <c r="O2911">
        <v>122</v>
      </c>
    </row>
    <row r="2912" spans="1:15">
      <c r="A2912" s="1">
        <v>46069</v>
      </c>
      <c r="B2912">
        <v>20</v>
      </c>
      <c r="C2912" t="s">
        <v>100</v>
      </c>
      <c r="D2912">
        <v>19</v>
      </c>
      <c r="E2912" s="2">
        <v>11.5</v>
      </c>
      <c r="F2912" s="2">
        <v>298.75</v>
      </c>
      <c r="G2912" s="2">
        <v>-288.54000000000002</v>
      </c>
      <c r="H2912" s="2">
        <v>375.77</v>
      </c>
      <c r="I2912" s="2">
        <v>-356.26</v>
      </c>
      <c r="J2912" s="2">
        <v>9.0399999999999991</v>
      </c>
      <c r="K2912" s="2">
        <v>1.27</v>
      </c>
      <c r="L2912" s="2">
        <v>9.1300000000000008</v>
      </c>
      <c r="M2912" s="2">
        <v>7.0000000000000007E-2</v>
      </c>
      <c r="N2912" t="s">
        <v>282</v>
      </c>
      <c r="O2912">
        <v>122</v>
      </c>
    </row>
    <row r="2913" spans="1:15">
      <c r="A2913" s="1">
        <v>46069</v>
      </c>
      <c r="B2913">
        <v>20</v>
      </c>
      <c r="C2913" t="s">
        <v>100</v>
      </c>
      <c r="D2913">
        <v>19</v>
      </c>
      <c r="E2913" s="2">
        <v>12</v>
      </c>
      <c r="F2913" s="2">
        <v>283.82</v>
      </c>
      <c r="G2913" s="2">
        <v>-274.31</v>
      </c>
      <c r="H2913" s="2">
        <v>287.19</v>
      </c>
      <c r="I2913" s="2">
        <v>-264.05</v>
      </c>
      <c r="J2913" s="2">
        <v>8.5299999999999994</v>
      </c>
      <c r="K2913" s="2">
        <v>1.21</v>
      </c>
      <c r="L2913" s="2">
        <v>8.6199999999999992</v>
      </c>
      <c r="M2913" s="2">
        <v>0.18</v>
      </c>
      <c r="N2913" t="s">
        <v>282</v>
      </c>
      <c r="O2913">
        <v>122</v>
      </c>
    </row>
    <row r="2914" spans="1:15">
      <c r="A2914" s="1">
        <v>46069</v>
      </c>
      <c r="B2914">
        <v>20</v>
      </c>
      <c r="C2914" t="s">
        <v>100</v>
      </c>
      <c r="D2914">
        <v>19</v>
      </c>
      <c r="E2914" s="2">
        <v>12.5</v>
      </c>
      <c r="F2914" s="2">
        <v>241.88</v>
      </c>
      <c r="G2914" s="2">
        <v>-234.61</v>
      </c>
      <c r="H2914" s="2">
        <v>178.73</v>
      </c>
      <c r="I2914" s="2">
        <v>-169.23</v>
      </c>
      <c r="J2914" s="2">
        <v>8.23</v>
      </c>
      <c r="K2914" s="2">
        <v>1.02</v>
      </c>
      <c r="L2914" s="2">
        <v>8.2899999999999991</v>
      </c>
      <c r="M2914" s="2">
        <v>0.35</v>
      </c>
      <c r="N2914" t="s">
        <v>282</v>
      </c>
      <c r="O2914">
        <v>122</v>
      </c>
    </row>
    <row r="2915" spans="1:15">
      <c r="A2915" s="1">
        <v>46069</v>
      </c>
      <c r="B2915">
        <v>20</v>
      </c>
      <c r="C2915" t="s">
        <v>100</v>
      </c>
      <c r="D2915">
        <v>19</v>
      </c>
      <c r="E2915" s="2">
        <v>13</v>
      </c>
      <c r="F2915" s="2">
        <v>204.53</v>
      </c>
      <c r="G2915" s="2">
        <v>-195.87</v>
      </c>
      <c r="H2915" s="2">
        <v>134.71</v>
      </c>
      <c r="I2915" s="2">
        <v>-114.42</v>
      </c>
      <c r="J2915" s="2">
        <v>8.0500000000000007</v>
      </c>
      <c r="K2915" s="2">
        <v>0.59</v>
      </c>
      <c r="L2915" s="2">
        <v>8.07</v>
      </c>
      <c r="M2915" s="2">
        <v>0.44</v>
      </c>
      <c r="N2915" t="s">
        <v>282</v>
      </c>
      <c r="O2915">
        <v>122</v>
      </c>
    </row>
    <row r="2916" spans="1:15">
      <c r="A2916" s="1">
        <v>46069</v>
      </c>
      <c r="B2916">
        <v>20</v>
      </c>
      <c r="C2916" t="s">
        <v>100</v>
      </c>
      <c r="D2916">
        <v>19</v>
      </c>
      <c r="E2916" s="2">
        <v>13.5</v>
      </c>
      <c r="F2916" s="2">
        <v>164.78</v>
      </c>
      <c r="G2916" s="2">
        <v>-158.02000000000001</v>
      </c>
      <c r="H2916" s="2">
        <v>139.97</v>
      </c>
      <c r="I2916" s="2">
        <v>-131.91</v>
      </c>
      <c r="J2916" s="2">
        <v>7.64</v>
      </c>
      <c r="K2916" s="2">
        <v>0.54</v>
      </c>
      <c r="L2916" s="2">
        <v>7.66</v>
      </c>
      <c r="M2916" s="2">
        <v>0.54</v>
      </c>
      <c r="N2916" t="s">
        <v>282</v>
      </c>
      <c r="O2916">
        <v>122</v>
      </c>
    </row>
    <row r="2917" spans="1:15">
      <c r="A2917" s="1">
        <v>46069</v>
      </c>
      <c r="B2917">
        <v>20</v>
      </c>
      <c r="C2917" t="s">
        <v>100</v>
      </c>
      <c r="D2917">
        <v>19</v>
      </c>
      <c r="E2917" s="2">
        <v>14</v>
      </c>
      <c r="F2917" s="2">
        <v>125.25</v>
      </c>
      <c r="G2917" s="2">
        <v>-117.17</v>
      </c>
      <c r="H2917" s="2">
        <v>157.13999999999999</v>
      </c>
      <c r="I2917" s="2">
        <v>-150.05000000000001</v>
      </c>
      <c r="J2917" s="2">
        <v>6.93</v>
      </c>
      <c r="K2917" s="2">
        <v>0.73</v>
      </c>
      <c r="L2917" s="2">
        <v>6.97</v>
      </c>
      <c r="M2917" s="2">
        <v>0.59</v>
      </c>
      <c r="N2917" t="s">
        <v>282</v>
      </c>
      <c r="O2917">
        <v>122</v>
      </c>
    </row>
    <row r="2918" spans="1:15">
      <c r="A2918" s="1">
        <v>46069</v>
      </c>
      <c r="B2918">
        <v>20</v>
      </c>
      <c r="C2918" t="s">
        <v>100</v>
      </c>
      <c r="D2918">
        <v>19</v>
      </c>
      <c r="E2918" s="2">
        <v>14.5</v>
      </c>
      <c r="F2918" s="2">
        <v>119.63</v>
      </c>
      <c r="G2918" s="2">
        <v>-110.5</v>
      </c>
      <c r="H2918" s="2">
        <v>175.55</v>
      </c>
      <c r="I2918" s="2">
        <v>-165.46</v>
      </c>
      <c r="J2918" s="2">
        <v>6.36</v>
      </c>
      <c r="K2918" s="2">
        <v>0.13</v>
      </c>
      <c r="L2918" s="2">
        <v>6.36</v>
      </c>
      <c r="M2918" s="2">
        <v>0.68</v>
      </c>
      <c r="N2918" t="s">
        <v>282</v>
      </c>
      <c r="O2918">
        <v>122</v>
      </c>
    </row>
    <row r="2919" spans="1:15">
      <c r="A2919" s="1">
        <v>46069</v>
      </c>
      <c r="B2919">
        <v>20</v>
      </c>
      <c r="C2919" t="s">
        <v>100</v>
      </c>
      <c r="D2919">
        <v>19</v>
      </c>
      <c r="E2919" s="2">
        <v>15</v>
      </c>
      <c r="F2919" s="2">
        <v>125.49</v>
      </c>
      <c r="G2919" s="2">
        <v>-119.37</v>
      </c>
      <c r="H2919" s="2">
        <v>250.22</v>
      </c>
      <c r="I2919" s="2">
        <v>-250.24</v>
      </c>
      <c r="J2919" s="2">
        <v>5.72</v>
      </c>
      <c r="K2919" s="2">
        <v>-0.33</v>
      </c>
      <c r="L2919" s="2">
        <v>5.73</v>
      </c>
      <c r="M2919" s="2">
        <v>0.73</v>
      </c>
      <c r="N2919" t="s">
        <v>282</v>
      </c>
      <c r="O2919">
        <v>122</v>
      </c>
    </row>
    <row r="2920" spans="1:15">
      <c r="A2920" s="1">
        <v>46069</v>
      </c>
      <c r="B2920">
        <v>20</v>
      </c>
      <c r="C2920" t="s">
        <v>100</v>
      </c>
      <c r="D2920">
        <v>19</v>
      </c>
      <c r="E2920" s="2">
        <v>15.5</v>
      </c>
      <c r="F2920" s="2">
        <v>48.43</v>
      </c>
      <c r="G2920" s="2">
        <v>-48.12</v>
      </c>
      <c r="H2920" s="2">
        <v>339.98</v>
      </c>
      <c r="I2920" s="2">
        <v>-332.28</v>
      </c>
      <c r="J2920" s="2">
        <v>5.15</v>
      </c>
      <c r="K2920" s="2">
        <v>-0.6</v>
      </c>
      <c r="L2920" s="2">
        <v>5.19</v>
      </c>
      <c r="M2920" s="2">
        <v>0.77</v>
      </c>
      <c r="N2920" t="s">
        <v>282</v>
      </c>
      <c r="O2920">
        <v>122</v>
      </c>
    </row>
    <row r="2921" spans="1:15">
      <c r="A2921" s="1">
        <v>46069</v>
      </c>
      <c r="B2921">
        <v>20</v>
      </c>
      <c r="C2921" t="s">
        <v>100</v>
      </c>
      <c r="D2921">
        <v>19</v>
      </c>
      <c r="E2921" s="2">
        <v>16</v>
      </c>
      <c r="F2921" s="2">
        <v>191.22</v>
      </c>
      <c r="G2921" s="2">
        <v>-177.56</v>
      </c>
      <c r="H2921" s="2">
        <v>188.58</v>
      </c>
      <c r="I2921" s="2">
        <v>-175.72</v>
      </c>
      <c r="J2921" s="2">
        <v>4.88</v>
      </c>
      <c r="K2921" s="2">
        <v>-0.73</v>
      </c>
      <c r="L2921" s="2">
        <v>4.93</v>
      </c>
      <c r="M2921" s="2">
        <v>0.8</v>
      </c>
      <c r="N2921" t="s">
        <v>282</v>
      </c>
      <c r="O2921">
        <v>122</v>
      </c>
    </row>
    <row r="2922" spans="1:15">
      <c r="A2922" s="1">
        <v>46069</v>
      </c>
      <c r="B2922">
        <v>20</v>
      </c>
      <c r="C2922" t="s">
        <v>100</v>
      </c>
      <c r="D2922">
        <v>19</v>
      </c>
      <c r="E2922" s="2">
        <v>16.5</v>
      </c>
      <c r="F2922" s="2">
        <v>312.38</v>
      </c>
      <c r="G2922" s="2">
        <v>-309.89999999999998</v>
      </c>
      <c r="H2922" s="2">
        <v>201.87</v>
      </c>
      <c r="I2922" s="2">
        <v>-189.52</v>
      </c>
      <c r="J2922" s="2">
        <v>4.66</v>
      </c>
      <c r="K2922" s="2">
        <v>-0.95</v>
      </c>
      <c r="L2922" s="2">
        <v>4.75</v>
      </c>
      <c r="M2922" s="2">
        <v>0.78</v>
      </c>
      <c r="N2922" t="s">
        <v>282</v>
      </c>
      <c r="O2922">
        <v>122</v>
      </c>
    </row>
    <row r="2923" spans="1:15">
      <c r="A2923" s="1">
        <v>46069</v>
      </c>
      <c r="B2923">
        <v>20</v>
      </c>
      <c r="C2923" t="s">
        <v>100</v>
      </c>
      <c r="D2923">
        <v>19</v>
      </c>
      <c r="E2923" s="2">
        <v>17</v>
      </c>
      <c r="F2923" s="2">
        <v>372.17</v>
      </c>
      <c r="G2923" s="2">
        <v>-364.85</v>
      </c>
      <c r="H2923" s="2">
        <v>251.83</v>
      </c>
      <c r="I2923" s="2">
        <v>-248.23</v>
      </c>
      <c r="J2923" s="2">
        <v>4.4000000000000004</v>
      </c>
      <c r="K2923" s="2">
        <v>-0.86</v>
      </c>
      <c r="L2923" s="2">
        <v>4.4800000000000004</v>
      </c>
      <c r="M2923" s="2">
        <v>0.77</v>
      </c>
      <c r="N2923" t="s">
        <v>282</v>
      </c>
      <c r="O2923">
        <v>122</v>
      </c>
    </row>
    <row r="2924" spans="1:15">
      <c r="A2924" s="1">
        <v>46069</v>
      </c>
      <c r="B2924">
        <v>20</v>
      </c>
      <c r="C2924" t="s">
        <v>100</v>
      </c>
      <c r="D2924">
        <v>19</v>
      </c>
      <c r="E2924" s="2">
        <v>17.5</v>
      </c>
      <c r="F2924" s="2">
        <v>367.64</v>
      </c>
      <c r="G2924" s="2">
        <v>-364.19</v>
      </c>
      <c r="H2924" s="2">
        <v>167.59</v>
      </c>
      <c r="I2924" s="2">
        <v>-159</v>
      </c>
      <c r="J2924" s="2">
        <v>4.08</v>
      </c>
      <c r="K2924" s="2">
        <v>-0.55000000000000004</v>
      </c>
      <c r="L2924" s="2">
        <v>4.12</v>
      </c>
      <c r="M2924" s="2">
        <v>0.74</v>
      </c>
      <c r="N2924" t="s">
        <v>282</v>
      </c>
      <c r="O2924">
        <v>122</v>
      </c>
    </row>
    <row r="2925" spans="1:15">
      <c r="A2925" s="1">
        <v>46069</v>
      </c>
      <c r="B2925">
        <v>20</v>
      </c>
      <c r="C2925" t="s">
        <v>100</v>
      </c>
      <c r="D2925">
        <v>19</v>
      </c>
      <c r="E2925" s="2">
        <v>18</v>
      </c>
      <c r="F2925" s="2">
        <v>338.23</v>
      </c>
      <c r="G2925" s="2">
        <v>-332.16</v>
      </c>
      <c r="H2925" s="2">
        <v>97.32</v>
      </c>
      <c r="I2925" s="2">
        <v>-88.61</v>
      </c>
      <c r="J2925" s="2">
        <v>3.77</v>
      </c>
      <c r="K2925" s="2">
        <v>-0.11</v>
      </c>
      <c r="L2925" s="2">
        <v>3.77</v>
      </c>
      <c r="M2925" s="2">
        <v>0.69</v>
      </c>
      <c r="N2925" t="s">
        <v>282</v>
      </c>
      <c r="O2925">
        <v>122</v>
      </c>
    </row>
    <row r="2926" spans="1:15">
      <c r="A2926" s="1">
        <v>46069</v>
      </c>
      <c r="B2926">
        <v>20</v>
      </c>
      <c r="C2926" t="s">
        <v>100</v>
      </c>
      <c r="D2926">
        <v>19</v>
      </c>
      <c r="E2926" s="2">
        <v>18.5</v>
      </c>
      <c r="F2926" s="2">
        <v>302.27999999999997</v>
      </c>
      <c r="G2926" s="2">
        <v>-297.54000000000002</v>
      </c>
      <c r="H2926" s="2">
        <v>64.42</v>
      </c>
      <c r="I2926" s="2">
        <v>-59.18</v>
      </c>
      <c r="J2926" s="2">
        <v>3.52</v>
      </c>
      <c r="K2926" s="2">
        <v>-0.17</v>
      </c>
      <c r="L2926" s="2">
        <v>3.52</v>
      </c>
      <c r="M2926" s="2">
        <v>0.69</v>
      </c>
      <c r="N2926" t="s">
        <v>282</v>
      </c>
      <c r="O2926">
        <v>122</v>
      </c>
    </row>
    <row r="2927" spans="1:15">
      <c r="A2927" s="1">
        <v>46069</v>
      </c>
      <c r="B2927">
        <v>20</v>
      </c>
      <c r="C2927" t="s">
        <v>100</v>
      </c>
      <c r="D2927">
        <v>19</v>
      </c>
      <c r="E2927" s="2">
        <v>19</v>
      </c>
      <c r="F2927" s="2">
        <v>289.75</v>
      </c>
      <c r="G2927" s="2">
        <v>-286.92</v>
      </c>
      <c r="H2927" s="2">
        <v>55.36</v>
      </c>
      <c r="I2927" s="2">
        <v>-50.94</v>
      </c>
      <c r="J2927" s="2">
        <v>3.04</v>
      </c>
      <c r="K2927" s="2">
        <v>-0.28999999999999998</v>
      </c>
      <c r="L2927" s="2">
        <v>3.05</v>
      </c>
      <c r="M2927" s="2">
        <v>0.64</v>
      </c>
      <c r="N2927" t="s">
        <v>282</v>
      </c>
      <c r="O2927">
        <v>122</v>
      </c>
    </row>
    <row r="2928" spans="1:15">
      <c r="A2928" s="1">
        <v>46069</v>
      </c>
      <c r="B2928">
        <v>20</v>
      </c>
      <c r="C2928" t="s">
        <v>100</v>
      </c>
      <c r="D2928">
        <v>19</v>
      </c>
      <c r="E2928" s="2">
        <v>19.5</v>
      </c>
      <c r="F2928" s="2">
        <v>191.95</v>
      </c>
      <c r="G2928" s="2">
        <v>-188.46</v>
      </c>
      <c r="H2928" s="2">
        <v>99.63</v>
      </c>
      <c r="I2928" s="2">
        <v>-78.61</v>
      </c>
      <c r="J2928" s="2">
        <v>2.66</v>
      </c>
      <c r="K2928" s="2">
        <v>-0.32</v>
      </c>
      <c r="L2928" s="2">
        <v>2.68</v>
      </c>
      <c r="M2928" s="2">
        <v>0.57999999999999996</v>
      </c>
      <c r="N2928" t="s">
        <v>282</v>
      </c>
      <c r="O2928">
        <v>122</v>
      </c>
    </row>
    <row r="2929" spans="1:15">
      <c r="A2929" s="1">
        <v>46069</v>
      </c>
      <c r="B2929">
        <v>20</v>
      </c>
      <c r="C2929" t="s">
        <v>100</v>
      </c>
      <c r="D2929">
        <v>19</v>
      </c>
      <c r="E2929" s="2">
        <v>20</v>
      </c>
      <c r="F2929" s="2">
        <v>127.24</v>
      </c>
      <c r="G2929" s="2">
        <v>-124.37</v>
      </c>
      <c r="H2929" s="2">
        <v>140.21</v>
      </c>
      <c r="I2929" s="2">
        <v>-146.26</v>
      </c>
      <c r="J2929" s="2">
        <v>2.09</v>
      </c>
      <c r="K2929" s="2">
        <v>-0.14000000000000001</v>
      </c>
      <c r="L2929" s="2">
        <v>2.09</v>
      </c>
      <c r="M2929" s="2">
        <v>0.53</v>
      </c>
      <c r="N2929" t="s">
        <v>282</v>
      </c>
      <c r="O2929">
        <v>122</v>
      </c>
    </row>
    <row r="2930" spans="1:15">
      <c r="A2930" s="1">
        <v>46069</v>
      </c>
      <c r="B2930">
        <v>20</v>
      </c>
      <c r="C2930" t="s">
        <v>100</v>
      </c>
      <c r="D2930">
        <v>19</v>
      </c>
      <c r="E2930" s="2">
        <v>20.5</v>
      </c>
      <c r="F2930" s="2">
        <v>127.23</v>
      </c>
      <c r="G2930" s="2">
        <v>-125.72</v>
      </c>
      <c r="H2930" s="2">
        <v>143.05000000000001</v>
      </c>
      <c r="I2930" s="2">
        <v>-157.81</v>
      </c>
      <c r="J2930" s="2">
        <v>1.65</v>
      </c>
      <c r="K2930" s="2">
        <v>0.01</v>
      </c>
      <c r="L2930" s="2">
        <v>1.65</v>
      </c>
      <c r="M2930" s="2">
        <v>0.46</v>
      </c>
      <c r="N2930" t="s">
        <v>282</v>
      </c>
      <c r="O2930">
        <v>122</v>
      </c>
    </row>
    <row r="2931" spans="1:15">
      <c r="A2931" s="1">
        <v>46069</v>
      </c>
      <c r="B2931">
        <v>20</v>
      </c>
      <c r="C2931" t="s">
        <v>100</v>
      </c>
      <c r="D2931">
        <v>19</v>
      </c>
      <c r="E2931" s="2">
        <v>21</v>
      </c>
      <c r="F2931" s="2">
        <v>143.22999999999999</v>
      </c>
      <c r="G2931" s="2">
        <v>-141.54</v>
      </c>
      <c r="H2931" s="2">
        <v>159.93</v>
      </c>
      <c r="I2931" s="2">
        <v>-173.87</v>
      </c>
      <c r="J2931" s="2">
        <v>0.99</v>
      </c>
      <c r="K2931" s="2">
        <v>0.21</v>
      </c>
      <c r="L2931" s="2">
        <v>1.01</v>
      </c>
      <c r="M2931" s="2">
        <v>0.3</v>
      </c>
      <c r="N2931" t="s">
        <v>282</v>
      </c>
      <c r="O2931">
        <v>122</v>
      </c>
    </row>
    <row r="2932" spans="1:15">
      <c r="A2932" s="1">
        <v>46069</v>
      </c>
      <c r="B2932">
        <v>20</v>
      </c>
      <c r="C2932" t="s">
        <v>100</v>
      </c>
      <c r="D2932">
        <v>19</v>
      </c>
      <c r="E2932" s="2">
        <v>21.5</v>
      </c>
      <c r="F2932" s="2">
        <v>168.88</v>
      </c>
      <c r="G2932" s="2">
        <v>-167.35</v>
      </c>
      <c r="H2932" s="2">
        <v>175.99</v>
      </c>
      <c r="I2932" s="2">
        <v>-162.22999999999999</v>
      </c>
      <c r="J2932" s="2">
        <v>0.48</v>
      </c>
      <c r="K2932" s="2">
        <v>0.3</v>
      </c>
      <c r="L2932" s="2">
        <v>0.56999999999999995</v>
      </c>
      <c r="M2932" s="2">
        <v>0.01</v>
      </c>
      <c r="N2932" t="s">
        <v>282</v>
      </c>
      <c r="O2932">
        <v>122</v>
      </c>
    </row>
    <row r="2933" spans="1:15">
      <c r="A2933" s="1">
        <v>46069</v>
      </c>
      <c r="B2933">
        <v>20</v>
      </c>
      <c r="C2933" t="s">
        <v>100</v>
      </c>
      <c r="D2933">
        <v>19</v>
      </c>
      <c r="E2933" s="2">
        <v>22</v>
      </c>
      <c r="F2933" s="2">
        <v>180.78</v>
      </c>
      <c r="G2933" s="2">
        <v>-178.35</v>
      </c>
      <c r="H2933" s="2">
        <v>184.5</v>
      </c>
      <c r="I2933" s="2">
        <v>-169.79</v>
      </c>
      <c r="J2933" s="2">
        <v>0.21</v>
      </c>
      <c r="K2933" s="2">
        <v>0.33</v>
      </c>
      <c r="L2933" s="2">
        <v>0.39</v>
      </c>
      <c r="M2933" s="2">
        <v>-0.02</v>
      </c>
      <c r="N2933" t="s">
        <v>282</v>
      </c>
      <c r="O2933">
        <v>122</v>
      </c>
    </row>
  </sheetData>
  <conditionalFormatting sqref="L2:L712">
    <cfRule type="dataBar" priority="1">
      <dataBar>
        <cfvo type="min"/>
        <cfvo type="max"/>
        <color rgb="FF4472C4"/>
      </dataBar>
    </cfRule>
    <cfRule type="dataBar" priority="9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{5FE2B89B-589E-BE46-230D-44D2FF134CBD}</x14:id>
        </ext>
      </extLst>
    </cfRule>
  </conditionalFormatting>
  <conditionalFormatting sqref="L2:L1423">
    <cfRule type="dataBar" priority="4">
      <dataBar>
        <cfvo type="min"/>
        <cfvo type="max"/>
        <color rgb="FF4472C4"/>
      </dataBar>
    </cfRule>
    <cfRule type="dataBar" priority="10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{6C2C5BC0-A446-5BFD-C6B8-605C5E09719B}</x14:id>
        </ext>
      </extLst>
    </cfRule>
  </conditionalFormatting>
  <conditionalFormatting sqref="L2:L2178">
    <cfRule type="dataBar" priority="7">
      <dataBar>
        <cfvo type="min"/>
        <cfvo type="max"/>
        <color rgb="FF4472C4"/>
      </dataBar>
    </cfRule>
    <cfRule type="dataBar" priority="1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{D5235A9C-62E8-B6F0-D28A-A4AE211F1CD7}</x14:id>
        </ext>
      </extLst>
    </cfRule>
  </conditionalFormatting>
  <conditionalFormatting sqref="L2179:L2933">
    <cfRule type="dataBar" priority="8">
      <dataBar>
        <cfvo type="min"/>
        <cfvo type="max"/>
        <color rgb="FF4472C4"/>
      </dataBar>
    </cfRule>
    <cfRule type="dataBar" priority="1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{B33475BD-FE6E-C1A0-F21C-1F543EE36369}</x14:id>
        </ext>
      </extLst>
    </cfRule>
  </conditionalFormatting>
  <conditionalFormatting sqref="P2:P712">
    <cfRule type="expression" dxfId="20" priority="2">
      <formula>$P2="Válida"</formula>
    </cfRule>
    <cfRule type="expression" dxfId="19" priority="3">
      <formula>LEFT($P2,7)="Excluir"</formula>
    </cfRule>
  </conditionalFormatting>
  <conditionalFormatting sqref="P2:P1423">
    <cfRule type="expression" dxfId="18" priority="5">
      <formula>$P2="Válida"</formula>
    </cfRule>
    <cfRule type="expression" dxfId="17" priority="6">
      <formula>LEFT($P2,7)="Excluir"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E2B89B-589E-BE46-230D-44D2FF134CBD}">
            <x14:dataBar>
              <x14:cfvo type="min"/>
              <x14:cfvo type="max"/>
              <x14:negativeFillColor auto="1"/>
              <x14:axisColor auto="1"/>
            </x14:dataBar>
          </x14:cfRule>
          <xm:sqref>L2:L712</xm:sqref>
        </x14:conditionalFormatting>
        <x14:conditionalFormatting xmlns:xm="http://schemas.microsoft.com/office/excel/2006/main">
          <x14:cfRule type="dataBar" id="{6C2C5BC0-A446-5BFD-C6B8-605C5E09719B}">
            <x14:dataBar>
              <x14:cfvo type="min"/>
              <x14:cfvo type="max"/>
              <x14:negativeFillColor auto="1"/>
              <x14:axisColor auto="1"/>
            </x14:dataBar>
          </x14:cfRule>
          <xm:sqref>L2:L1423</xm:sqref>
        </x14:conditionalFormatting>
        <x14:conditionalFormatting xmlns:xm="http://schemas.microsoft.com/office/excel/2006/main">
          <x14:cfRule type="dataBar" id="{D5235A9C-62E8-B6F0-D28A-A4AE211F1CD7}">
            <x14:dataBar>
              <x14:cfvo type="min"/>
              <x14:cfvo type="max"/>
              <x14:negativeFillColor auto="1"/>
              <x14:axisColor auto="1"/>
            </x14:dataBar>
          </x14:cfRule>
          <xm:sqref>L2:L2178</xm:sqref>
        </x14:conditionalFormatting>
        <x14:conditionalFormatting xmlns:xm="http://schemas.microsoft.com/office/excel/2006/main">
          <x14:cfRule type="dataBar" id="{B33475BD-FE6E-C1A0-F21C-1F543EE36369}">
            <x14:dataBar>
              <x14:cfvo type="min"/>
              <x14:cfvo type="max"/>
              <x14:negativeFillColor auto="1"/>
              <x14:axisColor auto="1"/>
            </x14:dataBar>
          </x14:cfRule>
          <xm:sqref>L2179:L2933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/>
  </sheetViews>
  <sheetFormatPr defaultRowHeight="13.8"/>
  <cols>
    <col min="1" max="1" width="14" customWidth="1"/>
    <col min="2" max="2" width="10" customWidth="1"/>
    <col min="3" max="3" width="14" customWidth="1"/>
    <col min="4" max="4" width="18" customWidth="1"/>
    <col min="5" max="5" width="30" customWidth="1"/>
    <col min="6" max="6" width="27" customWidth="1"/>
    <col min="7" max="8" width="24" customWidth="1"/>
    <col min="9" max="9" width="30" customWidth="1"/>
    <col min="10" max="10" width="17" customWidth="1"/>
    <col min="11" max="11" width="68" customWidth="1"/>
    <col min="12" max="12" width="9" customWidth="1"/>
  </cols>
  <sheetData>
    <row r="1" spans="1:12" ht="25.65" customHeight="1">
      <c r="A1" s="5" t="s">
        <v>1</v>
      </c>
      <c r="B1" s="5" t="s">
        <v>189</v>
      </c>
      <c r="C1" s="5" t="s">
        <v>101</v>
      </c>
      <c r="D1" s="5" t="s">
        <v>324</v>
      </c>
      <c r="E1" s="5" t="s">
        <v>325</v>
      </c>
      <c r="F1" s="5" t="s">
        <v>326</v>
      </c>
      <c r="G1" s="5" t="s">
        <v>327</v>
      </c>
      <c r="H1" s="5" t="s">
        <v>328</v>
      </c>
      <c r="I1" s="5" t="s">
        <v>329</v>
      </c>
      <c r="J1" s="5" t="s">
        <v>330</v>
      </c>
      <c r="K1" s="5" t="s">
        <v>66</v>
      </c>
      <c r="L1" s="5" t="s">
        <v>67</v>
      </c>
    </row>
    <row r="2" spans="1:12">
      <c r="A2" s="1">
        <v>45936</v>
      </c>
      <c r="B2">
        <v>1</v>
      </c>
      <c r="C2" t="s">
        <v>102</v>
      </c>
      <c r="D2" s="2">
        <v>21</v>
      </c>
      <c r="E2" s="2">
        <v>-5.28</v>
      </c>
      <c r="F2" s="2">
        <f t="shared" ref="F2:F21" si="0">-E2</f>
        <v>5.28</v>
      </c>
      <c r="G2" s="2">
        <v>15.72</v>
      </c>
      <c r="H2" s="2">
        <f t="shared" ref="H2:H21" si="1">D2+E2</f>
        <v>15.719999999999999</v>
      </c>
      <c r="I2" s="2">
        <f t="shared" ref="I2:I21" si="2">G2-H2</f>
        <v>0</v>
      </c>
      <c r="J2" s="2">
        <v>22.5</v>
      </c>
      <c r="K2" t="s">
        <v>106</v>
      </c>
      <c r="L2">
        <v>4</v>
      </c>
    </row>
    <row r="3" spans="1:12">
      <c r="A3" s="1">
        <v>45944</v>
      </c>
      <c r="B3">
        <v>2</v>
      </c>
      <c r="C3" t="s">
        <v>102</v>
      </c>
      <c r="D3" s="2">
        <v>21</v>
      </c>
      <c r="E3" s="2">
        <v>-5.78</v>
      </c>
      <c r="F3" s="2">
        <f t="shared" si="0"/>
        <v>5.78</v>
      </c>
      <c r="G3" s="2">
        <v>15.22</v>
      </c>
      <c r="H3" s="2">
        <f t="shared" si="1"/>
        <v>15.219999999999999</v>
      </c>
      <c r="I3" s="2">
        <f t="shared" si="2"/>
        <v>0</v>
      </c>
      <c r="J3" s="2">
        <v>22.5</v>
      </c>
      <c r="K3" t="s">
        <v>106</v>
      </c>
      <c r="L3">
        <v>4</v>
      </c>
    </row>
    <row r="4" spans="1:12">
      <c r="A4" s="1">
        <v>45950</v>
      </c>
      <c r="B4">
        <v>3</v>
      </c>
      <c r="C4" t="s">
        <v>102</v>
      </c>
      <c r="D4" s="2">
        <v>21</v>
      </c>
      <c r="E4" s="2">
        <v>-6.1</v>
      </c>
      <c r="F4" s="2">
        <f t="shared" si="0"/>
        <v>6.1</v>
      </c>
      <c r="G4" s="2">
        <v>14.9</v>
      </c>
      <c r="H4" s="2">
        <f t="shared" si="1"/>
        <v>14.9</v>
      </c>
      <c r="I4" s="2">
        <f t="shared" si="2"/>
        <v>0</v>
      </c>
      <c r="J4" s="2">
        <v>22.5</v>
      </c>
      <c r="K4" t="s">
        <v>106</v>
      </c>
      <c r="L4">
        <v>4</v>
      </c>
    </row>
    <row r="5" spans="1:12">
      <c r="A5" s="1">
        <v>45959</v>
      </c>
      <c r="B5">
        <v>4</v>
      </c>
      <c r="C5" t="s">
        <v>102</v>
      </c>
      <c r="D5" s="2">
        <v>21</v>
      </c>
      <c r="E5" s="2">
        <v>-6.61</v>
      </c>
      <c r="F5" s="2">
        <f t="shared" si="0"/>
        <v>6.61</v>
      </c>
      <c r="G5" s="2">
        <v>14.39</v>
      </c>
      <c r="H5" s="2">
        <f t="shared" si="1"/>
        <v>14.39</v>
      </c>
      <c r="I5" s="2">
        <f t="shared" si="2"/>
        <v>0</v>
      </c>
      <c r="J5" s="2">
        <v>22.5</v>
      </c>
      <c r="K5" t="s">
        <v>106</v>
      </c>
      <c r="L5">
        <v>4</v>
      </c>
    </row>
    <row r="6" spans="1:12">
      <c r="A6" s="1">
        <v>45964</v>
      </c>
      <c r="B6">
        <v>5</v>
      </c>
      <c r="C6" t="s">
        <v>102</v>
      </c>
      <c r="D6" s="2">
        <v>21</v>
      </c>
      <c r="E6" s="2">
        <v>-6.71</v>
      </c>
      <c r="F6" s="2">
        <f t="shared" si="0"/>
        <v>6.71</v>
      </c>
      <c r="G6" s="2">
        <v>14.29</v>
      </c>
      <c r="H6" s="2">
        <f t="shared" si="1"/>
        <v>14.29</v>
      </c>
      <c r="I6" s="2">
        <f t="shared" si="2"/>
        <v>0</v>
      </c>
      <c r="J6" s="2">
        <v>22.5</v>
      </c>
      <c r="K6" t="s">
        <v>106</v>
      </c>
      <c r="L6">
        <v>4</v>
      </c>
    </row>
    <row r="7" spans="1:12">
      <c r="A7" s="1">
        <v>45971</v>
      </c>
      <c r="B7">
        <v>6</v>
      </c>
      <c r="C7" t="s">
        <v>102</v>
      </c>
      <c r="D7" s="2">
        <v>21</v>
      </c>
      <c r="E7" s="2">
        <v>-6.48</v>
      </c>
      <c r="F7" s="2">
        <f t="shared" si="0"/>
        <v>6.48</v>
      </c>
      <c r="G7" s="2">
        <v>14.52</v>
      </c>
      <c r="H7" s="2">
        <f t="shared" si="1"/>
        <v>14.52</v>
      </c>
      <c r="I7" s="2">
        <f t="shared" si="2"/>
        <v>0</v>
      </c>
      <c r="J7" s="2">
        <v>22.5</v>
      </c>
      <c r="K7" t="s">
        <v>235</v>
      </c>
      <c r="L7">
        <v>4</v>
      </c>
    </row>
    <row r="8" spans="1:12">
      <c r="A8" s="1">
        <v>45978</v>
      </c>
      <c r="B8">
        <v>7</v>
      </c>
      <c r="C8" t="s">
        <v>102</v>
      </c>
      <c r="D8" s="2">
        <v>21</v>
      </c>
      <c r="E8" s="2">
        <v>-6.15</v>
      </c>
      <c r="F8" s="2">
        <f t="shared" si="0"/>
        <v>6.15</v>
      </c>
      <c r="G8" s="2">
        <v>14.85</v>
      </c>
      <c r="H8" s="2">
        <f t="shared" si="1"/>
        <v>14.85</v>
      </c>
      <c r="I8" s="2">
        <f t="shared" si="2"/>
        <v>0</v>
      </c>
      <c r="J8" s="2">
        <v>22.5</v>
      </c>
      <c r="K8" t="s">
        <v>235</v>
      </c>
      <c r="L8">
        <v>4</v>
      </c>
    </row>
    <row r="9" spans="1:12">
      <c r="A9" s="1">
        <v>45985</v>
      </c>
      <c r="B9">
        <v>8</v>
      </c>
      <c r="C9" t="s">
        <v>102</v>
      </c>
      <c r="D9" s="2">
        <v>21</v>
      </c>
      <c r="E9" s="2">
        <v>-6.99</v>
      </c>
      <c r="F9" s="2">
        <f t="shared" si="0"/>
        <v>6.99</v>
      </c>
      <c r="G9" s="2">
        <v>14.01</v>
      </c>
      <c r="H9" s="2">
        <f t="shared" si="1"/>
        <v>14.01</v>
      </c>
      <c r="I9" s="2">
        <f t="shared" si="2"/>
        <v>0</v>
      </c>
      <c r="J9" s="2">
        <v>22.5</v>
      </c>
      <c r="K9" t="s">
        <v>235</v>
      </c>
      <c r="L9">
        <v>4</v>
      </c>
    </row>
    <row r="10" spans="1:12">
      <c r="A10" s="1">
        <v>45993</v>
      </c>
      <c r="B10">
        <v>9</v>
      </c>
      <c r="C10" t="s">
        <v>102</v>
      </c>
      <c r="D10" s="2">
        <v>21</v>
      </c>
      <c r="E10" s="2">
        <v>-8.16</v>
      </c>
      <c r="F10" s="2">
        <f t="shared" si="0"/>
        <v>8.16</v>
      </c>
      <c r="G10" s="2">
        <v>12.84</v>
      </c>
      <c r="H10" s="2">
        <f t="shared" si="1"/>
        <v>12.84</v>
      </c>
      <c r="I10" s="2">
        <f t="shared" si="2"/>
        <v>0</v>
      </c>
      <c r="J10" s="2">
        <v>22.5</v>
      </c>
      <c r="K10" t="s">
        <v>235</v>
      </c>
      <c r="L10">
        <v>4</v>
      </c>
    </row>
    <row r="11" spans="1:12">
      <c r="A11" s="1">
        <v>46000</v>
      </c>
      <c r="B11">
        <v>10</v>
      </c>
      <c r="C11" t="s">
        <v>102</v>
      </c>
      <c r="D11" s="2">
        <v>21</v>
      </c>
      <c r="E11" s="2">
        <v>-8.3699999999999992</v>
      </c>
      <c r="F11" s="2">
        <f t="shared" si="0"/>
        <v>8.3699999999999992</v>
      </c>
      <c r="G11" s="2">
        <v>12.63</v>
      </c>
      <c r="H11" s="2">
        <f t="shared" si="1"/>
        <v>12.63</v>
      </c>
      <c r="I11" s="2">
        <f t="shared" si="2"/>
        <v>0</v>
      </c>
      <c r="J11" s="2">
        <v>22.5</v>
      </c>
      <c r="K11" t="s">
        <v>235</v>
      </c>
      <c r="L11">
        <v>4</v>
      </c>
    </row>
    <row r="12" spans="1:12">
      <c r="A12" s="1">
        <v>46006</v>
      </c>
      <c r="B12">
        <v>11</v>
      </c>
      <c r="C12" t="s">
        <v>102</v>
      </c>
      <c r="D12" s="2">
        <v>21</v>
      </c>
      <c r="E12" s="2">
        <v>-8.85</v>
      </c>
      <c r="F12" s="2">
        <f t="shared" si="0"/>
        <v>8.85</v>
      </c>
      <c r="G12" s="2">
        <v>12.15</v>
      </c>
      <c r="H12" s="2">
        <f t="shared" si="1"/>
        <v>12.15</v>
      </c>
      <c r="I12" s="2">
        <f t="shared" si="2"/>
        <v>0</v>
      </c>
      <c r="J12" s="2">
        <v>22.5</v>
      </c>
      <c r="K12" t="s">
        <v>251</v>
      </c>
      <c r="L12">
        <v>4</v>
      </c>
    </row>
    <row r="13" spans="1:12">
      <c r="A13" s="1">
        <v>46013</v>
      </c>
      <c r="B13">
        <v>12</v>
      </c>
      <c r="C13" t="s">
        <v>102</v>
      </c>
      <c r="D13" s="2">
        <v>21</v>
      </c>
      <c r="E13" s="2">
        <v>-9.6</v>
      </c>
      <c r="F13" s="2">
        <f t="shared" si="0"/>
        <v>9.6</v>
      </c>
      <c r="G13" s="2">
        <v>11.4</v>
      </c>
      <c r="H13" s="2">
        <f t="shared" si="1"/>
        <v>11.4</v>
      </c>
      <c r="I13" s="2">
        <f t="shared" si="2"/>
        <v>0</v>
      </c>
      <c r="J13" s="2">
        <v>22.5</v>
      </c>
      <c r="K13" t="s">
        <v>254</v>
      </c>
      <c r="L13">
        <v>4</v>
      </c>
    </row>
    <row r="14" spans="1:12">
      <c r="A14" s="1">
        <v>46020</v>
      </c>
      <c r="B14">
        <v>13</v>
      </c>
      <c r="C14" t="s">
        <v>102</v>
      </c>
      <c r="D14" s="2">
        <v>21</v>
      </c>
      <c r="E14" s="2">
        <v>-9.89</v>
      </c>
      <c r="F14" s="2">
        <f t="shared" si="0"/>
        <v>9.89</v>
      </c>
      <c r="G14" s="2">
        <v>11.11</v>
      </c>
      <c r="H14" s="2">
        <f t="shared" si="1"/>
        <v>11.11</v>
      </c>
      <c r="I14" s="2">
        <f t="shared" si="2"/>
        <v>0</v>
      </c>
      <c r="J14" s="2">
        <v>22.5</v>
      </c>
      <c r="K14" t="s">
        <v>257</v>
      </c>
      <c r="L14">
        <v>4</v>
      </c>
    </row>
    <row r="15" spans="1:12">
      <c r="A15" s="1">
        <v>46027</v>
      </c>
      <c r="B15">
        <v>14</v>
      </c>
      <c r="C15" t="s">
        <v>102</v>
      </c>
      <c r="D15" s="2">
        <v>21</v>
      </c>
      <c r="E15" s="2">
        <v>-10.33</v>
      </c>
      <c r="F15" s="2">
        <f t="shared" si="0"/>
        <v>10.33</v>
      </c>
      <c r="G15" s="2">
        <v>10.67</v>
      </c>
      <c r="H15" s="2">
        <f t="shared" si="1"/>
        <v>10.67</v>
      </c>
      <c r="I15" s="2">
        <f t="shared" si="2"/>
        <v>0</v>
      </c>
      <c r="J15" s="2">
        <v>22.5</v>
      </c>
      <c r="K15" t="s">
        <v>260</v>
      </c>
      <c r="L15">
        <v>4</v>
      </c>
    </row>
    <row r="16" spans="1:12">
      <c r="A16" s="1">
        <v>46034</v>
      </c>
      <c r="B16">
        <v>15</v>
      </c>
      <c r="C16" t="s">
        <v>102</v>
      </c>
      <c r="D16" s="2">
        <v>21</v>
      </c>
      <c r="E16" s="2">
        <v>-10.36</v>
      </c>
      <c r="F16" s="2">
        <f t="shared" si="0"/>
        <v>10.36</v>
      </c>
      <c r="G16" s="2">
        <v>10.64</v>
      </c>
      <c r="H16" s="2">
        <f t="shared" si="1"/>
        <v>10.64</v>
      </c>
      <c r="I16" s="2">
        <f t="shared" si="2"/>
        <v>0</v>
      </c>
      <c r="J16" s="2">
        <v>22.5</v>
      </c>
      <c r="K16" t="s">
        <v>263</v>
      </c>
      <c r="L16">
        <v>4</v>
      </c>
    </row>
    <row r="17" spans="1:12">
      <c r="A17" s="1">
        <v>46041</v>
      </c>
      <c r="B17">
        <v>16</v>
      </c>
      <c r="C17" t="s">
        <v>102</v>
      </c>
      <c r="D17" s="2">
        <v>21</v>
      </c>
      <c r="E17" s="2">
        <v>-10.23</v>
      </c>
      <c r="F17" s="2">
        <f t="shared" si="0"/>
        <v>10.23</v>
      </c>
      <c r="G17" s="2">
        <v>10.77</v>
      </c>
      <c r="H17" s="2">
        <f t="shared" si="1"/>
        <v>10.77</v>
      </c>
      <c r="I17" s="2">
        <f t="shared" si="2"/>
        <v>0</v>
      </c>
      <c r="J17" s="2">
        <v>22.5</v>
      </c>
      <c r="K17" t="s">
        <v>275</v>
      </c>
      <c r="L17">
        <v>4</v>
      </c>
    </row>
    <row r="18" spans="1:12">
      <c r="A18" s="1">
        <v>46048</v>
      </c>
      <c r="B18">
        <v>17</v>
      </c>
      <c r="C18" t="s">
        <v>102</v>
      </c>
      <c r="D18" s="2">
        <v>21</v>
      </c>
      <c r="E18" s="2">
        <v>-10.24</v>
      </c>
      <c r="F18" s="2">
        <f t="shared" si="0"/>
        <v>10.24</v>
      </c>
      <c r="G18" s="2">
        <v>10.76</v>
      </c>
      <c r="H18" s="2">
        <f t="shared" si="1"/>
        <v>10.76</v>
      </c>
      <c r="I18" s="2">
        <f t="shared" si="2"/>
        <v>0</v>
      </c>
      <c r="J18" s="2">
        <v>22.5</v>
      </c>
      <c r="K18" t="s">
        <v>277</v>
      </c>
      <c r="L18">
        <v>4</v>
      </c>
    </row>
    <row r="19" spans="1:12">
      <c r="A19" s="1">
        <v>46055</v>
      </c>
      <c r="B19">
        <v>18</v>
      </c>
      <c r="C19" t="s">
        <v>102</v>
      </c>
      <c r="D19" s="2">
        <v>21</v>
      </c>
      <c r="E19" s="2">
        <v>-11.53</v>
      </c>
      <c r="F19" s="2">
        <f t="shared" si="0"/>
        <v>11.53</v>
      </c>
      <c r="G19" s="2">
        <v>9.4700000000000006</v>
      </c>
      <c r="H19" s="2">
        <f t="shared" si="1"/>
        <v>9.4700000000000006</v>
      </c>
      <c r="I19" s="2">
        <f t="shared" si="2"/>
        <v>0</v>
      </c>
      <c r="J19" s="2">
        <v>22.5</v>
      </c>
      <c r="K19" t="s">
        <v>279</v>
      </c>
      <c r="L19">
        <v>4</v>
      </c>
    </row>
    <row r="20" spans="1:12">
      <c r="A20" s="1">
        <v>46062</v>
      </c>
      <c r="B20">
        <v>19</v>
      </c>
      <c r="C20" t="s">
        <v>102</v>
      </c>
      <c r="D20" s="2">
        <v>21</v>
      </c>
      <c r="E20" s="2">
        <v>-12.25</v>
      </c>
      <c r="F20" s="2">
        <f t="shared" si="0"/>
        <v>12.25</v>
      </c>
      <c r="G20" s="2">
        <v>8.75</v>
      </c>
      <c r="H20" s="2">
        <f t="shared" si="1"/>
        <v>8.75</v>
      </c>
      <c r="I20" s="2">
        <f t="shared" si="2"/>
        <v>0</v>
      </c>
      <c r="J20" s="2">
        <v>22.5</v>
      </c>
      <c r="K20" t="s">
        <v>281</v>
      </c>
      <c r="L20">
        <v>4</v>
      </c>
    </row>
    <row r="21" spans="1:12">
      <c r="A21" s="1">
        <v>46069</v>
      </c>
      <c r="B21">
        <v>20</v>
      </c>
      <c r="C21" t="s">
        <v>102</v>
      </c>
      <c r="D21" s="2">
        <v>21</v>
      </c>
      <c r="E21" s="2">
        <v>-12.61</v>
      </c>
      <c r="F21" s="2">
        <f t="shared" si="0"/>
        <v>12.61</v>
      </c>
      <c r="G21" s="2">
        <v>8.39</v>
      </c>
      <c r="H21" s="2">
        <f t="shared" si="1"/>
        <v>8.39</v>
      </c>
      <c r="I21" s="2">
        <f t="shared" si="2"/>
        <v>0</v>
      </c>
      <c r="J21" s="2">
        <v>22.5</v>
      </c>
      <c r="K21" t="s">
        <v>283</v>
      </c>
      <c r="L21">
        <v>4</v>
      </c>
    </row>
  </sheetData>
  <conditionalFormatting sqref="G2:G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1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21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workbookViewId="0"/>
  </sheetViews>
  <sheetFormatPr defaultRowHeight="13.8"/>
  <cols>
    <col min="1" max="1" width="14" customWidth="1"/>
    <col min="2" max="2" width="10" customWidth="1"/>
    <col min="3" max="3" width="14" customWidth="1"/>
    <col min="4" max="4" width="17" customWidth="1"/>
    <col min="5" max="5" width="20" customWidth="1"/>
    <col min="6" max="6" width="16" customWidth="1"/>
    <col min="7" max="7" width="20" customWidth="1"/>
    <col min="8" max="8" width="18" customWidth="1"/>
    <col min="9" max="10" width="20" customWidth="1"/>
    <col min="11" max="11" width="14" customWidth="1"/>
    <col min="12" max="12" width="12" customWidth="1"/>
    <col min="13" max="13" width="17" customWidth="1"/>
    <col min="14" max="14" width="18" customWidth="1"/>
    <col min="15" max="15" width="68" customWidth="1"/>
    <col min="16" max="16" width="9" customWidth="1"/>
  </cols>
  <sheetData>
    <row r="1" spans="1:16" ht="25.65" customHeight="1">
      <c r="A1" s="5" t="s">
        <v>1</v>
      </c>
      <c r="B1" s="5" t="s">
        <v>189</v>
      </c>
      <c r="C1" s="5" t="s">
        <v>331</v>
      </c>
      <c r="D1" s="5" t="s">
        <v>332</v>
      </c>
      <c r="E1" s="5" t="s">
        <v>333</v>
      </c>
      <c r="F1" s="5" t="s">
        <v>64</v>
      </c>
      <c r="G1" s="5" t="s">
        <v>334</v>
      </c>
      <c r="H1" s="5" t="s">
        <v>335</v>
      </c>
      <c r="I1" s="5" t="s">
        <v>336</v>
      </c>
      <c r="J1" s="5" t="s">
        <v>337</v>
      </c>
      <c r="K1" s="5" t="s">
        <v>338</v>
      </c>
      <c r="L1" s="5" t="s">
        <v>65</v>
      </c>
      <c r="M1" s="5" t="s">
        <v>339</v>
      </c>
      <c r="N1" s="5" t="s">
        <v>340</v>
      </c>
      <c r="O1" s="5" t="s">
        <v>66</v>
      </c>
      <c r="P1" s="5" t="s">
        <v>67</v>
      </c>
    </row>
    <row r="2" spans="1:16">
      <c r="A2" s="1">
        <v>46000</v>
      </c>
      <c r="B2">
        <v>1</v>
      </c>
      <c r="C2" t="s">
        <v>341</v>
      </c>
      <c r="D2" t="s">
        <v>342</v>
      </c>
      <c r="E2" s="7">
        <v>1000</v>
      </c>
      <c r="F2" s="7">
        <v>833.5</v>
      </c>
      <c r="G2" s="7">
        <v>14.472</v>
      </c>
      <c r="H2" s="7">
        <v>957.4</v>
      </c>
      <c r="I2" s="4">
        <v>0.14899999999999999</v>
      </c>
      <c r="J2" s="4">
        <f t="shared" ref="J2:J32" si="0">(H2-F2)/F2</f>
        <v>0.14865026994601077</v>
      </c>
      <c r="K2" s="4">
        <f t="shared" ref="K2:K32" si="1">I2-J2</f>
        <v>3.497300539892223E-4</v>
      </c>
      <c r="L2" t="str">
        <f t="shared" ref="L2:L32" si="2">IF(J2&gt;25%,"Alarme",IF(J2&gt;=15%,"Alerta","Regular"))</f>
        <v>Regular</v>
      </c>
      <c r="O2" t="s">
        <v>112</v>
      </c>
      <c r="P2">
        <v>5</v>
      </c>
    </row>
    <row r="3" spans="1:16">
      <c r="A3" s="1">
        <v>46006</v>
      </c>
      <c r="B3">
        <v>2</v>
      </c>
      <c r="C3" t="s">
        <v>341</v>
      </c>
      <c r="D3" t="s">
        <v>342</v>
      </c>
      <c r="E3" s="7">
        <v>850</v>
      </c>
      <c r="F3" s="7">
        <v>833.5</v>
      </c>
      <c r="G3" s="7">
        <v>14.499000000000001</v>
      </c>
      <c r="H3" s="7">
        <v>959.9</v>
      </c>
      <c r="I3" s="4">
        <v>0.152</v>
      </c>
      <c r="J3" s="4">
        <f t="shared" si="0"/>
        <v>0.15164967006598679</v>
      </c>
      <c r="K3" s="4">
        <f t="shared" si="1"/>
        <v>3.5032993401321044E-4</v>
      </c>
      <c r="L3" t="str">
        <f t="shared" si="2"/>
        <v>Alerta</v>
      </c>
      <c r="O3" t="s">
        <v>112</v>
      </c>
      <c r="P3">
        <v>5</v>
      </c>
    </row>
    <row r="4" spans="1:16">
      <c r="A4" s="1">
        <v>46013</v>
      </c>
      <c r="B4">
        <v>3</v>
      </c>
      <c r="C4" t="s">
        <v>341</v>
      </c>
      <c r="D4" t="s">
        <v>342</v>
      </c>
      <c r="E4" s="7">
        <v>850</v>
      </c>
      <c r="F4" s="7">
        <v>833.5</v>
      </c>
      <c r="G4" s="7">
        <v>14.558999999999999</v>
      </c>
      <c r="H4" s="7">
        <v>965.6</v>
      </c>
      <c r="I4" s="4">
        <v>0.158</v>
      </c>
      <c r="J4" s="4">
        <f t="shared" si="0"/>
        <v>0.15848830233953212</v>
      </c>
      <c r="K4" s="4">
        <f t="shared" si="1"/>
        <v>-4.8830233953212066E-4</v>
      </c>
      <c r="L4" t="str">
        <f t="shared" si="2"/>
        <v>Alerta</v>
      </c>
      <c r="O4" t="s">
        <v>112</v>
      </c>
      <c r="P4">
        <v>5</v>
      </c>
    </row>
    <row r="5" spans="1:16">
      <c r="A5" s="1">
        <v>46020</v>
      </c>
      <c r="B5">
        <v>4</v>
      </c>
      <c r="C5" t="s">
        <v>341</v>
      </c>
      <c r="D5" t="s">
        <v>342</v>
      </c>
      <c r="E5" s="7">
        <v>850</v>
      </c>
      <c r="F5" s="7">
        <v>833.5</v>
      </c>
      <c r="G5" s="7">
        <v>14.661</v>
      </c>
      <c r="H5" s="7">
        <v>975.1</v>
      </c>
      <c r="I5" s="4">
        <v>0.17</v>
      </c>
      <c r="J5" s="4">
        <f t="shared" si="0"/>
        <v>0.16988602279544093</v>
      </c>
      <c r="K5" s="4">
        <f t="shared" si="1"/>
        <v>1.1397720455907923E-4</v>
      </c>
      <c r="L5" t="str">
        <f t="shared" si="2"/>
        <v>Alerta</v>
      </c>
      <c r="O5" t="s">
        <v>112</v>
      </c>
      <c r="P5">
        <v>5</v>
      </c>
    </row>
    <row r="6" spans="1:16">
      <c r="A6" s="1">
        <v>46027</v>
      </c>
      <c r="B6">
        <v>5</v>
      </c>
      <c r="C6" t="s">
        <v>341</v>
      </c>
      <c r="D6" t="s">
        <v>342</v>
      </c>
      <c r="E6" s="7">
        <v>850</v>
      </c>
      <c r="F6" s="7">
        <v>833.5</v>
      </c>
      <c r="G6" s="7">
        <v>14.563000000000001</v>
      </c>
      <c r="H6" s="7">
        <v>965.9</v>
      </c>
      <c r="I6" s="4">
        <v>0.159</v>
      </c>
      <c r="J6" s="4">
        <f t="shared" si="0"/>
        <v>0.1588482303539292</v>
      </c>
      <c r="K6" s="4">
        <f t="shared" si="1"/>
        <v>1.5176964607080401E-4</v>
      </c>
      <c r="L6" t="str">
        <f t="shared" si="2"/>
        <v>Alerta</v>
      </c>
      <c r="O6" t="s">
        <v>112</v>
      </c>
      <c r="P6">
        <v>5</v>
      </c>
    </row>
    <row r="7" spans="1:16">
      <c r="A7" s="1">
        <v>46034</v>
      </c>
      <c r="B7">
        <v>6</v>
      </c>
      <c r="C7" t="s">
        <v>341</v>
      </c>
      <c r="D7" t="s">
        <v>342</v>
      </c>
      <c r="E7" s="7">
        <v>850</v>
      </c>
      <c r="F7" s="7">
        <v>833.5</v>
      </c>
      <c r="G7" s="7">
        <v>14.702</v>
      </c>
      <c r="H7" s="7">
        <v>978.9</v>
      </c>
      <c r="I7" s="4">
        <v>0.17399999999999999</v>
      </c>
      <c r="J7" s="4">
        <f t="shared" si="0"/>
        <v>0.17444511097780441</v>
      </c>
      <c r="K7" s="4">
        <f t="shared" si="1"/>
        <v>-4.4511097780441933E-4</v>
      </c>
      <c r="L7" t="str">
        <f t="shared" si="2"/>
        <v>Alerta</v>
      </c>
      <c r="O7" t="s">
        <v>148</v>
      </c>
      <c r="P7">
        <v>6</v>
      </c>
    </row>
    <row r="8" spans="1:16">
      <c r="A8" s="1">
        <v>46041</v>
      </c>
      <c r="B8">
        <v>7</v>
      </c>
      <c r="C8" t="s">
        <v>341</v>
      </c>
      <c r="D8" t="s">
        <v>342</v>
      </c>
      <c r="E8" s="7">
        <v>850</v>
      </c>
      <c r="F8" s="7">
        <v>833.5</v>
      </c>
      <c r="G8" s="7">
        <v>15.101000000000001</v>
      </c>
      <c r="H8" s="7">
        <v>1016.1</v>
      </c>
      <c r="I8" s="4">
        <v>0.219</v>
      </c>
      <c r="J8" s="4">
        <f t="shared" si="0"/>
        <v>0.21907618476304741</v>
      </c>
      <c r="K8" s="4">
        <f t="shared" si="1"/>
        <v>-7.6184763047409954E-5</v>
      </c>
      <c r="L8" t="str">
        <f t="shared" si="2"/>
        <v>Alerta</v>
      </c>
      <c r="O8" t="s">
        <v>148</v>
      </c>
      <c r="P8">
        <v>6</v>
      </c>
    </row>
    <row r="9" spans="1:16">
      <c r="A9" s="1">
        <v>46048</v>
      </c>
      <c r="B9">
        <v>8</v>
      </c>
      <c r="C9" t="s">
        <v>341</v>
      </c>
      <c r="D9" t="s">
        <v>342</v>
      </c>
      <c r="E9" s="7">
        <v>850</v>
      </c>
      <c r="F9" s="7">
        <v>833.5</v>
      </c>
      <c r="G9" s="7">
        <v>15.34</v>
      </c>
      <c r="H9" s="7">
        <v>1038.4000000000001</v>
      </c>
      <c r="I9" s="4">
        <v>0.246</v>
      </c>
      <c r="J9" s="4">
        <f t="shared" si="0"/>
        <v>0.24583083383323345</v>
      </c>
      <c r="K9" s="4">
        <f t="shared" si="1"/>
        <v>1.6916616676654339E-4</v>
      </c>
      <c r="L9" t="str">
        <f t="shared" si="2"/>
        <v>Alerta</v>
      </c>
      <c r="O9" t="s">
        <v>148</v>
      </c>
      <c r="P9">
        <v>6</v>
      </c>
    </row>
    <row r="10" spans="1:16">
      <c r="A10" s="1">
        <v>46048</v>
      </c>
      <c r="B10">
        <v>8</v>
      </c>
      <c r="C10" t="s">
        <v>343</v>
      </c>
      <c r="D10" t="s">
        <v>344</v>
      </c>
      <c r="E10" s="7">
        <v>600</v>
      </c>
      <c r="F10" s="7">
        <v>670</v>
      </c>
      <c r="G10" s="7">
        <v>11.634</v>
      </c>
      <c r="H10" s="7">
        <v>678</v>
      </c>
      <c r="I10" s="4">
        <v>1.2E-2</v>
      </c>
      <c r="J10" s="4">
        <f t="shared" si="0"/>
        <v>1.1940298507462687E-2</v>
      </c>
      <c r="K10" s="4">
        <f t="shared" si="1"/>
        <v>5.9701492537313564E-5</v>
      </c>
      <c r="L10" t="str">
        <f t="shared" si="2"/>
        <v>Regular</v>
      </c>
      <c r="O10" t="s">
        <v>148</v>
      </c>
      <c r="P10">
        <v>7</v>
      </c>
    </row>
    <row r="11" spans="1:16">
      <c r="A11" s="1">
        <v>46055</v>
      </c>
      <c r="B11">
        <v>9</v>
      </c>
      <c r="C11" t="s">
        <v>341</v>
      </c>
      <c r="D11" t="s">
        <v>342</v>
      </c>
      <c r="E11" s="7">
        <v>850</v>
      </c>
      <c r="F11" s="7">
        <v>833.5</v>
      </c>
      <c r="G11" s="7">
        <v>15.532</v>
      </c>
      <c r="H11" s="7">
        <v>1056.2</v>
      </c>
      <c r="I11" s="4">
        <v>0.26700000000000002</v>
      </c>
      <c r="J11" s="4">
        <f t="shared" si="0"/>
        <v>0.26718656268746255</v>
      </c>
      <c r="K11" s="4">
        <f t="shared" si="1"/>
        <v>-1.8656268746253257E-4</v>
      </c>
      <c r="L11" t="str">
        <f t="shared" si="2"/>
        <v>Alarme</v>
      </c>
      <c r="O11" t="s">
        <v>148</v>
      </c>
      <c r="P11">
        <v>6</v>
      </c>
    </row>
    <row r="12" spans="1:16">
      <c r="A12" s="1">
        <v>46055</v>
      </c>
      <c r="B12">
        <v>9</v>
      </c>
      <c r="C12" t="s">
        <v>343</v>
      </c>
      <c r="D12" t="s">
        <v>344</v>
      </c>
      <c r="E12" s="7">
        <v>600</v>
      </c>
      <c r="F12" s="7">
        <v>670</v>
      </c>
      <c r="G12" s="7">
        <v>11.612</v>
      </c>
      <c r="H12" s="7">
        <v>676.1</v>
      </c>
      <c r="I12" s="4">
        <v>8.9999999999999993E-3</v>
      </c>
      <c r="J12" s="4">
        <f t="shared" si="0"/>
        <v>9.1044776119403332E-3</v>
      </c>
      <c r="K12" s="4">
        <f t="shared" si="1"/>
        <v>-1.0447761194033386E-4</v>
      </c>
      <c r="L12" t="str">
        <f t="shared" si="2"/>
        <v>Regular</v>
      </c>
      <c r="O12" t="s">
        <v>148</v>
      </c>
      <c r="P12">
        <v>7</v>
      </c>
    </row>
    <row r="13" spans="1:16">
      <c r="A13" s="1">
        <v>46062</v>
      </c>
      <c r="B13">
        <v>10</v>
      </c>
      <c r="C13" t="s">
        <v>341</v>
      </c>
      <c r="D13" t="s">
        <v>342</v>
      </c>
      <c r="E13" s="7">
        <v>850</v>
      </c>
      <c r="F13" s="7">
        <v>833.5</v>
      </c>
      <c r="G13" s="7">
        <v>15.706</v>
      </c>
      <c r="H13" s="7">
        <v>1072.4000000000001</v>
      </c>
      <c r="I13" s="4">
        <v>0.28699999999999998</v>
      </c>
      <c r="J13" s="4">
        <f t="shared" si="0"/>
        <v>0.28662267546490711</v>
      </c>
      <c r="K13" s="4">
        <f t="shared" si="1"/>
        <v>3.7732453509287112E-4</v>
      </c>
      <c r="L13" t="str">
        <f t="shared" si="2"/>
        <v>Alarme</v>
      </c>
      <c r="O13" t="s">
        <v>148</v>
      </c>
      <c r="P13">
        <v>6</v>
      </c>
    </row>
    <row r="14" spans="1:16">
      <c r="A14" s="1">
        <v>46062</v>
      </c>
      <c r="B14">
        <v>10</v>
      </c>
      <c r="C14" t="s">
        <v>343</v>
      </c>
      <c r="D14" t="s">
        <v>344</v>
      </c>
      <c r="E14" s="7">
        <v>600</v>
      </c>
      <c r="F14" s="7">
        <v>670</v>
      </c>
      <c r="G14" s="7">
        <v>11.721</v>
      </c>
      <c r="H14" s="7">
        <v>685.9</v>
      </c>
      <c r="I14" s="4">
        <v>2.4E-2</v>
      </c>
      <c r="J14" s="4">
        <f t="shared" si="0"/>
        <v>2.3731343283582056E-2</v>
      </c>
      <c r="K14" s="4">
        <f t="shared" si="1"/>
        <v>2.6865671641794486E-4</v>
      </c>
      <c r="L14" t="str">
        <f t="shared" si="2"/>
        <v>Regular</v>
      </c>
      <c r="O14" t="s">
        <v>148</v>
      </c>
      <c r="P14">
        <v>7</v>
      </c>
    </row>
    <row r="15" spans="1:16">
      <c r="A15" s="1">
        <v>46069</v>
      </c>
      <c r="B15">
        <v>11</v>
      </c>
      <c r="C15" t="s">
        <v>341</v>
      </c>
      <c r="D15" t="s">
        <v>342</v>
      </c>
      <c r="E15" s="7">
        <v>850</v>
      </c>
      <c r="F15" s="7">
        <v>833.5</v>
      </c>
      <c r="G15" s="7">
        <v>15.77</v>
      </c>
      <c r="H15" s="7">
        <v>1078.3</v>
      </c>
      <c r="I15" s="4">
        <v>0.29399999999999998</v>
      </c>
      <c r="J15" s="4">
        <f t="shared" si="0"/>
        <v>0.29370125974805034</v>
      </c>
      <c r="K15" s="4">
        <f t="shared" si="1"/>
        <v>2.9874025194964737E-4</v>
      </c>
      <c r="L15" t="str">
        <f t="shared" si="2"/>
        <v>Alarme</v>
      </c>
      <c r="O15" t="s">
        <v>264</v>
      </c>
      <c r="P15">
        <v>6</v>
      </c>
    </row>
    <row r="16" spans="1:16">
      <c r="A16" s="1">
        <v>46069</v>
      </c>
      <c r="B16">
        <v>11</v>
      </c>
      <c r="C16" t="s">
        <v>343</v>
      </c>
      <c r="D16" t="s">
        <v>344</v>
      </c>
      <c r="E16" s="7">
        <v>600</v>
      </c>
      <c r="F16" s="7">
        <v>670</v>
      </c>
      <c r="G16" s="7">
        <v>11.678000000000001</v>
      </c>
      <c r="H16" s="7">
        <v>682</v>
      </c>
      <c r="I16" s="4">
        <v>1.7999999999999999E-2</v>
      </c>
      <c r="J16" s="4">
        <f t="shared" si="0"/>
        <v>1.7910447761194031E-2</v>
      </c>
      <c r="K16" s="4">
        <f t="shared" si="1"/>
        <v>8.9552238805967743E-5</v>
      </c>
      <c r="L16" t="str">
        <f t="shared" si="2"/>
        <v>Regular</v>
      </c>
      <c r="O16" t="s">
        <v>264</v>
      </c>
      <c r="P16">
        <v>7</v>
      </c>
    </row>
    <row r="17" spans="1:16">
      <c r="A17" s="1">
        <v>46072</v>
      </c>
      <c r="B17">
        <v>12</v>
      </c>
      <c r="C17" t="s">
        <v>341</v>
      </c>
      <c r="D17" t="s">
        <v>342</v>
      </c>
      <c r="E17" s="7">
        <v>850</v>
      </c>
      <c r="F17" s="7">
        <v>833.5</v>
      </c>
      <c r="G17" s="7">
        <v>15.625999999999999</v>
      </c>
      <c r="H17" s="7">
        <v>1064.9000000000001</v>
      </c>
      <c r="I17" s="4">
        <v>0.27800000000000002</v>
      </c>
      <c r="J17" s="4">
        <f t="shared" si="0"/>
        <v>0.27762447510497912</v>
      </c>
      <c r="K17" s="4">
        <f t="shared" si="1"/>
        <v>3.7552489502090669E-4</v>
      </c>
      <c r="L17" t="str">
        <f t="shared" si="2"/>
        <v>Alarme</v>
      </c>
      <c r="O17" t="s">
        <v>265</v>
      </c>
      <c r="P17">
        <v>6</v>
      </c>
    </row>
    <row r="18" spans="1:16">
      <c r="A18" s="1">
        <v>46072</v>
      </c>
      <c r="B18">
        <v>12</v>
      </c>
      <c r="C18" t="s">
        <v>343</v>
      </c>
      <c r="D18" t="s">
        <v>344</v>
      </c>
      <c r="E18" s="7">
        <v>600</v>
      </c>
      <c r="F18" s="7">
        <v>670</v>
      </c>
      <c r="G18" s="7">
        <v>11.625999999999999</v>
      </c>
      <c r="H18" s="7">
        <v>677.3</v>
      </c>
      <c r="I18" s="4">
        <v>1.0999999999999999E-2</v>
      </c>
      <c r="J18" s="4">
        <f t="shared" si="0"/>
        <v>1.0895522388059634E-2</v>
      </c>
      <c r="K18" s="4">
        <f t="shared" si="1"/>
        <v>1.0447761194036509E-4</v>
      </c>
      <c r="L18" t="str">
        <f t="shared" si="2"/>
        <v>Regular</v>
      </c>
      <c r="O18" t="s">
        <v>265</v>
      </c>
      <c r="P18">
        <v>7</v>
      </c>
    </row>
    <row r="19" spans="1:16">
      <c r="A19" s="1">
        <v>46076</v>
      </c>
      <c r="B19">
        <v>13</v>
      </c>
      <c r="C19" t="s">
        <v>341</v>
      </c>
      <c r="D19" t="s">
        <v>342</v>
      </c>
      <c r="E19" s="7">
        <v>850</v>
      </c>
      <c r="F19" s="7">
        <v>833.5</v>
      </c>
      <c r="G19" s="7">
        <v>15.587999999999999</v>
      </c>
      <c r="H19" s="7">
        <v>1061.4000000000001</v>
      </c>
      <c r="I19" s="4">
        <v>0.27300000000000002</v>
      </c>
      <c r="J19" s="4">
        <f t="shared" si="0"/>
        <v>0.27342531493701272</v>
      </c>
      <c r="K19" s="4">
        <f t="shared" si="1"/>
        <v>-4.2531493701269962E-4</v>
      </c>
      <c r="L19" t="str">
        <f t="shared" si="2"/>
        <v>Alarme</v>
      </c>
      <c r="O19" t="s">
        <v>266</v>
      </c>
      <c r="P19">
        <v>6</v>
      </c>
    </row>
    <row r="20" spans="1:16">
      <c r="A20" s="1">
        <v>46076</v>
      </c>
      <c r="B20">
        <v>13</v>
      </c>
      <c r="C20" t="s">
        <v>343</v>
      </c>
      <c r="D20" t="s">
        <v>344</v>
      </c>
      <c r="E20" s="7">
        <v>600</v>
      </c>
      <c r="F20" s="7">
        <v>670</v>
      </c>
      <c r="G20" s="7">
        <v>11.672000000000001</v>
      </c>
      <c r="H20" s="7">
        <v>681.4</v>
      </c>
      <c r="I20" s="4">
        <v>1.7000000000000001E-2</v>
      </c>
      <c r="J20" s="4">
        <f t="shared" si="0"/>
        <v>1.7014925373134294E-2</v>
      </c>
      <c r="K20" s="4">
        <f t="shared" si="1"/>
        <v>-1.4925373134293263E-5</v>
      </c>
      <c r="L20" t="str">
        <f t="shared" si="2"/>
        <v>Regular</v>
      </c>
      <c r="O20" t="s">
        <v>266</v>
      </c>
      <c r="P20">
        <v>7</v>
      </c>
    </row>
    <row r="21" spans="1:16">
      <c r="A21" s="1">
        <v>46079</v>
      </c>
      <c r="B21">
        <v>14</v>
      </c>
      <c r="C21" t="s">
        <v>341</v>
      </c>
      <c r="D21" t="s">
        <v>342</v>
      </c>
      <c r="E21" s="7">
        <v>850</v>
      </c>
      <c r="F21" s="7">
        <v>833.5</v>
      </c>
      <c r="G21" s="7">
        <v>15.625999999999999</v>
      </c>
      <c r="H21" s="7">
        <v>1065</v>
      </c>
      <c r="I21" s="4">
        <v>0.27800000000000002</v>
      </c>
      <c r="J21" s="4">
        <f t="shared" si="0"/>
        <v>0.27774445110977802</v>
      </c>
      <c r="K21" s="4">
        <f t="shared" si="1"/>
        <v>2.5554889022200156E-4</v>
      </c>
      <c r="L21" t="str">
        <f t="shared" si="2"/>
        <v>Alarme</v>
      </c>
      <c r="O21" t="s">
        <v>267</v>
      </c>
      <c r="P21">
        <v>6</v>
      </c>
    </row>
    <row r="22" spans="1:16">
      <c r="A22" s="1">
        <v>46079</v>
      </c>
      <c r="B22">
        <v>14</v>
      </c>
      <c r="C22" t="s">
        <v>343</v>
      </c>
      <c r="D22" t="s">
        <v>344</v>
      </c>
      <c r="E22" s="7">
        <v>600</v>
      </c>
      <c r="F22" s="7">
        <v>670</v>
      </c>
      <c r="G22" s="7">
        <v>11.67</v>
      </c>
      <c r="H22" s="7">
        <v>681.3</v>
      </c>
      <c r="I22" s="4">
        <v>1.7000000000000001E-2</v>
      </c>
      <c r="J22" s="4">
        <f t="shared" si="0"/>
        <v>1.6865671641790977E-2</v>
      </c>
      <c r="K22" s="4">
        <f t="shared" si="1"/>
        <v>1.3432835820902447E-4</v>
      </c>
      <c r="L22" t="str">
        <f t="shared" si="2"/>
        <v>Regular</v>
      </c>
      <c r="O22" t="s">
        <v>267</v>
      </c>
      <c r="P22">
        <v>7</v>
      </c>
    </row>
    <row r="23" spans="1:16">
      <c r="A23" s="1">
        <v>46083</v>
      </c>
      <c r="B23">
        <v>15</v>
      </c>
      <c r="C23" t="s">
        <v>341</v>
      </c>
      <c r="D23" t="s">
        <v>342</v>
      </c>
      <c r="E23" s="7">
        <v>850</v>
      </c>
      <c r="F23" s="7">
        <v>833.5</v>
      </c>
      <c r="G23" s="7">
        <v>15.647</v>
      </c>
      <c r="H23" s="7">
        <v>1066.9000000000001</v>
      </c>
      <c r="I23" s="4">
        <v>0.28000000000000003</v>
      </c>
      <c r="J23" s="4">
        <f t="shared" si="0"/>
        <v>0.28002399520095994</v>
      </c>
      <c r="K23" s="4">
        <f t="shared" si="1"/>
        <v>-2.3995200959914254E-5</v>
      </c>
      <c r="L23" t="str">
        <f t="shared" si="2"/>
        <v>Alarme</v>
      </c>
      <c r="O23" t="s">
        <v>284</v>
      </c>
      <c r="P23">
        <v>6</v>
      </c>
    </row>
    <row r="24" spans="1:16">
      <c r="A24" s="1">
        <v>46083</v>
      </c>
      <c r="B24">
        <v>15</v>
      </c>
      <c r="C24" t="s">
        <v>343</v>
      </c>
      <c r="D24" t="s">
        <v>344</v>
      </c>
      <c r="E24" s="7">
        <v>600</v>
      </c>
      <c r="F24" s="7">
        <v>670</v>
      </c>
      <c r="G24" s="7">
        <v>11.738</v>
      </c>
      <c r="H24" s="7">
        <v>687.4</v>
      </c>
      <c r="I24" s="4">
        <v>2.5999999999999999E-2</v>
      </c>
      <c r="J24" s="4">
        <f t="shared" si="0"/>
        <v>2.5970149253731308E-2</v>
      </c>
      <c r="K24" s="4">
        <f t="shared" si="1"/>
        <v>2.9850746268690609E-5</v>
      </c>
      <c r="L24" t="str">
        <f t="shared" si="2"/>
        <v>Regular</v>
      </c>
      <c r="O24" t="s">
        <v>284</v>
      </c>
      <c r="P24">
        <v>7</v>
      </c>
    </row>
    <row r="25" spans="1:16">
      <c r="A25" s="1">
        <v>46086</v>
      </c>
      <c r="B25">
        <v>16</v>
      </c>
      <c r="C25" t="s">
        <v>341</v>
      </c>
      <c r="D25" t="s">
        <v>342</v>
      </c>
      <c r="E25" s="7">
        <v>850</v>
      </c>
      <c r="F25" s="7">
        <v>833.5</v>
      </c>
      <c r="G25" s="7">
        <v>15.648999999999999</v>
      </c>
      <c r="H25" s="7">
        <v>1067.0999999999999</v>
      </c>
      <c r="I25" s="4">
        <v>0.28000000000000003</v>
      </c>
      <c r="J25" s="4">
        <f t="shared" si="0"/>
        <v>0.28026394721055781</v>
      </c>
      <c r="K25" s="4">
        <f t="shared" si="1"/>
        <v>-2.6394721055778003E-4</v>
      </c>
      <c r="L25" t="str">
        <f t="shared" si="2"/>
        <v>Alarme</v>
      </c>
      <c r="O25" t="s">
        <v>285</v>
      </c>
      <c r="P25">
        <v>6</v>
      </c>
    </row>
    <row r="26" spans="1:16">
      <c r="A26" s="1">
        <v>46086</v>
      </c>
      <c r="B26">
        <v>16</v>
      </c>
      <c r="C26" t="s">
        <v>343</v>
      </c>
      <c r="D26" t="s">
        <v>344</v>
      </c>
      <c r="E26" s="7">
        <v>600</v>
      </c>
      <c r="F26" s="7">
        <v>670</v>
      </c>
      <c r="G26" s="7">
        <v>11.688000000000001</v>
      </c>
      <c r="H26" s="7">
        <v>682.9</v>
      </c>
      <c r="I26" s="4">
        <v>1.9E-2</v>
      </c>
      <c r="J26" s="4">
        <f t="shared" si="0"/>
        <v>1.9253731343283547E-2</v>
      </c>
      <c r="K26" s="4">
        <f t="shared" si="1"/>
        <v>-2.5373134328354752E-4</v>
      </c>
      <c r="L26" t="str">
        <f t="shared" si="2"/>
        <v>Regular</v>
      </c>
      <c r="O26" t="s">
        <v>285</v>
      </c>
      <c r="P26">
        <v>7</v>
      </c>
    </row>
    <row r="27" spans="1:16">
      <c r="A27" s="1">
        <v>46090</v>
      </c>
      <c r="B27">
        <v>17</v>
      </c>
      <c r="C27" t="s">
        <v>341</v>
      </c>
      <c r="D27" t="s">
        <v>342</v>
      </c>
      <c r="E27" s="7">
        <v>850</v>
      </c>
      <c r="F27" s="7">
        <v>833.5</v>
      </c>
      <c r="G27" s="7">
        <v>15.683</v>
      </c>
      <c r="H27" s="7">
        <v>1070.3</v>
      </c>
      <c r="I27" s="4">
        <v>0.28399999999999997</v>
      </c>
      <c r="J27" s="4">
        <f t="shared" si="0"/>
        <v>0.2841031793641271</v>
      </c>
      <c r="K27" s="4">
        <f t="shared" si="1"/>
        <v>-1.0317936412712614E-4</v>
      </c>
      <c r="L27" t="str">
        <f t="shared" si="2"/>
        <v>Alarme</v>
      </c>
      <c r="O27" t="s">
        <v>286</v>
      </c>
      <c r="P27">
        <v>6</v>
      </c>
    </row>
    <row r="28" spans="1:16">
      <c r="A28" s="1">
        <v>46090</v>
      </c>
      <c r="B28">
        <v>17</v>
      </c>
      <c r="C28" t="s">
        <v>343</v>
      </c>
      <c r="D28" t="s">
        <v>344</v>
      </c>
      <c r="E28" s="7">
        <v>600</v>
      </c>
      <c r="F28" s="7">
        <v>670</v>
      </c>
      <c r="G28" s="7">
        <v>11.695</v>
      </c>
      <c r="H28" s="7">
        <v>683.5</v>
      </c>
      <c r="I28" s="4">
        <v>0.02</v>
      </c>
      <c r="J28" s="4">
        <f t="shared" si="0"/>
        <v>2.0149253731343283E-2</v>
      </c>
      <c r="K28" s="4">
        <f t="shared" si="1"/>
        <v>-1.4925373134328304E-4</v>
      </c>
      <c r="L28" t="str">
        <f t="shared" si="2"/>
        <v>Regular</v>
      </c>
      <c r="O28" t="s">
        <v>286</v>
      </c>
      <c r="P28">
        <v>7</v>
      </c>
    </row>
    <row r="29" spans="1:16">
      <c r="A29" s="1">
        <v>46093</v>
      </c>
      <c r="B29">
        <v>18</v>
      </c>
      <c r="C29" t="s">
        <v>341</v>
      </c>
      <c r="D29" t="s">
        <v>342</v>
      </c>
      <c r="E29" s="7">
        <v>850</v>
      </c>
      <c r="F29" s="7">
        <v>833.5</v>
      </c>
      <c r="G29" s="7">
        <v>16.001999999999999</v>
      </c>
      <c r="H29" s="7">
        <v>1099.9000000000001</v>
      </c>
      <c r="I29" s="4">
        <v>0.32</v>
      </c>
      <c r="J29" s="4">
        <f t="shared" si="0"/>
        <v>0.31961607678464315</v>
      </c>
      <c r="K29" s="4">
        <f t="shared" si="1"/>
        <v>3.839232153568517E-4</v>
      </c>
      <c r="L29" t="str">
        <f t="shared" si="2"/>
        <v>Alarme</v>
      </c>
      <c r="O29" t="s">
        <v>287</v>
      </c>
      <c r="P29">
        <v>6</v>
      </c>
    </row>
    <row r="30" spans="1:16">
      <c r="A30" s="1">
        <v>46093</v>
      </c>
      <c r="B30">
        <v>18</v>
      </c>
      <c r="C30" t="s">
        <v>343</v>
      </c>
      <c r="D30" t="s">
        <v>344</v>
      </c>
      <c r="E30" s="7">
        <v>600</v>
      </c>
      <c r="F30" s="7">
        <v>670</v>
      </c>
      <c r="G30" s="7">
        <v>11.731</v>
      </c>
      <c r="H30" s="7">
        <v>686.8</v>
      </c>
      <c r="I30" s="4">
        <v>2.5000000000000001E-2</v>
      </c>
      <c r="J30" s="4">
        <f t="shared" si="0"/>
        <v>2.5074626865671575E-2</v>
      </c>
      <c r="K30" s="4">
        <f t="shared" si="1"/>
        <v>-7.4626865671573867E-5</v>
      </c>
      <c r="L30" t="str">
        <f t="shared" si="2"/>
        <v>Regular</v>
      </c>
      <c r="O30" t="s">
        <v>287</v>
      </c>
      <c r="P30">
        <v>7</v>
      </c>
    </row>
    <row r="31" spans="1:16">
      <c r="A31" s="1">
        <v>46097</v>
      </c>
      <c r="B31">
        <v>19</v>
      </c>
      <c r="C31" t="s">
        <v>341</v>
      </c>
      <c r="D31" t="s">
        <v>342</v>
      </c>
      <c r="E31" s="7">
        <v>850</v>
      </c>
      <c r="F31" s="7">
        <v>833.5</v>
      </c>
      <c r="G31" s="7">
        <v>15.927</v>
      </c>
      <c r="H31" s="7">
        <v>1092.9000000000001</v>
      </c>
      <c r="I31" s="4">
        <v>0.311</v>
      </c>
      <c r="J31" s="4">
        <f t="shared" si="0"/>
        <v>0.31121775644871036</v>
      </c>
      <c r="K31" s="4">
        <f t="shared" si="1"/>
        <v>-2.1775644871036004E-4</v>
      </c>
      <c r="L31" t="str">
        <f t="shared" si="2"/>
        <v>Alarme</v>
      </c>
      <c r="O31" t="s">
        <v>288</v>
      </c>
      <c r="P31">
        <v>6</v>
      </c>
    </row>
    <row r="32" spans="1:16">
      <c r="A32" s="1">
        <v>46097</v>
      </c>
      <c r="B32">
        <v>19</v>
      </c>
      <c r="C32" t="s">
        <v>343</v>
      </c>
      <c r="D32" t="s">
        <v>344</v>
      </c>
      <c r="E32" s="7">
        <v>600</v>
      </c>
      <c r="F32" s="7">
        <v>670</v>
      </c>
      <c r="G32" s="7">
        <v>11.71</v>
      </c>
      <c r="H32" s="7">
        <v>684.8</v>
      </c>
      <c r="I32" s="4">
        <v>2.1999999999999999E-2</v>
      </c>
      <c r="J32" s="4">
        <f t="shared" si="0"/>
        <v>2.2089552238805901E-2</v>
      </c>
      <c r="K32" s="4">
        <f t="shared" si="1"/>
        <v>-8.9552238805901824E-5</v>
      </c>
      <c r="L32" t="str">
        <f t="shared" si="2"/>
        <v>Regular</v>
      </c>
      <c r="O32" t="s">
        <v>288</v>
      </c>
      <c r="P32">
        <v>7</v>
      </c>
    </row>
  </sheetData>
  <conditionalFormatting sqref="L2:L6">
    <cfRule type="expression" dxfId="16" priority="1">
      <formula>$L2="Regular"</formula>
    </cfRule>
    <cfRule type="expression" dxfId="15" priority="2">
      <formula>$L2="Alerta"</formula>
    </cfRule>
    <cfRule type="expression" dxfId="14" priority="3">
      <formula>$L2="Alarme"</formula>
    </cfRule>
  </conditionalFormatting>
  <conditionalFormatting sqref="L2:L14">
    <cfRule type="expression" dxfId="13" priority="4">
      <formula>$L2="Regular"</formula>
    </cfRule>
    <cfRule type="expression" dxfId="12" priority="5">
      <formula>$L2="Alerta"</formula>
    </cfRule>
    <cfRule type="expression" dxfId="11" priority="6">
      <formula>$L2="Alarme"</formula>
    </cfRule>
    <cfRule type="expression" dxfId="10" priority="7">
      <formula>$L2="Sem leitura"</formula>
    </cfRule>
  </conditionalFormatting>
  <conditionalFormatting sqref="L2:L22">
    <cfRule type="expression" dxfId="9" priority="11">
      <formula>$L2="Regular"</formula>
    </cfRule>
    <cfRule type="expression" dxfId="8" priority="12">
      <formula>$L2="Alerta"</formula>
    </cfRule>
    <cfRule type="expression" dxfId="7" priority="13">
      <formula>$L2="Alarme"</formula>
    </cfRule>
    <cfRule type="expression" dxfId="6" priority="14">
      <formula>$L2="Sem leitura"</formula>
    </cfRule>
  </conditionalFormatting>
  <conditionalFormatting sqref="L15:L22">
    <cfRule type="expression" dxfId="5" priority="8">
      <formula>L15="Regular"</formula>
    </cfRule>
    <cfRule type="expression" dxfId="4" priority="9">
      <formula>L15="Alerta"</formula>
    </cfRule>
    <cfRule type="expression" dxfId="3" priority="10">
      <formula>L15="Alarme"</formula>
    </cfRule>
  </conditionalFormatting>
  <conditionalFormatting sqref="L23:L32">
    <cfRule type="expression" dxfId="2" priority="15">
      <formula>$L23="Regular"</formula>
    </cfRule>
    <cfRule type="expression" dxfId="1" priority="16">
      <formula>$L23="Alerta"</formula>
    </cfRule>
    <cfRule type="expression" dxfId="0" priority="17">
      <formula>$L23="Alarme"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defaultRowHeight="13.8"/>
  <cols>
    <col min="1" max="1" width="8" customWidth="1"/>
    <col min="2" max="2" width="22" customWidth="1"/>
    <col min="3" max="4" width="65" customWidth="1"/>
  </cols>
  <sheetData>
    <row r="1" spans="1:4" ht="25.65" customHeight="1">
      <c r="A1" s="5" t="s">
        <v>345</v>
      </c>
      <c r="B1" s="5" t="s">
        <v>53</v>
      </c>
      <c r="C1" s="5" t="s">
        <v>346</v>
      </c>
      <c r="D1" s="5" t="s">
        <v>347</v>
      </c>
    </row>
    <row r="2" spans="1:4" ht="36" customHeight="1">
      <c r="A2" s="9">
        <v>1</v>
      </c>
      <c r="B2" s="9" t="s">
        <v>191</v>
      </c>
      <c r="C2" s="9" t="s">
        <v>348</v>
      </c>
      <c r="D2" s="9" t="s">
        <v>349</v>
      </c>
    </row>
    <row r="3" spans="1:4" ht="36" customHeight="1">
      <c r="A3" s="9">
        <v>2</v>
      </c>
      <c r="B3" s="9" t="s">
        <v>201</v>
      </c>
      <c r="C3" s="9" t="s">
        <v>350</v>
      </c>
      <c r="D3" s="9" t="s">
        <v>351</v>
      </c>
    </row>
    <row r="4" spans="1:4" ht="36" customHeight="1">
      <c r="A4" s="9">
        <v>3</v>
      </c>
      <c r="B4" s="9" t="s">
        <v>201</v>
      </c>
      <c r="C4" s="9" t="s">
        <v>352</v>
      </c>
      <c r="D4" s="9" t="s">
        <v>353</v>
      </c>
    </row>
    <row r="5" spans="1:4" ht="36" customHeight="1">
      <c r="A5" s="9">
        <v>4</v>
      </c>
      <c r="B5" s="9" t="s">
        <v>101</v>
      </c>
      <c r="C5" s="9" t="s">
        <v>354</v>
      </c>
      <c r="D5" s="9" t="s">
        <v>355</v>
      </c>
    </row>
    <row r="6" spans="1:4" ht="36" customHeight="1">
      <c r="A6" s="9">
        <v>5</v>
      </c>
      <c r="B6" s="9" t="s">
        <v>107</v>
      </c>
      <c r="C6" s="9" t="s">
        <v>356</v>
      </c>
      <c r="D6" s="9" t="s">
        <v>357</v>
      </c>
    </row>
    <row r="7" spans="1:4" ht="36" customHeight="1">
      <c r="A7" s="9">
        <v>6</v>
      </c>
      <c r="B7" s="9" t="s">
        <v>107</v>
      </c>
      <c r="C7" s="9" t="s">
        <v>358</v>
      </c>
      <c r="D7" s="9" t="s">
        <v>359</v>
      </c>
    </row>
    <row r="8" spans="1:4" ht="36" customHeight="1">
      <c r="A8" s="9">
        <v>8</v>
      </c>
      <c r="B8" s="9" t="s">
        <v>191</v>
      </c>
      <c r="C8" s="9" t="s">
        <v>360</v>
      </c>
      <c r="D8" s="9" t="s">
        <v>361</v>
      </c>
    </row>
    <row r="9" spans="1:4" ht="38.4" customHeight="1">
      <c r="A9" s="9">
        <v>9</v>
      </c>
      <c r="B9" s="9" t="s">
        <v>362</v>
      </c>
      <c r="C9" s="9" t="s">
        <v>363</v>
      </c>
      <c r="D9" s="9" t="s">
        <v>364</v>
      </c>
    </row>
    <row r="10" spans="1:4" ht="38.4" customHeight="1">
      <c r="A10" s="9">
        <v>10</v>
      </c>
      <c r="B10" s="9" t="s">
        <v>201</v>
      </c>
      <c r="C10" s="9" t="s">
        <v>365</v>
      </c>
      <c r="D10" s="9" t="s">
        <v>366</v>
      </c>
    </row>
    <row r="11" spans="1:4" ht="38.4" customHeight="1">
      <c r="A11" s="9">
        <v>11</v>
      </c>
      <c r="B11" s="9" t="s">
        <v>212</v>
      </c>
      <c r="C11" s="9" t="s">
        <v>367</v>
      </c>
      <c r="D11" s="9" t="s">
        <v>368</v>
      </c>
    </row>
    <row r="12" spans="1:4" ht="38.4" customHeight="1">
      <c r="A12" s="9">
        <v>12</v>
      </c>
      <c r="B12" s="9" t="s">
        <v>191</v>
      </c>
      <c r="C12" s="9" t="s">
        <v>369</v>
      </c>
      <c r="D12" s="9" t="s">
        <v>370</v>
      </c>
    </row>
    <row r="13" spans="1:4" ht="38.4" customHeight="1">
      <c r="A13" s="9">
        <v>13</v>
      </c>
      <c r="B13" s="9" t="s">
        <v>362</v>
      </c>
      <c r="C13" s="9" t="s">
        <v>371</v>
      </c>
      <c r="D13" s="9" t="s">
        <v>372</v>
      </c>
    </row>
    <row r="14" spans="1:4" ht="43.2" customHeight="1">
      <c r="A14" s="9">
        <v>14</v>
      </c>
      <c r="B14" s="9" t="s">
        <v>201</v>
      </c>
      <c r="C14" s="9" t="s">
        <v>373</v>
      </c>
      <c r="D14" s="9" t="s">
        <v>374</v>
      </c>
    </row>
    <row r="15" spans="1:4" ht="43.2" customHeight="1">
      <c r="A15" s="9">
        <v>15</v>
      </c>
      <c r="B15" s="9" t="s">
        <v>362</v>
      </c>
      <c r="C15" s="9" t="s">
        <v>375</v>
      </c>
      <c r="D15" s="9" t="s">
        <v>376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3.8"/>
  <cols>
    <col min="1" max="1" width="25" customWidth="1"/>
    <col min="2" max="2" width="32" customWidth="1"/>
    <col min="3" max="3" width="78" customWidth="1"/>
    <col min="4" max="4" width="22" customWidth="1"/>
  </cols>
  <sheetData>
    <row r="1" spans="1:4" ht="25.65" customHeight="1">
      <c r="A1" s="5" t="s">
        <v>377</v>
      </c>
      <c r="B1" s="5" t="s">
        <v>378</v>
      </c>
      <c r="C1" s="5" t="s">
        <v>379</v>
      </c>
      <c r="D1" s="5" t="s">
        <v>380</v>
      </c>
    </row>
    <row r="2" spans="1:4" ht="31.95" customHeight="1">
      <c r="A2" s="9" t="s">
        <v>381</v>
      </c>
      <c r="B2" s="9" t="s">
        <v>382</v>
      </c>
      <c r="C2" s="9" t="s">
        <v>383</v>
      </c>
      <c r="D2" s="9" t="s">
        <v>384</v>
      </c>
    </row>
    <row r="3" spans="1:4" ht="31.95" customHeight="1">
      <c r="A3" s="9" t="s">
        <v>385</v>
      </c>
      <c r="B3" s="9" t="s">
        <v>386</v>
      </c>
      <c r="C3" s="9" t="s">
        <v>387</v>
      </c>
      <c r="D3" s="9" t="s">
        <v>388</v>
      </c>
    </row>
    <row r="4" spans="1:4" ht="31.95" customHeight="1">
      <c r="A4" s="9" t="s">
        <v>389</v>
      </c>
      <c r="B4" s="9" t="s">
        <v>390</v>
      </c>
      <c r="C4" s="9" t="s">
        <v>391</v>
      </c>
      <c r="D4" s="9" t="s">
        <v>97</v>
      </c>
    </row>
    <row r="5" spans="1:4" ht="31.95" customHeight="1">
      <c r="A5" s="9" t="s">
        <v>389</v>
      </c>
      <c r="B5" s="9" t="s">
        <v>392</v>
      </c>
      <c r="C5" s="9" t="s">
        <v>393</v>
      </c>
      <c r="D5" s="9" t="s">
        <v>97</v>
      </c>
    </row>
    <row r="6" spans="1:4" ht="31.95" customHeight="1">
      <c r="A6" s="9" t="s">
        <v>389</v>
      </c>
      <c r="B6" s="9" t="s">
        <v>394</v>
      </c>
      <c r="C6" s="9" t="s">
        <v>395</v>
      </c>
      <c r="D6" s="9" t="s">
        <v>97</v>
      </c>
    </row>
    <row r="7" spans="1:4" ht="31.95" customHeight="1">
      <c r="A7" s="9" t="s">
        <v>389</v>
      </c>
      <c r="B7" s="9" t="s">
        <v>65</v>
      </c>
      <c r="C7" s="9" t="s">
        <v>396</v>
      </c>
      <c r="D7" s="9" t="s">
        <v>397</v>
      </c>
    </row>
    <row r="8" spans="1:4" ht="31.95" customHeight="1">
      <c r="A8" s="9" t="s">
        <v>398</v>
      </c>
      <c r="B8" s="9" t="s">
        <v>399</v>
      </c>
      <c r="C8" s="9" t="s">
        <v>400</v>
      </c>
      <c r="D8" s="9" t="s">
        <v>401</v>
      </c>
    </row>
    <row r="9" spans="1:4" ht="31.95" customHeight="1">
      <c r="A9" s="9" t="s">
        <v>402</v>
      </c>
      <c r="B9" s="9" t="s">
        <v>403</v>
      </c>
      <c r="C9" s="9" t="s">
        <v>404</v>
      </c>
      <c r="D9" s="9" t="s">
        <v>405</v>
      </c>
    </row>
    <row r="10" spans="1:4" ht="31.95" customHeight="1">
      <c r="A10" s="9" t="s">
        <v>406</v>
      </c>
      <c r="B10" s="9" t="s">
        <v>407</v>
      </c>
      <c r="C10" s="9" t="s">
        <v>408</v>
      </c>
      <c r="D10" s="9" t="s">
        <v>105</v>
      </c>
    </row>
    <row r="11" spans="1:4" ht="31.95" customHeight="1">
      <c r="A11" s="9" t="s">
        <v>406</v>
      </c>
      <c r="B11" s="9" t="s">
        <v>409</v>
      </c>
      <c r="C11" s="9" t="s">
        <v>410</v>
      </c>
      <c r="D11" s="9" t="s">
        <v>105</v>
      </c>
    </row>
    <row r="12" spans="1:4" ht="31.95" customHeight="1">
      <c r="A12" s="9" t="s">
        <v>411</v>
      </c>
      <c r="B12" s="9" t="s">
        <v>337</v>
      </c>
      <c r="C12" s="9" t="s">
        <v>412</v>
      </c>
      <c r="D12" s="9" t="s">
        <v>413</v>
      </c>
    </row>
    <row r="13" spans="1:4" ht="31.95" customHeight="1">
      <c r="A13" s="9" t="s">
        <v>411</v>
      </c>
      <c r="B13" s="9" t="s">
        <v>65</v>
      </c>
      <c r="C13" s="9" t="s">
        <v>414</v>
      </c>
      <c r="D13" s="9" t="s">
        <v>397</v>
      </c>
    </row>
    <row r="14" spans="1:4" ht="31.95" customHeight="1">
      <c r="A14" s="9" t="s">
        <v>415</v>
      </c>
      <c r="B14" s="9" t="s">
        <v>416</v>
      </c>
      <c r="C14" s="9" t="s">
        <v>417</v>
      </c>
      <c r="D14" s="9" t="s">
        <v>418</v>
      </c>
    </row>
    <row r="15" spans="1:4" ht="33.6" customHeight="1">
      <c r="A15" s="9" t="s">
        <v>389</v>
      </c>
      <c r="B15" s="9" t="s">
        <v>419</v>
      </c>
      <c r="C15" s="9" t="s">
        <v>420</v>
      </c>
      <c r="D15" s="9" t="s">
        <v>397</v>
      </c>
    </row>
    <row r="16" spans="1:4" ht="33.6" customHeight="1">
      <c r="A16" s="9" t="s">
        <v>389</v>
      </c>
      <c r="B16" s="9" t="s">
        <v>421</v>
      </c>
      <c r="C16" s="9" t="s">
        <v>422</v>
      </c>
      <c r="D16" s="9" t="s">
        <v>97</v>
      </c>
    </row>
    <row r="17" spans="1:4" ht="33.6" customHeight="1">
      <c r="A17" s="9" t="s">
        <v>389</v>
      </c>
      <c r="B17" s="9" t="s">
        <v>423</v>
      </c>
      <c r="C17" s="9" t="s">
        <v>424</v>
      </c>
      <c r="D17" s="9" t="s">
        <v>97</v>
      </c>
    </row>
    <row r="18" spans="1:4" ht="33.6" customHeight="1">
      <c r="A18" s="9" t="s">
        <v>402</v>
      </c>
      <c r="B18" s="9" t="s">
        <v>425</v>
      </c>
      <c r="C18" s="9" t="s">
        <v>426</v>
      </c>
      <c r="D18" s="9" t="s">
        <v>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Resumo</vt:lpstr>
      <vt:lpstr>Instrumentos</vt:lpstr>
      <vt:lpstr>Campanhas</vt:lpstr>
      <vt:lpstr>Alvos_Topograficos</vt:lpstr>
      <vt:lpstr>Inclinometros_Resumo</vt:lpstr>
      <vt:lpstr>Inclinometros_Perfis</vt:lpstr>
      <vt:lpstr>Piezometros</vt:lpstr>
      <vt:lpstr>Celulas_Carga</vt:lpstr>
      <vt:lpstr>Qualidade_Dados</vt:lpstr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Carvalho</cp:lastModifiedBy>
  <dcterms:modified xsi:type="dcterms:W3CDTF">2026-08-12T16:51:19Z</dcterms:modified>
</cp:coreProperties>
</file>