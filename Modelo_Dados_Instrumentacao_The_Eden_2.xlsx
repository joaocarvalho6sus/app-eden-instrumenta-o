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fe9d5ab11344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b0d419db2eff4dcb"/>
    <x:sheet xmlns:r="http://schemas.openxmlformats.org/officeDocument/2006/relationships" name="Instrumentos" sheetId="2" r:id="R029189143be147ee"/>
    <x:sheet xmlns:r="http://schemas.openxmlformats.org/officeDocument/2006/relationships" name="Campanhas" sheetId="3" r:id="R5c809b14df2e41cd"/>
    <x:sheet xmlns:r="http://schemas.openxmlformats.org/officeDocument/2006/relationships" name="Alvos_Topograficos" sheetId="4" r:id="R23130fb122a34754"/>
    <x:sheet xmlns:r="http://schemas.openxmlformats.org/officeDocument/2006/relationships" name="Inclinometros_Resumo" sheetId="5" r:id="Rf350a60b59404fbc"/>
    <x:sheet xmlns:r="http://schemas.openxmlformats.org/officeDocument/2006/relationships" name="Inclinometros_Perfis" sheetId="6" r:id="R6e117c9fa66c45fd"/>
    <x:sheet xmlns:r="http://schemas.openxmlformats.org/officeDocument/2006/relationships" name="Piezometros" sheetId="7" r:id="R1ab629c74c9e4284"/>
    <x:sheet xmlns:r="http://schemas.openxmlformats.org/officeDocument/2006/relationships" name="Celulas_Carga" sheetId="8" r:id="R808a88fba87c472b"/>
    <x:sheet xmlns:r="http://schemas.openxmlformats.org/officeDocument/2006/relationships" name="Qualidade_Dados" sheetId="9" r:id="Ra75b25335f4542a4"/>
    <x:sheet xmlns:r="http://schemas.openxmlformats.org/officeDocument/2006/relationships" name="Dicionario_Dados" sheetId="10" r:id="R6222c97255ff48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0.00 &quot;mm&quot;"/>
    <x:numFmt numFmtId="202" formatCode="0.0%"/>
    <x:numFmt numFmtId="203" formatCode="dd/mm/yyyy"/>
    <x:numFmt numFmtId="204" formatCode="0.00"/>
    <x:numFmt numFmtId="205" formatCode="0.0"/>
    <x:numFmt numFmtId="206" formatCode="0.0000"/>
    <x:numFmt numFmtId="207" formatCode="0.000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1F1F"/>
      <x:name val="Carlito"/>
    </x:font>
    <x:font>
      <x:b/>
      <x:sz val="11"/>
      <x:color rgb="FFFFFFFF"/>
      <x:name val="Carlito"/>
    </x:font>
    <x:font>
      <x:b/>
      <x:sz val="18"/>
      <x:color rgb="FF1F4E78"/>
      <x:name val="Carlito"/>
    </x:font>
    <x:font>
      <x:b/>
      <x:sz val="11"/>
      <x:color rgb="FF40404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EAF2F8"/>
      </x:patternFill>
    </x:fill>
    <x:fill>
      <x:patternFill patternType="solid">
        <x:fgColor rgb="FFF2F2F2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</x:fills>
  <x:borders count="2">
    <x:border/>
    <x:border/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200" fontId="4" fillId="5" borderId="0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1" fontId="4" fillId="5" borderId="0" xfId="0" applyNumberFormat="1" applyFont="1" applyFill="1" applyBorder="1" applyAlignment="1">
      <x:alignment horizontal="center" vertical="center"/>
    </x:xf>
    <x:xf numFmtId="201" fontId="4" fillId="5" borderId="1" xfId="0" applyNumberFormat="1" applyFont="1" applyFill="1" applyBorder="1" applyAlignment="1">
      <x:alignment horizontal="center" vertical="center"/>
    </x:xf>
    <x:xf numFmtId="202" fontId="4" fillId="5" borderId="0" xfId="0" applyNumberFormat="1" applyFont="1" applyFill="1" applyBorder="1" applyAlignment="1">
      <x:alignment horizontal="center" vertical="center"/>
    </x:xf>
    <x:xf numFmtId="202" fontId="4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206" fontId="0" fillId="0" borderId="0" xfId="0" applyNumberFormat="1" applyFont="1" applyFill="1" applyBorder="1"/>
    <x:xf numFmtId="206" fontId="0" fillId="0" borderId="1" xfId="0" applyNumberFormat="1" applyFont="1" applyFill="1" applyBorder="1"/>
    <x:xf numFmtId="207" fontId="0" fillId="0" borderId="0" xfId="0" applyNumberFormat="1" applyFont="1" applyFill="1" applyBorder="1"/>
    <x:xf numFmtId="207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8"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6500"/>
      </x:font>
      <x:fill>
        <x:patternFill>
          <x:bgColor rgb="FFFFEB9C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6500"/>
      </x:font>
      <x:fill>
        <x:patternFill>
          <x:bgColor rgb="FFFFEB9C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6500"/>
      </x:font>
      <x:fill>
        <x:patternFill patternType="solid">
          <x:bgColor rgb="FFFFEB9C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i/>
        <x:color rgb="FF44546A"/>
      </x:font>
      <x:fill>
        <x:patternFill patternType="solid">
          <x:bgColor rgb="FFD9E1F2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6500"/>
      </x:font>
      <x:fill>
        <x:patternFill patternType="solid">
          <x:bgColor rgb="FFFFEB9C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i/>
        <x:color rgb="FF44546A"/>
      </x:font>
      <x:fill>
        <x:patternFill patternType="solid">
          <x:bgColor rgb="FFD9E1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38a8aa6dc64222" /><Relationship Type="http://schemas.openxmlformats.org/officeDocument/2006/relationships/theme" Target="/xl/theme/theme1.xml" Id="Rf26b122efc7c4503" /><Relationship Type="http://schemas.openxmlformats.org/officeDocument/2006/relationships/sharedStrings" Target="/xl/sharedStrings.xml" Id="R91ef65b83b204095" /><Relationship Type="http://schemas.openxmlformats.org/officeDocument/2006/relationships/worksheet" Target="/xl/worksheets/sheet1.xml" Id="Rb0d419db2eff4dcb" /><Relationship Type="http://schemas.openxmlformats.org/officeDocument/2006/relationships/worksheet" Target="/xl/worksheets/sheet2.xml" Id="R029189143be147ee" /><Relationship Type="http://schemas.openxmlformats.org/officeDocument/2006/relationships/worksheet" Target="/xl/worksheets/sheet3.xml" Id="R5c809b14df2e41cd" /><Relationship Type="http://schemas.openxmlformats.org/officeDocument/2006/relationships/worksheet" Target="/xl/worksheets/sheet4.xml" Id="R23130fb122a34754" /><Relationship Type="http://schemas.openxmlformats.org/officeDocument/2006/relationships/worksheet" Target="/xl/worksheets/sheet5.xml" Id="Rf350a60b59404fbc" /><Relationship Type="http://schemas.openxmlformats.org/officeDocument/2006/relationships/worksheet" Target="/xl/worksheets/sheet6.xml" Id="R6e117c9fa66c45fd" /><Relationship Type="http://schemas.openxmlformats.org/officeDocument/2006/relationships/worksheet" Target="/xl/worksheets/sheet7.xml" Id="R1ab629c74c9e4284" /><Relationship Type="http://schemas.openxmlformats.org/officeDocument/2006/relationships/worksheet" Target="/xl/worksheets/sheet8.xml" Id="R808a88fba87c472b" /><Relationship Type="http://schemas.openxmlformats.org/officeDocument/2006/relationships/worksheet" Target="/xl/worksheets/sheet9.xml" Id="Ra75b25335f4542a4" /><Relationship Type="http://schemas.openxmlformats.org/officeDocument/2006/relationships/worksheet" Target="/xl/worksheets/sheet10.xml" Id="R6222c97255ff48f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86f2317f9748e1" /><Relationship Type="http://schemas.openxmlformats.org/officeDocument/2006/relationships/chart" Target="/xl/drawings/charts/chart2.xml" Id="R26afd93d57214847" /><Relationship Type="http://schemas.openxmlformats.org/officeDocument/2006/relationships/chart" Target="/xl/drawings/charts/chart3.xml" Id="R8912edebb2ff4a70" /><Relationship Type="http://schemas.openxmlformats.org/officeDocument/2006/relationships/chart" Target="/xl/drawings/charts/chart4.xml" Id="R6cfdf27243564bd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Máximos da monitorização topográfica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Máx. H (mm)</c:v>
          </c:tx>
          <c:cat>
            <c:strRef>
              <c:f>'Resumo'!$P$2:$P$11</c:f>
              <c:strCache>
                <c:ptCount val="0"/>
              </c:strCache>
            </c:strRef>
          </c:cat>
          <c:val>
            <c:numRef>
              <c:f>'Resumo'!$Q$2:$Q$11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Máx. V (mm)</c:v>
          </c:tx>
          <c:cat>
            <c:strRef>
              <c:f>'Resumo'!$P$2:$P$11</c:f>
              <c:strCache>
                <c:ptCount val="0"/>
              </c:strCache>
            </c:strRef>
          </c:cat>
          <c:val>
            <c:numRef>
              <c:f>'Resumo'!$R$2:$R$11</c:f>
              <c:numCache>
                <c:formatCode>0.00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Máximo acumulado por inclinómetro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I1 (mm)</c:v>
          </c:tx>
          <c:cat>
            <c:strRef>
              <c:f>'Resumo'!$T$2:$T$11</c:f>
              <c:strCache>
                <c:ptCount val="0"/>
              </c:strCache>
            </c:strRef>
          </c:cat>
          <c:val>
            <c:numRef>
              <c:f>'Resumo'!$U$2:$U$11</c:f>
              <c:numCache>
                <c:formatCode>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I2 (mm)</c:v>
          </c:tx>
          <c:cat>
            <c:strRef>
              <c:f>'Resumo'!$T$2:$T$11</c:f>
              <c:strCache>
                <c:ptCount val="0"/>
              </c:strCache>
            </c:strRef>
          </c:cat>
          <c:val>
            <c:numRef>
              <c:f>'Resumo'!$V$2:$V$11</c:f>
              <c:numCache>
                <c:formatCode>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I3 (mm)</c:v>
          </c:tx>
          <c:cat>
            <c:strRef>
              <c:f>'Resumo'!$T$2:$T$11</c:f>
              <c:strCache>
                <c:ptCount val="0"/>
              </c:strCache>
            </c:strRef>
          </c:cat>
          <c:val>
            <c:numRef>
              <c:f>'Resumo'!$W$2:$W$11</c:f>
              <c:numCache>
                <c:formatCode>0.00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Evolução do nível piezométrico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Cota da água (m)</c:v>
          </c:tx>
          <c:cat>
            <c:strRef>
              <c:f>'Resumo'!$Y$2:$Y$11</c:f>
              <c:strCache>
                <c:ptCount val="0"/>
              </c:strCache>
            </c:strRef>
          </c:cat>
          <c:val>
            <c:numRef>
              <c:f>'Resumo'!$Z$2:$Z$11</c:f>
              <c:numCache>
                <c:formatCode>0.00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Evolução da carga na ancoragem A26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A26 (kN)</c:v>
          </c:tx>
          <c:cat>
            <c:strRef>
              <c:f>'Resumo'!$AB$2:$AB$11</c:f>
              <c:strCache>
                <c:ptCount val="0"/>
              </c:strCache>
            </c:strRef>
          </c:cat>
          <c:val>
            <c:numRef>
              <c:f>'Resumo'!$AC$2:$AC$11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86f2317f9748e1"/>
        </a:graphicData>
      </a:graphic>
    </xdr:graphicFrame>
    <xdr:clientData/>
  </xdr:twoCellAnchor>
  <xdr:twoCellAnchor>
    <xdr:from>
      <xdr:col>7</xdr:col>
      <xdr:colOff>0</xdr:colOff>
      <xdr:row>9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afd93d57214847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7</xdr:col>
      <xdr:colOff>0</xdr:colOff>
      <xdr:row>40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12edebb2ff4a70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fdf27243564bd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belaInstrumentos" displayName="TabelaInstrumentos" ref="A1:O44" headerRowCount="1">
  <x:tableColumns count="15">
    <x:tableColumn id="1" name="Tipo"/>
    <x:tableColumn id="2" name="ID"/>
    <x:tableColumn id="3" name="Localização / elemento"/>
    <x:tableColumn id="4" name="Grandeza observada"/>
    <x:tableColumn id="5" name="Unidade"/>
    <x:tableColumn id="6" name="M inicial"/>
    <x:tableColumn id="7" name="P inicial"/>
    <x:tableColumn id="8" name="Z / cota inicial"/>
    <x:tableColumn id="9" name="Profundidade / comprimento (m)"/>
    <x:tableColumn id="10" name="Stick-up (m)"/>
    <x:tableColumn id="11" name="Azimute A+ (°)"/>
    <x:tableColumn id="12" name="Blocagem (kN)"/>
    <x:tableColumn id="13" name="Estado"/>
    <x:tableColumn id="14" name="Ficheiro fonte"/>
    <x:tableColumn id="15" name="Página"/>
  </x:tableColumns>
  <x:tableStyleInfo name="TableStyleMedium2" showRowStripes="1"/>
</x:table>
</file>

<file path=xl/tables/table2.xml><?xml version="1.0" encoding="utf-8"?>
<x:table xmlns:x="http://schemas.openxmlformats.org/spreadsheetml/2006/main" id="2" name="TabelaCampanhas" displayName="TabelaCampanhas" ref="A1:E41" headerRowCount="1">
  <x:tableColumns count="5">
    <x:tableColumn id="1" name="Tipo de instrumentação"/>
    <x:tableColumn id="2" name="Campanha"/>
    <x:tableColumn id="3" name="Data"/>
    <x:tableColumn id="4" name="Relatório"/>
    <x:tableColumn id="5" name="Ficheiro fonte"/>
  </x:tableColumns>
  <x:tableStyleInfo name="TableStyleMedium2" showRowStripes="1"/>
</x:table>
</file>

<file path=xl/tables/table3.xml><?xml version="1.0" encoding="utf-8"?>
<x:table xmlns:x="http://schemas.openxmlformats.org/spreadsheetml/2006/main" id="3" name="TabelaAlvos" displayName="TabelaAlvos" ref="A1:T247" headerRowCount="1">
  <x:tableColumns count="20">
    <x:tableColumn id="1" name="Data"/>
    <x:tableColumn id="2" name="Campanha"/>
    <x:tableColumn id="3" name="Alvo"/>
    <x:tableColumn id="4" name="Edifício / elemento"/>
    <x:tableColumn id="5" name="M0 (m)"/>
    <x:tableColumn id="6" name="P0 (m)"/>
    <x:tableColumn id="7" name="Z0 (m)"/>
    <x:tableColumn id="8" name="M atual (m)"/>
    <x:tableColumn id="9" name="P atual (m)"/>
    <x:tableColumn id="10" name="Z atual (m)"/>
    <x:tableColumn id="11" name="ΔM incremental (mm)"/>
    <x:tableColumn id="12" name="ΔP incremental (mm)"/>
    <x:tableColumn id="13" name="ΔZ incremental (mm)"/>
    <x:tableColumn id="14" name="ΔM acumulado (mm)"/>
    <x:tableColumn id="15" name="ΔP acumulado (mm)"/>
    <x:tableColumn id="16" name="ΔZ acumulado (mm)"/>
    <x:tableColumn id="17" name="Desloc. horizontal acumulado (mm)"/>
    <x:tableColumn id="18" name="Estado"/>
    <x:tableColumn id="19" name="Ficheiro fonte"/>
    <x:tableColumn id="20" name="Página"/>
  </x:tableColumns>
  <x:tableStyleInfo name="TableStyleMedium2" showRowStripes="1"/>
</x:table>
</file>

<file path=xl/tables/table4.xml><?xml version="1.0" encoding="utf-8"?>
<x:table xmlns:x="http://schemas.openxmlformats.org/spreadsheetml/2006/main" id="4" name="TabelaResumoInclinometros" displayName="TabelaResumoInclinometros" ref="A1:L30" headerRowCount="1">
  <x:tableColumns count="12">
    <x:tableColumn id="1" name="Data"/>
    <x:tableColumn id="2" name="Campanha geral"/>
    <x:tableColumn id="3" name="Inclinómetro"/>
    <x:tableColumn id="4" name="Leitura do instrumento"/>
    <x:tableColumn id="5" name="Máx. desloc. acumulado total (mm)"/>
    <x:tableColumn id="6" name="Profundidade do máximo (m)"/>
    <x:tableColumn id="7" name="Desl. A no máximo (mm)"/>
    <x:tableColumn id="8" name="Desl. B no máximo (mm)"/>
    <x:tableColumn id="9" name="Máx. |desloc. parcial| (mm)"/>
    <x:tableColumn id="10" name="Profundidade do máx. parcial (m)"/>
    <x:tableColumn id="11" name="Ficheiro fonte"/>
    <x:tableColumn id="12" name="Página"/>
  </x:tableColumns>
  <x:tableStyleInfo name="TableStyleMedium2" showRowStripes="1"/>
</x:table>
</file>

<file path=xl/tables/table5.xml><?xml version="1.0" encoding="utf-8"?>
<x:table xmlns:x="http://schemas.openxmlformats.org/spreadsheetml/2006/main" id="5" name="TabelaPerfisInclinometros" displayName="TabelaPerfisInclinometros" ref="A1:O1423" headerRowCount="1">
  <x:tableColumns count="15">
    <x:tableColumn id="1" name="Data"/>
    <x:tableColumn id="2" name="Campanha geral"/>
    <x:tableColumn id="3" name="Inclinómetro"/>
    <x:tableColumn id="4" name="Leitura do instrumento"/>
    <x:tableColumn id="5" name="Profundidade (m)"/>
    <x:tableColumn id="6" name="A1 (digit)"/>
    <x:tableColumn id="7" name="A3 (digit)"/>
    <x:tableColumn id="8" name="B1 (digit)"/>
    <x:tableColumn id="9" name="B3 (digit)"/>
    <x:tableColumn id="10" name="Desl. acumulado A (mm)"/>
    <x:tableColumn id="11" name="Desl. acumulado B (mm)"/>
    <x:tableColumn id="12" name="Desl. acumulado total (mm)"/>
    <x:tableColumn id="13" name="Desl. parcial (mm)"/>
    <x:tableColumn id="14" name="Ficheiro fonte"/>
    <x:tableColumn id="15" name="Página"/>
  </x:tableColumns>
  <x:tableStyleInfo name="TableStyleMedium2" showRowStripes="1"/>
</x:table>
</file>

<file path=xl/tables/table6.xml><?xml version="1.0" encoding="utf-8"?>
<x:table xmlns:x="http://schemas.openxmlformats.org/spreadsheetml/2006/main" id="6" name="TabelaPiezometros" displayName="TabelaPiezometros" ref="A1:L11" headerRowCount="1">
  <x:tableColumns count="12">
    <x:tableColumn id="1" name="Data"/>
    <x:tableColumn id="2" name="Campanha"/>
    <x:tableColumn id="3" name="Piezómetro"/>
    <x:tableColumn id="4" name="Cota da boca (m)"/>
    <x:tableColumn id="5" name="Profundidade reportada com sinal (m)"/>
    <x:tableColumn id="6" name="Profundidade abaixo da boca (m)"/>
    <x:tableColumn id="7" name="Cota da água reportada (m)"/>
    <x:tableColumn id="8" name="Cota da água calculada (m)"/>
    <x:tableColumn id="9" name="Diferença reportado-calculado (m)"/>
    <x:tableColumn id="10" name="Comprimento (m)"/>
    <x:tableColumn id="11" name="Ficheiro fonte"/>
    <x:tableColumn id="12" name="Página"/>
  </x:tableColumns>
  <x:tableStyleInfo name="TableStyleMedium2" showRowStripes="1"/>
</x:table>
</file>

<file path=xl/tables/table7.xml><?xml version="1.0" encoding="utf-8"?>
<x:table xmlns:x="http://schemas.openxmlformats.org/spreadsheetml/2006/main" id="7" name="TabelaCelulasCarga" displayName="TabelaCelulasCarga" ref="A1:P14" headerRowCount="1">
  <x:tableColumns count="16">
    <x:tableColumn id="1" name="Data"/>
    <x:tableColumn id="2" name="Campanha"/>
    <x:tableColumn id="3" name="Ancoragem"/>
    <x:tableColumn id="4" name="Célula"/>
    <x:tableColumn id="5" name="Carga prevista (kN)"/>
    <x:tableColumn id="6" name="Blocagem (kN)"/>
    <x:tableColumn id="7" name="Leitura elétrica (mA)"/>
    <x:tableColumn id="8" name="Carga atual (kN)"/>
    <x:tableColumn id="9" name="Variação reportada"/>
    <x:tableColumn id="10" name="Variação calculada"/>
    <x:tableColumn id="11" name="Diferença"/>
    <x:tableColumn id="12" name="Estado"/>
    <x:tableColumn id="13" name="Resistência (Ω)"/>
    <x:tableColumn id="14" name="Temperatura (°C)"/>
    <x:tableColumn id="15" name="Ficheiro fonte"/>
    <x:tableColumn id="16" name="Página"/>
  </x:tableColumns>
  <x:tableStyleInfo name="TableStyleMedium2" showRowStripes="1"/>
</x:table>
</file>

<file path=xl/tables/table8.xml><?xml version="1.0" encoding="utf-8"?>
<x:table xmlns:x="http://schemas.openxmlformats.org/spreadsheetml/2006/main" id="8" name="TabelaQualidadeDados" displayName="TabelaQualidadeDados" ref="A1:D11" headerRowCount="1">
  <x:tableColumns count="4">
    <x:tableColumn id="1" name="N.º"/>
    <x:tableColumn id="2" name="Tipo"/>
    <x:tableColumn id="3" name="Questão identificada"/>
    <x:tableColumn id="4" name="Tratamento adotado no Excel"/>
  </x:tableColumns>
  <x:tableStyleInfo name="TableStyleMedium2" showRowStripes="1"/>
</x:table>
</file>

<file path=xl/tables/table9.xml><?xml version="1.0" encoding="utf-8"?>
<x:table xmlns:x="http://schemas.openxmlformats.org/spreadsheetml/2006/main" id="9" name="TabelaDicionario" displayName="TabelaDicionario" ref="A1:D18" headerRowCount="1">
  <x:tableColumns count="4">
    <x:tableColumn id="1" name="Folha"/>
    <x:tableColumn id="2" name="Campo / conjunto"/>
    <x:tableColumn id="3" name="Descrição"/>
    <x:tableColumn id="4" name="Unidade / format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c3de370e437439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eb03a58e9f141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13dbcc3e13b451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eed4deb285f4a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ede470e613d470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83305c8bbf74e8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0983733c134411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7d4c9990d204a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ab4fc57312e44a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98ba3a9fd5f4a0f" /></Relationships>
</file>

<file path=xl/worksheets/sheet1.xml><?xml version="1.0" encoding="utf-8"?>
<x:worksheet xmlns:x="http://schemas.openxmlformats.org/spreadsheetml/2006/main">
  <x:sheetFormatPr defaultRowHeight="15"/>
  <x:cols>
    <x:col min="16" max="16" width="3" hidden="0" customWidth="1"/>
    <x:col min="17" max="17" width="3" hidden="0" customWidth="1"/>
    <x:col min="18" max="18" width="3" hidden="0" customWidth="1"/>
    <x:col min="19" max="19" width="3" hidden="0" customWidth="1"/>
    <x:col min="20" max="20" width="3" hidden="0" customWidth="1"/>
    <x:col min="21" max="21" width="3" hidden="0" customWidth="1"/>
    <x:col min="22" max="22" width="3" hidden="0" customWidth="1"/>
    <x:col min="23" max="23" width="3" hidden="0" customWidth="1"/>
    <x:col min="24" max="24" width="3" hidden="0" customWidth="1"/>
    <x:col min="25" max="25" width="3" hidden="0" customWidth="1"/>
    <x:col min="26" max="26" width="3" hidden="0" customWidth="1"/>
    <x:col min="27" max="27" width="3" hidden="0" customWidth="1"/>
    <x:col min="28" max="28" width="3" hidden="0" customWidth="1"/>
    <x:col min="29" max="29" width="3" hidden="0" customWidth="1"/>
    <x:col min="30" max="30" width="3" hidden="0" customWidth="1"/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31" max="31" width="3" hidden="0" customWidth="1"/>
    <x:col min="32" max="32" width="3" hidden="0" customWidth="1"/>
    <x:col min="33" max="33" width="3" hidden="0" customWidth="1"/>
    <x:col min="34" max="34" width="3" hidden="0" customWidth="1"/>
  </x:cols>
  <x:sheetData>
    <x:row r="1" ht="32" customHeight="1">
      <x:c r="A1" s="5" t="str">
        <x:v>MODELO DE DADOS DE INSTRUMENTAÇÃO - EMPREITADA THE EDEN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P1" t="str">
        <x:v>Data</x:v>
      </x:c>
      <x:c r="Q1" t="str">
        <x:v>Máx. H (mm)</x:v>
      </x:c>
      <x:c r="R1" t="str">
        <x:v>Máx. V (mm)</x:v>
      </x:c>
      <x:c r="T1" t="str">
        <x:v>Data</x:v>
      </x:c>
      <x:c r="U1" t="str">
        <x:v>I1 (mm)</x:v>
      </x:c>
      <x:c r="V1" t="str">
        <x:v>I2 (mm)</x:v>
      </x:c>
      <x:c r="W1" t="str">
        <x:v>I3 (mm)</x:v>
      </x:c>
      <x:c r="Y1" t="str">
        <x:v>Data</x:v>
      </x:c>
      <x:c r="Z1" t="str">
        <x:v>Cota da água (m)</x:v>
      </x:c>
      <x:c r="AB1" t="str">
        <x:v>Data</x:v>
      </x:c>
      <x:c r="AC1" t="str">
        <x:v>A26 (kN)</x:v>
      </x:c>
      <x:c r="AD1"/>
    </x:row>
    <x:row r="2" ht="32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P2" s="48" t="str">
        <x:v>12/05/2025</x:v>
      </x:c>
      <x:c r="Q2" s="50" t="n">
        <x:v>0</x:v>
      </x:c>
      <x:c r="R2" s="50" t="n">
        <x:v>0</x:v>
      </x:c>
      <x:c r="T2" s="48" t="str">
        <x:v>06/10/2025</x:v>
      </x:c>
      <x:c r="U2" s="50" t="n">
        <x:v>5.62</x:v>
      </x:c>
      <x:c r="V2" s="50" t="n">
        <x:v>1.67</x:v>
      </x:c>
      <x:c r="W2" s="50"/>
      <x:c r="Y2" s="48" t="str">
        <x:v>06/10/2025</x:v>
      </x:c>
      <x:c r="Z2" s="50" t="n">
        <x:v>15.72</x:v>
      </x:c>
      <x:c r="AB2" s="48" t="str">
        <x:v>09/12/2025</x:v>
      </x:c>
      <x:c r="AC2" s="52" t="n">
        <x:v>957.4</x:v>
      </x:c>
      <x:c r="AD2" s="52"/>
    </x:row>
    <x:row r="3" ht="24" customHeight="1">
      <x:c r="A3" s="13" t="str">
        <x:v>Consolidação dos relatórios de alvos topográficos, inclinómetros, piezómetro e célula de carga</x:v>
      </x:c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  <x:c r="M3" s="13"/>
      <x:c r="N3" s="13"/>
      <x:c r="P3" s="48" t="str">
        <x:v>11/06/2025</x:v>
      </x:c>
      <x:c r="Q3" s="50" t="n">
        <x:v>3.4713109915419564</x:v>
      </x:c>
      <x:c r="R3" s="50" t="n">
        <x:v>2.6</x:v>
      </x:c>
      <x:c r="T3" s="48" t="str">
        <x:v>14/10/2025</x:v>
      </x:c>
      <x:c r="U3" s="50" t="n">
        <x:v>5.11</x:v>
      </x:c>
      <x:c r="V3" s="50" t="n">
        <x:v>0.75</x:v>
      </x:c>
      <x:c r="W3" s="50" t="n">
        <x:v>2.3</x:v>
      </x:c>
      <x:c r="Y3" s="48" t="str">
        <x:v>14/10/2025</x:v>
      </x:c>
      <x:c r="Z3" s="50" t="n">
        <x:v>15.22</x:v>
      </x:c>
      <x:c r="AB3" s="48" t="str">
        <x:v>15/12/2025</x:v>
      </x:c>
      <x:c r="AC3" s="52" t="n">
        <x:v>959.9</x:v>
      </x:c>
      <x:c r="AD3" s="52"/>
    </x:row>
    <x:row r="4">
      <x:c r="P4" s="48" t="str">
        <x:v>08/07/2025</x:v>
      </x:c>
      <x:c r="Q4" s="50" t="n">
        <x:v>4.657252408878008</x:v>
      </x:c>
      <x:c r="R4" s="50" t="n">
        <x:v>2.5</x:v>
      </x:c>
      <x:c r="T4" s="48" t="str">
        <x:v>20/10/2025</x:v>
      </x:c>
      <x:c r="U4" s="50" t="n">
        <x:v>2.94</x:v>
      </x:c>
      <x:c r="V4" s="50" t="n">
        <x:v>1.01</x:v>
      </x:c>
      <x:c r="W4" s="50" t="n">
        <x:v>2.25</x:v>
      </x:c>
      <x:c r="Y4" s="48" t="str">
        <x:v>20/10/2025</x:v>
      </x:c>
      <x:c r="Z4" s="50" t="n">
        <x:v>14.9</x:v>
      </x:c>
      <x:c r="AB4" s="48" t="str">
        <x:v>22/12/2025</x:v>
      </x:c>
      <x:c r="AC4" s="52" t="n">
        <x:v>965.6</x:v>
      </x:c>
      <x:c r="AD4" s="52"/>
    </x:row>
    <x:row r="5">
      <x:c r="A5" s="22" t="str">
        <x:v>Instrumentos registados</x:v>
      </x:c>
      <x:c r="B5" s="22"/>
      <x:c r="C5" s="22"/>
      <x:c r="D5" s="22" t="str">
        <x:v>Relatórios consolidados</x:v>
      </x:c>
      <x:c r="E5" s="22"/>
      <x:c r="F5" s="22"/>
      <x:c r="G5" s="22" t="str">
        <x:v>Máx. desloc. topográfico H</x:v>
      </x:c>
      <x:c r="H5" s="22"/>
      <x:c r="I5" s="22"/>
      <x:c r="J5" s="22" t="str">
        <x:v>Máx. desloc. inclinométrico</x:v>
      </x:c>
      <x:c r="K5" s="22"/>
      <x:c r="L5" s="22"/>
      <x:c r="M5" s="22" t="str">
        <x:v>Máx. variação célula</x:v>
      </x:c>
      <x:c r="N5" s="22"/>
      <x:c r="P5" s="48" t="str">
        <x:v>05/08/2025</x:v>
      </x:c>
      <x:c r="Q5" s="50" t="n">
        <x:v>5.500909015790027</x:v>
      </x:c>
      <x:c r="R5" s="50" t="n">
        <x:v>3</x:v>
      </x:c>
      <x:c r="T5" s="48" t="str">
        <x:v>29/10/2025</x:v>
      </x:c>
      <x:c r="U5" s="50" t="n">
        <x:v>3.5</x:v>
      </x:c>
      <x:c r="V5" s="50" t="n">
        <x:v>3.52</x:v>
      </x:c>
      <x:c r="W5" s="50" t="n">
        <x:v>3.25</x:v>
      </x:c>
      <x:c r="Y5" s="48" t="str">
        <x:v>29/10/2025</x:v>
      </x:c>
      <x:c r="Z5" s="50" t="n">
        <x:v>14.39</x:v>
      </x:c>
      <x:c r="AB5" s="48" t="str">
        <x:v>29/12/2025</x:v>
      </x:c>
      <x:c r="AC5" s="52" t="n">
        <x:v>975.1</x:v>
      </x:c>
      <x:c r="AD5" s="52"/>
    </x:row>
    <x:row r="6">
      <x:c r="A6" s="36" t="n">
        <x:v>43</x:v>
      </x:c>
      <x:c r="B6" s="36"/>
      <x:c r="C6" s="36"/>
      <x:c r="D6" s="36" t="n">
        <x:v>40</x:v>
      </x:c>
      <x:c r="E6" s="36"/>
      <x:c r="F6" s="36"/>
      <x:c r="G6" s="38" t="n">
        <x:v>18.26307750626931</x:v>
      </x:c>
      <x:c r="H6" s="38"/>
      <x:c r="I6" s="38"/>
      <x:c r="J6" s="38" t="n">
        <x:v>9.72</x:v>
      </x:c>
      <x:c r="K6" s="38"/>
      <x:c r="L6" s="38"/>
      <x:c r="M6" s="40" t="n">
        <x:v>0.287</x:v>
      </x:c>
      <x:c r="N6" s="40"/>
      <x:c r="P6" s="48" t="str">
        <x:v>03/09/2025</x:v>
      </x:c>
      <x:c r="Q6" s="50" t="n">
        <x:v>7.66550715869472</x:v>
      </x:c>
      <x:c r="R6" s="50" t="n">
        <x:v>3.5</x:v>
      </x:c>
      <x:c r="T6" s="48" t="str">
        <x:v>03/11/2025</x:v>
      </x:c>
      <x:c r="U6" s="50" t="n">
        <x:v>4.98</x:v>
      </x:c>
      <x:c r="V6" s="50" t="n">
        <x:v>4.65</x:v>
      </x:c>
      <x:c r="W6" s="50" t="n">
        <x:v>1.99</x:v>
      </x:c>
      <x:c r="Y6" s="48" t="str">
        <x:v>03/11/2025</x:v>
      </x:c>
      <x:c r="Z6" s="50" t="n">
        <x:v>14.29</x:v>
      </x:c>
      <x:c r="AB6" s="48" t="str">
        <x:v>05/01/2026</x:v>
      </x:c>
      <x:c r="AC6" s="52" t="n">
        <x:v>965.9</x:v>
      </x:c>
      <x:c r="AD6" s="52"/>
    </x:row>
    <x:row r="7">
      <x:c r="A7" s="36"/>
      <x:c r="B7" s="36"/>
      <x:c r="C7" s="36"/>
      <x:c r="D7" s="36"/>
      <x:c r="E7" s="36"/>
      <x:c r="F7" s="36"/>
      <x:c r="G7" s="38"/>
      <x:c r="H7" s="38"/>
      <x:c r="I7" s="38"/>
      <x:c r="J7" s="38"/>
      <x:c r="K7" s="38"/>
      <x:c r="L7" s="38"/>
      <x:c r="M7" s="40"/>
      <x:c r="N7" s="40"/>
      <x:c r="P7" s="48" t="str">
        <x:v>30/09/2025</x:v>
      </x:c>
      <x:c r="Q7" s="50" t="n">
        <x:v>11.035397591387452</x:v>
      </x:c>
      <x:c r="R7" s="50" t="n">
        <x:v>4.7</x:v>
      </x:c>
      <x:c r="T7" s="48" t="str">
        <x:v>10/11/2025</x:v>
      </x:c>
      <x:c r="U7" s="50" t="n">
        <x:v>4.24</x:v>
      </x:c>
      <x:c r="V7" s="50" t="n">
        <x:v>4.44</x:v>
      </x:c>
      <x:c r="W7" s="50" t="n">
        <x:v>1.44</x:v>
      </x:c>
      <x:c r="Y7" s="48" t="str">
        <x:v>10/11/2025</x:v>
      </x:c>
      <x:c r="Z7" s="50" t="n">
        <x:v>14.52</x:v>
      </x:c>
      <x:c r="AB7" s="48" t="str">
        <x:v>12/01/2026</x:v>
      </x:c>
      <x:c r="AC7" s="52" t="n">
        <x:v>978.9</x:v>
      </x:c>
      <x:c r="AD7" s="52"/>
    </x:row>
    <x:row r="8">
      <x:c r="A8" s="44" t="str">
        <x:v>Período abrangido: 12/05/2025 a 09/02/2026 | Nível piezométrico mínimo: 12.63 m | Estado máximo das células de carga: Alarme</x:v>
      </x:c>
      <x:c r="B8" s="44"/>
      <x:c r="C8" s="44"/>
      <x:c r="D8" s="44"/>
      <x:c r="E8" s="44"/>
      <x:c r="F8" s="44"/>
      <x:c r="G8" s="44"/>
      <x:c r="H8" s="44"/>
      <x:c r="I8" s="44"/>
      <x:c r="J8" s="44"/>
      <x:c r="K8" s="44"/>
      <x:c r="L8" s="44"/>
      <x:c r="M8" s="44"/>
      <x:c r="N8" s="44"/>
      <x:c r="P8" s="48" t="str">
        <x:v>06/10/2025</x:v>
      </x:c>
      <x:c r="Q8" s="50" t="n">
        <x:v>10.332473082471592</x:v>
      </x:c>
      <x:c r="R8" s="50" t="n">
        <x:v>2.5</x:v>
      </x:c>
      <x:c r="T8" s="48" t="str">
        <x:v>17/11/2025</x:v>
      </x:c>
      <x:c r="U8" s="50" t="n">
        <x:v>5.27</x:v>
      </x:c>
      <x:c r="V8" s="50" t="n">
        <x:v>5.02</x:v>
      </x:c>
      <x:c r="W8" s="50" t="n">
        <x:v>1.79</x:v>
      </x:c>
      <x:c r="Y8" s="48" t="str">
        <x:v>17/11/2025</x:v>
      </x:c>
      <x:c r="Z8" s="50" t="n">
        <x:v>14.85</x:v>
      </x:c>
      <x:c r="AB8" s="48" t="str">
        <x:v>19/01/2026</x:v>
      </x:c>
      <x:c r="AC8" s="52" t="n">
        <x:v>1016.1</x:v>
      </x:c>
      <x:c r="AD8" s="52"/>
    </x:row>
    <x:row r="9">
      <x:c r="P9" s="48" t="str">
        <x:v>14/10/2025</x:v>
      </x:c>
      <x:c r="Q9" s="50" t="n">
        <x:v>12.854960132182441</x:v>
      </x:c>
      <x:c r="R9" s="50" t="n">
        <x:v>4.5</x:v>
      </x:c>
      <x:c r="T9" s="48" t="str">
        <x:v>24/11/2025</x:v>
      </x:c>
      <x:c r="U9" s="50" t="n">
        <x:v>6.66</x:v>
      </x:c>
      <x:c r="V9" s="50" t="n">
        <x:v>4.6</x:v>
      </x:c>
      <x:c r="W9" s="50" t="n">
        <x:v>2.08</x:v>
      </x:c>
      <x:c r="Y9" s="48" t="str">
        <x:v>24/11/2025</x:v>
      </x:c>
      <x:c r="Z9" s="50" t="n">
        <x:v>14.01</x:v>
      </x:c>
      <x:c r="AB9" s="48" t="str">
        <x:v>26/01/2026</x:v>
      </x:c>
      <x:c r="AC9" s="52" t="n">
        <x:v>1038.4</x:v>
      </x:c>
      <x:c r="AD9" s="52"/>
    </x:row>
    <x:row r="10">
      <x:c r="P10" s="48" t="str">
        <x:v>20/10/2025</x:v>
      </x:c>
      <x:c r="Q10" s="50" t="n">
        <x:v>15.692354826475215</x:v>
      </x:c>
      <x:c r="R10" s="50" t="n">
        <x:v>5.3</x:v>
      </x:c>
      <x:c r="T10" s="48" t="str">
        <x:v>02/12/2025</x:v>
      </x:c>
      <x:c r="U10" s="50" t="n">
        <x:v>8.33</x:v>
      </x:c>
      <x:c r="V10" s="50" t="n">
        <x:v>7.93</x:v>
      </x:c>
      <x:c r="W10" s="50" t="n">
        <x:v>2.98</x:v>
      </x:c>
      <x:c r="Y10" s="48" t="str">
        <x:v>02/12/2025</x:v>
      </x:c>
      <x:c r="Z10" s="50" t="n">
        <x:v>12.84</x:v>
      </x:c>
      <x:c r="AB10" s="48" t="str">
        <x:v>02/02/2026</x:v>
      </x:c>
      <x:c r="AC10" s="52" t="n">
        <x:v>1056.2</x:v>
      </x:c>
      <x:c r="AD10" s="52"/>
    </x:row>
    <x:row r="11">
      <x:c r="P11" s="48" t="str">
        <x:v>31/10/2025</x:v>
      </x:c>
      <x:c r="Q11" s="50" t="n">
        <x:v>18.26307750626931</x:v>
      </x:c>
      <x:c r="R11" s="50" t="n">
        <x:v>6</x:v>
      </x:c>
      <x:c r="T11" s="48" t="str">
        <x:v>09/12/2025</x:v>
      </x:c>
      <x:c r="U11" s="50" t="n">
        <x:v>9.72</x:v>
      </x:c>
      <x:c r="V11" s="50" t="n">
        <x:v>8.62</x:v>
      </x:c>
      <x:c r="W11" s="50" t="n">
        <x:v>6.27</x:v>
      </x:c>
      <x:c r="Y11" s="48" t="str">
        <x:v>09/12/2025</x:v>
      </x:c>
      <x:c r="Z11" s="50" t="n">
        <x:v>12.63</x:v>
      </x:c>
      <x:c r="AB11" s="48" t="str">
        <x:v>09/02/2026</x:v>
      </x:c>
      <x:c r="AC11" s="52" t="n">
        <x:v>1072.4</x:v>
      </x:c>
      <x:c r="AD11" s="52"/>
    </x:row>
  </x:sheetData>
  <x:mergeCells>
    <x:mergeCell ref="A1:N2"/>
    <x:mergeCell ref="A3:N3"/>
    <x:mergeCell ref="A5:C5"/>
    <x:mergeCell ref="A6:C7"/>
    <x:mergeCell ref="D5:F5"/>
    <x:mergeCell ref="D6:F7"/>
    <x:mergeCell ref="G5:I5"/>
    <x:mergeCell ref="G6:I7"/>
    <x:mergeCell ref="J5:L5"/>
    <x:mergeCell ref="J6:L7"/>
    <x:mergeCell ref="M5:N5"/>
    <x:mergeCell ref="M6:N7"/>
    <x:mergeCell ref="A8:N8"/>
  </x:mergeCells>
  <x:pageMargins left="0.7" right="0.7" top="0.75" bottom="0.75" header="0.3" footer="0.3"/>
  <x:drawing xmlns:r="http://schemas.openxmlformats.org/officeDocument/2006/relationships" r:id="Rfc3de370e4374399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36" hidden="0" customWidth="1"/>
    <x:col min="4" max="4" width="34" hidden="0" customWidth="1"/>
    <x:col min="5" max="5" width="13" hidden="0" customWidth="1"/>
    <x:col min="6" max="6" width="12" hidden="0" customWidth="1"/>
    <x:col min="7" max="7" width="12" hidden="0" customWidth="1"/>
    <x:col min="8" max="8" width="14" hidden="0" customWidth="1"/>
    <x:col min="9" max="9" width="21" hidden="0" customWidth="1"/>
    <x:col min="10" max="10" width="12" hidden="0" customWidth="1"/>
    <x:col min="11" max="11" width="14" hidden="0" customWidth="1"/>
    <x:col min="12" max="12" width="14" hidden="0" customWidth="1"/>
    <x:col min="13" max="13" width="12" hidden="0" customWidth="1"/>
    <x:col min="14" max="14" width="52" hidden="0" customWidth="1"/>
    <x:col min="15" max="15" width="9" hidden="0" customWidth="1"/>
  </x:cols>
  <x:sheetData>
    <x:row r="1" ht="32" customHeight="1">
      <x:c r="A1" s="60" t="str">
        <x:v>Tipo</x:v>
      </x:c>
      <x:c r="B1" s="60" t="str">
        <x:v>ID</x:v>
      </x:c>
      <x:c r="C1" s="60" t="str">
        <x:v>Localização / elemento</x:v>
      </x:c>
      <x:c r="D1" s="60" t="str">
        <x:v>Grandeza observada</x:v>
      </x:c>
      <x:c r="E1" s="60" t="str">
        <x:v>Unidade</x:v>
      </x:c>
      <x:c r="F1" s="60" t="str">
        <x:v>M inicial</x:v>
      </x:c>
      <x:c r="G1" s="60" t="str">
        <x:v>P inicial</x:v>
      </x:c>
      <x:c r="H1" s="60" t="str">
        <x:v>Z / cota inicial</x:v>
      </x:c>
      <x:c r="I1" s="60" t="str">
        <x:v>Profundidade / comprimento (m)</x:v>
      </x:c>
      <x:c r="J1" s="60" t="str">
        <x:v>Stick-up (m)</x:v>
      </x:c>
      <x:c r="K1" s="60" t="str">
        <x:v>Azimute A+ (°)</x:v>
      </x:c>
      <x:c r="L1" s="60" t="str">
        <x:v>Blocagem (kN)</x:v>
      </x:c>
      <x:c r="M1" s="60" t="str">
        <x:v>Estado</x:v>
      </x:c>
      <x:c r="N1" s="60" t="str">
        <x:v>Ficheiro fonte</x:v>
      </x:c>
      <x:c r="O1" s="60" t="str">
        <x:v>Página</x:v>
      </x:c>
    </x:row>
    <x:row r="2">
      <x:c r="A2" t="str">
        <x:v>Alvo topográfico</x:v>
      </x:c>
      <x:c r="B2" t="str">
        <x:v>A1</x:v>
      </x:c>
      <x:c r="C2" t="str">
        <x:v>Edifício Santa Casa da Misericórdia</x:v>
      </x:c>
      <x:c r="D2" t="str">
        <x:v>Deslocamento tridimensional</x:v>
      </x:c>
      <x:c r="E2" t="str">
        <x:v>m / mm</x:v>
      </x:c>
      <x:c r="F2" s="66" t="n">
        <x:v>4990.9657</x:v>
      </x:c>
      <x:c r="G2" s="66" t="n">
        <x:v>5053.745</x:v>
      </x:c>
      <x:c r="H2" s="66" t="n">
        <x:v>60.5536</x:v>
      </x:c>
      <x:c r="I2" s="50"/>
      <x:c r="J2" s="50"/>
      <x:c r="K2" s="50"/>
      <x:c r="L2" s="50"/>
      <x:c r="M2" t="str">
        <x:v>Ativo</x:v>
      </x:c>
      <x:c r="N2" t="str">
        <x:v>RELATÓRIO ALVOS TOPOGRÁFICOS - Empreitada THE EDEN, Estoril_ R04_03-09-25(1).pdf</x:v>
      </x:c>
      <x:c r="O2" t="n">
        <x:v>8</x:v>
      </x:c>
    </x:row>
    <x:row r="3">
      <x:c r="A3" t="str">
        <x:v>Alvo topográfico</x:v>
      </x:c>
      <x:c r="B3" t="str">
        <x:v>A2</x:v>
      </x:c>
      <x:c r="C3" t="str">
        <x:v>Edifício Santa Casa da Misericórdia</x:v>
      </x:c>
      <x:c r="D3" t="str">
        <x:v>Deslocamento tridimensional</x:v>
      </x:c>
      <x:c r="E3" t="str">
        <x:v>m / mm</x:v>
      </x:c>
      <x:c r="F3" s="66" t="n">
        <x:v>4990.9761</x:v>
      </x:c>
      <x:c r="G3" s="66" t="n">
        <x:v>5053.7455</x:v>
      </x:c>
      <x:c r="H3" s="66" t="n">
        <x:v>59.0952</x:v>
      </x:c>
      <x:c r="I3" s="50"/>
      <x:c r="J3" s="50"/>
      <x:c r="K3" s="50"/>
      <x:c r="L3" s="50"/>
      <x:c r="M3" t="str">
        <x:v>Ativo</x:v>
      </x:c>
      <x:c r="N3" t="str">
        <x:v>RELATÓRIO ALVOS TOPOGRÁFICOS - Empreitada THE EDEN, Estoril_ R04_03-09-25(1).pdf</x:v>
      </x:c>
      <x:c r="O3" t="n">
        <x:v>8</x:v>
      </x:c>
    </x:row>
    <x:row r="4">
      <x:c r="A4" t="str">
        <x:v>Alvo topográfico</x:v>
      </x:c>
      <x:c r="B4" t="str">
        <x:v>A3</x:v>
      </x:c>
      <x:c r="C4" t="str">
        <x:v>Edifício Santa Casa da Misericórdia</x:v>
      </x:c>
      <x:c r="D4" t="str">
        <x:v>Deslocamento tridimensional</x:v>
      </x:c>
      <x:c r="E4" t="str">
        <x:v>m / mm</x:v>
      </x:c>
      <x:c r="F4" s="66" t="n">
        <x:v>5001.0813</x:v>
      </x:c>
      <x:c r="G4" s="66" t="n">
        <x:v>5053.5292</x:v>
      </x:c>
      <x:c r="H4" s="66" t="n">
        <x:v>60.6219</x:v>
      </x:c>
      <x:c r="I4" s="50"/>
      <x:c r="J4" s="50"/>
      <x:c r="K4" s="50"/>
      <x:c r="L4" s="50"/>
      <x:c r="M4" t="str">
        <x:v>Ativo</x:v>
      </x:c>
      <x:c r="N4" t="str">
        <x:v>RELATÓRIO ALVOS TOPOGRÁFICOS - Empreitada THE EDEN, Estoril_ R04_03-09-25(1).pdf</x:v>
      </x:c>
      <x:c r="O4" t="n">
        <x:v>8</x:v>
      </x:c>
    </x:row>
    <x:row r="5">
      <x:c r="A5" t="str">
        <x:v>Alvo topográfico</x:v>
      </x:c>
      <x:c r="B5" t="str">
        <x:v>A4</x:v>
      </x:c>
      <x:c r="C5" t="str">
        <x:v>Edifício Santa Casa da Misericórdia</x:v>
      </x:c>
      <x:c r="D5" t="str">
        <x:v>Deslocamento tridimensional</x:v>
      </x:c>
      <x:c r="E5" t="str">
        <x:v>m / mm</x:v>
      </x:c>
      <x:c r="F5" s="66" t="n">
        <x:v>5001.0428</x:v>
      </x:c>
      <x:c r="G5" s="66" t="n">
        <x:v>5053.5322</x:v>
      </x:c>
      <x:c r="H5" s="66" t="n">
        <x:v>58.6778</x:v>
      </x:c>
      <x:c r="I5" s="50"/>
      <x:c r="J5" s="50"/>
      <x:c r="K5" s="50"/>
      <x:c r="L5" s="50"/>
      <x:c r="M5" t="str">
        <x:v>Ativo</x:v>
      </x:c>
      <x:c r="N5" t="str">
        <x:v>RELATÓRIO ALVOS TOPOGRÁFICOS - Empreitada THE EDEN, Estoril_ R04_03-09-25(1).pdf</x:v>
      </x:c>
      <x:c r="O5" t="n">
        <x:v>8</x:v>
      </x:c>
    </x:row>
    <x:row r="6">
      <x:c r="A6" t="str">
        <x:v>Alvo topográfico</x:v>
      </x:c>
      <x:c r="B6" t="str">
        <x:v>A5</x:v>
      </x:c>
      <x:c r="C6" t="str">
        <x:v>Edifício Santa Casa da Misericórdia</x:v>
      </x:c>
      <x:c r="D6" t="str">
        <x:v>Deslocamento tridimensional</x:v>
      </x:c>
      <x:c r="E6" t="str">
        <x:v>m / mm</x:v>
      </x:c>
      <x:c r="F6" s="66" t="n">
        <x:v>5005.4018</x:v>
      </x:c>
      <x:c r="G6" s="66" t="n">
        <x:v>5054.5141</x:v>
      </x:c>
      <x:c r="H6" s="66" t="n">
        <x:v>60.1819</x:v>
      </x:c>
      <x:c r="I6" s="50"/>
      <x:c r="J6" s="50"/>
      <x:c r="K6" s="50"/>
      <x:c r="L6" s="50"/>
      <x:c r="M6" t="str">
        <x:v>Ativo</x:v>
      </x:c>
      <x:c r="N6" t="str">
        <x:v>RELATÓRIO ALVOS TOPOGRÁFICOS - Empreitada THE EDEN, Estoril_ R04_03-09-25(1).pdf</x:v>
      </x:c>
      <x:c r="O6" t="n">
        <x:v>8</x:v>
      </x:c>
    </x:row>
    <x:row r="7">
      <x:c r="A7" t="str">
        <x:v>Alvo topográfico</x:v>
      </x:c>
      <x:c r="B7" t="str">
        <x:v>A6</x:v>
      </x:c>
      <x:c r="C7" t="str">
        <x:v>Edifício Santa Casa da Misericórdia</x:v>
      </x:c>
      <x:c r="D7" t="str">
        <x:v>Deslocamento tridimensional</x:v>
      </x:c>
      <x:c r="E7" t="str">
        <x:v>m / mm</x:v>
      </x:c>
      <x:c r="F7" s="66" t="n">
        <x:v>5005.4051</x:v>
      </x:c>
      <x:c r="G7" s="66" t="n">
        <x:v>5054.5767</x:v>
      </x:c>
      <x:c r="H7" s="66" t="n">
        <x:v>58.647</x:v>
      </x:c>
      <x:c r="I7" s="50"/>
      <x:c r="J7" s="50"/>
      <x:c r="K7" s="50"/>
      <x:c r="L7" s="50"/>
      <x:c r="M7" t="str">
        <x:v>Ativo</x:v>
      </x:c>
      <x:c r="N7" t="str">
        <x:v>RELATÓRIO ALVOS TOPOGRÁFICOS - Empreitada THE EDEN, Estoril_ R04_03-09-25(1).pdf</x:v>
      </x:c>
      <x:c r="O7" t="n">
        <x:v>8</x:v>
      </x:c>
    </x:row>
    <x:row r="8">
      <x:c r="A8" t="str">
        <x:v>Alvo topográfico</x:v>
      </x:c>
      <x:c r="B8" t="str">
        <x:v>A7</x:v>
      </x:c>
      <x:c r="C8" t="str">
        <x:v>Edifício Santa Casa da Misericórdia</x:v>
      </x:c>
      <x:c r="D8" t="str">
        <x:v>Deslocamento tridimensional</x:v>
      </x:c>
      <x:c r="E8" t="str">
        <x:v>m / mm</x:v>
      </x:c>
      <x:c r="F8" s="66" t="n">
        <x:v>5005.8755</x:v>
      </x:c>
      <x:c r="G8" s="66" t="n">
        <x:v>5063.3174</x:v>
      </x:c>
      <x:c r="H8" s="66" t="n">
        <x:v>60.4811</x:v>
      </x:c>
      <x:c r="I8" s="50"/>
      <x:c r="J8" s="50"/>
      <x:c r="K8" s="50"/>
      <x:c r="L8" s="50"/>
      <x:c r="M8" t="str">
        <x:v>Ativo</x:v>
      </x:c>
      <x:c r="N8" t="str">
        <x:v>RELATÓRIO ALVOS TOPOGRÁFICOS - Empreitada THE EDEN, Estoril_ R04_03-09-25(1).pdf</x:v>
      </x:c>
      <x:c r="O8" t="n">
        <x:v>8</x:v>
      </x:c>
    </x:row>
    <x:row r="9">
      <x:c r="A9" t="str">
        <x:v>Alvo topográfico</x:v>
      </x:c>
      <x:c r="B9" t="str">
        <x:v>A8</x:v>
      </x:c>
      <x:c r="C9" t="str">
        <x:v>Edifício Santa Casa da Misericórdia</x:v>
      </x:c>
      <x:c r="D9" t="str">
        <x:v>Deslocamento tridimensional</x:v>
      </x:c>
      <x:c r="E9" t="str">
        <x:v>m / mm</x:v>
      </x:c>
      <x:c r="F9" s="66" t="n">
        <x:v>5005.8839</x:v>
      </x:c>
      <x:c r="G9" s="66" t="n">
        <x:v>5063.7008</x:v>
      </x:c>
      <x:c r="H9" s="66" t="n">
        <x:v>59.3293</x:v>
      </x:c>
      <x:c r="I9" s="50"/>
      <x:c r="J9" s="50"/>
      <x:c r="K9" s="50"/>
      <x:c r="L9" s="50"/>
      <x:c r="M9" t="str">
        <x:v>Ativo</x:v>
      </x:c>
      <x:c r="N9" t="str">
        <x:v>RELATÓRIO ALVOS TOPOGRÁFICOS - Empreitada THE EDEN, Estoril_ R04_03-09-25(1).pdf</x:v>
      </x:c>
      <x:c r="O9" t="n">
        <x:v>8</x:v>
      </x:c>
    </x:row>
    <x:row r="10">
      <x:c r="A10" t="str">
        <x:v>Alvo topográfico</x:v>
      </x:c>
      <x:c r="B10" t="str">
        <x:v>B1</x:v>
      </x:c>
      <x:c r="C10" t="str">
        <x:v>Restaurante Cimas</x:v>
      </x:c>
      <x:c r="D10" t="str">
        <x:v>Deslocamento tridimensional</x:v>
      </x:c>
      <x:c r="E10" t="str">
        <x:v>m / mm</x:v>
      </x:c>
      <x:c r="F10" s="66" t="n">
        <x:v>5055.3705</x:v>
      </x:c>
      <x:c r="G10" s="66" t="n">
        <x:v>5037.6908</x:v>
      </x:c>
      <x:c r="H10" s="66" t="n">
        <x:v>55.8345</x:v>
      </x:c>
      <x:c r="I10" s="50"/>
      <x:c r="J10" s="50"/>
      <x:c r="K10" s="50"/>
      <x:c r="L10" s="50"/>
      <x:c r="M10" t="str">
        <x:v>Ativo</x:v>
      </x:c>
      <x:c r="N10" t="str">
        <x:v>RELATÓRIO ALVOS TOPOGRÁFICOS - Empreitada THE EDEN, Estoril_ R04_03-09-25(1).pdf</x:v>
      </x:c>
      <x:c r="O10" t="n">
        <x:v>8</x:v>
      </x:c>
    </x:row>
    <x:row r="11">
      <x:c r="A11" t="str">
        <x:v>Alvo topográfico</x:v>
      </x:c>
      <x:c r="B11" t="str">
        <x:v>B2</x:v>
      </x:c>
      <x:c r="C11" t="str">
        <x:v>Restaurante Cimas</x:v>
      </x:c>
      <x:c r="D11" t="str">
        <x:v>Deslocamento tridimensional</x:v>
      </x:c>
      <x:c r="E11" t="str">
        <x:v>m / mm</x:v>
      </x:c>
      <x:c r="F11" s="66" t="n">
        <x:v>5055.3611</x:v>
      </x:c>
      <x:c r="G11" s="66" t="n">
        <x:v>5037.652</x:v>
      </x:c>
      <x:c r="H11" s="66" t="n">
        <x:v>53.9202</x:v>
      </x:c>
      <x:c r="I11" s="50"/>
      <x:c r="J11" s="50"/>
      <x:c r="K11" s="50"/>
      <x:c r="L11" s="50"/>
      <x:c r="M11" t="str">
        <x:v>Ativo</x:v>
      </x:c>
      <x:c r="N11" t="str">
        <x:v>RELATÓRIO ALVOS TOPOGRÁFICOS - Empreitada THE EDEN, Estoril_ R04_03-09-25(1).pdf</x:v>
      </x:c>
      <x:c r="O11" t="n">
        <x:v>8</x:v>
      </x:c>
    </x:row>
    <x:row r="12">
      <x:c r="A12" t="str">
        <x:v>Alvo topográfico</x:v>
      </x:c>
      <x:c r="B12" t="str">
        <x:v>B3</x:v>
      </x:c>
      <x:c r="C12" t="str">
        <x:v>Restaurante Cimas</x:v>
      </x:c>
      <x:c r="D12" t="str">
        <x:v>Deslocamento tridimensional</x:v>
      </x:c>
      <x:c r="E12" t="str">
        <x:v>m / mm</x:v>
      </x:c>
      <x:c r="F12" s="66" t="n">
        <x:v>5053.1267</x:v>
      </x:c>
      <x:c r="G12" s="66" t="n">
        <x:v>5028.5694</x:v>
      </x:c>
      <x:c r="H12" s="66" t="n">
        <x:v>55.8769</x:v>
      </x:c>
      <x:c r="I12" s="50"/>
      <x:c r="J12" s="50"/>
      <x:c r="K12" s="50"/>
      <x:c r="L12" s="50"/>
      <x:c r="M12" t="str">
        <x:v>Ativo</x:v>
      </x:c>
      <x:c r="N12" t="str">
        <x:v>RELATÓRIO ALVOS TOPOGRÁFICOS - Empreitada THE EDEN, Estoril_ R04_03-09-25(1).pdf</x:v>
      </x:c>
      <x:c r="O12" t="n">
        <x:v>8</x:v>
      </x:c>
    </x:row>
    <x:row r="13">
      <x:c r="A13" t="str">
        <x:v>Alvo topográfico</x:v>
      </x:c>
      <x:c r="B13" t="str">
        <x:v>B4</x:v>
      </x:c>
      <x:c r="C13" t="str">
        <x:v>Restaurante Cimas</x:v>
      </x:c>
      <x:c r="D13" t="str">
        <x:v>Deslocamento tridimensional</x:v>
      </x:c>
      <x:c r="E13" t="str">
        <x:v>m / mm</x:v>
      </x:c>
      <x:c r="F13" s="66" t="n">
        <x:v>5053.123</x:v>
      </x:c>
      <x:c r="G13" s="66" t="n">
        <x:v>5028.5786</x:v>
      </x:c>
      <x:c r="H13" s="66" t="n">
        <x:v>54.1591</x:v>
      </x:c>
      <x:c r="I13" s="50"/>
      <x:c r="J13" s="50"/>
      <x:c r="K13" s="50"/>
      <x:c r="L13" s="50"/>
      <x:c r="M13" t="str">
        <x:v>Ativo</x:v>
      </x:c>
      <x:c r="N13" t="str">
        <x:v>RELATÓRIO ALVOS TOPOGRÁFICOS - Empreitada THE EDEN, Estoril_ R04_03-09-25(1).pdf</x:v>
      </x:c>
      <x:c r="O13" t="n">
        <x:v>8</x:v>
      </x:c>
    </x:row>
    <x:row r="14">
      <x:c r="A14" t="str">
        <x:v>Alvo topográfico</x:v>
      </x:c>
      <x:c r="B14" t="str">
        <x:v>C1</x:v>
      </x:c>
      <x:c r="C14" t="str">
        <x:v>Clínica Abreu Loureiro</x:v>
      </x:c>
      <x:c r="D14" t="str">
        <x:v>Deslocamento tridimensional</x:v>
      </x:c>
      <x:c r="E14" t="str">
        <x:v>m / mm</x:v>
      </x:c>
      <x:c r="F14" s="66" t="n">
        <x:v>5051.1407</x:v>
      </x:c>
      <x:c r="G14" s="66" t="n">
        <x:v>5062.3237</x:v>
      </x:c>
      <x:c r="H14" s="66" t="n">
        <x:v>63.0014</x:v>
      </x:c>
      <x:c r="I14" s="50"/>
      <x:c r="J14" s="50"/>
      <x:c r="K14" s="50"/>
      <x:c r="L14" s="50"/>
      <x:c r="M14" t="str">
        <x:v>Ativo</x:v>
      </x:c>
      <x:c r="N14" t="str">
        <x:v>RELATÓRIO ALVOS TOPOGRÁFICOS - Empreitada THE EDEN, Estoril_ R04_03-09-25(1).pdf</x:v>
      </x:c>
      <x:c r="O14" t="n">
        <x:v>8</x:v>
      </x:c>
    </x:row>
    <x:row r="15">
      <x:c r="A15" t="str">
        <x:v>Alvo topográfico</x:v>
      </x:c>
      <x:c r="B15" t="str">
        <x:v>C2</x:v>
      </x:c>
      <x:c r="C15" t="str">
        <x:v>Clínica Abreu Loureiro</x:v>
      </x:c>
      <x:c r="D15" t="str">
        <x:v>Deslocamento tridimensional</x:v>
      </x:c>
      <x:c r="E15" t="str">
        <x:v>m / mm</x:v>
      </x:c>
      <x:c r="F15" s="66" t="n">
        <x:v>5051.0086</x:v>
      </x:c>
      <x:c r="G15" s="66" t="n">
        <x:v>5062.4334</x:v>
      </x:c>
      <x:c r="H15" s="66" t="n">
        <x:v>56.898</x:v>
      </x:c>
      <x:c r="I15" s="50"/>
      <x:c r="J15" s="50"/>
      <x:c r="K15" s="50"/>
      <x:c r="L15" s="50"/>
      <x:c r="M15" t="str">
        <x:v>Ativo</x:v>
      </x:c>
      <x:c r="N15" t="str">
        <x:v>RELATÓRIO ALVOS TOPOGRÁFICOS - Empreitada THE EDEN, Estoril_ R04_03-09-25(1).pdf</x:v>
      </x:c>
      <x:c r="O15" t="n">
        <x:v>8</x:v>
      </x:c>
    </x:row>
    <x:row r="16">
      <x:c r="A16" t="str">
        <x:v>Alvo topográfico</x:v>
      </x:c>
      <x:c r="B16" t="str">
        <x:v>C3</x:v>
      </x:c>
      <x:c r="C16" t="str">
        <x:v>Clínica Abreu Loureiro</x:v>
      </x:c>
      <x:c r="D16" t="str">
        <x:v>Deslocamento tridimensional</x:v>
      </x:c>
      <x:c r="E16" t="str">
        <x:v>m / mm</x:v>
      </x:c>
      <x:c r="F16" s="66" t="n">
        <x:v>5058.5259</x:v>
      </x:c>
      <x:c r="G16" s="66" t="n">
        <x:v>5053.176</x:v>
      </x:c>
      <x:c r="H16" s="66" t="n">
        <x:v>63.5252</x:v>
      </x:c>
      <x:c r="I16" s="50"/>
      <x:c r="J16" s="50"/>
      <x:c r="K16" s="50"/>
      <x:c r="L16" s="50"/>
      <x:c r="M16" t="str">
        <x:v>Ativo</x:v>
      </x:c>
      <x:c r="N16" t="str">
        <x:v>RELATÓRIO ALVOS TOPOGRÁFICOS - Empreitada THE EDEN, Estoril_ R04_03-09-25(1).pdf</x:v>
      </x:c>
      <x:c r="O16" t="n">
        <x:v>8</x:v>
      </x:c>
    </x:row>
    <x:row r="17">
      <x:c r="A17" t="str">
        <x:v>Alvo topográfico</x:v>
      </x:c>
      <x:c r="B17" t="str">
        <x:v>C4</x:v>
      </x:c>
      <x:c r="C17" t="str">
        <x:v>Clínica Abreu Loureiro</x:v>
      </x:c>
      <x:c r="D17" t="str">
        <x:v>Deslocamento tridimensional</x:v>
      </x:c>
      <x:c r="E17" t="str">
        <x:v>m / mm</x:v>
      </x:c>
      <x:c r="F17" s="66" t="n">
        <x:v>5060.2733</x:v>
      </x:c>
      <x:c r="G17" s="66" t="n">
        <x:v>5059.0944</x:v>
      </x:c>
      <x:c r="H17" s="66" t="n">
        <x:v>58.7943</x:v>
      </x:c>
      <x:c r="I17" s="50"/>
      <x:c r="J17" s="50"/>
      <x:c r="K17" s="50"/>
      <x:c r="L17" s="50"/>
      <x:c r="M17" t="str">
        <x:v>Ativo</x:v>
      </x:c>
      <x:c r="N17" t="str">
        <x:v>RELATÓRIO ALVOS TOPOGRÁFICOS - Empreitada THE EDEN, Estoril_ R04_03-09-25(1).pdf</x:v>
      </x:c>
      <x:c r="O17" t="n">
        <x:v>8</x:v>
      </x:c>
    </x:row>
    <x:row r="18">
      <x:c r="A18" t="str">
        <x:v>Inclinómetro</x:v>
      </x:c>
      <x:c r="B18" t="str">
        <x:v>I1</x:v>
      </x:c>
      <x:c r="C18" t="str">
        <x:v>Contenção periférica - localização em planta</x:v>
      </x:c>
      <x:c r="D18" t="str">
        <x:v>Deslocamento horizontal em profundidade</x:v>
      </x:c>
      <x:c r="E18" t="str">
        <x:v>mm</x:v>
      </x:c>
      <x:c r="F18" s="66"/>
      <x:c r="G18" s="66"/>
      <x:c r="H18" s="66"/>
      <x:c r="I18" s="50" t="n">
        <x:v>27</x:v>
      </x:c>
      <x:c r="J18" s="50" t="n">
        <x:v>0.5</x:v>
      </x:c>
      <x:c r="K18" s="50" t="n">
        <x:v>330</x:v>
      </x:c>
      <x:c r="L18" s="50"/>
      <x:c r="M18" t="str">
        <x:v>Ativo</x:v>
      </x:c>
      <x:c r="N18" t="str">
        <x:v>RELATÓRIO LEITURAS INCLINOMÉTRICAS - Empreitada THE EDEN, Estoril_ R05_03-11-25.pdf</x:v>
      </x:c>
      <x:c r="O18" t="n">
        <x:v>3</x:v>
      </x:c>
    </x:row>
    <x:row r="19">
      <x:c r="A19" t="str">
        <x:v>Inclinómetro</x:v>
      </x:c>
      <x:c r="B19" t="str">
        <x:v>I2</x:v>
      </x:c>
      <x:c r="C19" t="str">
        <x:v>Contenção periférica - localização em planta</x:v>
      </x:c>
      <x:c r="D19" t="str">
        <x:v>Deslocamento horizontal em profundidade</x:v>
      </x:c>
      <x:c r="E19" t="str">
        <x:v>mm</x:v>
      </x:c>
      <x:c r="F19" s="66"/>
      <x:c r="G19" s="66"/>
      <x:c r="H19" s="66"/>
      <x:c r="I19" s="50" t="n">
        <x:v>27</x:v>
      </x:c>
      <x:c r="J19" s="50" t="n">
        <x:v>1</x:v>
      </x:c>
      <x:c r="K19" s="50" t="n">
        <x:v>225</x:v>
      </x:c>
      <x:c r="L19" s="50"/>
      <x:c r="M19" t="str">
        <x:v>Ativo</x:v>
      </x:c>
      <x:c r="N19" t="str">
        <x:v>RELATÓRIO LEITURAS INCLINOMÉTRICAS - Empreitada THE EDEN, Estoril_ R05_03-11-25.pdf</x:v>
      </x:c>
      <x:c r="O19" t="n">
        <x:v>3</x:v>
      </x:c>
    </x:row>
    <x:row r="20">
      <x:c r="A20" t="str">
        <x:v>Inclinómetro</x:v>
      </x:c>
      <x:c r="B20" t="str">
        <x:v>I3</x:v>
      </x:c>
      <x:c r="C20" t="str">
        <x:v>Contenção periférica - localização em planta</x:v>
      </x:c>
      <x:c r="D20" t="str">
        <x:v>Deslocamento horizontal em profundidade</x:v>
      </x:c>
      <x:c r="E20" t="str">
        <x:v>mm</x:v>
      </x:c>
      <x:c r="F20" s="66"/>
      <x:c r="G20" s="66"/>
      <x:c r="H20" s="66"/>
      <x:c r="I20" s="50" t="n">
        <x:v>22</x:v>
      </x:c>
      <x:c r="J20" s="50" t="n">
        <x:v>0</x:v>
      </x:c>
      <x:c r="K20" s="50" t="n">
        <x:v>335</x:v>
      </x:c>
      <x:c r="L20" s="50"/>
      <x:c r="M20" t="str">
        <x:v>Ativo</x:v>
      </x:c>
      <x:c r="N20" t="str">
        <x:v>RELATÓRIO LEITURAS INCLINOMÉTRICAS - Empreitada THE EDEN, Estoril_ R05_03-11-25.pdf</x:v>
      </x:c>
      <x:c r="O20" t="n">
        <x:v>3</x:v>
      </x:c>
    </x:row>
    <x:row r="21">
      <x:c r="A21" t="str">
        <x:v>Piezómetro</x:v>
      </x:c>
      <x:c r="B21" t="str">
        <x:v>PZ1</x:v>
      </x:c>
      <x:c r="C21" t="str">
        <x:v>Contenção periférica - alçado A-B</x:v>
      </x:c>
      <x:c r="D21" t="str">
        <x:v>Nível de água</x:v>
      </x:c>
      <x:c r="E21" t="str">
        <x:v>m</x:v>
      </x:c>
      <x:c r="F21" s="66"/>
      <x:c r="G21" s="66"/>
      <x:c r="H21" s="66" t="n">
        <x:v>21</x:v>
      </x:c>
      <x:c r="I21" s="50" t="n">
        <x:v>22.5</x:v>
      </x:c>
      <x:c r="J21" s="50"/>
      <x:c r="K21" s="50"/>
      <x:c r="L21" s="50"/>
      <x:c r="M21" t="str">
        <x:v>Ativo</x:v>
      </x:c>
      <x:c r="N21" t="str">
        <x:v>RELATÓRIO LEITURAS PIEZOMÈTRICAS - Empreitada THE EDEN, Estoril_ R05_03-11-25.pdf</x:v>
      </x:c>
      <x:c r="O21" t="n">
        <x:v>2</x:v>
      </x:c>
    </x:row>
    <x:row r="22">
      <x:c r="A22" t="str">
        <x:v>Célula de carga</x:v>
      </x:c>
      <x:c r="B22" t="str">
        <x:v>A26 / CC 2501796</x:v>
      </x:c>
      <x:c r="C22" t="str">
        <x:v>Ancoragem A26</x:v>
      </x:c>
      <x:c r="D22" t="str">
        <x:v>Carga na ancoragem</x:v>
      </x:c>
      <x:c r="E22" t="str">
        <x:v>kN / mA</x:v>
      </x:c>
      <x:c r="F22" s="66"/>
      <x:c r="G22" s="66"/>
      <x:c r="H22" s="66"/>
      <x:c r="I22" s="50"/>
      <x:c r="J22" s="50"/>
      <x:c r="K22" s="50"/>
      <x:c r="L22" s="50" t="n">
        <x:v>833.5</x:v>
      </x:c>
      <x:c r="M22" t="str">
        <x:v>Ativo</x:v>
      </x:c>
      <x:c r="N22" t="str">
        <x:v>RELATÓRIO LEITURAS CÉLULAS CARGA - Empreitada THE EDEN, Estoril_ R5_05-01-26.pdf</x:v>
      </x:c>
      <x:c r="O22" t="n">
        <x:v>5</x:v>
      </x:c>
    </x:row>
    <x:row r="23">
      <x:c r="A23" t="str">
        <x:v>Alvo/prisma topográfico</x:v>
      </x:c>
      <x:c r="B23" t="str">
        <x:v>A5b</x:v>
      </x:c>
      <x:c r="C23" t="str">
        <x:v>Edifício Santa Casa da Misericórdia</x:v>
      </x:c>
      <x:c r="D23" t="str">
        <x:v>Deslocamento tridimensional</x:v>
      </x:c>
      <x:c r="E23" t="str">
        <x:v>m / mm</x:v>
      </x:c>
      <x:c r="F23" s="66" t="n">
        <x:v>5005.4054</x:v>
      </x:c>
      <x:c r="G23" s="66" t="n">
        <x:v>5054.1601</x:v>
      </x:c>
      <x:c r="H23" s="66" t="n">
        <x:v>59.5727</x:v>
      </x:c>
      <x:c r="I23" s="50"/>
      <x:c r="J23" s="50"/>
      <x:c r="K23" s="50"/>
      <x:c r="L23" s="50"/>
      <x:c r="M23" t="str">
        <x:v>Ativo</x:v>
      </x:c>
      <x:c r="N23" t="str">
        <x:v>RELATÓRIO ALVOS TOPOGRÁFICOS - Empreitada THE EDEN, Estoril_ R09_31-10-25(1).pdf</x:v>
      </x:c>
      <x:c r="O23" t="n">
        <x:v>9</x:v>
      </x:c>
    </x:row>
    <x:row r="24">
      <x:c r="A24" t="str">
        <x:v>Alvo/prisma topográfico</x:v>
      </x:c>
      <x:c r="B24" t="str">
        <x:v>A6b</x:v>
      </x:c>
      <x:c r="C24" t="str">
        <x:v>Edifício Santa Casa da Misericórdia</x:v>
      </x:c>
      <x:c r="D24" t="str">
        <x:v>Deslocamento tridimensional</x:v>
      </x:c>
      <x:c r="E24" t="str">
        <x:v>m / mm</x:v>
      </x:c>
      <x:c r="F24" s="66" t="n">
        <x:v>5005.4238</x:v>
      </x:c>
      <x:c r="G24" s="66" t="n">
        <x:v>5054.4836</x:v>
      </x:c>
      <x:c r="H24" s="66" t="n">
        <x:v>58.3573</x:v>
      </x:c>
      <x:c r="I24" s="50"/>
      <x:c r="J24" s="50"/>
      <x:c r="K24" s="50"/>
      <x:c r="L24" s="50"/>
      <x:c r="M24" t="str">
        <x:v>Ativo</x:v>
      </x:c>
      <x:c r="N24" t="str">
        <x:v>RELATÓRIO ALVOS TOPOGRÁFICOS - Empreitada THE EDEN, Estoril_ R09_31-10-25(1).pdf</x:v>
      </x:c>
      <x:c r="O24" t="n">
        <x:v>9</x:v>
      </x:c>
    </x:row>
    <x:row r="25">
      <x:c r="A25" t="str">
        <x:v>Alvo/prisma topográfico</x:v>
      </x:c>
      <x:c r="B25" t="str">
        <x:v>A7b</x:v>
      </x:c>
      <x:c r="C25" t="str">
        <x:v>Edifício Santa Casa da Misericórdia</x:v>
      </x:c>
      <x:c r="D25" t="str">
        <x:v>Deslocamento tridimensional</x:v>
      </x:c>
      <x:c r="E25" t="str">
        <x:v>m / mm</x:v>
      </x:c>
      <x:c r="F25" s="66" t="n">
        <x:v>5005.9258</x:v>
      </x:c>
      <x:c r="G25" s="66" t="n">
        <x:v>5064.1066</x:v>
      </x:c>
      <x:c r="H25" s="66" t="n">
        <x:v>60.5445</x:v>
      </x:c>
      <x:c r="I25" s="50"/>
      <x:c r="J25" s="50"/>
      <x:c r="K25" s="50"/>
      <x:c r="L25" s="50"/>
      <x:c r="M25" t="str">
        <x:v>Ativo</x:v>
      </x:c>
      <x:c r="N25" t="str">
        <x:v>RELATÓRIO ALVOS TOPOGRÁFICOS - Empreitada THE EDEN, Estoril_ R09_31-10-25(1).pdf</x:v>
      </x:c>
      <x:c r="O25" t="n">
        <x:v>9</x:v>
      </x:c>
    </x:row>
    <x:row r="26">
      <x:c r="A26" t="str">
        <x:v>Alvo/prisma topográfico</x:v>
      </x:c>
      <x:c r="B26" t="str">
        <x:v>A8b</x:v>
      </x:c>
      <x:c r="C26" t="str">
        <x:v>Edifício Santa Casa da Misericórdia</x:v>
      </x:c>
      <x:c r="D26" t="str">
        <x:v>Deslocamento tridimensional</x:v>
      </x:c>
      <x:c r="E26" t="str">
        <x:v>m / mm</x:v>
      </x:c>
      <x:c r="F26" s="66" t="n">
        <x:v>5005.8735</x:v>
      </x:c>
      <x:c r="G26" s="66" t="n">
        <x:v>5063.2723</x:v>
      </x:c>
      <x:c r="H26" s="66" t="n">
        <x:v>58.7325</x:v>
      </x:c>
      <x:c r="I26" s="50"/>
      <x:c r="J26" s="50"/>
      <x:c r="K26" s="50"/>
      <x:c r="L26" s="50"/>
      <x:c r="M26" t="str">
        <x:v>Ativo</x:v>
      </x:c>
      <x:c r="N26" t="str">
        <x:v>RELATÓRIO ALVOS TOPOGRÁFICOS - Empreitada THE EDEN, Estoril_ R09_31-10-25(1).pdf</x:v>
      </x:c>
      <x:c r="O26" t="n">
        <x:v>9</x:v>
      </x:c>
    </x:row>
    <x:row r="27">
      <x:c r="A27" t="str">
        <x:v>Alvo/prisma topográfico</x:v>
      </x:c>
      <x:c r="B27" t="str">
        <x:v>AB1</x:v>
      </x:c>
      <x:c r="C27" t="str">
        <x:v>Escavação e Contenção Periférica - Alçado AB</x:v>
      </x:c>
      <x:c r="D27" t="str">
        <x:v>Deslocamento tridimensional</x:v>
      </x:c>
      <x:c r="E27" t="str">
        <x:v>m / mm</x:v>
      </x:c>
      <x:c r="F27" s="66" t="n">
        <x:v>5019.724</x:v>
      </x:c>
      <x:c r="G27" s="66" t="n">
        <x:v>5017.4448</x:v>
      </x:c>
      <x:c r="H27" s="66" t="n">
        <x:v>48.2671</x:v>
      </x:c>
      <x:c r="I27" s="50"/>
      <x:c r="J27" s="50"/>
      <x:c r="K27" s="50"/>
      <x:c r="L27" s="50"/>
      <x:c r="M27" t="str">
        <x:v>Ativo</x:v>
      </x:c>
      <x:c r="N27" t="str">
        <x:v>RELATÓRIO ALVOS TOPOGRÁFICOS - Empreitada THE EDEN, Estoril_ R09_31-10-25(1).pdf</x:v>
      </x:c>
      <x:c r="O27" t="n">
        <x:v>38</x:v>
      </x:c>
    </x:row>
    <x:row r="28">
      <x:c r="A28" t="str">
        <x:v>Alvo/prisma topográfico</x:v>
      </x:c>
      <x:c r="B28" t="str">
        <x:v>CD1</x:v>
      </x:c>
      <x:c r="C28" t="str">
        <x:v>Escavação e Contenção Periférica - Alçado CD</x:v>
      </x:c>
      <x:c r="D28" t="str">
        <x:v>Deslocamento tridimensional</x:v>
      </x:c>
      <x:c r="E28" t="str">
        <x:v>m / mm</x:v>
      </x:c>
      <x:c r="F28" s="66" t="n">
        <x:v>4982.382</x:v>
      </x:c>
      <x:c r="G28" s="66" t="n">
        <x:v>5027.9636</x:v>
      </x:c>
      <x:c r="H28" s="66" t="n">
        <x:v>48.2755</x:v>
      </x:c>
      <x:c r="I28" s="50"/>
      <x:c r="J28" s="50"/>
      <x:c r="K28" s="50"/>
      <x:c r="L28" s="50"/>
      <x:c r="M28" t="str">
        <x:v>Ativo</x:v>
      </x:c>
      <x:c r="N28" t="str">
        <x:v>RELATÓRIO ALVOS TOPOGRÁFICOS - Empreitada THE EDEN, Estoril_ R09_31-10-25(1).pdf</x:v>
      </x:c>
      <x:c r="O28" t="n">
        <x:v>38</x:v>
      </x:c>
    </x:row>
    <x:row r="29">
      <x:c r="A29" t="str">
        <x:v>Alvo/prisma topográfico</x:v>
      </x:c>
      <x:c r="B29" t="str">
        <x:v>BF1</x:v>
      </x:c>
      <x:c r="C29" t="str">
        <x:v>Escavação e Contenção Periférica - Alçado BF</x:v>
      </x:c>
      <x:c r="D29" t="str">
        <x:v>Deslocamento tridimensional</x:v>
      </x:c>
      <x:c r="E29" t="str">
        <x:v>m / mm</x:v>
      </x:c>
      <x:c r="F29" s="66" t="n">
        <x:v>4986.2775</x:v>
      </x:c>
      <x:c r="G29" s="66" t="n">
        <x:v>5019.8639</x:v>
      </x:c>
      <x:c r="H29" s="66" t="n">
        <x:v>50.873</x:v>
      </x:c>
      <x:c r="I29" s="50"/>
      <x:c r="J29" s="50"/>
      <x:c r="K29" s="50"/>
      <x:c r="L29" s="50"/>
      <x:c r="M29" t="str">
        <x:v>Ativo</x:v>
      </x:c>
      <x:c r="N29" t="str">
        <x:v>RELATÓRIO ALVOS TOPOGRÁFICOS - Empreitada THE EDEN, Estoril_ R09_31-10-25(1).pdf</x:v>
      </x:c>
      <x:c r="O29" t="n">
        <x:v>38</x:v>
      </x:c>
    </x:row>
    <x:row r="30">
      <x:c r="A30" t="str">
        <x:v>Alvo/prisma topográfico</x:v>
      </x:c>
      <x:c r="B30" t="str">
        <x:v>BF2</x:v>
      </x:c>
      <x:c r="C30" t="str">
        <x:v>Escavação e Contenção Periférica - Alçado BF</x:v>
      </x:c>
      <x:c r="D30" t="str">
        <x:v>Deslocamento tridimensional</x:v>
      </x:c>
      <x:c r="E30" t="str">
        <x:v>m / mm</x:v>
      </x:c>
      <x:c r="F30" s="66" t="n">
        <x:v>4977.5058</x:v>
      </x:c>
      <x:c r="G30" s="66" t="n">
        <x:v>5027.6043</x:v>
      </x:c>
      <x:c r="H30" s="66" t="n">
        <x:v>52.2084</x:v>
      </x:c>
      <x:c r="I30" s="50"/>
      <x:c r="J30" s="50"/>
      <x:c r="K30" s="50"/>
      <x:c r="L30" s="50"/>
      <x:c r="M30" t="str">
        <x:v>Ativo</x:v>
      </x:c>
      <x:c r="N30" t="str">
        <x:v>RELATÓRIO ALVOS TOPOGRÁFICOS - Empreitada THE EDEN, Estoril_ R09_31-10-25(1).pdf</x:v>
      </x:c>
      <x:c r="O30" t="n">
        <x:v>38</x:v>
      </x:c>
    </x:row>
    <x:row r="31">
      <x:c r="A31" t="str">
        <x:v>Alvo/prisma topográfico</x:v>
      </x:c>
      <x:c r="B31" t="str">
        <x:v>FG1</x:v>
      </x:c>
      <x:c r="C31" t="str">
        <x:v>Escavação e Contenção Periférica - Alçado FG</x:v>
      </x:c>
      <x:c r="D31" t="str">
        <x:v>Deslocamento tridimensional</x:v>
      </x:c>
      <x:c r="E31" t="str">
        <x:v>m / mm</x:v>
      </x:c>
      <x:c r="F31" t="n">
        <x:v>4974.3925</x:v>
      </x:c>
      <x:c r="G31" t="n">
        <x:v>5039.5326</x:v>
      </x:c>
      <x:c r="H31" t="n">
        <x:v>53.5568</x:v>
      </x:c>
      <x:c r="I31"/>
      <x:c r="J31"/>
      <x:c r="K31"/>
      <x:c r="L31"/>
      <x:c r="M31" t="str">
        <x:v>Ativo</x:v>
      </x:c>
      <x:c r="N31" t="str">
        <x:v>RELATÓRIO ALVOS TOPOGRÁFICOS - Empreitada THE EDEN, Estoril_ R09_31-10-25(1).pdf</x:v>
      </x:c>
      <x:c r="O31" t="n">
        <x:v>38</x:v>
      </x:c>
    </x:row>
    <x:row r="32">
      <x:c r="A32" t="str">
        <x:v>Alvo/prisma topográfico</x:v>
      </x:c>
      <x:c r="B32" t="str">
        <x:v>GH1</x:v>
      </x:c>
      <x:c r="C32" t="str">
        <x:v>Escavação e Contenção Periférica - Alçado GH</x:v>
      </x:c>
      <x:c r="D32" t="str">
        <x:v>Deslocamento tridimensional</x:v>
      </x:c>
      <x:c r="E32" t="str">
        <x:v>m / mm</x:v>
      </x:c>
      <x:c r="F32" t="n">
        <x:v>4981.8689</x:v>
      </x:c>
      <x:c r="G32" t="n">
        <x:v>5046.9902</x:v>
      </x:c>
      <x:c r="H32" t="n">
        <x:v>53.9665</x:v>
      </x:c>
      <x:c r="I32"/>
      <x:c r="J32"/>
      <x:c r="K32"/>
      <x:c r="L32"/>
      <x:c r="M32" t="str">
        <x:v>Ativo</x:v>
      </x:c>
      <x:c r="N32" t="str">
        <x:v>RELATÓRIO ALVOS TOPOGRÁFICOS - Empreitada THE EDEN, Estoril_ R09_31-10-25(1).pdf</x:v>
      </x:c>
      <x:c r="O32" t="n">
        <x:v>38</x:v>
      </x:c>
    </x:row>
    <x:row r="33">
      <x:c r="A33" t="str">
        <x:v>Alvo/prisma topográfico</x:v>
      </x:c>
      <x:c r="B33" t="str">
        <x:v>GH2</x:v>
      </x:c>
      <x:c r="C33" t="str">
        <x:v>Escavação e Contenção Periférica - Alçado GH</x:v>
      </x:c>
      <x:c r="D33" t="str">
        <x:v>Deslocamento tridimensional</x:v>
      </x:c>
      <x:c r="E33" t="str">
        <x:v>m / mm</x:v>
      </x:c>
      <x:c r="F33" t="n">
        <x:v>4993.0258</x:v>
      </x:c>
      <x:c r="G33" t="n">
        <x:v>5045.3909</x:v>
      </x:c>
      <x:c r="H33" t="n">
        <x:v>53.9052</x:v>
      </x:c>
      <x:c r="I33"/>
      <x:c r="J33"/>
      <x:c r="K33"/>
      <x:c r="L33"/>
      <x:c r="M33" t="str">
        <x:v>Ativo</x:v>
      </x:c>
      <x:c r="N33" t="str">
        <x:v>RELATÓRIO ALVOS TOPOGRÁFICOS - Empreitada THE EDEN, Estoril_ R09_31-10-25(1).pdf</x:v>
      </x:c>
      <x:c r="O33" t="n">
        <x:v>38</x:v>
      </x:c>
    </x:row>
    <x:row r="34">
      <x:c r="A34" t="str">
        <x:v>Alvo/prisma topográfico</x:v>
      </x:c>
      <x:c r="B34" t="str">
        <x:v>GH3</x:v>
      </x:c>
      <x:c r="C34" t="str">
        <x:v>Escavação e Contenção Periférica - Alçado GH</x:v>
      </x:c>
      <x:c r="D34" t="str">
        <x:v>Deslocamento tridimensional</x:v>
      </x:c>
      <x:c r="E34" t="str">
        <x:v>m / mm</x:v>
      </x:c>
      <x:c r="F34" t="n">
        <x:v>5002.4091</x:v>
      </x:c>
      <x:c r="G34" t="n">
        <x:v>5044.0244</x:v>
      </x:c>
      <x:c r="H34" t="n">
        <x:v>53.8892</x:v>
      </x:c>
      <x:c r="I34"/>
      <x:c r="J34"/>
      <x:c r="K34"/>
      <x:c r="L34"/>
      <x:c r="M34" t="str">
        <x:v>Ativo</x:v>
      </x:c>
      <x:c r="N34" t="str">
        <x:v>RELATÓRIO ALVOS TOPOGRÁFICOS - Empreitada THE EDEN, Estoril_ R09_31-10-25(1).pdf</x:v>
      </x:c>
      <x:c r="O34" t="n">
        <x:v>38</x:v>
      </x:c>
    </x:row>
    <x:row r="35">
      <x:c r="A35" t="str">
        <x:v>Alvo/prisma topográfico</x:v>
      </x:c>
      <x:c r="B35" t="str">
        <x:v>JK2</x:v>
      </x:c>
      <x:c r="C35" t="str">
        <x:v>Escavação e Contenção Periférica - Alçado JK</x:v>
      </x:c>
      <x:c r="D35" t="str">
        <x:v>Deslocamento tridimensional</x:v>
      </x:c>
      <x:c r="E35" t="str">
        <x:v>m / mm</x:v>
      </x:c>
      <x:c r="F35" t="n">
        <x:v>5012.8994</x:v>
      </x:c>
      <x:c r="G35" t="n">
        <x:v>5060.6997</x:v>
      </x:c>
      <x:c r="H35" t="n">
        <x:v>52.4963</x:v>
      </x:c>
      <x:c r="I35"/>
      <x:c r="J35"/>
      <x:c r="K35"/>
      <x:c r="L35"/>
      <x:c r="M35" t="str">
        <x:v>Ativo</x:v>
      </x:c>
      <x:c r="N35" t="str">
        <x:v>RELATÓRIO ALVOS TOPOGRÁFICOS - Empreitada THE EDEN, Estoril_ R09_31-10-25(1).pdf</x:v>
      </x:c>
      <x:c r="O35" t="n">
        <x:v>38</x:v>
      </x:c>
    </x:row>
    <x:row r="36">
      <x:c r="A36" t="str">
        <x:v>Alvo/prisma topográfico</x:v>
      </x:c>
      <x:c r="B36" t="str">
        <x:v>KL1</x:v>
      </x:c>
      <x:c r="C36" t="str">
        <x:v>Escavação e Contenção Periférica - Alçado KL</x:v>
      </x:c>
      <x:c r="D36" t="str">
        <x:v>Deslocamento tridimensional</x:v>
      </x:c>
      <x:c r="E36" t="str">
        <x:v>m / mm</x:v>
      </x:c>
      <x:c r="F36" t="n">
        <x:v>5026.7077</x:v>
      </x:c>
      <x:c r="G36" t="n">
        <x:v>5072.3889</x:v>
      </x:c>
      <x:c r="H36" t="n">
        <x:v>53.7614</x:v>
      </x:c>
      <x:c r="I36"/>
      <x:c r="J36"/>
      <x:c r="K36"/>
      <x:c r="L36"/>
      <x:c r="M36" t="str">
        <x:v>Ativo</x:v>
      </x:c>
      <x:c r="N36" t="str">
        <x:v>RELATÓRIO ALVOS TOPOGRÁFICOS - Empreitada THE EDEN, Estoril_ R09_31-10-25(1).pdf</x:v>
      </x:c>
      <x:c r="O36" t="n">
        <x:v>38</x:v>
      </x:c>
    </x:row>
    <x:row r="37">
      <x:c r="A37" t="str">
        <x:v>Alvo/prisma topográfico</x:v>
      </x:c>
      <x:c r="B37" t="str">
        <x:v>PQ1</x:v>
      </x:c>
      <x:c r="C37" t="str">
        <x:v>Escavação e Contenção Periférica - Alçado PQ</x:v>
      </x:c>
      <x:c r="D37" t="str">
        <x:v>Deslocamento tridimensional</x:v>
      </x:c>
      <x:c r="E37" t="str">
        <x:v>m / mm</x:v>
      </x:c>
      <x:c r="F37" t="n">
        <x:v>5046.1883</x:v>
      </x:c>
      <x:c r="G37" t="n">
        <x:v>5033.5623</x:v>
      </x:c>
      <x:c r="H37" t="n">
        <x:v>48.9991</x:v>
      </x:c>
      <x:c r="I37"/>
      <x:c r="J37"/>
      <x:c r="K37"/>
      <x:c r="L37"/>
      <x:c r="M37" t="str">
        <x:v>Ativo</x:v>
      </x:c>
      <x:c r="N37" t="str">
        <x:v>RELATÓRIO ALVOS TOPOGRÁFICOS - Empreitada THE EDEN, Estoril_ R09_31-10-25(1).pdf</x:v>
      </x:c>
      <x:c r="O37" t="n">
        <x:v>38</x:v>
      </x:c>
    </x:row>
    <x:row r="38">
      <x:c r="A38" t="str">
        <x:v>Alvo/prisma topográfico</x:v>
      </x:c>
      <x:c r="B38" t="str">
        <x:v>JK1</x:v>
      </x:c>
      <x:c r="C38" t="str">
        <x:v>Escavação e Contenção Periférica - Alçado JK</x:v>
      </x:c>
      <x:c r="D38" t="str">
        <x:v>Deslocamento tridimensional</x:v>
      </x:c>
      <x:c r="E38" t="str">
        <x:v>m / mm</x:v>
      </x:c>
      <x:c r="F38" t="n">
        <x:v>5010.7593</x:v>
      </x:c>
      <x:c r="G38" t="n">
        <x:v>5050.9464</x:v>
      </x:c>
      <x:c r="H38" t="n">
        <x:v>52.5174</x:v>
      </x:c>
      <x:c r="I38"/>
      <x:c r="J38"/>
      <x:c r="K38"/>
      <x:c r="L38"/>
      <x:c r="M38" t="str">
        <x:v>Ativo</x:v>
      </x:c>
      <x:c r="N38" t="str">
        <x:v>RELATÓRIO ALVOS TOPOGRÁFICOS - Empreitada THE EDEN, Estoril_ R09_31-10-25(1).pdf</x:v>
      </x:c>
      <x:c r="O38" t="n">
        <x:v>38</x:v>
      </x:c>
    </x:row>
    <x:row r="39">
      <x:c r="A39" t="str">
        <x:v>Alvo/prisma topográfico</x:v>
      </x:c>
      <x:c r="B39" t="str">
        <x:v>FG2</x:v>
      </x:c>
      <x:c r="C39" t="str">
        <x:v>Escavação e Contenção Periférica - Alçado FG</x:v>
      </x:c>
      <x:c r="D39" t="str">
        <x:v>Deslocamento tridimensional</x:v>
      </x:c>
      <x:c r="E39" t="str">
        <x:v>m / mm</x:v>
      </x:c>
      <x:c r="F39" t="n">
        <x:v>4976.0573</x:v>
      </x:c>
      <x:c r="G39" t="n">
        <x:v>5040.5966</x:v>
      </x:c>
      <x:c r="H39" t="n">
        <x:v>48.2148</x:v>
      </x:c>
      <x:c r="I39"/>
      <x:c r="J39"/>
      <x:c r="K39"/>
      <x:c r="L39"/>
      <x:c r="M39" t="str">
        <x:v>Ativo</x:v>
      </x:c>
      <x:c r="N39" t="str">
        <x:v>RELATÓRIO ALVOS TOPOGRÁFICOS - Empreitada THE EDEN, Estoril_ R09_31-10-25(1).pdf</x:v>
      </x:c>
      <x:c r="O39" t="n">
        <x:v>38</x:v>
      </x:c>
    </x:row>
    <x:row r="40">
      <x:c r="A40" t="str">
        <x:v>Alvo/prisma topográfico</x:v>
      </x:c>
      <x:c r="B40" t="str">
        <x:v>GH4</x:v>
      </x:c>
      <x:c r="C40" t="str">
        <x:v>Escavação e Contenção Periférica - Alçado GH</x:v>
      </x:c>
      <x:c r="D40" t="str">
        <x:v>Deslocamento tridimensional</x:v>
      </x:c>
      <x:c r="E40" t="str">
        <x:v>m / mm</x:v>
      </x:c>
      <x:c r="F40" t="n">
        <x:v>4987.9622</x:v>
      </x:c>
      <x:c r="G40" t="n">
        <x:v>5045.3176</x:v>
      </x:c>
      <x:c r="H40" t="n">
        <x:v>47.6376</x:v>
      </x:c>
      <x:c r="I40"/>
      <x:c r="J40"/>
      <x:c r="K40"/>
      <x:c r="L40"/>
      <x:c r="M40" t="str">
        <x:v>Ativo</x:v>
      </x:c>
      <x:c r="N40" t="str">
        <x:v>RELATÓRIO ALVOS TOPOGRÁFICOS - Empreitada THE EDEN, Estoril_ R09_31-10-25(1).pdf</x:v>
      </x:c>
      <x:c r="O40" t="n">
        <x:v>38</x:v>
      </x:c>
    </x:row>
    <x:row r="41">
      <x:c r="A41" t="str">
        <x:v>Alvo/prisma topográfico</x:v>
      </x:c>
      <x:c r="B41" t="str">
        <x:v>GH5</x:v>
      </x:c>
      <x:c r="C41" t="str">
        <x:v>Escavação e Contenção Periférica - Alçado GH</x:v>
      </x:c>
      <x:c r="D41" t="str">
        <x:v>Deslocamento tridimensional</x:v>
      </x:c>
      <x:c r="E41" t="str">
        <x:v>m / mm</x:v>
      </x:c>
      <x:c r="F41" t="n">
        <x:v>5002.5305</x:v>
      </x:c>
      <x:c r="G41" t="n">
        <x:v>5043.4611</x:v>
      </x:c>
      <x:c r="H41" t="n">
        <x:v>47.5371</x:v>
      </x:c>
      <x:c r="I41"/>
      <x:c r="J41"/>
      <x:c r="K41"/>
      <x:c r="L41"/>
      <x:c r="M41" t="str">
        <x:v>Ativo</x:v>
      </x:c>
      <x:c r="N41" t="str">
        <x:v>RELATÓRIO ALVOS TOPOGRÁFICOS - Empreitada THE EDEN, Estoril_ R09_31-10-25(1).pdf</x:v>
      </x:c>
      <x:c r="O41" t="n">
        <x:v>38</x:v>
      </x:c>
    </x:row>
    <x:row r="42">
      <x:c r="A42" t="str">
        <x:v>Alvo/prisma topográfico</x:v>
      </x:c>
      <x:c r="B42" t="str">
        <x:v>KL2</x:v>
      </x:c>
      <x:c r="C42" t="str">
        <x:v>Escavação e Contenção Periférica - Alçado KL</x:v>
      </x:c>
      <x:c r="D42" t="str">
        <x:v>Deslocamento tridimensional</x:v>
      </x:c>
      <x:c r="E42" t="str">
        <x:v>m / mm</x:v>
      </x:c>
      <x:c r="F42" t="n">
        <x:v>5027.4714</x:v>
      </x:c>
      <x:c r="G42" t="n">
        <x:v>5072.2405</x:v>
      </x:c>
      <x:c r="H42" t="n">
        <x:v>51.1437</x:v>
      </x:c>
      <x:c r="I42"/>
      <x:c r="J42"/>
      <x:c r="K42"/>
      <x:c r="L42"/>
      <x:c r="M42" t="str">
        <x:v>Ativo</x:v>
      </x:c>
      <x:c r="N42" t="str">
        <x:v>RELATÓRIO ALVOS TOPOGRÁFICOS - Empreitada THE EDEN, Estoril_ R09_31-10-25(1).pdf</x:v>
      </x:c>
      <x:c r="O42" t="n">
        <x:v>38</x:v>
      </x:c>
    </x:row>
    <x:row r="43">
      <x:c r="A43" t="str">
        <x:v>Alvo/prisma topográfico</x:v>
      </x:c>
      <x:c r="B43" t="str">
        <x:v>OP1</x:v>
      </x:c>
      <x:c r="C43" t="str">
        <x:v>Escavação e Contenção Periférica - Alçado OP</x:v>
      </x:c>
      <x:c r="D43" t="str">
        <x:v>Deslocamento tridimensional</x:v>
      </x:c>
      <x:c r="E43" t="str">
        <x:v>m / mm</x:v>
      </x:c>
      <x:c r="F43" t="n">
        <x:v>5041.9629</x:v>
      </x:c>
      <x:c r="G43" t="n">
        <x:v>5043.329</x:v>
      </x:c>
      <x:c r="H43" t="n">
        <x:v>52.0655</x:v>
      </x:c>
      <x:c r="I43"/>
      <x:c r="J43"/>
      <x:c r="K43"/>
      <x:c r="L43"/>
      <x:c r="M43" t="str">
        <x:v>Ativo</x:v>
      </x:c>
      <x:c r="N43" t="str">
        <x:v>RELATÓRIO ALVOS TOPOGRÁFICOS - Empreitada THE EDEN, Estoril_ R09_31-10-25(1).pdf</x:v>
      </x:c>
      <x:c r="O43" t="n">
        <x:v>38</x:v>
      </x:c>
    </x:row>
    <x:row r="44">
      <x:c r="A44" t="str">
        <x:v>Célula de carga</x:v>
      </x:c>
      <x:c r="B44" t="str">
        <x:v>DE / CC 200792</x:v>
      </x:c>
      <x:c r="C44" t="str">
        <x:v>Ancoragem no alçado DE</x:v>
      </x:c>
      <x:c r="D44" t="str">
        <x:v>Carga na ancoragem</x:v>
      </x:c>
      <x:c r="E44" t="str">
        <x:v>kN / mA</x:v>
      </x:c>
      <x:c r="F44"/>
      <x:c r="G44"/>
      <x:c r="H44"/>
      <x:c r="I44"/>
      <x:c r="J44"/>
      <x:c r="K44"/>
      <x:c r="L44" t="n">
        <x:v>670</x:v>
      </x:c>
      <x:c r="M44" t="str">
        <x:v>Ativo</x:v>
      </x:c>
      <x:c r="N44" t="str">
        <x:v>RELATÓRIO LEITURAS CÉLULAS CARGA - Empreitada THE EDEN, Estoril_ R10_09-02-26.pdf</x:v>
      </x:c>
      <x:c r="O44" t="n">
        <x:v>7</x:v>
      </x:c>
    </x:row>
  </x:sheetData>
  <x:pageMargins left="0.7" right="0.7" top="0.75" bottom="0.75" header="0.3" footer="0.3"/>
  <x:tableParts count="1">
    <x:tablePart xmlns:r="http://schemas.openxmlformats.org/officeDocument/2006/relationships" r:id="R6eb03a58e9f1419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8" hidden="0" customWidth="1"/>
    <x:col min="5" max="5" width="68" hidden="0" customWidth="1"/>
  </x:cols>
  <x:sheetData>
    <x:row r="1" ht="32" customHeight="1">
      <x:c r="A1" s="60" t="str">
        <x:v>Tipo de instrumentação</x:v>
      </x:c>
      <x:c r="B1" s="60" t="str">
        <x:v>Campanha</x:v>
      </x:c>
      <x:c r="C1" s="60" t="str">
        <x:v>Data</x:v>
      </x:c>
      <x:c r="D1" s="60" t="str">
        <x:v>Relatório</x:v>
      </x:c>
      <x:c r="E1" s="60" t="str">
        <x:v>Ficheiro fonte</x:v>
      </x:c>
    </x:row>
    <x:row r="2">
      <x:c r="A2" t="str">
        <x:v>Alvos topográficos</x:v>
      </x:c>
      <x:c r="B2" t="n">
        <x:v>0</x:v>
      </x:c>
      <x:c r="C2" s="48" t="n">
        <x:v>45789</x:v>
      </x:c>
      <x:c r="D2" t="str">
        <x:v>Relatório 0 - Zeragem</x:v>
      </x:c>
      <x:c r="E2" t="str">
        <x:v>RELATÓRIO ALVOS TOPOGRÁFICOS - Empreitada THE EDEN, Estoril_ R00_12-05-25(1).pdf</x:v>
      </x:c>
    </x:row>
    <x:row r="3">
      <x:c r="A3" t="str">
        <x:v>Alvos topográficos</x:v>
      </x:c>
      <x:c r="B3" t="n">
        <x:v>1</x:v>
      </x:c>
      <x:c r="C3" s="48" t="n">
        <x:v>45819</x:v>
      </x:c>
      <x:c r="D3" t="str">
        <x:v>Relatório 1</x:v>
      </x:c>
      <x:c r="E3" t="str">
        <x:v>RELATÓRIO ALVOS TOPOGRÁFICOS - Empreitada THE EDEN, Estoril_ R01_11-06-25(1).pdf</x:v>
      </x:c>
    </x:row>
    <x:row r="4">
      <x:c r="A4" t="str">
        <x:v>Alvos topográficos</x:v>
      </x:c>
      <x:c r="B4" t="n">
        <x:v>2</x:v>
      </x:c>
      <x:c r="C4" s="48" t="n">
        <x:v>45846</x:v>
      </x:c>
      <x:c r="D4" t="str">
        <x:v>Relatório 2</x:v>
      </x:c>
      <x:c r="E4" t="str">
        <x:v>RELATÓRIO ALVOS TOPOGRÁFICOS - Empreitada THE EDEN, Estoril_ R02_08-07-25(1).pdf</x:v>
      </x:c>
    </x:row>
    <x:row r="5">
      <x:c r="A5" t="str">
        <x:v>Alvos topográficos</x:v>
      </x:c>
      <x:c r="B5" t="n">
        <x:v>3</x:v>
      </x:c>
      <x:c r="C5" s="48" t="n">
        <x:v>45874</x:v>
      </x:c>
      <x:c r="D5" t="str">
        <x:v>Relatório 3</x:v>
      </x:c>
      <x:c r="E5" t="str">
        <x:v>RELATÓRIO ALVOS TOPOGRÁFICOS - Empreitada THE EDEN, Estoril_ R03_05-08-25(1).pdf</x:v>
      </x:c>
    </x:row>
    <x:row r="6">
      <x:c r="A6" t="str">
        <x:v>Alvos topográficos</x:v>
      </x:c>
      <x:c r="B6" t="n">
        <x:v>4</x:v>
      </x:c>
      <x:c r="C6" s="48" t="n">
        <x:v>45903</x:v>
      </x:c>
      <x:c r="D6" t="str">
        <x:v>Relatório 4</x:v>
      </x:c>
      <x:c r="E6" t="str">
        <x:v>RELATÓRIO ALVOS TOPOGRÁFICOS - Empreitada THE EDEN, Estoril_ R04_03-09-25(1).pdf</x:v>
      </x:c>
    </x:row>
    <x:row r="7">
      <x:c r="A7" t="str">
        <x:v>Inclinómetros</x:v>
      </x:c>
      <x:c r="B7" t="n">
        <x:v>1</x:v>
      </x:c>
      <x:c r="C7" s="48" t="n">
        <x:v>45936</x:v>
      </x:c>
      <x:c r="D7" t="str">
        <x:v>Relatório 1</x:v>
      </x:c>
      <x:c r="E7" t="str">
        <x:v>RELATÓRIO LEITURAS INCLINOMÉTRICAS - Empreitada THE EDEN, Estoril_ R01_06-10-25.pdf</x:v>
      </x:c>
    </x:row>
    <x:row r="8">
      <x:c r="A8" t="str">
        <x:v>Inclinómetros</x:v>
      </x:c>
      <x:c r="B8" t="n">
        <x:v>2</x:v>
      </x:c>
      <x:c r="C8" s="48" t="n">
        <x:v>45944</x:v>
      </x:c>
      <x:c r="D8" t="str">
        <x:v>Relatório 2</x:v>
      </x:c>
      <x:c r="E8" t="str">
        <x:v>RELATÓRIO LEITURAS INCLINOMÉTRICAS - Empreitada THE EDEN, Estoril_ R02_14-10-25.pdf</x:v>
      </x:c>
    </x:row>
    <x:row r="9">
      <x:c r="A9" t="str">
        <x:v>Inclinómetros</x:v>
      </x:c>
      <x:c r="B9" t="n">
        <x:v>3</x:v>
      </x:c>
      <x:c r="C9" s="48" t="n">
        <x:v>45950</x:v>
      </x:c>
      <x:c r="D9" t="str">
        <x:v>Relatório 3</x:v>
      </x:c>
      <x:c r="E9" t="str">
        <x:v>RELATÓRIO LEITURAS INCLINOMÉTRICAS - Empreitada THE EDEN, Estoril_ R03_20-10-25.pdf</x:v>
      </x:c>
    </x:row>
    <x:row r="10">
      <x:c r="A10" t="str">
        <x:v>Inclinómetros</x:v>
      </x:c>
      <x:c r="B10" t="n">
        <x:v>4</x:v>
      </x:c>
      <x:c r="C10" s="48" t="n">
        <x:v>45959</x:v>
      </x:c>
      <x:c r="D10" t="str">
        <x:v>Relatório 4</x:v>
      </x:c>
      <x:c r="E10" t="str">
        <x:v>RELATÓRIO LEITURAS INCLINOMÉTRICAS - Empreitada THE EDEN, Estoril_ R04_29-10-25.pdf</x:v>
      </x:c>
    </x:row>
    <x:row r="11">
      <x:c r="A11" t="str">
        <x:v>Inclinómetros</x:v>
      </x:c>
      <x:c r="B11" t="n">
        <x:v>5</x:v>
      </x:c>
      <x:c r="C11" s="48" t="n">
        <x:v>45964</x:v>
      </x:c>
      <x:c r="D11" t="str">
        <x:v>Relatório 5</x:v>
      </x:c>
      <x:c r="E11" t="str">
        <x:v>RELATÓRIO LEITURAS INCLINOMÉTRICAS - Empreitada THE EDEN, Estoril_ R05_03-11-25.pdf</x:v>
      </x:c>
    </x:row>
    <x:row r="12">
      <x:c r="A12" t="str">
        <x:v>Piezómetros</x:v>
      </x:c>
      <x:c r="B12" t="n">
        <x:v>1</x:v>
      </x:c>
      <x:c r="C12" s="48" t="n">
        <x:v>45936</x:v>
      </x:c>
      <x:c r="D12" t="str">
        <x:v>Relatório 1</x:v>
      </x:c>
      <x:c r="E12" t="str">
        <x:v>RELATÓRIO LEITURAS PIEZOMÈTRICAS - Empreitada THE EDEN, Estoril_ R01_06-10-25.pdf</x:v>
      </x:c>
    </x:row>
    <x:row r="13">
      <x:c r="A13" t="str">
        <x:v>Piezómetros</x:v>
      </x:c>
      <x:c r="B13" t="n">
        <x:v>2</x:v>
      </x:c>
      <x:c r="C13" s="48" t="n">
        <x:v>45944</x:v>
      </x:c>
      <x:c r="D13" t="str">
        <x:v>Relatório 2</x:v>
      </x:c>
      <x:c r="E13" t="str">
        <x:v>RELATÓRIO LEITURAS PIEZOMÈTRICAS - Empreitada THE EDEN, Estoril_ R02_14-10-25.pdf</x:v>
      </x:c>
    </x:row>
    <x:row r="14">
      <x:c r="A14" t="str">
        <x:v>Piezómetros</x:v>
      </x:c>
      <x:c r="B14" t="n">
        <x:v>3</x:v>
      </x:c>
      <x:c r="C14" s="48" t="n">
        <x:v>45950</x:v>
      </x:c>
      <x:c r="D14" t="str">
        <x:v>Relatório 3</x:v>
      </x:c>
      <x:c r="E14" t="str">
        <x:v>RELATÓRIO LEITURAS PIEZOMÈTRICAS - Empreitada THE EDEN, Estoril_ R03_20-10-25.pdf</x:v>
      </x:c>
    </x:row>
    <x:row r="15">
      <x:c r="A15" t="str">
        <x:v>Piezómetros</x:v>
      </x:c>
      <x:c r="B15" t="n">
        <x:v>4</x:v>
      </x:c>
      <x:c r="C15" s="48" t="n">
        <x:v>45959</x:v>
      </x:c>
      <x:c r="D15" t="str">
        <x:v>Relatório 4</x:v>
      </x:c>
      <x:c r="E15" t="str">
        <x:v>RELATÓRIO LEITURAS PIEZOMÈTRICAS - Empreitada THE EDEN, Estoril_ R04_29-10-25.pdf</x:v>
      </x:c>
    </x:row>
    <x:row r="16">
      <x:c r="A16" t="str">
        <x:v>Piezómetros</x:v>
      </x:c>
      <x:c r="B16" t="n">
        <x:v>5</x:v>
      </x:c>
      <x:c r="C16" s="48" t="n">
        <x:v>45964</x:v>
      </x:c>
      <x:c r="D16" t="str">
        <x:v>Relatório 5</x:v>
      </x:c>
      <x:c r="E16" t="str">
        <x:v>RELATÓRIO LEITURAS PIEZOMÈTRICAS - Empreitada THE EDEN, Estoril_ R05_03-11-25.pdf</x:v>
      </x:c>
    </x:row>
    <x:row r="17">
      <x:c r="A17" t="str">
        <x:v>Células de carga</x:v>
      </x:c>
      <x:c r="B17" t="n">
        <x:v>1</x:v>
      </x:c>
      <x:c r="C17" s="48" t="n">
        <x:v>46000</x:v>
      </x:c>
      <x:c r="D17" t="str">
        <x:v>Relatório 1</x:v>
      </x:c>
      <x:c r="E17" t="str">
        <x:v>RELATÓRIO LEITURAS CÉLULAS CARGA - Empreitada THE EDEN, Estoril_ R1_09-12-25 rev.pdf</x:v>
      </x:c>
    </x:row>
    <x:row r="18">
      <x:c r="A18" t="str">
        <x:v>Células de carga</x:v>
      </x:c>
      <x:c r="B18" t="n">
        <x:v>2</x:v>
      </x:c>
      <x:c r="C18" s="48" t="n">
        <x:v>46006</x:v>
      </x:c>
      <x:c r="D18" t="str">
        <x:v>Relatório 2</x:v>
      </x:c>
      <x:c r="E18" t="str">
        <x:v>RELATÓRIO LEITURAS CÉLULAS CARGA - Empreitada THE EDEN, Estoril_ R2_15-12-25.pdf</x:v>
      </x:c>
    </x:row>
    <x:row r="19">
      <x:c r="A19" t="str">
        <x:v>Células de carga</x:v>
      </x:c>
      <x:c r="B19" t="n">
        <x:v>3</x:v>
      </x:c>
      <x:c r="C19" s="48" t="n">
        <x:v>46013</x:v>
      </x:c>
      <x:c r="D19" t="str">
        <x:v>Relatório 3</x:v>
      </x:c>
      <x:c r="E19" t="str">
        <x:v>RELATÓRIO LEITURAS CÉLULAS CARGA - Empreitada THE EDEN, Estoril_ R3_22-12-25.pdf</x:v>
      </x:c>
    </x:row>
    <x:row r="20">
      <x:c r="A20" t="str">
        <x:v>Células de carga</x:v>
      </x:c>
      <x:c r="B20" t="n">
        <x:v>4</x:v>
      </x:c>
      <x:c r="C20" s="48" t="n">
        <x:v>46020</x:v>
      </x:c>
      <x:c r="D20" t="str">
        <x:v>Relatório 4</x:v>
      </x:c>
      <x:c r="E20" t="str">
        <x:v>RELATÓRIO LEITURAS CÉLULAS CARGA - Empreitada THE EDEN, Estoril_ R4_29-12-25.pdf</x:v>
      </x:c>
    </x:row>
    <x:row r="21">
      <x:c r="A21" t="str">
        <x:v>Células de carga</x:v>
      </x:c>
      <x:c r="B21" t="n">
        <x:v>5</x:v>
      </x:c>
      <x:c r="C21" s="48" t="n">
        <x:v>46027</x:v>
      </x:c>
      <x:c r="D21" t="str">
        <x:v>Relatório 5</x:v>
      </x:c>
      <x:c r="E21" t="str">
        <x:v>RELATÓRIO LEITURAS CÉLULAS CARGA - Empreitada THE EDEN, Estoril_ R5_05-01-26.pdf</x:v>
      </x:c>
    </x:row>
    <x:row r="22">
      <x:c r="A22" t="str">
        <x:v>Alvos topográficos</x:v>
      </x:c>
      <x:c r="B22" t="n">
        <x:v>5</x:v>
      </x:c>
      <x:c r="C22" s="48" t="n">
        <x:v>45930</x:v>
      </x:c>
      <x:c r="D22" t="str">
        <x:v>Relatório 5</x:v>
      </x:c>
      <x:c r="E22" t="str">
        <x:v>RELATÓRIO ALVOS TOPOGRÁFICOS - Empreitada THE EDEN, Estoril_ R05_30-09-25(1).pdf</x:v>
      </x:c>
    </x:row>
    <x:row r="23">
      <x:c r="A23" t="str">
        <x:v>Alvos topográficos</x:v>
      </x:c>
      <x:c r="B23" t="n">
        <x:v>6</x:v>
      </x:c>
      <x:c r="C23" s="48" t="n">
        <x:v>45936</x:v>
      </x:c>
      <x:c r="D23" t="str">
        <x:v>Relatório 6</x:v>
      </x:c>
      <x:c r="E23" t="str">
        <x:v>RELATÓRIO ALVOS TOPOGRÁFICOS - Empreitada THE EDEN, Estoril_ R06_06-10-25(1).pdf</x:v>
      </x:c>
    </x:row>
    <x:row r="24">
      <x:c r="A24" t="str">
        <x:v>Alvos topográficos</x:v>
      </x:c>
      <x:c r="B24" t="n">
        <x:v>7</x:v>
      </x:c>
      <x:c r="C24" s="48" t="n">
        <x:v>45944</x:v>
      </x:c>
      <x:c r="D24" t="str">
        <x:v>Relatório 7</x:v>
      </x:c>
      <x:c r="E24" t="str">
        <x:v>RELATÓRIO ALVOS TOPOGRÁFICOS - Empreitada THE EDEN, Estoril_ R07_14-10-25(1).pdf</x:v>
      </x:c>
    </x:row>
    <x:row r="25">
      <x:c r="A25" t="str">
        <x:v>Alvos topográficos</x:v>
      </x:c>
      <x:c r="B25" t="n">
        <x:v>8</x:v>
      </x:c>
      <x:c r="C25" s="48" t="n">
        <x:v>45950</x:v>
      </x:c>
      <x:c r="D25" t="str">
        <x:v>Relatório 8</x:v>
      </x:c>
      <x:c r="E25" t="str">
        <x:v>RELATÓRIO ALVOS TOPOGRÁFICOS - Empreitada THE EDEN, Estoril_ R08_20-10-25(1).pdf</x:v>
      </x:c>
    </x:row>
    <x:row r="26">
      <x:c r="A26" t="str">
        <x:v>Alvos topográficos</x:v>
      </x:c>
      <x:c r="B26" t="n">
        <x:v>9</x:v>
      </x:c>
      <x:c r="C26" s="48" t="n">
        <x:v>45961</x:v>
      </x:c>
      <x:c r="D26" t="str">
        <x:v>Relatório 9</x:v>
      </x:c>
      <x:c r="E26" t="str">
        <x:v>RELATÓRIO ALVOS TOPOGRÁFICOS - Empreitada THE EDEN, Estoril_ R09_31-10-25(1).pdf</x:v>
      </x:c>
    </x:row>
    <x:row r="27">
      <x:c r="A27" t="str">
        <x:v>Inclinómetros</x:v>
      </x:c>
      <x:c r="B27" t="n">
        <x:v>6</x:v>
      </x:c>
      <x:c r="C27" s="48" t="n">
        <x:v>45971</x:v>
      </x:c>
      <x:c r="D27" t="str">
        <x:v>Relatório 6</x:v>
      </x:c>
      <x:c r="E27" t="str">
        <x:v>RELATÓRIO LEITURAS INCLINOMÉTRICAS - Empreitada THE EDEN, Estoril_ R06_10-11-25.pdf</x:v>
      </x:c>
    </x:row>
    <x:row r="28">
      <x:c r="A28" t="str">
        <x:v>Inclinómetros</x:v>
      </x:c>
      <x:c r="B28" t="n">
        <x:v>7</x:v>
      </x:c>
      <x:c r="C28" s="48" t="n">
        <x:v>45978</x:v>
      </x:c>
      <x:c r="D28" t="str">
        <x:v>Relatório 7</x:v>
      </x:c>
      <x:c r="E28" t="str">
        <x:v>RELATÓRIO LEITURAS INCLINOMÉTRICAS - Empreitada THE EDEN, Estoril_ R07_17-11-25.pdf</x:v>
      </x:c>
    </x:row>
    <x:row r="29">
      <x:c r="A29" t="str">
        <x:v>Inclinómetros</x:v>
      </x:c>
      <x:c r="B29" t="n">
        <x:v>8</x:v>
      </x:c>
      <x:c r="C29" s="48" t="n">
        <x:v>45985</x:v>
      </x:c>
      <x:c r="D29" t="str">
        <x:v>Relatório 8</x:v>
      </x:c>
      <x:c r="E29" t="str">
        <x:v>RELATÓRIO LEITURAS INCLINOMÉTRICAS - Empreitada THE EDEN, Estoril_ R08_24-11-25.pdf</x:v>
      </x:c>
    </x:row>
    <x:row r="30">
      <x:c r="A30" t="str">
        <x:v>Inclinómetros</x:v>
      </x:c>
      <x:c r="B30" t="n">
        <x:v>9</x:v>
      </x:c>
      <x:c r="C30" s="48" t="n">
        <x:v>45993</x:v>
      </x:c>
      <x:c r="D30" t="str">
        <x:v>Relatório 9</x:v>
      </x:c>
      <x:c r="E30" t="str">
        <x:v>RELATÓRIO LEITURAS INCLINOMÉTRICAS - Empreitada THE EDEN, Estoril_ R09_02-12-25.pdf</x:v>
      </x:c>
    </x:row>
    <x:row r="31">
      <x:c r="A31" t="str">
        <x:v>Inclinómetros</x:v>
      </x:c>
      <x:c r="B31" t="n">
        <x:v>10</x:v>
      </x:c>
      <x:c r="C31" t="n">
        <x:v>46000</x:v>
      </x:c>
      <x:c r="D31" t="str">
        <x:v>Relatório 10</x:v>
      </x:c>
      <x:c r="E31" t="str">
        <x:v>RELATÓRIO LEITURAS INCLINOMÉTRICAS - Empreitada THE EDEN, Estoril_ R10_09-12-25.pdf</x:v>
      </x:c>
    </x:row>
    <x:row r="32">
      <x:c r="A32" t="str">
        <x:v>Piezómetros</x:v>
      </x:c>
      <x:c r="B32" t="n">
        <x:v>6</x:v>
      </x:c>
      <x:c r="C32" t="n">
        <x:v>45971</x:v>
      </x:c>
      <x:c r="D32" t="str">
        <x:v>Relatório 6</x:v>
      </x:c>
      <x:c r="E32" t="str">
        <x:v>RELATÓRIO LEITURAS PIEZOMÈTRICAS - Empreitada THE EDEN, Estoril_ R06_10-11-25.pdf</x:v>
      </x:c>
    </x:row>
    <x:row r="33">
      <x:c r="A33" t="str">
        <x:v>Piezómetros</x:v>
      </x:c>
      <x:c r="B33" t="n">
        <x:v>7</x:v>
      </x:c>
      <x:c r="C33" t="n">
        <x:v>45978</x:v>
      </x:c>
      <x:c r="D33" t="str">
        <x:v>Relatório 7</x:v>
      </x:c>
      <x:c r="E33" t="str">
        <x:v>RELATÓRIO LEITURAS PIEZOMÈTRICAS - Empreitada THE EDEN, Estoril_ R07_17-11-25.pdf</x:v>
      </x:c>
    </x:row>
    <x:row r="34">
      <x:c r="A34" t="str">
        <x:v>Piezómetros</x:v>
      </x:c>
      <x:c r="B34" t="n">
        <x:v>8</x:v>
      </x:c>
      <x:c r="C34" t="n">
        <x:v>45985</x:v>
      </x:c>
      <x:c r="D34" t="str">
        <x:v>Relatório 8</x:v>
      </x:c>
      <x:c r="E34" t="str">
        <x:v>RELATÓRIO LEITURAS PIEZOMÈTRICAS - Empreitada THE EDEN, Estoril_ R08_24-11-25.pdf</x:v>
      </x:c>
    </x:row>
    <x:row r="35">
      <x:c r="A35" t="str">
        <x:v>Piezómetros</x:v>
      </x:c>
      <x:c r="B35" t="n">
        <x:v>9</x:v>
      </x:c>
      <x:c r="C35" t="n">
        <x:v>45993</x:v>
      </x:c>
      <x:c r="D35" t="str">
        <x:v>Relatório 9</x:v>
      </x:c>
      <x:c r="E35" t="str">
        <x:v>RELATÓRIO LEITURAS PIEZOMÈTRICAS - Empreitada THE EDEN, Estoril_ R09_02-12-25.pdf</x:v>
      </x:c>
    </x:row>
    <x:row r="36">
      <x:c r="A36" t="str">
        <x:v>Piezómetros</x:v>
      </x:c>
      <x:c r="B36" t="n">
        <x:v>10</x:v>
      </x:c>
      <x:c r="C36" t="n">
        <x:v>46000</x:v>
      </x:c>
      <x:c r="D36" t="str">
        <x:v>Relatório 10</x:v>
      </x:c>
      <x:c r="E36" t="str">
        <x:v>RELATÓRIO LEITURAS PIEZOMÈTRICAS - Empreitada THE EDEN, Estoril_ R10_09-12-25.pdf</x:v>
      </x:c>
    </x:row>
    <x:row r="37">
      <x:c r="A37" t="str">
        <x:v>Células de carga</x:v>
      </x:c>
      <x:c r="B37" t="n">
        <x:v>6</x:v>
      </x:c>
      <x:c r="C37" t="n">
        <x:v>46034</x:v>
      </x:c>
      <x:c r="D37" t="str">
        <x:v>Relatório 6</x:v>
      </x:c>
      <x:c r="E37" t="str">
        <x:v>RELATÓRIO LEITURAS CÉLULAS CARGA - Empreitada THE EDEN, Estoril_ R6_12-01-26.pdf</x:v>
      </x:c>
    </x:row>
    <x:row r="38">
      <x:c r="A38" t="str">
        <x:v>Células de carga</x:v>
      </x:c>
      <x:c r="B38" t="n">
        <x:v>7</x:v>
      </x:c>
      <x:c r="C38" t="n">
        <x:v>46041</x:v>
      </x:c>
      <x:c r="D38" t="str">
        <x:v>Relatório 7</x:v>
      </x:c>
      <x:c r="E38" t="str">
        <x:v>RELATÓRIO LEITURAS CÉLULAS CARGA - Empreitada THE EDEN, Estoril_ R7_19-01-26.pdf</x:v>
      </x:c>
    </x:row>
    <x:row r="39">
      <x:c r="A39" t="str">
        <x:v>Células de carga</x:v>
      </x:c>
      <x:c r="B39" t="n">
        <x:v>8</x:v>
      </x:c>
      <x:c r="C39" t="n">
        <x:v>46048</x:v>
      </x:c>
      <x:c r="D39" t="str">
        <x:v>Relatório 8</x:v>
      </x:c>
      <x:c r="E39" t="str">
        <x:v>RELATÓRIO LEITURAS CÉLULAS CARGA - Empreitada THE EDEN, Estoril_ R8_26-01-26.pdf</x:v>
      </x:c>
    </x:row>
    <x:row r="40">
      <x:c r="A40" t="str">
        <x:v>Células de carga</x:v>
      </x:c>
      <x:c r="B40" t="n">
        <x:v>9</x:v>
      </x:c>
      <x:c r="C40" t="n">
        <x:v>46055</x:v>
      </x:c>
      <x:c r="D40" t="str">
        <x:v>Relatório 9</x:v>
      </x:c>
      <x:c r="E40" t="str">
        <x:v>RELATÓRIO LEITURAS CÉLULAS CARGA - Empreitada THE EDEN, Estoril_ R9_02-02-26.pdf</x:v>
      </x:c>
    </x:row>
    <x:row r="41">
      <x:c r="A41" t="str">
        <x:v>Células de carga</x:v>
      </x:c>
      <x:c r="B41" t="n">
        <x:v>10</x:v>
      </x:c>
      <x:c r="C41" t="n">
        <x:v>46062</x:v>
      </x:c>
      <x:c r="D41" t="str">
        <x:v>Relatório 10</x:v>
      </x:c>
      <x:c r="E41" t="str">
        <x:v>RELATÓRIO LEITURAS CÉLULAS CARGA - Empreitada THE EDEN, Estoril_ R10_09-02-26.pdf</x:v>
      </x:c>
    </x:row>
  </x:sheetData>
  <x:pageMargins left="0.7" right="0.7" top="0.75" bottom="0.75" header="0.3" footer="0.3"/>
  <x:tableParts count="1">
    <x:tablePart xmlns:r="http://schemas.openxmlformats.org/officeDocument/2006/relationships" r:id="R413dbcc3e13b451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10" hidden="0" customWidth="1"/>
    <x:col min="4" max="4" width="38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  <x:col min="9" max="9" width="13" hidden="0" customWidth="1"/>
    <x:col min="10" max="10" width="13" hidden="0" customWidth="1"/>
    <x:col min="11" max="11" width="17" hidden="0" customWidth="1"/>
    <x:col min="12" max="12" width="17" hidden="0" customWidth="1"/>
    <x:col min="13" max="13" width="17" hidden="0" customWidth="1"/>
    <x:col min="14" max="14" width="16" hidden="0" customWidth="1"/>
    <x:col min="15" max="15" width="16" hidden="0" customWidth="1"/>
    <x:col min="16" max="16" width="16" hidden="0" customWidth="1"/>
    <x:col min="17" max="17" width="22" hidden="0" customWidth="1"/>
    <x:col min="18" max="18" width="12" hidden="0" customWidth="1"/>
    <x:col min="19" max="19" width="68" hidden="0" customWidth="1"/>
    <x:col min="20" max="20" width="9" hidden="0" customWidth="1"/>
  </x:cols>
  <x:sheetData>
    <x:row r="1" ht="32" customHeight="1">
      <x:c r="A1" s="60" t="str">
        <x:v>Data</x:v>
      </x:c>
      <x:c r="B1" s="60" t="str">
        <x:v>Campanha</x:v>
      </x:c>
      <x:c r="C1" s="60" t="str">
        <x:v>Alvo</x:v>
      </x:c>
      <x:c r="D1" s="60" t="str">
        <x:v>Edifício / elemento</x:v>
      </x:c>
      <x:c r="E1" s="60" t="str">
        <x:v>M0 (m)</x:v>
      </x:c>
      <x:c r="F1" s="60" t="str">
        <x:v>P0 (m)</x:v>
      </x:c>
      <x:c r="G1" s="60" t="str">
        <x:v>Z0 (m)</x:v>
      </x:c>
      <x:c r="H1" s="60" t="str">
        <x:v>M atual (m)</x:v>
      </x:c>
      <x:c r="I1" s="60" t="str">
        <x:v>P atual (m)</x:v>
      </x:c>
      <x:c r="J1" s="60" t="str">
        <x:v>Z atual (m)</x:v>
      </x:c>
      <x:c r="K1" s="60" t="str">
        <x:v>ΔM incremental (mm)</x:v>
      </x:c>
      <x:c r="L1" s="60" t="str">
        <x:v>ΔP incremental (mm)</x:v>
      </x:c>
      <x:c r="M1" s="60" t="str">
        <x:v>ΔZ incremental (mm)</x:v>
      </x:c>
      <x:c r="N1" s="60" t="str">
        <x:v>ΔM acumulado (mm)</x:v>
      </x:c>
      <x:c r="O1" s="60" t="str">
        <x:v>ΔP acumulado (mm)</x:v>
      </x:c>
      <x:c r="P1" s="60" t="str">
        <x:v>ΔZ acumulado (mm)</x:v>
      </x:c>
      <x:c r="Q1" s="60" t="str">
        <x:v>Desloc. horizontal acumulado (mm)</x:v>
      </x:c>
      <x:c r="R1" s="60" t="str">
        <x:v>Estado</x:v>
      </x:c>
      <x:c r="S1" s="60" t="str">
        <x:v>Ficheiro fonte</x:v>
      </x:c>
      <x:c r="T1" s="60" t="str">
        <x:v>Página</x:v>
      </x:c>
    </x:row>
    <x:row r="2">
      <x:c r="A2" s="48" t="n">
        <x:v>45789</x:v>
      </x:c>
      <x:c r="B2" t="n">
        <x:v>0</x:v>
      </x:c>
      <x:c r="C2" t="str">
        <x:v>A1</x:v>
      </x:c>
      <x:c r="D2" t="str">
        <x:v>Edifício Santa Casa da Misericórdia</x:v>
      </x:c>
      <x:c r="E2" s="66" t="n">
        <x:v>4990.9657</x:v>
      </x:c>
      <x:c r="F2" s="66" t="n">
        <x:v>5053.745</x:v>
      </x:c>
      <x:c r="G2" s="66" t="n">
        <x:v>60.5536</x:v>
      </x:c>
      <x:c r="H2" s="66" t="n">
        <x:v>4990.9657</x:v>
      </x:c>
      <x:c r="I2" s="66" t="n">
        <x:v>5053.745</x:v>
      </x:c>
      <x:c r="J2" s="66" t="n">
        <x:v>60.5536</x:v>
      </x:c>
      <x:c r="K2" s="50" t="n">
        <x:v>0</x:v>
      </x:c>
      <x:c r="L2" s="50" t="n">
        <x:v>0</x:v>
      </x:c>
      <x:c r="M2" s="50" t="n">
        <x:v>0</x:v>
      </x:c>
      <x:c r="N2" s="50" t="n">
        <x:v>0</x:v>
      </x:c>
      <x:c r="O2" s="50" t="n">
        <x:v>0</x:v>
      </x:c>
      <x:c r="P2" s="50" t="n">
        <x:v>0</x:v>
      </x:c>
      <x:c r="Q2" s="50" t="n">
        <x:f>IF(COUNT(N2:O2)&lt;2,"",SQRT(N2^2+O2^2))</x:f>
        <x:v>0</x:v>
      </x:c>
      <x:c r="R2" t="str">
        <x:f>IF(COUNT(H2:P2)=0,"Sem leitura",IF(ISNUMBER(SEARCH("Escavação",D2)),IF(OR(Q2&gt;=40,ABS(P2)&gt;=15),"Alarme",IF(OR(Q2&gt;=IF(OR(ISNUMBER(SEARCH("Alçado AB",D2)),ISNUMBER(SEARCH("Alçado CD",D2)),ISNUMBER(SEARCH("Alçado BF",D2)),ISNUMBER(SEARCH("Alçado PQ",D2))),20,30),ABS(P2)&gt;=10),"Alerta","Regular")),IF(OR(Q2&gt;=25,ABS(P2)&gt;=20),"Alarme",IF(OR(Q2&gt;=15,ABS(P2)&gt;=10),"Alerta","Regular"))))</x:f>
        <x:v>Regular</x:v>
      </x:c>
      <x:c r="S2" t="str">
        <x:v>RELATÓRIO ALVOS TOPOGRÁFICOS - Empreitada THE EDEN, Estoril_ R04_03-09-25(1).pdf</x:v>
      </x:c>
      <x:c r="T2" t="n">
        <x:v>8</x:v>
      </x:c>
    </x:row>
    <x:row r="3">
      <x:c r="A3" s="48" t="n">
        <x:v>45789</x:v>
      </x:c>
      <x:c r="B3" t="n">
        <x:v>0</x:v>
      </x:c>
      <x:c r="C3" t="str">
        <x:v>A2</x:v>
      </x:c>
      <x:c r="D3" t="str">
        <x:v>Edifício Santa Casa da Misericórdia</x:v>
      </x:c>
      <x:c r="E3" s="66" t="n">
        <x:v>4990.9761</x:v>
      </x:c>
      <x:c r="F3" s="66" t="n">
        <x:v>5053.7455</x:v>
      </x:c>
      <x:c r="G3" s="66" t="n">
        <x:v>59.0952</x:v>
      </x:c>
      <x:c r="H3" s="66" t="n">
        <x:v>4990.9761</x:v>
      </x:c>
      <x:c r="I3" s="66" t="n">
        <x:v>5053.7455</x:v>
      </x:c>
      <x:c r="J3" s="66" t="n">
        <x:v>59.0952</x:v>
      </x:c>
      <x:c r="K3" s="50" t="n">
        <x:v>0</x:v>
      </x:c>
      <x:c r="L3" s="50" t="n">
        <x:v>0</x:v>
      </x:c>
      <x:c r="M3" s="50" t="n">
        <x:v>0</x:v>
      </x:c>
      <x:c r="N3" s="50" t="n">
        <x:v>0</x:v>
      </x:c>
      <x:c r="O3" s="50" t="n">
        <x:v>0</x:v>
      </x:c>
      <x:c r="P3" s="50" t="n">
        <x:v>0</x:v>
      </x:c>
      <x:c r="Q3" s="50" t="n">
        <x:f>IF(COUNT(N3:O3)&lt;2,"",SQRT(N3^2+O3^2))</x:f>
        <x:v>0</x:v>
      </x:c>
      <x:c r="R3" t="str">
        <x:f>IF(COUNT(H3:P3)=0,"Sem leitura",IF(ISNUMBER(SEARCH("Escavação",D3)),IF(OR(Q3&gt;=40,ABS(P3)&gt;=15),"Alarme",IF(OR(Q3&gt;=IF(OR(ISNUMBER(SEARCH("Alçado AB",D3)),ISNUMBER(SEARCH("Alçado CD",D3)),ISNUMBER(SEARCH("Alçado BF",D3)),ISNUMBER(SEARCH("Alçado PQ",D3))),20,30),ABS(P3)&gt;=10),"Alerta","Regular")),IF(OR(Q3&gt;=25,ABS(P3)&gt;=20),"Alarme",IF(OR(Q3&gt;=15,ABS(P3)&gt;=10),"Alerta","Regular"))))</x:f>
        <x:v>Regular</x:v>
      </x:c>
      <x:c r="S3" t="str">
        <x:v>RELATÓRIO ALVOS TOPOGRÁFICOS - Empreitada THE EDEN, Estoril_ R04_03-09-25(1).pdf</x:v>
      </x:c>
      <x:c r="T3" t="n">
        <x:v>8</x:v>
      </x:c>
    </x:row>
    <x:row r="4">
      <x:c r="A4" s="48" t="n">
        <x:v>45789</x:v>
      </x:c>
      <x:c r="B4" t="n">
        <x:v>0</x:v>
      </x:c>
      <x:c r="C4" t="str">
        <x:v>A3</x:v>
      </x:c>
      <x:c r="D4" t="str">
        <x:v>Edifício Santa Casa da Misericórdia</x:v>
      </x:c>
      <x:c r="E4" s="66" t="n">
        <x:v>5001.0813</x:v>
      </x:c>
      <x:c r="F4" s="66" t="n">
        <x:v>5053.5292</x:v>
      </x:c>
      <x:c r="G4" s="66" t="n">
        <x:v>60.6219</x:v>
      </x:c>
      <x:c r="H4" s="66" t="n">
        <x:v>5001.0813</x:v>
      </x:c>
      <x:c r="I4" s="66" t="n">
        <x:v>5053.5292</x:v>
      </x:c>
      <x:c r="J4" s="66" t="n">
        <x:v>60.6219</x:v>
      </x:c>
      <x:c r="K4" s="50" t="n">
        <x:v>0</x:v>
      </x:c>
      <x:c r="L4" s="50" t="n">
        <x:v>0</x:v>
      </x:c>
      <x:c r="M4" s="50" t="n">
        <x:v>0</x:v>
      </x:c>
      <x:c r="N4" s="50" t="n">
        <x:v>0</x:v>
      </x:c>
      <x:c r="O4" s="50" t="n">
        <x:v>0</x:v>
      </x:c>
      <x:c r="P4" s="50" t="n">
        <x:v>0</x:v>
      </x:c>
      <x:c r="Q4" s="50" t="n">
        <x:f>IF(COUNT(N4:O4)&lt;2,"",SQRT(N4^2+O4^2))</x:f>
        <x:v>0</x:v>
      </x:c>
      <x:c r="R4" t="str">
        <x:f>IF(COUNT(H4:P4)=0,"Sem leitura",IF(ISNUMBER(SEARCH("Escavação",D4)),IF(OR(Q4&gt;=40,ABS(P4)&gt;=15),"Alarme",IF(OR(Q4&gt;=IF(OR(ISNUMBER(SEARCH("Alçado AB",D4)),ISNUMBER(SEARCH("Alçado CD",D4)),ISNUMBER(SEARCH("Alçado BF",D4)),ISNUMBER(SEARCH("Alçado PQ",D4))),20,30),ABS(P4)&gt;=10),"Alerta","Regular")),IF(OR(Q4&gt;=25,ABS(P4)&gt;=20),"Alarme",IF(OR(Q4&gt;=15,ABS(P4)&gt;=10),"Alerta","Regular"))))</x:f>
        <x:v>Regular</x:v>
      </x:c>
      <x:c r="S4" t="str">
        <x:v>RELATÓRIO ALVOS TOPOGRÁFICOS - Empreitada THE EDEN, Estoril_ R04_03-09-25(1).pdf</x:v>
      </x:c>
      <x:c r="T4" t="n">
        <x:v>8</x:v>
      </x:c>
    </x:row>
    <x:row r="5">
      <x:c r="A5" s="48" t="n">
        <x:v>45789</x:v>
      </x:c>
      <x:c r="B5" t="n">
        <x:v>0</x:v>
      </x:c>
      <x:c r="C5" t="str">
        <x:v>A4</x:v>
      </x:c>
      <x:c r="D5" t="str">
        <x:v>Edifício Santa Casa da Misericórdia</x:v>
      </x:c>
      <x:c r="E5" s="66" t="n">
        <x:v>5001.0428</x:v>
      </x:c>
      <x:c r="F5" s="66" t="n">
        <x:v>5053.5322</x:v>
      </x:c>
      <x:c r="G5" s="66" t="n">
        <x:v>58.6778</x:v>
      </x:c>
      <x:c r="H5" s="66" t="n">
        <x:v>5001.0428</x:v>
      </x:c>
      <x:c r="I5" s="66" t="n">
        <x:v>5053.5322</x:v>
      </x:c>
      <x:c r="J5" s="66" t="n">
        <x:v>58.6778</x:v>
      </x:c>
      <x:c r="K5" s="50" t="n">
        <x:v>0</x:v>
      </x:c>
      <x:c r="L5" s="50" t="n">
        <x:v>0</x:v>
      </x:c>
      <x:c r="M5" s="50" t="n">
        <x:v>0</x:v>
      </x:c>
      <x:c r="N5" s="50" t="n">
        <x:v>0</x:v>
      </x:c>
      <x:c r="O5" s="50" t="n">
        <x:v>0</x:v>
      </x:c>
      <x:c r="P5" s="50" t="n">
        <x:v>0</x:v>
      </x:c>
      <x:c r="Q5" s="50" t="n">
        <x:f>IF(COUNT(N5:O5)&lt;2,"",SQRT(N5^2+O5^2))</x:f>
        <x:v>0</x:v>
      </x:c>
      <x:c r="R5" t="str">
        <x:f>IF(COUNT(H5:P5)=0,"Sem leitura",IF(ISNUMBER(SEARCH("Escavação",D5)),IF(OR(Q5&gt;=40,ABS(P5)&gt;=15),"Alarme",IF(OR(Q5&gt;=IF(OR(ISNUMBER(SEARCH("Alçado AB",D5)),ISNUMBER(SEARCH("Alçado CD",D5)),ISNUMBER(SEARCH("Alçado BF",D5)),ISNUMBER(SEARCH("Alçado PQ",D5))),20,30),ABS(P5)&gt;=10),"Alerta","Regular")),IF(OR(Q5&gt;=25,ABS(P5)&gt;=20),"Alarme",IF(OR(Q5&gt;=15,ABS(P5)&gt;=10),"Alerta","Regular"))))</x:f>
        <x:v>Regular</x:v>
      </x:c>
      <x:c r="S5" t="str">
        <x:v>RELATÓRIO ALVOS TOPOGRÁFICOS - Empreitada THE EDEN, Estoril_ R04_03-09-25(1).pdf</x:v>
      </x:c>
      <x:c r="T5" t="n">
        <x:v>8</x:v>
      </x:c>
    </x:row>
    <x:row r="6">
      <x:c r="A6" s="48" t="n">
        <x:v>45789</x:v>
      </x:c>
      <x:c r="B6" t="n">
        <x:v>0</x:v>
      </x:c>
      <x:c r="C6" t="str">
        <x:v>A5</x:v>
      </x:c>
      <x:c r="D6" t="str">
        <x:v>Edifício Santa Casa da Misericórdia</x:v>
      </x:c>
      <x:c r="E6" s="66" t="n">
        <x:v>5005.4018</x:v>
      </x:c>
      <x:c r="F6" s="66" t="n">
        <x:v>5054.5141</x:v>
      </x:c>
      <x:c r="G6" s="66" t="n">
        <x:v>60.1819</x:v>
      </x:c>
      <x:c r="H6" s="66" t="n">
        <x:v>5005.4018</x:v>
      </x:c>
      <x:c r="I6" s="66" t="n">
        <x:v>5054.5141</x:v>
      </x:c>
      <x:c r="J6" s="66" t="n">
        <x:v>60.1819</x:v>
      </x:c>
      <x:c r="K6" s="50" t="n">
        <x:v>0</x:v>
      </x:c>
      <x:c r="L6" s="50" t="n">
        <x:v>0</x:v>
      </x:c>
      <x:c r="M6" s="50" t="n">
        <x:v>0</x:v>
      </x:c>
      <x:c r="N6" s="50" t="n">
        <x:v>0</x:v>
      </x:c>
      <x:c r="O6" s="50" t="n">
        <x:v>0</x:v>
      </x:c>
      <x:c r="P6" s="50" t="n">
        <x:v>0</x:v>
      </x:c>
      <x:c r="Q6" s="50" t="n">
        <x:f>IF(COUNT(N6:O6)&lt;2,"",SQRT(N6^2+O6^2))</x:f>
        <x:v>0</x:v>
      </x:c>
      <x:c r="R6" t="str">
        <x:f>IF(COUNT(H6:P6)=0,"Sem leitura",IF(ISNUMBER(SEARCH("Escavação",D6)),IF(OR(Q6&gt;=40,ABS(P6)&gt;=15),"Alarme",IF(OR(Q6&gt;=IF(OR(ISNUMBER(SEARCH("Alçado AB",D6)),ISNUMBER(SEARCH("Alçado CD",D6)),ISNUMBER(SEARCH("Alçado BF",D6)),ISNUMBER(SEARCH("Alçado PQ",D6))),20,30),ABS(P6)&gt;=10),"Alerta","Regular")),IF(OR(Q6&gt;=25,ABS(P6)&gt;=20),"Alarme",IF(OR(Q6&gt;=15,ABS(P6)&gt;=10),"Alerta","Regular"))))</x:f>
        <x:v>Regular</x:v>
      </x:c>
      <x:c r="S6" t="str">
        <x:v>RELATÓRIO ALVOS TOPOGRÁFICOS - Empreitada THE EDEN, Estoril_ R04_03-09-25(1).pdf</x:v>
      </x:c>
      <x:c r="T6" t="n">
        <x:v>8</x:v>
      </x:c>
    </x:row>
    <x:row r="7">
      <x:c r="A7" s="48" t="n">
        <x:v>45789</x:v>
      </x:c>
      <x:c r="B7" t="n">
        <x:v>0</x:v>
      </x:c>
      <x:c r="C7" t="str">
        <x:v>A6</x:v>
      </x:c>
      <x:c r="D7" t="str">
        <x:v>Edifício Santa Casa da Misericórdia</x:v>
      </x:c>
      <x:c r="E7" s="66" t="n">
        <x:v>5005.4051</x:v>
      </x:c>
      <x:c r="F7" s="66" t="n">
        <x:v>5054.5767</x:v>
      </x:c>
      <x:c r="G7" s="66" t="n">
        <x:v>58.647</x:v>
      </x:c>
      <x:c r="H7" s="66" t="n">
        <x:v>5005.4051</x:v>
      </x:c>
      <x:c r="I7" s="66" t="n">
        <x:v>5054.5767</x:v>
      </x:c>
      <x:c r="J7" s="66" t="n">
        <x:v>58.647</x:v>
      </x:c>
      <x:c r="K7" s="50" t="n">
        <x:v>0</x:v>
      </x:c>
      <x:c r="L7" s="50" t="n">
        <x:v>0</x:v>
      </x:c>
      <x:c r="M7" s="50" t="n">
        <x:v>0</x:v>
      </x:c>
      <x:c r="N7" s="50" t="n">
        <x:v>0</x:v>
      </x:c>
      <x:c r="O7" s="50" t="n">
        <x:v>0</x:v>
      </x:c>
      <x:c r="P7" s="50" t="n">
        <x:v>0</x:v>
      </x:c>
      <x:c r="Q7" s="50" t="n">
        <x:f>IF(COUNT(N7:O7)&lt;2,"",SQRT(N7^2+O7^2))</x:f>
        <x:v>0</x:v>
      </x:c>
      <x:c r="R7" t="str">
        <x:f>IF(COUNT(H7:P7)=0,"Sem leitura",IF(ISNUMBER(SEARCH("Escavação",D7)),IF(OR(Q7&gt;=40,ABS(P7)&gt;=15),"Alarme",IF(OR(Q7&gt;=IF(OR(ISNUMBER(SEARCH("Alçado AB",D7)),ISNUMBER(SEARCH("Alçado CD",D7)),ISNUMBER(SEARCH("Alçado BF",D7)),ISNUMBER(SEARCH("Alçado PQ",D7))),20,30),ABS(P7)&gt;=10),"Alerta","Regular")),IF(OR(Q7&gt;=25,ABS(P7)&gt;=20),"Alarme",IF(OR(Q7&gt;=15,ABS(P7)&gt;=10),"Alerta","Regular"))))</x:f>
        <x:v>Regular</x:v>
      </x:c>
      <x:c r="S7" t="str">
        <x:v>RELATÓRIO ALVOS TOPOGRÁFICOS - Empreitada THE EDEN, Estoril_ R04_03-09-25(1).pdf</x:v>
      </x:c>
      <x:c r="T7" t="n">
        <x:v>8</x:v>
      </x:c>
    </x:row>
    <x:row r="8">
      <x:c r="A8" s="48" t="n">
        <x:v>45789</x:v>
      </x:c>
      <x:c r="B8" t="n">
        <x:v>0</x:v>
      </x:c>
      <x:c r="C8" t="str">
        <x:v>A7</x:v>
      </x:c>
      <x:c r="D8" t="str">
        <x:v>Edifício Santa Casa da Misericórdia</x:v>
      </x:c>
      <x:c r="E8" s="66" t="n">
        <x:v>5005.8755</x:v>
      </x:c>
      <x:c r="F8" s="66" t="n">
        <x:v>5063.3174</x:v>
      </x:c>
      <x:c r="G8" s="66" t="n">
        <x:v>60.4811</x:v>
      </x:c>
      <x:c r="H8" s="66" t="n">
        <x:v>5005.8755</x:v>
      </x:c>
      <x:c r="I8" s="66" t="n">
        <x:v>5063.3174</x:v>
      </x:c>
      <x:c r="J8" s="66" t="n">
        <x:v>60.4811</x:v>
      </x:c>
      <x:c r="K8" s="50" t="n">
        <x:v>0</x:v>
      </x:c>
      <x:c r="L8" s="50" t="n">
        <x:v>0</x:v>
      </x:c>
      <x:c r="M8" s="50" t="n">
        <x:v>0</x:v>
      </x:c>
      <x:c r="N8" s="50" t="n">
        <x:v>0</x:v>
      </x:c>
      <x:c r="O8" s="50" t="n">
        <x:v>0</x:v>
      </x:c>
      <x:c r="P8" s="50" t="n">
        <x:v>0</x:v>
      </x:c>
      <x:c r="Q8" s="50" t="n">
        <x:f>IF(COUNT(N8:O8)&lt;2,"",SQRT(N8^2+O8^2))</x:f>
        <x:v>0</x:v>
      </x:c>
      <x:c r="R8" t="str">
        <x:f>IF(COUNT(H8:P8)=0,"Sem leitura",IF(ISNUMBER(SEARCH("Escavação",D8)),IF(OR(Q8&gt;=40,ABS(P8)&gt;=15),"Alarme",IF(OR(Q8&gt;=IF(OR(ISNUMBER(SEARCH("Alçado AB",D8)),ISNUMBER(SEARCH("Alçado CD",D8)),ISNUMBER(SEARCH("Alçado BF",D8)),ISNUMBER(SEARCH("Alçado PQ",D8))),20,30),ABS(P8)&gt;=10),"Alerta","Regular")),IF(OR(Q8&gt;=25,ABS(P8)&gt;=20),"Alarme",IF(OR(Q8&gt;=15,ABS(P8)&gt;=10),"Alerta","Regular"))))</x:f>
        <x:v>Regular</x:v>
      </x:c>
      <x:c r="S8" t="str">
        <x:v>RELATÓRIO ALVOS TOPOGRÁFICOS - Empreitada THE EDEN, Estoril_ R04_03-09-25(1).pdf</x:v>
      </x:c>
      <x:c r="T8" t="n">
        <x:v>8</x:v>
      </x:c>
    </x:row>
    <x:row r="9">
      <x:c r="A9" s="48" t="n">
        <x:v>45789</x:v>
      </x:c>
      <x:c r="B9" t="n">
        <x:v>0</x:v>
      </x:c>
      <x:c r="C9" t="str">
        <x:v>A8</x:v>
      </x:c>
      <x:c r="D9" t="str">
        <x:v>Edifício Santa Casa da Misericórdia</x:v>
      </x:c>
      <x:c r="E9" s="66" t="n">
        <x:v>5005.8839</x:v>
      </x:c>
      <x:c r="F9" s="66" t="n">
        <x:v>5063.7008</x:v>
      </x:c>
      <x:c r="G9" s="66" t="n">
        <x:v>59.3293</x:v>
      </x:c>
      <x:c r="H9" s="66" t="n">
        <x:v>5005.8839</x:v>
      </x:c>
      <x:c r="I9" s="66" t="n">
        <x:v>5063.7008</x:v>
      </x:c>
      <x:c r="J9" s="66" t="n">
        <x:v>59.3293</x:v>
      </x:c>
      <x:c r="K9" s="50" t="n">
        <x:v>0</x:v>
      </x:c>
      <x:c r="L9" s="50" t="n">
        <x:v>0</x:v>
      </x:c>
      <x:c r="M9" s="50" t="n">
        <x:v>0</x:v>
      </x:c>
      <x:c r="N9" s="50" t="n">
        <x:v>0</x:v>
      </x:c>
      <x:c r="O9" s="50" t="n">
        <x:v>0</x:v>
      </x:c>
      <x:c r="P9" s="50" t="n">
        <x:v>0</x:v>
      </x:c>
      <x:c r="Q9" s="50" t="n">
        <x:f>IF(COUNT(N9:O9)&lt;2,"",SQRT(N9^2+O9^2))</x:f>
        <x:v>0</x:v>
      </x:c>
      <x:c r="R9" t="str">
        <x:f>IF(COUNT(H9:P9)=0,"Sem leitura",IF(ISNUMBER(SEARCH("Escavação",D9)),IF(OR(Q9&gt;=40,ABS(P9)&gt;=15),"Alarme",IF(OR(Q9&gt;=IF(OR(ISNUMBER(SEARCH("Alçado AB",D9)),ISNUMBER(SEARCH("Alçado CD",D9)),ISNUMBER(SEARCH("Alçado BF",D9)),ISNUMBER(SEARCH("Alçado PQ",D9))),20,30),ABS(P9)&gt;=10),"Alerta","Regular")),IF(OR(Q9&gt;=25,ABS(P9)&gt;=20),"Alarme",IF(OR(Q9&gt;=15,ABS(P9)&gt;=10),"Alerta","Regular"))))</x:f>
        <x:v>Regular</x:v>
      </x:c>
      <x:c r="S9" t="str">
        <x:v>RELATÓRIO ALVOS TOPOGRÁFICOS - Empreitada THE EDEN, Estoril_ R04_03-09-25(1).pdf</x:v>
      </x:c>
      <x:c r="T9" t="n">
        <x:v>8</x:v>
      </x:c>
    </x:row>
    <x:row r="10">
      <x:c r="A10" s="48" t="n">
        <x:v>45789</x:v>
      </x:c>
      <x:c r="B10" t="n">
        <x:v>0</x:v>
      </x:c>
      <x:c r="C10" t="str">
        <x:v>B1</x:v>
      </x:c>
      <x:c r="D10" t="str">
        <x:v>Restaurante Cimas</x:v>
      </x:c>
      <x:c r="E10" s="66" t="n">
        <x:v>5055.3705</x:v>
      </x:c>
      <x:c r="F10" s="66" t="n">
        <x:v>5037.6908</x:v>
      </x:c>
      <x:c r="G10" s="66" t="n">
        <x:v>55.8345</x:v>
      </x:c>
      <x:c r="H10" s="66" t="n">
        <x:v>5055.3705</x:v>
      </x:c>
      <x:c r="I10" s="66" t="n">
        <x:v>5037.6908</x:v>
      </x:c>
      <x:c r="J10" s="66" t="n">
        <x:v>55.8345</x:v>
      </x:c>
      <x:c r="K10" s="50" t="n">
        <x:v>0</x:v>
      </x:c>
      <x:c r="L10" s="50" t="n">
        <x:v>0</x:v>
      </x:c>
      <x:c r="M10" s="50" t="n">
        <x:v>0</x:v>
      </x:c>
      <x:c r="N10" s="50" t="n">
        <x:v>0</x:v>
      </x:c>
      <x:c r="O10" s="50" t="n">
        <x:v>0</x:v>
      </x:c>
      <x:c r="P10" s="50" t="n">
        <x:v>0</x:v>
      </x:c>
      <x:c r="Q10" s="50" t="n">
        <x:f>IF(COUNT(N10:O10)&lt;2,"",SQRT(N10^2+O10^2))</x:f>
        <x:v>0</x:v>
      </x:c>
      <x:c r="R10" t="str">
        <x:f>IF(COUNT(H10:P10)=0,"Sem leitura",IF(ISNUMBER(SEARCH("Escavação",D10)),IF(OR(Q10&gt;=40,ABS(P10)&gt;=15),"Alarme",IF(OR(Q10&gt;=IF(OR(ISNUMBER(SEARCH("Alçado AB",D10)),ISNUMBER(SEARCH("Alçado CD",D10)),ISNUMBER(SEARCH("Alçado BF",D10)),ISNUMBER(SEARCH("Alçado PQ",D10))),20,30),ABS(P10)&gt;=10),"Alerta","Regular")),IF(OR(Q10&gt;=25,ABS(P10)&gt;=20),"Alarme",IF(OR(Q10&gt;=15,ABS(P10)&gt;=10),"Alerta","Regular"))))</x:f>
        <x:v>Regular</x:v>
      </x:c>
      <x:c r="S10" t="str">
        <x:v>RELATÓRIO ALVOS TOPOGRÁFICOS - Empreitada THE EDEN, Estoril_ R04_03-09-25(1).pdf</x:v>
      </x:c>
      <x:c r="T10" t="n">
        <x:v>8</x:v>
      </x:c>
    </x:row>
    <x:row r="11">
      <x:c r="A11" s="48" t="n">
        <x:v>45789</x:v>
      </x:c>
      <x:c r="B11" t="n">
        <x:v>0</x:v>
      </x:c>
      <x:c r="C11" t="str">
        <x:v>B2</x:v>
      </x:c>
      <x:c r="D11" t="str">
        <x:v>Restaurante Cimas</x:v>
      </x:c>
      <x:c r="E11" s="66" t="n">
        <x:v>5055.3611</x:v>
      </x:c>
      <x:c r="F11" s="66" t="n">
        <x:v>5037.652</x:v>
      </x:c>
      <x:c r="G11" s="66" t="n">
        <x:v>53.9202</x:v>
      </x:c>
      <x:c r="H11" s="66" t="n">
        <x:v>5055.3611</x:v>
      </x:c>
      <x:c r="I11" s="66" t="n">
        <x:v>5037.652</x:v>
      </x:c>
      <x:c r="J11" s="66" t="n">
        <x:v>53.9202</x:v>
      </x:c>
      <x:c r="K11" s="50" t="n">
        <x:v>0</x:v>
      </x:c>
      <x:c r="L11" s="50" t="n">
        <x:v>0</x:v>
      </x:c>
      <x:c r="M11" s="50" t="n">
        <x:v>0</x:v>
      </x:c>
      <x:c r="N11" s="50" t="n">
        <x:v>0</x:v>
      </x:c>
      <x:c r="O11" s="50" t="n">
        <x:v>0</x:v>
      </x:c>
      <x:c r="P11" s="50" t="n">
        <x:v>0</x:v>
      </x:c>
      <x:c r="Q11" s="50" t="n">
        <x:f>IF(COUNT(N11:O11)&lt;2,"",SQRT(N11^2+O11^2))</x:f>
        <x:v>0</x:v>
      </x:c>
      <x:c r="R11" t="str">
        <x:f>IF(COUNT(H11:P11)=0,"Sem leitura",IF(ISNUMBER(SEARCH("Escavação",D11)),IF(OR(Q11&gt;=40,ABS(P11)&gt;=15),"Alarme",IF(OR(Q11&gt;=IF(OR(ISNUMBER(SEARCH("Alçado AB",D11)),ISNUMBER(SEARCH("Alçado CD",D11)),ISNUMBER(SEARCH("Alçado BF",D11)),ISNUMBER(SEARCH("Alçado PQ",D11))),20,30),ABS(P11)&gt;=10),"Alerta","Regular")),IF(OR(Q11&gt;=25,ABS(P11)&gt;=20),"Alarme",IF(OR(Q11&gt;=15,ABS(P11)&gt;=10),"Alerta","Regular"))))</x:f>
        <x:v>Regular</x:v>
      </x:c>
      <x:c r="S11" t="str">
        <x:v>RELATÓRIO ALVOS TOPOGRÁFICOS - Empreitada THE EDEN, Estoril_ R04_03-09-25(1).pdf</x:v>
      </x:c>
      <x:c r="T11" t="n">
        <x:v>8</x:v>
      </x:c>
    </x:row>
    <x:row r="12">
      <x:c r="A12" s="48" t="n">
        <x:v>45789</x:v>
      </x:c>
      <x:c r="B12" t="n">
        <x:v>0</x:v>
      </x:c>
      <x:c r="C12" t="str">
        <x:v>B3</x:v>
      </x:c>
      <x:c r="D12" t="str">
        <x:v>Restaurante Cimas</x:v>
      </x:c>
      <x:c r="E12" s="66" t="n">
        <x:v>5053.1267</x:v>
      </x:c>
      <x:c r="F12" s="66" t="n">
        <x:v>5028.5694</x:v>
      </x:c>
      <x:c r="G12" s="66" t="n">
        <x:v>55.8769</x:v>
      </x:c>
      <x:c r="H12" s="66" t="n">
        <x:v>5053.1267</x:v>
      </x:c>
      <x:c r="I12" s="66" t="n">
        <x:v>5028.5694</x:v>
      </x:c>
      <x:c r="J12" s="66" t="n">
        <x:v>55.8769</x:v>
      </x:c>
      <x:c r="K12" s="50" t="n">
        <x:v>0</x:v>
      </x:c>
      <x:c r="L12" s="50" t="n">
        <x:v>0</x:v>
      </x:c>
      <x:c r="M12" s="50" t="n">
        <x:v>0</x:v>
      </x:c>
      <x:c r="N12" s="50" t="n">
        <x:v>0</x:v>
      </x:c>
      <x:c r="O12" s="50" t="n">
        <x:v>0</x:v>
      </x:c>
      <x:c r="P12" s="50" t="n">
        <x:v>0</x:v>
      </x:c>
      <x:c r="Q12" s="50" t="n">
        <x:f>IF(COUNT(N12:O12)&lt;2,"",SQRT(N12^2+O12^2))</x:f>
        <x:v>0</x:v>
      </x:c>
      <x:c r="R12" t="str">
        <x:f>IF(COUNT(H12:P12)=0,"Sem leitura",IF(ISNUMBER(SEARCH("Escavação",D12)),IF(OR(Q12&gt;=40,ABS(P12)&gt;=15),"Alarme",IF(OR(Q12&gt;=IF(OR(ISNUMBER(SEARCH("Alçado AB",D12)),ISNUMBER(SEARCH("Alçado CD",D12)),ISNUMBER(SEARCH("Alçado BF",D12)),ISNUMBER(SEARCH("Alçado PQ",D12))),20,30),ABS(P12)&gt;=10),"Alerta","Regular")),IF(OR(Q12&gt;=25,ABS(P12)&gt;=20),"Alarme",IF(OR(Q12&gt;=15,ABS(P12)&gt;=10),"Alerta","Regular"))))</x:f>
        <x:v>Regular</x:v>
      </x:c>
      <x:c r="S12" t="str">
        <x:v>RELATÓRIO ALVOS TOPOGRÁFICOS - Empreitada THE EDEN, Estoril_ R04_03-09-25(1).pdf</x:v>
      </x:c>
      <x:c r="T12" t="n">
        <x:v>8</x:v>
      </x:c>
    </x:row>
    <x:row r="13">
      <x:c r="A13" s="48" t="n">
        <x:v>45789</x:v>
      </x:c>
      <x:c r="B13" t="n">
        <x:v>0</x:v>
      </x:c>
      <x:c r="C13" t="str">
        <x:v>B4</x:v>
      </x:c>
      <x:c r="D13" t="str">
        <x:v>Restaurante Cimas</x:v>
      </x:c>
      <x:c r="E13" s="66" t="n">
        <x:v>5053.123</x:v>
      </x:c>
      <x:c r="F13" s="66" t="n">
        <x:v>5028.5786</x:v>
      </x:c>
      <x:c r="G13" s="66" t="n">
        <x:v>54.1591</x:v>
      </x:c>
      <x:c r="H13" s="66" t="n">
        <x:v>5053.123</x:v>
      </x:c>
      <x:c r="I13" s="66" t="n">
        <x:v>5028.5786</x:v>
      </x:c>
      <x:c r="J13" s="66" t="n">
        <x:v>54.1591</x:v>
      </x:c>
      <x:c r="K13" s="50" t="n">
        <x:v>0</x:v>
      </x:c>
      <x:c r="L13" s="50" t="n">
        <x:v>0</x:v>
      </x:c>
      <x:c r="M13" s="50" t="n">
        <x:v>0</x:v>
      </x:c>
      <x:c r="N13" s="50" t="n">
        <x:v>0</x:v>
      </x:c>
      <x:c r="O13" s="50" t="n">
        <x:v>0</x:v>
      </x:c>
      <x:c r="P13" s="50" t="n">
        <x:v>0</x:v>
      </x:c>
      <x:c r="Q13" s="50" t="n">
        <x:f>IF(COUNT(N13:O13)&lt;2,"",SQRT(N13^2+O13^2))</x:f>
        <x:v>0</x:v>
      </x:c>
      <x:c r="R13" t="str">
        <x:f>IF(COUNT(H13:P13)=0,"Sem leitura",IF(ISNUMBER(SEARCH("Escavação",D13)),IF(OR(Q13&gt;=40,ABS(P13)&gt;=15),"Alarme",IF(OR(Q13&gt;=IF(OR(ISNUMBER(SEARCH("Alçado AB",D13)),ISNUMBER(SEARCH("Alçado CD",D13)),ISNUMBER(SEARCH("Alçado BF",D13)),ISNUMBER(SEARCH("Alçado PQ",D13))),20,30),ABS(P13)&gt;=10),"Alerta","Regular")),IF(OR(Q13&gt;=25,ABS(P13)&gt;=20),"Alarme",IF(OR(Q13&gt;=15,ABS(P13)&gt;=10),"Alerta","Regular"))))</x:f>
        <x:v>Regular</x:v>
      </x:c>
      <x:c r="S13" t="str">
        <x:v>RELATÓRIO ALVOS TOPOGRÁFICOS - Empreitada THE EDEN, Estoril_ R04_03-09-25(1).pdf</x:v>
      </x:c>
      <x:c r="T13" t="n">
        <x:v>8</x:v>
      </x:c>
    </x:row>
    <x:row r="14">
      <x:c r="A14" s="48" t="n">
        <x:v>45789</x:v>
      </x:c>
      <x:c r="B14" t="n">
        <x:v>0</x:v>
      </x:c>
      <x:c r="C14" t="str">
        <x:v>C1</x:v>
      </x:c>
      <x:c r="D14" t="str">
        <x:v>Clínica Abreu Loureiro</x:v>
      </x:c>
      <x:c r="E14" s="66" t="n">
        <x:v>5051.1407</x:v>
      </x:c>
      <x:c r="F14" s="66" t="n">
        <x:v>5062.3237</x:v>
      </x:c>
      <x:c r="G14" s="66" t="n">
        <x:v>63.0014</x:v>
      </x:c>
      <x:c r="H14" s="66" t="n">
        <x:v>5051.1407</x:v>
      </x:c>
      <x:c r="I14" s="66" t="n">
        <x:v>5062.3237</x:v>
      </x:c>
      <x:c r="J14" s="66" t="n">
        <x:v>63.0014</x:v>
      </x:c>
      <x:c r="K14" s="50" t="n">
        <x:v>0</x:v>
      </x:c>
      <x:c r="L14" s="50" t="n">
        <x:v>0</x:v>
      </x:c>
      <x:c r="M14" s="50" t="n">
        <x:v>0</x:v>
      </x:c>
      <x:c r="N14" s="50" t="n">
        <x:v>0</x:v>
      </x:c>
      <x:c r="O14" s="50" t="n">
        <x:v>0</x:v>
      </x:c>
      <x:c r="P14" s="50" t="n">
        <x:v>0</x:v>
      </x:c>
      <x:c r="Q14" s="50" t="n">
        <x:f>IF(COUNT(N14:O14)&lt;2,"",SQRT(N14^2+O14^2))</x:f>
        <x:v>0</x:v>
      </x:c>
      <x:c r="R14" t="str">
        <x:f>IF(COUNT(H14:P14)=0,"Sem leitura",IF(ISNUMBER(SEARCH("Escavação",D14)),IF(OR(Q14&gt;=40,ABS(P14)&gt;=15),"Alarme",IF(OR(Q14&gt;=IF(OR(ISNUMBER(SEARCH("Alçado AB",D14)),ISNUMBER(SEARCH("Alçado CD",D14)),ISNUMBER(SEARCH("Alçado BF",D14)),ISNUMBER(SEARCH("Alçado PQ",D14))),20,30),ABS(P14)&gt;=10),"Alerta","Regular")),IF(OR(Q14&gt;=25,ABS(P14)&gt;=20),"Alarme",IF(OR(Q14&gt;=15,ABS(P14)&gt;=10),"Alerta","Regular"))))</x:f>
        <x:v>Regular</x:v>
      </x:c>
      <x:c r="S14" t="str">
        <x:v>RELATÓRIO ALVOS TOPOGRÁFICOS - Empreitada THE EDEN, Estoril_ R04_03-09-25(1).pdf</x:v>
      </x:c>
      <x:c r="T14" t="n">
        <x:v>8</x:v>
      </x:c>
    </x:row>
    <x:row r="15">
      <x:c r="A15" s="48" t="n">
        <x:v>45789</x:v>
      </x:c>
      <x:c r="B15" t="n">
        <x:v>0</x:v>
      </x:c>
      <x:c r="C15" t="str">
        <x:v>C2</x:v>
      </x:c>
      <x:c r="D15" t="str">
        <x:v>Clínica Abreu Loureiro</x:v>
      </x:c>
      <x:c r="E15" s="66" t="n">
        <x:v>5051.0086</x:v>
      </x:c>
      <x:c r="F15" s="66" t="n">
        <x:v>5062.4334</x:v>
      </x:c>
      <x:c r="G15" s="66" t="n">
        <x:v>56.898</x:v>
      </x:c>
      <x:c r="H15" s="66" t="n">
        <x:v>5051.0086</x:v>
      </x:c>
      <x:c r="I15" s="66" t="n">
        <x:v>5062.4334</x:v>
      </x:c>
      <x:c r="J15" s="66" t="n">
        <x:v>56.898</x:v>
      </x:c>
      <x:c r="K15" s="50" t="n">
        <x:v>0</x:v>
      </x:c>
      <x:c r="L15" s="50" t="n">
        <x:v>0</x:v>
      </x:c>
      <x:c r="M15" s="50" t="n">
        <x:v>0</x:v>
      </x:c>
      <x:c r="N15" s="50" t="n">
        <x:v>0</x:v>
      </x:c>
      <x:c r="O15" s="50" t="n">
        <x:v>0</x:v>
      </x:c>
      <x:c r="P15" s="50" t="n">
        <x:v>0</x:v>
      </x:c>
      <x:c r="Q15" s="50" t="n">
        <x:f>IF(COUNT(N15:O15)&lt;2,"",SQRT(N15^2+O15^2))</x:f>
        <x:v>0</x:v>
      </x:c>
      <x:c r="R15" t="str">
        <x:f>IF(COUNT(H15:P15)=0,"Sem leitura",IF(ISNUMBER(SEARCH("Escavação",D15)),IF(OR(Q15&gt;=40,ABS(P15)&gt;=15),"Alarme",IF(OR(Q15&gt;=IF(OR(ISNUMBER(SEARCH("Alçado AB",D15)),ISNUMBER(SEARCH("Alçado CD",D15)),ISNUMBER(SEARCH("Alçado BF",D15)),ISNUMBER(SEARCH("Alçado PQ",D15))),20,30),ABS(P15)&gt;=10),"Alerta","Regular")),IF(OR(Q15&gt;=25,ABS(P15)&gt;=20),"Alarme",IF(OR(Q15&gt;=15,ABS(P15)&gt;=10),"Alerta","Regular"))))</x:f>
        <x:v>Regular</x:v>
      </x:c>
      <x:c r="S15" t="str">
        <x:v>RELATÓRIO ALVOS TOPOGRÁFICOS - Empreitada THE EDEN, Estoril_ R04_03-09-25(1).pdf</x:v>
      </x:c>
      <x:c r="T15" t="n">
        <x:v>8</x:v>
      </x:c>
    </x:row>
    <x:row r="16">
      <x:c r="A16" s="48" t="n">
        <x:v>45789</x:v>
      </x:c>
      <x:c r="B16" t="n">
        <x:v>0</x:v>
      </x:c>
      <x:c r="C16" t="str">
        <x:v>C3</x:v>
      </x:c>
      <x:c r="D16" t="str">
        <x:v>Clínica Abreu Loureiro</x:v>
      </x:c>
      <x:c r="E16" s="66" t="n">
        <x:v>5058.5259</x:v>
      </x:c>
      <x:c r="F16" s="66" t="n">
        <x:v>5053.176</x:v>
      </x:c>
      <x:c r="G16" s="66" t="n">
        <x:v>63.5252</x:v>
      </x:c>
      <x:c r="H16" s="66" t="n">
        <x:v>5058.5259</x:v>
      </x:c>
      <x:c r="I16" s="66" t="n">
        <x:v>5053.176</x:v>
      </x:c>
      <x:c r="J16" s="66" t="n">
        <x:v>63.5252</x:v>
      </x:c>
      <x:c r="K16" s="50" t="n">
        <x:v>0</x:v>
      </x:c>
      <x:c r="L16" s="50" t="n">
        <x:v>0</x:v>
      </x:c>
      <x:c r="M16" s="50" t="n">
        <x:v>0</x:v>
      </x:c>
      <x:c r="N16" s="50" t="n">
        <x:v>0</x:v>
      </x:c>
      <x:c r="O16" s="50" t="n">
        <x:v>0</x:v>
      </x:c>
      <x:c r="P16" s="50" t="n">
        <x:v>0</x:v>
      </x:c>
      <x:c r="Q16" s="50" t="n">
        <x:f>IF(COUNT(N16:O16)&lt;2,"",SQRT(N16^2+O16^2))</x:f>
        <x:v>0</x:v>
      </x:c>
      <x:c r="R16" t="str">
        <x:f>IF(COUNT(H16:P16)=0,"Sem leitura",IF(ISNUMBER(SEARCH("Escavação",D16)),IF(OR(Q16&gt;=40,ABS(P16)&gt;=15),"Alarme",IF(OR(Q16&gt;=IF(OR(ISNUMBER(SEARCH("Alçado AB",D16)),ISNUMBER(SEARCH("Alçado CD",D16)),ISNUMBER(SEARCH("Alçado BF",D16)),ISNUMBER(SEARCH("Alçado PQ",D16))),20,30),ABS(P16)&gt;=10),"Alerta","Regular")),IF(OR(Q16&gt;=25,ABS(P16)&gt;=20),"Alarme",IF(OR(Q16&gt;=15,ABS(P16)&gt;=10),"Alerta","Regular"))))</x:f>
        <x:v>Regular</x:v>
      </x:c>
      <x:c r="S16" t="str">
        <x:v>RELATÓRIO ALVOS TOPOGRÁFICOS - Empreitada THE EDEN, Estoril_ R04_03-09-25(1).pdf</x:v>
      </x:c>
      <x:c r="T16" t="n">
        <x:v>8</x:v>
      </x:c>
    </x:row>
    <x:row r="17">
      <x:c r="A17" s="48" t="n">
        <x:v>45789</x:v>
      </x:c>
      <x:c r="B17" t="n">
        <x:v>0</x:v>
      </x:c>
      <x:c r="C17" t="str">
        <x:v>C4</x:v>
      </x:c>
      <x:c r="D17" t="str">
        <x:v>Clínica Abreu Loureiro</x:v>
      </x:c>
      <x:c r="E17" s="66" t="n">
        <x:v>5060.2733</x:v>
      </x:c>
      <x:c r="F17" s="66" t="n">
        <x:v>5059.0944</x:v>
      </x:c>
      <x:c r="G17" s="66" t="n">
        <x:v>58.7943</x:v>
      </x:c>
      <x:c r="H17" s="66" t="n">
        <x:v>5060.2733</x:v>
      </x:c>
      <x:c r="I17" s="66" t="n">
        <x:v>5059.0944</x:v>
      </x:c>
      <x:c r="J17" s="66" t="n">
        <x:v>58.7943</x:v>
      </x:c>
      <x:c r="K17" s="50" t="n">
        <x:v>0</x:v>
      </x:c>
      <x:c r="L17" s="50" t="n">
        <x:v>0</x:v>
      </x:c>
      <x:c r="M17" s="50" t="n">
        <x:v>0</x:v>
      </x:c>
      <x:c r="N17" s="50" t="n">
        <x:v>0</x:v>
      </x:c>
      <x:c r="O17" s="50" t="n">
        <x:v>0</x:v>
      </x:c>
      <x:c r="P17" s="50" t="n">
        <x:v>0</x:v>
      </x:c>
      <x:c r="Q17" s="50" t="n">
        <x:f>IF(COUNT(N17:O17)&lt;2,"",SQRT(N17^2+O17^2))</x:f>
        <x:v>0</x:v>
      </x:c>
      <x:c r="R17" t="str">
        <x:f>IF(COUNT(H17:P17)=0,"Sem leitura",IF(ISNUMBER(SEARCH("Escavação",D17)),IF(OR(Q17&gt;=40,ABS(P17)&gt;=15),"Alarme",IF(OR(Q17&gt;=IF(OR(ISNUMBER(SEARCH("Alçado AB",D17)),ISNUMBER(SEARCH("Alçado CD",D17)),ISNUMBER(SEARCH("Alçado BF",D17)),ISNUMBER(SEARCH("Alçado PQ",D17))),20,30),ABS(P17)&gt;=10),"Alerta","Regular")),IF(OR(Q17&gt;=25,ABS(P17)&gt;=20),"Alarme",IF(OR(Q17&gt;=15,ABS(P17)&gt;=10),"Alerta","Regular"))))</x:f>
        <x:v>Regular</x:v>
      </x:c>
      <x:c r="S17" t="str">
        <x:v>RELATÓRIO ALVOS TOPOGRÁFICOS - Empreitada THE EDEN, Estoril_ R04_03-09-25(1).pdf</x:v>
      </x:c>
      <x:c r="T17" t="n">
        <x:v>8</x:v>
      </x:c>
    </x:row>
    <x:row r="18">
      <x:c r="A18" s="48" t="n">
        <x:v>45819</x:v>
      </x:c>
      <x:c r="B18" t="n">
        <x:v>1</x:v>
      </x:c>
      <x:c r="C18" t="str">
        <x:v>A1</x:v>
      </x:c>
      <x:c r="D18" t="str">
        <x:v>Edifício Santa Casa da Misericórdia</x:v>
      </x:c>
      <x:c r="E18" s="66" t="n">
        <x:v>4990.9657</x:v>
      </x:c>
      <x:c r="F18" s="66" t="n">
        <x:v>5053.745</x:v>
      </x:c>
      <x:c r="G18" s="66" t="n">
        <x:v>60.5536</x:v>
      </x:c>
      <x:c r="H18" s="66" t="n">
        <x:v>4990.9657</x:v>
      </x:c>
      <x:c r="I18" s="66" t="n">
        <x:v>5053.7447</x:v>
      </x:c>
      <x:c r="J18" s="66" t="n">
        <x:v>60.5533</x:v>
      </x:c>
      <x:c r="K18" s="50" t="n">
        <x:v>0</x:v>
      </x:c>
      <x:c r="L18" s="50" t="n">
        <x:v>-0.3</x:v>
      </x:c>
      <x:c r="M18" s="50" t="n">
        <x:v>-0.3</x:v>
      </x:c>
      <x:c r="N18" s="50" t="n">
        <x:v>0</x:v>
      </x:c>
      <x:c r="O18" s="50" t="n">
        <x:v>-0.3</x:v>
      </x:c>
      <x:c r="P18" s="50" t="n">
        <x:v>-0.3</x:v>
      </x:c>
      <x:c r="Q18" s="50" t="n">
        <x:f>IF(COUNT(N18:O18)&lt;2,"",SQRT(N18^2+O18^2))</x:f>
        <x:v>0.3</x:v>
      </x:c>
      <x:c r="R18" t="str">
        <x:f>IF(COUNT(H18:P18)=0,"Sem leitura",IF(ISNUMBER(SEARCH("Escavação",D18)),IF(OR(Q18&gt;=40,ABS(P18)&gt;=15),"Alarme",IF(OR(Q18&gt;=IF(OR(ISNUMBER(SEARCH("Alçado AB",D18)),ISNUMBER(SEARCH("Alçado CD",D18)),ISNUMBER(SEARCH("Alçado BF",D18)),ISNUMBER(SEARCH("Alçado PQ",D18))),20,30),ABS(P18)&gt;=10),"Alerta","Regular")),IF(OR(Q18&gt;=25,ABS(P18)&gt;=20),"Alarme",IF(OR(Q18&gt;=15,ABS(P18)&gt;=10),"Alerta","Regular"))))</x:f>
        <x:v>Regular</x:v>
      </x:c>
      <x:c r="S18" t="str">
        <x:v>RELATÓRIO ALVOS TOPOGRÁFICOS - Empreitada THE EDEN, Estoril_ R04_03-09-25(1).pdf</x:v>
      </x:c>
      <x:c r="T18" t="n">
        <x:v>9</x:v>
      </x:c>
    </x:row>
    <x:row r="19">
      <x:c r="A19" s="48" t="n">
        <x:v>45819</x:v>
      </x:c>
      <x:c r="B19" t="n">
        <x:v>1</x:v>
      </x:c>
      <x:c r="C19" t="str">
        <x:v>A2</x:v>
      </x:c>
      <x:c r="D19" t="str">
        <x:v>Edifício Santa Casa da Misericórdia</x:v>
      </x:c>
      <x:c r="E19" s="66" t="n">
        <x:v>4990.9761</x:v>
      </x:c>
      <x:c r="F19" s="66" t="n">
        <x:v>5053.7455</x:v>
      </x:c>
      <x:c r="G19" s="66" t="n">
        <x:v>59.0952</x:v>
      </x:c>
      <x:c r="H19" s="66" t="n">
        <x:v>4990.9764</x:v>
      </x:c>
      <x:c r="I19" s="66" t="n">
        <x:v>5053.7439</x:v>
      </x:c>
      <x:c r="J19" s="66" t="n">
        <x:v>59.0949</x:v>
      </x:c>
      <x:c r="K19" s="50" t="n">
        <x:v>0.3</x:v>
      </x:c>
      <x:c r="L19" s="50" t="n">
        <x:v>-1.6</x:v>
      </x:c>
      <x:c r="M19" s="50" t="n">
        <x:v>-0.3</x:v>
      </x:c>
      <x:c r="N19" s="50" t="n">
        <x:v>0.3</x:v>
      </x:c>
      <x:c r="O19" s="50" t="n">
        <x:v>-1.6</x:v>
      </x:c>
      <x:c r="P19" s="50" t="n">
        <x:v>-0.3</x:v>
      </x:c>
      <x:c r="Q19" s="50" t="n">
        <x:f>IF(COUNT(N19:O19)&lt;2,"",SQRT(N19^2+O19^2))</x:f>
        <x:v>1.6278820596099708</x:v>
      </x:c>
      <x:c r="R19" t="str">
        <x:f>IF(COUNT(H19:P19)=0,"Sem leitura",IF(ISNUMBER(SEARCH("Escavação",D19)),IF(OR(Q19&gt;=40,ABS(P19)&gt;=15),"Alarme",IF(OR(Q19&gt;=IF(OR(ISNUMBER(SEARCH("Alçado AB",D19)),ISNUMBER(SEARCH("Alçado CD",D19)),ISNUMBER(SEARCH("Alçado BF",D19)),ISNUMBER(SEARCH("Alçado PQ",D19))),20,30),ABS(P19)&gt;=10),"Alerta","Regular")),IF(OR(Q19&gt;=25,ABS(P19)&gt;=20),"Alarme",IF(OR(Q19&gt;=15,ABS(P19)&gt;=10),"Alerta","Regular"))))</x:f>
        <x:v>Regular</x:v>
      </x:c>
      <x:c r="S19" t="str">
        <x:v>RELATÓRIO ALVOS TOPOGRÁFICOS - Empreitada THE EDEN, Estoril_ R04_03-09-25(1).pdf</x:v>
      </x:c>
      <x:c r="T19" t="n">
        <x:v>9</x:v>
      </x:c>
    </x:row>
    <x:row r="20">
      <x:c r="A20" s="48" t="n">
        <x:v>45819</x:v>
      </x:c>
      <x:c r="B20" t="n">
        <x:v>1</x:v>
      </x:c>
      <x:c r="C20" t="str">
        <x:v>A3</x:v>
      </x:c>
      <x:c r="D20" t="str">
        <x:v>Edifício Santa Casa da Misericórdia</x:v>
      </x:c>
      <x:c r="E20" s="66" t="n">
        <x:v>5001.0813</x:v>
      </x:c>
      <x:c r="F20" s="66" t="n">
        <x:v>5053.5292</x:v>
      </x:c>
      <x:c r="G20" s="66" t="n">
        <x:v>60.6219</x:v>
      </x:c>
      <x:c r="H20" s="66" t="n">
        <x:v>5001.0803</x:v>
      </x:c>
      <x:c r="I20" s="66" t="n">
        <x:v>5053.5271</x:v>
      </x:c>
      <x:c r="J20" s="66" t="n">
        <x:v>60.6212</x:v>
      </x:c>
      <x:c r="K20" s="50" t="n">
        <x:v>-1</x:v>
      </x:c>
      <x:c r="L20" s="50" t="n">
        <x:v>-2.1</x:v>
      </x:c>
      <x:c r="M20" s="50" t="n">
        <x:v>-0.7</x:v>
      </x:c>
      <x:c r="N20" s="50" t="n">
        <x:v>-1</x:v>
      </x:c>
      <x:c r="O20" s="50" t="n">
        <x:v>-2.1</x:v>
      </x:c>
      <x:c r="P20" s="50" t="n">
        <x:v>-0.7</x:v>
      </x:c>
      <x:c r="Q20" s="50" t="n">
        <x:f>IF(COUNT(N20:O20)&lt;2,"",SQRT(N20^2+O20^2))</x:f>
        <x:v>2.3259406699226015</x:v>
      </x:c>
      <x:c r="R20" t="str">
        <x:f>IF(COUNT(H20:P20)=0,"Sem leitura",IF(ISNUMBER(SEARCH("Escavação",D20)),IF(OR(Q20&gt;=40,ABS(P20)&gt;=15),"Alarme",IF(OR(Q20&gt;=IF(OR(ISNUMBER(SEARCH("Alçado AB",D20)),ISNUMBER(SEARCH("Alçado CD",D20)),ISNUMBER(SEARCH("Alçado BF",D20)),ISNUMBER(SEARCH("Alçado PQ",D20))),20,30),ABS(P20)&gt;=10),"Alerta","Regular")),IF(OR(Q20&gt;=25,ABS(P20)&gt;=20),"Alarme",IF(OR(Q20&gt;=15,ABS(P20)&gt;=10),"Alerta","Regular"))))</x:f>
        <x:v>Regular</x:v>
      </x:c>
      <x:c r="S20" t="str">
        <x:v>RELATÓRIO ALVOS TOPOGRÁFICOS - Empreitada THE EDEN, Estoril_ R04_03-09-25(1).pdf</x:v>
      </x:c>
      <x:c r="T20" t="n">
        <x:v>9</x:v>
      </x:c>
    </x:row>
    <x:row r="21">
      <x:c r="A21" s="48" t="n">
        <x:v>45819</x:v>
      </x:c>
      <x:c r="B21" t="n">
        <x:v>1</x:v>
      </x:c>
      <x:c r="C21" t="str">
        <x:v>A4</x:v>
      </x:c>
      <x:c r="D21" t="str">
        <x:v>Edifício Santa Casa da Misericórdia</x:v>
      </x:c>
      <x:c r="E21" s="66" t="n">
        <x:v>5001.0428</x:v>
      </x:c>
      <x:c r="F21" s="66" t="n">
        <x:v>5053.5322</x:v>
      </x:c>
      <x:c r="G21" s="66" t="n">
        <x:v>58.6778</x:v>
      </x:c>
      <x:c r="H21" s="66" t="n">
        <x:v>5001.0431</x:v>
      </x:c>
      <x:c r="I21" s="66" t="n">
        <x:v>5053.5339</x:v>
      </x:c>
      <x:c r="J21" s="66" t="n">
        <x:v>58.6763</x:v>
      </x:c>
      <x:c r="K21" s="50" t="n">
        <x:v>0.3</x:v>
      </x:c>
      <x:c r="L21" s="50" t="n">
        <x:v>1.7</x:v>
      </x:c>
      <x:c r="M21" s="50" t="n">
        <x:v>-1.5</x:v>
      </x:c>
      <x:c r="N21" s="50" t="n">
        <x:v>0.3</x:v>
      </x:c>
      <x:c r="O21" s="50" t="n">
        <x:v>1.7</x:v>
      </x:c>
      <x:c r="P21" s="50" t="n">
        <x:v>-1.5</x:v>
      </x:c>
      <x:c r="Q21" s="50" t="n">
        <x:f>IF(COUNT(N21:O21)&lt;2,"",SQRT(N21^2+O21^2))</x:f>
        <x:v>1.7262676501632068</x:v>
      </x:c>
      <x:c r="R21" t="str">
        <x:f>IF(COUNT(H21:P21)=0,"Sem leitura",IF(ISNUMBER(SEARCH("Escavação",D21)),IF(OR(Q21&gt;=40,ABS(P21)&gt;=15),"Alarme",IF(OR(Q21&gt;=IF(OR(ISNUMBER(SEARCH("Alçado AB",D21)),ISNUMBER(SEARCH("Alçado CD",D21)),ISNUMBER(SEARCH("Alçado BF",D21)),ISNUMBER(SEARCH("Alçado PQ",D21))),20,30),ABS(P21)&gt;=10),"Alerta","Regular")),IF(OR(Q21&gt;=25,ABS(P21)&gt;=20),"Alarme",IF(OR(Q21&gt;=15,ABS(P21)&gt;=10),"Alerta","Regular"))))</x:f>
        <x:v>Regular</x:v>
      </x:c>
      <x:c r="S21" t="str">
        <x:v>RELATÓRIO ALVOS TOPOGRÁFICOS - Empreitada THE EDEN, Estoril_ R04_03-09-25(1).pdf</x:v>
      </x:c>
      <x:c r="T21" t="n">
        <x:v>9</x:v>
      </x:c>
    </x:row>
    <x:row r="22">
      <x:c r="A22" s="48" t="n">
        <x:v>45819</x:v>
      </x:c>
      <x:c r="B22" t="n">
        <x:v>1</x:v>
      </x:c>
      <x:c r="C22" t="str">
        <x:v>A5</x:v>
      </x:c>
      <x:c r="D22" t="str">
        <x:v>Edifício Santa Casa da Misericórdia</x:v>
      </x:c>
      <x:c r="E22" s="66" t="n">
        <x:v>5005.4018</x:v>
      </x:c>
      <x:c r="F22" s="66" t="n">
        <x:v>5054.5141</x:v>
      </x:c>
      <x:c r="G22" s="66" t="n">
        <x:v>60.1819</x:v>
      </x:c>
      <x:c r="H22" s="66" t="n">
        <x:v>5005.4035</x:v>
      </x:c>
      <x:c r="I22" s="66" t="n">
        <x:v>5054.5129</x:v>
      </x:c>
      <x:c r="J22" s="66" t="n">
        <x:v>60.1794</x:v>
      </x:c>
      <x:c r="K22" s="50" t="n">
        <x:v>1.7</x:v>
      </x:c>
      <x:c r="L22" s="50" t="n">
        <x:v>-1.2</x:v>
      </x:c>
      <x:c r="M22" s="50" t="n">
        <x:v>-2.5</x:v>
      </x:c>
      <x:c r="N22" s="50" t="n">
        <x:v>1.7</x:v>
      </x:c>
      <x:c r="O22" s="50" t="n">
        <x:v>-1.2</x:v>
      </x:c>
      <x:c r="P22" s="50" t="n">
        <x:v>-2.5</x:v>
      </x:c>
      <x:c r="Q22" s="50" t="n">
        <x:f>IF(COUNT(N22:O22)&lt;2,"",SQRT(N22^2+O22^2))</x:f>
        <x:v>2.080865204668481</x:v>
      </x:c>
      <x:c r="R22" t="str">
        <x:f>IF(COUNT(H22:P22)=0,"Sem leitura",IF(ISNUMBER(SEARCH("Escavação",D22)),IF(OR(Q22&gt;=40,ABS(P22)&gt;=15),"Alarme",IF(OR(Q22&gt;=IF(OR(ISNUMBER(SEARCH("Alçado AB",D22)),ISNUMBER(SEARCH("Alçado CD",D22)),ISNUMBER(SEARCH("Alçado BF",D22)),ISNUMBER(SEARCH("Alçado PQ",D22))),20,30),ABS(P22)&gt;=10),"Alerta","Regular")),IF(OR(Q22&gt;=25,ABS(P22)&gt;=20),"Alarme",IF(OR(Q22&gt;=15,ABS(P22)&gt;=10),"Alerta","Regular"))))</x:f>
        <x:v>Regular</x:v>
      </x:c>
      <x:c r="S22" t="str">
        <x:v>RELATÓRIO ALVOS TOPOGRÁFICOS - Empreitada THE EDEN, Estoril_ R04_03-09-25(1).pdf</x:v>
      </x:c>
      <x:c r="T22" t="n">
        <x:v>9</x:v>
      </x:c>
    </x:row>
    <x:row r="23">
      <x:c r="A23" s="48" t="n">
        <x:v>45819</x:v>
      </x:c>
      <x:c r="B23" t="n">
        <x:v>1</x:v>
      </x:c>
      <x:c r="C23" t="str">
        <x:v>A6</x:v>
      </x:c>
      <x:c r="D23" t="str">
        <x:v>Edifício Santa Casa da Misericórdia</x:v>
      </x:c>
      <x:c r="E23" s="66" t="n">
        <x:v>5005.4051</x:v>
      </x:c>
      <x:c r="F23" s="66" t="n">
        <x:v>5054.5767</x:v>
      </x:c>
      <x:c r="G23" s="66" t="n">
        <x:v>58.647</x:v>
      </x:c>
      <x:c r="H23" s="66" t="n">
        <x:v>5005.4077</x:v>
      </x:c>
      <x:c r="I23" s="66" t="n">
        <x:v>5054.5744</x:v>
      </x:c>
      <x:c r="J23" s="66" t="n">
        <x:v>58.6444</x:v>
      </x:c>
      <x:c r="K23" s="50" t="n">
        <x:v>2.6</x:v>
      </x:c>
      <x:c r="L23" s="50" t="n">
        <x:v>-2.3</x:v>
      </x:c>
      <x:c r="M23" s="50" t="n">
        <x:v>-2.6</x:v>
      </x:c>
      <x:c r="N23" s="50" t="n">
        <x:v>2.6</x:v>
      </x:c>
      <x:c r="O23" s="50" t="n">
        <x:v>-2.3</x:v>
      </x:c>
      <x:c r="P23" s="50" t="n">
        <x:v>-2.6</x:v>
      </x:c>
      <x:c r="Q23" s="50" t="n">
        <x:f>IF(COUNT(N23:O23)&lt;2,"",SQRT(N23^2+O23^2))</x:f>
        <x:v>3.4713109915419564</x:v>
      </x:c>
      <x:c r="R23" t="str">
        <x:f>IF(COUNT(H23:P23)=0,"Sem leitura",IF(ISNUMBER(SEARCH("Escavação",D23)),IF(OR(Q23&gt;=40,ABS(P23)&gt;=15),"Alarme",IF(OR(Q23&gt;=IF(OR(ISNUMBER(SEARCH("Alçado AB",D23)),ISNUMBER(SEARCH("Alçado CD",D23)),ISNUMBER(SEARCH("Alçado BF",D23)),ISNUMBER(SEARCH("Alçado PQ",D23))),20,30),ABS(P23)&gt;=10),"Alerta","Regular")),IF(OR(Q23&gt;=25,ABS(P23)&gt;=20),"Alarme",IF(OR(Q23&gt;=15,ABS(P23)&gt;=10),"Alerta","Regular"))))</x:f>
        <x:v>Regular</x:v>
      </x:c>
      <x:c r="S23" t="str">
        <x:v>RELATÓRIO ALVOS TOPOGRÁFICOS - Empreitada THE EDEN, Estoril_ R04_03-09-25(1).pdf</x:v>
      </x:c>
      <x:c r="T23" t="n">
        <x:v>9</x:v>
      </x:c>
    </x:row>
    <x:row r="24">
      <x:c r="A24" s="48" t="n">
        <x:v>45819</x:v>
      </x:c>
      <x:c r="B24" t="n">
        <x:v>1</x:v>
      </x:c>
      <x:c r="C24" t="str">
        <x:v>A7</x:v>
      </x:c>
      <x:c r="D24" t="str">
        <x:v>Edifício Santa Casa da Misericórdia</x:v>
      </x:c>
      <x:c r="E24" s="66" t="n">
        <x:v>5005.8755</x:v>
      </x:c>
      <x:c r="F24" s="66" t="n">
        <x:v>5063.3174</x:v>
      </x:c>
      <x:c r="G24" s="66" t="n">
        <x:v>60.4811</x:v>
      </x:c>
      <x:c r="H24" s="66" t="n">
        <x:v>5005.8763</x:v>
      </x:c>
      <x:c r="I24" s="66" t="n">
        <x:v>5063.3163</x:v>
      </x:c>
      <x:c r="J24" s="66" t="n">
        <x:v>60.48</x:v>
      </x:c>
      <x:c r="K24" s="50" t="n">
        <x:v>0.8</x:v>
      </x:c>
      <x:c r="L24" s="50" t="n">
        <x:v>-1.1</x:v>
      </x:c>
      <x:c r="M24" s="50" t="n">
        <x:v>-1.1</x:v>
      </x:c>
      <x:c r="N24" s="50" t="n">
        <x:v>0.8</x:v>
      </x:c>
      <x:c r="O24" s="50" t="n">
        <x:v>-1.1</x:v>
      </x:c>
      <x:c r="P24" s="50" t="n">
        <x:v>-1.1</x:v>
      </x:c>
      <x:c r="Q24" s="50" t="n">
        <x:f>IF(COUNT(N24:O24)&lt;2,"",SQRT(N24^2+O24^2))</x:f>
        <x:v>1.3601470508735445</x:v>
      </x:c>
      <x:c r="R24" t="str">
        <x:f>IF(COUNT(H24:P24)=0,"Sem leitura",IF(ISNUMBER(SEARCH("Escavação",D24)),IF(OR(Q24&gt;=40,ABS(P24)&gt;=15),"Alarme",IF(OR(Q24&gt;=IF(OR(ISNUMBER(SEARCH("Alçado AB",D24)),ISNUMBER(SEARCH("Alçado CD",D24)),ISNUMBER(SEARCH("Alçado BF",D24)),ISNUMBER(SEARCH("Alçado PQ",D24))),20,30),ABS(P24)&gt;=10),"Alerta","Regular")),IF(OR(Q24&gt;=25,ABS(P24)&gt;=20),"Alarme",IF(OR(Q24&gt;=15,ABS(P24)&gt;=10),"Alerta","Regular"))))</x:f>
        <x:v>Regular</x:v>
      </x:c>
      <x:c r="S24" t="str">
        <x:v>RELATÓRIO ALVOS TOPOGRÁFICOS - Empreitada THE EDEN, Estoril_ R04_03-09-25(1).pdf</x:v>
      </x:c>
      <x:c r="T24" t="n">
        <x:v>9</x:v>
      </x:c>
    </x:row>
    <x:row r="25">
      <x:c r="A25" s="48" t="n">
        <x:v>45819</x:v>
      </x:c>
      <x:c r="B25" t="n">
        <x:v>1</x:v>
      </x:c>
      <x:c r="C25" t="str">
        <x:v>A8</x:v>
      </x:c>
      <x:c r="D25" t="str">
        <x:v>Edifício Santa Casa da Misericórdia</x:v>
      </x:c>
      <x:c r="E25" s="66" t="n">
        <x:v>5005.8839</x:v>
      </x:c>
      <x:c r="F25" s="66" t="n">
        <x:v>5063.7008</x:v>
      </x:c>
      <x:c r="G25" s="66" t="n">
        <x:v>59.3293</x:v>
      </x:c>
      <x:c r="H25" s="66" t="n">
        <x:v>5005.8825</x:v>
      </x:c>
      <x:c r="I25" s="66" t="n">
        <x:v>5063.6985</x:v>
      </x:c>
      <x:c r="J25" s="66" t="n">
        <x:v>59.3285</x:v>
      </x:c>
      <x:c r="K25" s="50" t="n">
        <x:v>-1.4</x:v>
      </x:c>
      <x:c r="L25" s="50" t="n">
        <x:v>-2.3</x:v>
      </x:c>
      <x:c r="M25" s="50" t="n">
        <x:v>-0.8</x:v>
      </x:c>
      <x:c r="N25" s="50" t="n">
        <x:v>-1.4</x:v>
      </x:c>
      <x:c r="O25" s="50" t="n">
        <x:v>-2.3</x:v>
      </x:c>
      <x:c r="P25" s="50" t="n">
        <x:v>-0.8</x:v>
      </x:c>
      <x:c r="Q25" s="50" t="n">
        <x:f>IF(COUNT(N25:O25)&lt;2,"",SQRT(N25^2+O25^2))</x:f>
        <x:v>2.692582403567252</x:v>
      </x:c>
      <x:c r="R25" t="str">
        <x:f>IF(COUNT(H25:P25)=0,"Sem leitura",IF(ISNUMBER(SEARCH("Escavação",D25)),IF(OR(Q25&gt;=40,ABS(P25)&gt;=15),"Alarme",IF(OR(Q25&gt;=IF(OR(ISNUMBER(SEARCH("Alçado AB",D25)),ISNUMBER(SEARCH("Alçado CD",D25)),ISNUMBER(SEARCH("Alçado BF",D25)),ISNUMBER(SEARCH("Alçado PQ",D25))),20,30),ABS(P25)&gt;=10),"Alerta","Regular")),IF(OR(Q25&gt;=25,ABS(P25)&gt;=20),"Alarme",IF(OR(Q25&gt;=15,ABS(P25)&gt;=10),"Alerta","Regular"))))</x:f>
        <x:v>Regular</x:v>
      </x:c>
      <x:c r="S25" t="str">
        <x:v>RELATÓRIO ALVOS TOPOGRÁFICOS - Empreitada THE EDEN, Estoril_ R04_03-09-25(1).pdf</x:v>
      </x:c>
      <x:c r="T25" t="n">
        <x:v>9</x:v>
      </x:c>
    </x:row>
    <x:row r="26">
      <x:c r="A26" s="48" t="n">
        <x:v>45819</x:v>
      </x:c>
      <x:c r="B26" t="n">
        <x:v>1</x:v>
      </x:c>
      <x:c r="C26" t="str">
        <x:v>B1</x:v>
      </x:c>
      <x:c r="D26" t="str">
        <x:v>Restaurante Cimas</x:v>
      </x:c>
      <x:c r="E26" s="66" t="n">
        <x:v>5055.3705</x:v>
      </x:c>
      <x:c r="F26" s="66" t="n">
        <x:v>5037.6908</x:v>
      </x:c>
      <x:c r="G26" s="66" t="n">
        <x:v>55.8345</x:v>
      </x:c>
      <x:c r="H26" s="66" t="n">
        <x:v>5055.3705</x:v>
      </x:c>
      <x:c r="I26" s="66" t="n">
        <x:v>5037.6908</x:v>
      </x:c>
      <x:c r="J26" s="66" t="n">
        <x:v>55.8345</x:v>
      </x:c>
      <x:c r="K26" s="50" t="n">
        <x:v>0</x:v>
      </x:c>
      <x:c r="L26" s="50" t="n">
        <x:v>0</x:v>
      </x:c>
      <x:c r="M26" s="50" t="n">
        <x:v>0</x:v>
      </x:c>
      <x:c r="N26" s="50" t="n">
        <x:v>0</x:v>
      </x:c>
      <x:c r="O26" s="50" t="n">
        <x:v>0</x:v>
      </x:c>
      <x:c r="P26" s="50" t="n">
        <x:v>0</x:v>
      </x:c>
      <x:c r="Q26" s="50" t="n">
        <x:f>IF(COUNT(N26:O26)&lt;2,"",SQRT(N26^2+O26^2))</x:f>
        <x:v>0</x:v>
      </x:c>
      <x:c r="R26" t="str">
        <x:f>IF(COUNT(H26:P26)=0,"Sem leitura",IF(ISNUMBER(SEARCH("Escavação",D26)),IF(OR(Q26&gt;=40,ABS(P26)&gt;=15),"Alarme",IF(OR(Q26&gt;=IF(OR(ISNUMBER(SEARCH("Alçado AB",D26)),ISNUMBER(SEARCH("Alçado CD",D26)),ISNUMBER(SEARCH("Alçado BF",D26)),ISNUMBER(SEARCH("Alçado PQ",D26))),20,30),ABS(P26)&gt;=10),"Alerta","Regular")),IF(OR(Q26&gt;=25,ABS(P26)&gt;=20),"Alarme",IF(OR(Q26&gt;=15,ABS(P26)&gt;=10),"Alerta","Regular"))))</x:f>
        <x:v>Regular</x:v>
      </x:c>
      <x:c r="S26" t="str">
        <x:v>RELATÓRIO ALVOS TOPOGRÁFICOS - Empreitada THE EDEN, Estoril_ R04_03-09-25(1).pdf</x:v>
      </x:c>
      <x:c r="T26" t="n">
        <x:v>9</x:v>
      </x:c>
    </x:row>
    <x:row r="27">
      <x:c r="A27" s="48" t="n">
        <x:v>45819</x:v>
      </x:c>
      <x:c r="B27" t="n">
        <x:v>1</x:v>
      </x:c>
      <x:c r="C27" t="str">
        <x:v>B2</x:v>
      </x:c>
      <x:c r="D27" t="str">
        <x:v>Restaurante Cimas</x:v>
      </x:c>
      <x:c r="E27" s="66" t="n">
        <x:v>5055.3611</x:v>
      </x:c>
      <x:c r="F27" s="66" t="n">
        <x:v>5037.652</x:v>
      </x:c>
      <x:c r="G27" s="66" t="n">
        <x:v>53.9202</x:v>
      </x:c>
      <x:c r="H27" s="66" t="n">
        <x:v>5055.3613</x:v>
      </x:c>
      <x:c r="I27" s="66" t="n">
        <x:v>5037.6515</x:v>
      </x:c>
      <x:c r="J27" s="66" t="n">
        <x:v>53.9206</x:v>
      </x:c>
      <x:c r="K27" s="50" t="n">
        <x:v>0.2</x:v>
      </x:c>
      <x:c r="L27" s="50" t="n">
        <x:v>-0.5</x:v>
      </x:c>
      <x:c r="M27" s="50" t="n">
        <x:v>0.4</x:v>
      </x:c>
      <x:c r="N27" s="50" t="n">
        <x:v>0.2</x:v>
      </x:c>
      <x:c r="O27" s="50" t="n">
        <x:v>-0.5</x:v>
      </x:c>
      <x:c r="P27" s="50" t="n">
        <x:v>0.4</x:v>
      </x:c>
      <x:c r="Q27" s="50" t="n">
        <x:f>IF(COUNT(N27:O27)&lt;2,"",SQRT(N27^2+O27^2))</x:f>
        <x:v>0.5385164807134505</x:v>
      </x:c>
      <x:c r="R27" t="str">
        <x:f>IF(COUNT(H27:P27)=0,"Sem leitura",IF(ISNUMBER(SEARCH("Escavação",D27)),IF(OR(Q27&gt;=40,ABS(P27)&gt;=15),"Alarme",IF(OR(Q27&gt;=IF(OR(ISNUMBER(SEARCH("Alçado AB",D27)),ISNUMBER(SEARCH("Alçado CD",D27)),ISNUMBER(SEARCH("Alçado BF",D27)),ISNUMBER(SEARCH("Alçado PQ",D27))),20,30),ABS(P27)&gt;=10),"Alerta","Regular")),IF(OR(Q27&gt;=25,ABS(P27)&gt;=20),"Alarme",IF(OR(Q27&gt;=15,ABS(P27)&gt;=10),"Alerta","Regular"))))</x:f>
        <x:v>Regular</x:v>
      </x:c>
      <x:c r="S27" t="str">
        <x:v>RELATÓRIO ALVOS TOPOGRÁFICOS - Empreitada THE EDEN, Estoril_ R04_03-09-25(1).pdf</x:v>
      </x:c>
      <x:c r="T27" t="n">
        <x:v>9</x:v>
      </x:c>
    </x:row>
    <x:row r="28">
      <x:c r="A28" s="48" t="n">
        <x:v>45819</x:v>
      </x:c>
      <x:c r="B28" t="n">
        <x:v>1</x:v>
      </x:c>
      <x:c r="C28" t="str">
        <x:v>B3</x:v>
      </x:c>
      <x:c r="D28" t="str">
        <x:v>Restaurante Cimas</x:v>
      </x:c>
      <x:c r="E28" s="66" t="n">
        <x:v>5053.1267</x:v>
      </x:c>
      <x:c r="F28" s="66" t="n">
        <x:v>5028.5694</x:v>
      </x:c>
      <x:c r="G28" s="66" t="n">
        <x:v>55.8769</x:v>
      </x:c>
      <x:c r="H28" s="66" t="n">
        <x:v>5053.1259</x:v>
      </x:c>
      <x:c r="I28" s="66" t="n">
        <x:v>5028.5702</x:v>
      </x:c>
      <x:c r="J28" s="66" t="n">
        <x:v>55.8769</x:v>
      </x:c>
      <x:c r="K28" s="50" t="n">
        <x:v>-0.8</x:v>
      </x:c>
      <x:c r="L28" s="50" t="n">
        <x:v>0.8</x:v>
      </x:c>
      <x:c r="M28" s="50" t="n">
        <x:v>0</x:v>
      </x:c>
      <x:c r="N28" s="50" t="n">
        <x:v>-0.8</x:v>
      </x:c>
      <x:c r="O28" s="50" t="n">
        <x:v>0.8</x:v>
      </x:c>
      <x:c r="P28" s="50" t="n">
        <x:v>0</x:v>
      </x:c>
      <x:c r="Q28" s="50" t="n">
        <x:f>IF(COUNT(N28:O28)&lt;2,"",SQRT(N28^2+O28^2))</x:f>
        <x:v>1.1313708498984762</x:v>
      </x:c>
      <x:c r="R28" t="str">
        <x:f>IF(COUNT(H28:P28)=0,"Sem leitura",IF(ISNUMBER(SEARCH("Escavação",D28)),IF(OR(Q28&gt;=40,ABS(P28)&gt;=15),"Alarme",IF(OR(Q28&gt;=IF(OR(ISNUMBER(SEARCH("Alçado AB",D28)),ISNUMBER(SEARCH("Alçado CD",D28)),ISNUMBER(SEARCH("Alçado BF",D28)),ISNUMBER(SEARCH("Alçado PQ",D28))),20,30),ABS(P28)&gt;=10),"Alerta","Regular")),IF(OR(Q28&gt;=25,ABS(P28)&gt;=20),"Alarme",IF(OR(Q28&gt;=15,ABS(P28)&gt;=10),"Alerta","Regular"))))</x:f>
        <x:v>Regular</x:v>
      </x:c>
      <x:c r="S28" t="str">
        <x:v>RELATÓRIO ALVOS TOPOGRÁFICOS - Empreitada THE EDEN, Estoril_ R04_03-09-25(1).pdf</x:v>
      </x:c>
      <x:c r="T28" t="n">
        <x:v>9</x:v>
      </x:c>
    </x:row>
    <x:row r="29">
      <x:c r="A29" s="48" t="n">
        <x:v>45819</x:v>
      </x:c>
      <x:c r="B29" t="n">
        <x:v>1</x:v>
      </x:c>
      <x:c r="C29" t="str">
        <x:v>B4</x:v>
      </x:c>
      <x:c r="D29" t="str">
        <x:v>Restaurante Cimas</x:v>
      </x:c>
      <x:c r="E29" s="66" t="n">
        <x:v>5053.123</x:v>
      </x:c>
      <x:c r="F29" s="66" t="n">
        <x:v>5028.5786</x:v>
      </x:c>
      <x:c r="G29" s="66" t="n">
        <x:v>54.1591</x:v>
      </x:c>
      <x:c r="H29" s="66" t="n">
        <x:v>5053.1231</x:v>
      </x:c>
      <x:c r="I29" s="66" t="n">
        <x:v>5028.5795</x:v>
      </x:c>
      <x:c r="J29" s="66" t="n">
        <x:v>54.1597</x:v>
      </x:c>
      <x:c r="K29" s="50" t="n">
        <x:v>0.1</x:v>
      </x:c>
      <x:c r="L29" s="50" t="n">
        <x:v>0.9</x:v>
      </x:c>
      <x:c r="M29" s="50" t="n">
        <x:v>0.6</x:v>
      </x:c>
      <x:c r="N29" s="50" t="n">
        <x:v>0.1</x:v>
      </x:c>
      <x:c r="O29" s="50" t="n">
        <x:v>0.9</x:v>
      </x:c>
      <x:c r="P29" s="50" t="n">
        <x:v>0.6</x:v>
      </x:c>
      <x:c r="Q29" s="50" t="n">
        <x:f>IF(COUNT(N29:O29)&lt;2,"",SQRT(N29^2+O29^2))</x:f>
        <x:v>0.9055385138137417</x:v>
      </x:c>
      <x:c r="R29" t="str">
        <x:f>IF(COUNT(H29:P29)=0,"Sem leitura",IF(ISNUMBER(SEARCH("Escavação",D29)),IF(OR(Q29&gt;=40,ABS(P29)&gt;=15),"Alarme",IF(OR(Q29&gt;=IF(OR(ISNUMBER(SEARCH("Alçado AB",D29)),ISNUMBER(SEARCH("Alçado CD",D29)),ISNUMBER(SEARCH("Alçado BF",D29)),ISNUMBER(SEARCH("Alçado PQ",D29))),20,30),ABS(P29)&gt;=10),"Alerta","Regular")),IF(OR(Q29&gt;=25,ABS(P29)&gt;=20),"Alarme",IF(OR(Q29&gt;=15,ABS(P29)&gt;=10),"Alerta","Regular"))))</x:f>
        <x:v>Regular</x:v>
      </x:c>
      <x:c r="S29" t="str">
        <x:v>RELATÓRIO ALVOS TOPOGRÁFICOS - Empreitada THE EDEN, Estoril_ R04_03-09-25(1).pdf</x:v>
      </x:c>
      <x:c r="T29" t="n">
        <x:v>9</x:v>
      </x:c>
    </x:row>
    <x:row r="30">
      <x:c r="A30" s="48" t="n">
        <x:v>45819</x:v>
      </x:c>
      <x:c r="B30" t="n">
        <x:v>1</x:v>
      </x:c>
      <x:c r="C30" t="str">
        <x:v>C1</x:v>
      </x:c>
      <x:c r="D30" t="str">
        <x:v>Clínica Abreu Loureiro</x:v>
      </x:c>
      <x:c r="E30" s="66" t="n">
        <x:v>5051.1407</x:v>
      </x:c>
      <x:c r="F30" s="66" t="n">
        <x:v>5062.3237</x:v>
      </x:c>
      <x:c r="G30" s="66" t="n">
        <x:v>63.0014</x:v>
      </x:c>
      <x:c r="H30" s="66" t="n">
        <x:v>5051.1408</x:v>
      </x:c>
      <x:c r="I30" s="66" t="n">
        <x:v>5062.3245</x:v>
      </x:c>
      <x:c r="J30" s="66" t="n">
        <x:v>63.001</x:v>
      </x:c>
      <x:c r="K30" s="50" t="n">
        <x:v>0.1</x:v>
      </x:c>
      <x:c r="L30" s="50" t="n">
        <x:v>0.8</x:v>
      </x:c>
      <x:c r="M30" s="50" t="n">
        <x:v>-0.4</x:v>
      </x:c>
      <x:c r="N30" s="50" t="n">
        <x:v>0.1</x:v>
      </x:c>
      <x:c r="O30" s="50" t="n">
        <x:v>0.8</x:v>
      </x:c>
      <x:c r="P30" s="50" t="n">
        <x:v>-0.4</x:v>
      </x:c>
      <x:c r="Q30" s="50" t="n">
        <x:f>IF(COUNT(N30:O30)&lt;2,"",SQRT(N30^2+O30^2))</x:f>
        <x:v>0.806225774829855</x:v>
      </x:c>
      <x:c r="R30" t="str">
        <x:f>IF(COUNT(H30:P30)=0,"Sem leitura",IF(ISNUMBER(SEARCH("Escavação",D30)),IF(OR(Q30&gt;=40,ABS(P30)&gt;=15),"Alarme",IF(OR(Q30&gt;=IF(OR(ISNUMBER(SEARCH("Alçado AB",D30)),ISNUMBER(SEARCH("Alçado CD",D30)),ISNUMBER(SEARCH("Alçado BF",D30)),ISNUMBER(SEARCH("Alçado PQ",D30))),20,30),ABS(P30)&gt;=10),"Alerta","Regular")),IF(OR(Q30&gt;=25,ABS(P30)&gt;=20),"Alarme",IF(OR(Q30&gt;=15,ABS(P30)&gt;=10),"Alerta","Regular"))))</x:f>
        <x:v>Regular</x:v>
      </x:c>
      <x:c r="S30" t="str">
        <x:v>RELATÓRIO ALVOS TOPOGRÁFICOS - Empreitada THE EDEN, Estoril_ R04_03-09-25(1).pdf</x:v>
      </x:c>
      <x:c r="T30" t="n">
        <x:v>9</x:v>
      </x:c>
    </x:row>
    <x:row r="31">
      <x:c r="A31" s="48" t="n">
        <x:v>45819</x:v>
      </x:c>
      <x:c r="B31" t="n">
        <x:v>1</x:v>
      </x:c>
      <x:c r="C31" t="str">
        <x:v>C2</x:v>
      </x:c>
      <x:c r="D31" t="str">
        <x:v>Clínica Abreu Loureiro</x:v>
      </x:c>
      <x:c r="E31" s="66" t="n">
        <x:v>5051.0086</x:v>
      </x:c>
      <x:c r="F31" s="66" t="n">
        <x:v>5062.4334</x:v>
      </x:c>
      <x:c r="G31" s="66" t="n">
        <x:v>56.898</x:v>
      </x:c>
      <x:c r="H31" s="66" t="n">
        <x:v>5051.008</x:v>
      </x:c>
      <x:c r="I31" s="66" t="n">
        <x:v>5062.4328</x:v>
      </x:c>
      <x:c r="J31" s="66" t="n">
        <x:v>56.8975</x:v>
      </x:c>
      <x:c r="K31" s="50" t="n">
        <x:v>-0.6</x:v>
      </x:c>
      <x:c r="L31" s="50" t="n">
        <x:v>-0.6</x:v>
      </x:c>
      <x:c r="M31" s="50" t="n">
        <x:v>-0.5</x:v>
      </x:c>
      <x:c r="N31" s="50" t="n">
        <x:v>-0.6</x:v>
      </x:c>
      <x:c r="O31" s="50" t="n">
        <x:v>-0.6</x:v>
      </x:c>
      <x:c r="P31" s="50" t="n">
        <x:v>-0.5</x:v>
      </x:c>
      <x:c r="Q31" s="50" t="n">
        <x:f>IF(COUNT(N31:O31)&lt;2,"",SQRT(N31^2+O31^2))</x:f>
        <x:v>0.848528137423857</x:v>
      </x:c>
      <x:c r="R31" t="str">
        <x:f>IF(COUNT(H31:P31)=0,"Sem leitura",IF(ISNUMBER(SEARCH("Escavação",D31)),IF(OR(Q31&gt;=40,ABS(P31)&gt;=15),"Alarme",IF(OR(Q31&gt;=IF(OR(ISNUMBER(SEARCH("Alçado AB",D31)),ISNUMBER(SEARCH("Alçado CD",D31)),ISNUMBER(SEARCH("Alçado BF",D31)),ISNUMBER(SEARCH("Alçado PQ",D31))),20,30),ABS(P31)&gt;=10),"Alerta","Regular")),IF(OR(Q31&gt;=25,ABS(P31)&gt;=20),"Alarme",IF(OR(Q31&gt;=15,ABS(P31)&gt;=10),"Alerta","Regular"))))</x:f>
        <x:v>Regular</x:v>
      </x:c>
      <x:c r="S31" t="str">
        <x:v>RELATÓRIO ALVOS TOPOGRÁFICOS - Empreitada THE EDEN, Estoril_ R04_03-09-25(1).pdf</x:v>
      </x:c>
      <x:c r="T31" t="n">
        <x:v>9</x:v>
      </x:c>
    </x:row>
    <x:row r="32">
      <x:c r="A32" s="48" t="n">
        <x:v>45819</x:v>
      </x:c>
      <x:c r="B32" t="n">
        <x:v>1</x:v>
      </x:c>
      <x:c r="C32" t="str">
        <x:v>C3</x:v>
      </x:c>
      <x:c r="D32" t="str">
        <x:v>Clínica Abreu Loureiro</x:v>
      </x:c>
      <x:c r="E32" s="66" t="n">
        <x:v>5058.5259</x:v>
      </x:c>
      <x:c r="F32" s="66" t="n">
        <x:v>5053.176</x:v>
      </x:c>
      <x:c r="G32" s="66" t="n">
        <x:v>63.5252</x:v>
      </x:c>
      <x:c r="H32" s="66" t="n">
        <x:v>5058.5253</x:v>
      </x:c>
      <x:c r="I32" s="66" t="n">
        <x:v>5053.1757</x:v>
      </x:c>
      <x:c r="J32" s="66" t="n">
        <x:v>63.5257</x:v>
      </x:c>
      <x:c r="K32" s="50" t="n">
        <x:v>-0.6</x:v>
      </x:c>
      <x:c r="L32" s="50" t="n">
        <x:v>-0.3</x:v>
      </x:c>
      <x:c r="M32" s="50" t="n">
        <x:v>0.5</x:v>
      </x:c>
      <x:c r="N32" s="50" t="n">
        <x:v>-0.6</x:v>
      </x:c>
      <x:c r="O32" s="50" t="n">
        <x:v>-0.3</x:v>
      </x:c>
      <x:c r="P32" s="50" t="n">
        <x:v>0.5</x:v>
      </x:c>
      <x:c r="Q32" s="50" t="n">
        <x:f>IF(COUNT(N32:O32)&lt;2,"",SQRT(N32^2+O32^2))</x:f>
        <x:v>0.6708203932499369</x:v>
      </x:c>
      <x:c r="R32" t="str">
        <x:f>IF(COUNT(H32:P32)=0,"Sem leitura",IF(ISNUMBER(SEARCH("Escavação",D32)),IF(OR(Q32&gt;=40,ABS(P32)&gt;=15),"Alarme",IF(OR(Q32&gt;=IF(OR(ISNUMBER(SEARCH("Alçado AB",D32)),ISNUMBER(SEARCH("Alçado CD",D32)),ISNUMBER(SEARCH("Alçado BF",D32)),ISNUMBER(SEARCH("Alçado PQ",D32))),20,30),ABS(P32)&gt;=10),"Alerta","Regular")),IF(OR(Q32&gt;=25,ABS(P32)&gt;=20),"Alarme",IF(OR(Q32&gt;=15,ABS(P32)&gt;=10),"Alerta","Regular"))))</x:f>
        <x:v>Regular</x:v>
      </x:c>
      <x:c r="S32" t="str">
        <x:v>RELATÓRIO ALVOS TOPOGRÁFICOS - Empreitada THE EDEN, Estoril_ R04_03-09-25(1).pdf</x:v>
      </x:c>
      <x:c r="T32" t="n">
        <x:v>9</x:v>
      </x:c>
    </x:row>
    <x:row r="33">
      <x:c r="A33" s="48" t="n">
        <x:v>45819</x:v>
      </x:c>
      <x:c r="B33" t="n">
        <x:v>1</x:v>
      </x:c>
      <x:c r="C33" t="str">
        <x:v>C4</x:v>
      </x:c>
      <x:c r="D33" t="str">
        <x:v>Clínica Abreu Loureiro</x:v>
      </x:c>
      <x:c r="E33" s="66" t="n">
        <x:v>5060.2733</x:v>
      </x:c>
      <x:c r="F33" s="66" t="n">
        <x:v>5059.0944</x:v>
      </x:c>
      <x:c r="G33" s="66" t="n">
        <x:v>58.7943</x:v>
      </x:c>
      <x:c r="H33" s="66" t="n">
        <x:v>5060.2736</x:v>
      </x:c>
      <x:c r="I33" s="66" t="n">
        <x:v>5059.0941</x:v>
      </x:c>
      <x:c r="J33" s="66" t="n">
        <x:v>58.794</x:v>
      </x:c>
      <x:c r="K33" s="50" t="n">
        <x:v>0.3</x:v>
      </x:c>
      <x:c r="L33" s="50" t="n">
        <x:v>-0.3</x:v>
      </x:c>
      <x:c r="M33" s="50" t="n">
        <x:v>-0.3</x:v>
      </x:c>
      <x:c r="N33" s="50" t="n">
        <x:v>0.3</x:v>
      </x:c>
      <x:c r="O33" s="50" t="n">
        <x:v>-0.3</x:v>
      </x:c>
      <x:c r="P33" s="50" t="n">
        <x:v>-0.3</x:v>
      </x:c>
      <x:c r="Q33" s="50" t="n">
        <x:f>IF(COUNT(N33:O33)&lt;2,"",SQRT(N33^2+O33^2))</x:f>
        <x:v>0.4242640687119285</x:v>
      </x:c>
      <x:c r="R33" t="str">
        <x:f>IF(COUNT(H33:P33)=0,"Sem leitura",IF(ISNUMBER(SEARCH("Escavação",D33)),IF(OR(Q33&gt;=40,ABS(P33)&gt;=15),"Alarme",IF(OR(Q33&gt;=IF(OR(ISNUMBER(SEARCH("Alçado AB",D33)),ISNUMBER(SEARCH("Alçado CD",D33)),ISNUMBER(SEARCH("Alçado BF",D33)),ISNUMBER(SEARCH("Alçado PQ",D33))),20,30),ABS(P33)&gt;=10),"Alerta","Regular")),IF(OR(Q33&gt;=25,ABS(P33)&gt;=20),"Alarme",IF(OR(Q33&gt;=15,ABS(P33)&gt;=10),"Alerta","Regular"))))</x:f>
        <x:v>Regular</x:v>
      </x:c>
      <x:c r="S33" t="str">
        <x:v>RELATÓRIO ALVOS TOPOGRÁFICOS - Empreitada THE EDEN, Estoril_ R04_03-09-25(1).pdf</x:v>
      </x:c>
      <x:c r="T33" t="n">
        <x:v>9</x:v>
      </x:c>
    </x:row>
    <x:row r="34">
      <x:c r="A34" s="48" t="n">
        <x:v>45846</x:v>
      </x:c>
      <x:c r="B34" t="n">
        <x:v>2</x:v>
      </x:c>
      <x:c r="C34" t="str">
        <x:v>A1</x:v>
      </x:c>
      <x:c r="D34" t="str">
        <x:v>Edifício Santa Casa da Misericórdia</x:v>
      </x:c>
      <x:c r="E34" s="66" t="n">
        <x:v>4990.9657</x:v>
      </x:c>
      <x:c r="F34" s="66" t="n">
        <x:v>5053.745</x:v>
      </x:c>
      <x:c r="G34" s="66" t="n">
        <x:v>60.5536</x:v>
      </x:c>
      <x:c r="H34" s="66" t="n">
        <x:v>4990.9647</x:v>
      </x:c>
      <x:c r="I34" s="66" t="n">
        <x:v>5053.7431</x:v>
      </x:c>
      <x:c r="J34" s="66" t="n">
        <x:v>60.5521</x:v>
      </x:c>
      <x:c r="K34" s="50" t="n">
        <x:v>-1</x:v>
      </x:c>
      <x:c r="L34" s="50" t="n">
        <x:v>-1.6</x:v>
      </x:c>
      <x:c r="M34" s="50" t="n">
        <x:v>-1.2</x:v>
      </x:c>
      <x:c r="N34" s="50" t="n">
        <x:v>-1</x:v>
      </x:c>
      <x:c r="O34" s="50" t="n">
        <x:v>-1.9</x:v>
      </x:c>
      <x:c r="P34" s="50" t="n">
        <x:v>-1.5</x:v>
      </x:c>
      <x:c r="Q34" s="50" t="n">
        <x:f>IF(COUNT(N34:O34)&lt;2,"",SQRT(N34^2+O34^2))</x:f>
        <x:v>2.1470910553583886</x:v>
      </x:c>
      <x:c r="R34" t="str">
        <x:f>IF(COUNT(H34:P34)=0,"Sem leitura",IF(ISNUMBER(SEARCH("Escavação",D34)),IF(OR(Q34&gt;=40,ABS(P34)&gt;=15),"Alarme",IF(OR(Q34&gt;=IF(OR(ISNUMBER(SEARCH("Alçado AB",D34)),ISNUMBER(SEARCH("Alçado CD",D34)),ISNUMBER(SEARCH("Alçado BF",D34)),ISNUMBER(SEARCH("Alçado PQ",D34))),20,30),ABS(P34)&gt;=10),"Alerta","Regular")),IF(OR(Q34&gt;=25,ABS(P34)&gt;=20),"Alarme",IF(OR(Q34&gt;=15,ABS(P34)&gt;=10),"Alerta","Regular"))))</x:f>
        <x:v>Regular</x:v>
      </x:c>
      <x:c r="S34" t="str">
        <x:v>RELATÓRIO ALVOS TOPOGRÁFICOS - Empreitada THE EDEN, Estoril_ R04_03-09-25(1).pdf</x:v>
      </x:c>
      <x:c r="T34" t="n">
        <x:v>10</x:v>
      </x:c>
    </x:row>
    <x:row r="35">
      <x:c r="A35" s="48" t="n">
        <x:v>45846</x:v>
      </x:c>
      <x:c r="B35" t="n">
        <x:v>2</x:v>
      </x:c>
      <x:c r="C35" t="str">
        <x:v>A2</x:v>
      </x:c>
      <x:c r="D35" t="str">
        <x:v>Edifício Santa Casa da Misericórdia</x:v>
      </x:c>
      <x:c r="E35" s="66" t="n">
        <x:v>4990.9761</x:v>
      </x:c>
      <x:c r="F35" s="66" t="n">
        <x:v>5053.7455</x:v>
      </x:c>
      <x:c r="G35" s="66" t="n">
        <x:v>59.0952</x:v>
      </x:c>
      <x:c r="H35" s="66" t="n">
        <x:v>4990.9759</x:v>
      </x:c>
      <x:c r="I35" s="66" t="n">
        <x:v>5053.7445</x:v>
      </x:c>
      <x:c r="J35" s="66" t="n">
        <x:v>59.095</x:v>
      </x:c>
      <x:c r="K35" s="50" t="n">
        <x:v>-0.5</x:v>
      </x:c>
      <x:c r="L35" s="50" t="n">
        <x:v>0.6</x:v>
      </x:c>
      <x:c r="M35" s="50" t="n">
        <x:v>0.1</x:v>
      </x:c>
      <x:c r="N35" s="50" t="n">
        <x:v>-0.2</x:v>
      </x:c>
      <x:c r="O35" s="50" t="n">
        <x:v>-1</x:v>
      </x:c>
      <x:c r="P35" s="50" t="n">
        <x:v>-0.2</x:v>
      </x:c>
      <x:c r="Q35" s="50" t="n">
        <x:f>IF(COUNT(N35:O35)&lt;2,"",SQRT(N35^2+O35^2))</x:f>
        <x:v>1.019803902718557</x:v>
      </x:c>
      <x:c r="R35" t="str">
        <x:f>IF(COUNT(H35:P35)=0,"Sem leitura",IF(ISNUMBER(SEARCH("Escavação",D35)),IF(OR(Q35&gt;=40,ABS(P35)&gt;=15),"Alarme",IF(OR(Q35&gt;=IF(OR(ISNUMBER(SEARCH("Alçado AB",D35)),ISNUMBER(SEARCH("Alçado CD",D35)),ISNUMBER(SEARCH("Alçado BF",D35)),ISNUMBER(SEARCH("Alçado PQ",D35))),20,30),ABS(P35)&gt;=10),"Alerta","Regular")),IF(OR(Q35&gt;=25,ABS(P35)&gt;=20),"Alarme",IF(OR(Q35&gt;=15,ABS(P35)&gt;=10),"Alerta","Regular"))))</x:f>
        <x:v>Regular</x:v>
      </x:c>
      <x:c r="S35" t="str">
        <x:v>RELATÓRIO ALVOS TOPOGRÁFICOS - Empreitada THE EDEN, Estoril_ R04_03-09-25(1).pdf</x:v>
      </x:c>
      <x:c r="T35" t="n">
        <x:v>10</x:v>
      </x:c>
    </x:row>
    <x:row r="36">
      <x:c r="A36" s="48" t="n">
        <x:v>45846</x:v>
      </x:c>
      <x:c r="B36" t="n">
        <x:v>2</x:v>
      </x:c>
      <x:c r="C36" t="str">
        <x:v>A3</x:v>
      </x:c>
      <x:c r="D36" t="str">
        <x:v>Edifício Santa Casa da Misericórdia</x:v>
      </x:c>
      <x:c r="E36" s="66" t="n">
        <x:v>5001.0813</x:v>
      </x:c>
      <x:c r="F36" s="66" t="n">
        <x:v>5053.5292</x:v>
      </x:c>
      <x:c r="G36" s="66" t="n">
        <x:v>60.6219</x:v>
      </x:c>
      <x:c r="H36" s="66" t="n">
        <x:v>5001.0801</x:v>
      </x:c>
      <x:c r="I36" s="66" t="n">
        <x:v>5053.5247</x:v>
      </x:c>
      <x:c r="J36" s="66" t="n">
        <x:v>60.6208</x:v>
      </x:c>
      <x:c r="K36" s="50" t="n">
        <x:v>-0.2</x:v>
      </x:c>
      <x:c r="L36" s="50" t="n">
        <x:v>-2.4</x:v>
      </x:c>
      <x:c r="M36" s="50" t="n">
        <x:v>-0.4</x:v>
      </x:c>
      <x:c r="N36" s="50" t="n">
        <x:v>-1.2</x:v>
      </x:c>
      <x:c r="O36" s="50" t="n">
        <x:v>-4.5</x:v>
      </x:c>
      <x:c r="P36" s="50" t="n">
        <x:v>-1.1</x:v>
      </x:c>
      <x:c r="Q36" s="50" t="n">
        <x:f>IF(COUNT(N36:O36)&lt;2,"",SQRT(N36^2+O36^2))</x:f>
        <x:v>4.657252408878008</x:v>
      </x:c>
      <x:c r="R36" t="str">
        <x:f>IF(COUNT(H36:P36)=0,"Sem leitura",IF(ISNUMBER(SEARCH("Escavação",D36)),IF(OR(Q36&gt;=40,ABS(P36)&gt;=15),"Alarme",IF(OR(Q36&gt;=IF(OR(ISNUMBER(SEARCH("Alçado AB",D36)),ISNUMBER(SEARCH("Alçado CD",D36)),ISNUMBER(SEARCH("Alçado BF",D36)),ISNUMBER(SEARCH("Alçado PQ",D36))),20,30),ABS(P36)&gt;=10),"Alerta","Regular")),IF(OR(Q36&gt;=25,ABS(P36)&gt;=20),"Alarme",IF(OR(Q36&gt;=15,ABS(P36)&gt;=10),"Alerta","Regular"))))</x:f>
        <x:v>Regular</x:v>
      </x:c>
      <x:c r="S36" t="str">
        <x:v>RELATÓRIO ALVOS TOPOGRÁFICOS - Empreitada THE EDEN, Estoril_ R04_03-09-25(1).pdf</x:v>
      </x:c>
      <x:c r="T36" t="n">
        <x:v>10</x:v>
      </x:c>
    </x:row>
    <x:row r="37">
      <x:c r="A37" s="48" t="n">
        <x:v>45846</x:v>
      </x:c>
      <x:c r="B37" t="n">
        <x:v>2</x:v>
      </x:c>
      <x:c r="C37" t="str">
        <x:v>A4</x:v>
      </x:c>
      <x:c r="D37" t="str">
        <x:v>Edifício Santa Casa da Misericórdia</x:v>
      </x:c>
      <x:c r="E37" s="66" t="n">
        <x:v>5001.0428</x:v>
      </x:c>
      <x:c r="F37" s="66" t="n">
        <x:v>5053.5322</x:v>
      </x:c>
      <x:c r="G37" s="66" t="n">
        <x:v>58.6778</x:v>
      </x:c>
      <x:c r="H37" s="66" t="n">
        <x:v>5001.0419</x:v>
      </x:c>
      <x:c r="I37" s="66" t="n">
        <x:v>5053.5307</x:v>
      </x:c>
      <x:c r="J37" s="66" t="n">
        <x:v>58.676</x:v>
      </x:c>
      <x:c r="K37" s="50" t="n">
        <x:v>-1.2</x:v>
      </x:c>
      <x:c r="L37" s="50" t="n">
        <x:v>-3.2</x:v>
      </x:c>
      <x:c r="M37" s="50" t="n">
        <x:v>-0.3</x:v>
      </x:c>
      <x:c r="N37" s="50" t="n">
        <x:v>-0.9</x:v>
      </x:c>
      <x:c r="O37" s="50" t="n">
        <x:v>-1.5</x:v>
      </x:c>
      <x:c r="P37" s="50" t="n">
        <x:v>-1.8</x:v>
      </x:c>
      <x:c r="Q37" s="50" t="n">
        <x:f>IF(COUNT(N37:O37)&lt;2,"",SQRT(N37^2+O37^2))</x:f>
        <x:v>1.7492855684535902</x:v>
      </x:c>
      <x:c r="R37" t="str">
        <x:f>IF(COUNT(H37:P37)=0,"Sem leitura",IF(ISNUMBER(SEARCH("Escavação",D37)),IF(OR(Q37&gt;=40,ABS(P37)&gt;=15),"Alarme",IF(OR(Q37&gt;=IF(OR(ISNUMBER(SEARCH("Alçado AB",D37)),ISNUMBER(SEARCH("Alçado CD",D37)),ISNUMBER(SEARCH("Alçado BF",D37)),ISNUMBER(SEARCH("Alçado PQ",D37))),20,30),ABS(P37)&gt;=10),"Alerta","Regular")),IF(OR(Q37&gt;=25,ABS(P37)&gt;=20),"Alarme",IF(OR(Q37&gt;=15,ABS(P37)&gt;=10),"Alerta","Regular"))))</x:f>
        <x:v>Regular</x:v>
      </x:c>
      <x:c r="S37" t="str">
        <x:v>RELATÓRIO ALVOS TOPOGRÁFICOS - Empreitada THE EDEN, Estoril_ R04_03-09-25(1).pdf</x:v>
      </x:c>
      <x:c r="T37" t="n">
        <x:v>10</x:v>
      </x:c>
    </x:row>
    <x:row r="38">
      <x:c r="A38" s="48" t="n">
        <x:v>45846</x:v>
      </x:c>
      <x:c r="B38" t="n">
        <x:v>2</x:v>
      </x:c>
      <x:c r="C38" t="str">
        <x:v>A5</x:v>
      </x:c>
      <x:c r="D38" t="str">
        <x:v>Edifício Santa Casa da Misericórdia</x:v>
      </x:c>
      <x:c r="E38" s="66" t="n">
        <x:v>5005.4018</x:v>
      </x:c>
      <x:c r="F38" s="66" t="n">
        <x:v>5054.5141</x:v>
      </x:c>
      <x:c r="G38" s="66" t="n">
        <x:v>60.1819</x:v>
      </x:c>
      <x:c r="H38" s="66" t="n">
        <x:v>5005.4033</x:v>
      </x:c>
      <x:c r="I38" s="66" t="n">
        <x:v>5054.5122</x:v>
      </x:c>
      <x:c r="J38" s="66" t="n">
        <x:v>60.1796</x:v>
      </x:c>
      <x:c r="K38" s="50" t="n">
        <x:v>-0.2</x:v>
      </x:c>
      <x:c r="L38" s="50" t="n">
        <x:v>-0.7</x:v>
      </x:c>
      <x:c r="M38" s="50" t="n">
        <x:v>0.2</x:v>
      </x:c>
      <x:c r="N38" s="50" t="n">
        <x:v>1.5</x:v>
      </x:c>
      <x:c r="O38" s="50" t="n">
        <x:v>-1.9</x:v>
      </x:c>
      <x:c r="P38" s="50" t="n">
        <x:v>-2.3</x:v>
      </x:c>
      <x:c r="Q38" s="50" t="n">
        <x:f>IF(COUNT(N38:O38)&lt;2,"",SQRT(N38^2+O38^2))</x:f>
        <x:v>2.420743687382041</x:v>
      </x:c>
      <x:c r="R38" t="str">
        <x:f>IF(COUNT(H38:P38)=0,"Sem leitura",IF(ISNUMBER(SEARCH("Escavação",D38)),IF(OR(Q38&gt;=40,ABS(P38)&gt;=15),"Alarme",IF(OR(Q38&gt;=IF(OR(ISNUMBER(SEARCH("Alçado AB",D38)),ISNUMBER(SEARCH("Alçado CD",D38)),ISNUMBER(SEARCH("Alçado BF",D38)),ISNUMBER(SEARCH("Alçado PQ",D38))),20,30),ABS(P38)&gt;=10),"Alerta","Regular")),IF(OR(Q38&gt;=25,ABS(P38)&gt;=20),"Alarme",IF(OR(Q38&gt;=15,ABS(P38)&gt;=10),"Alerta","Regular"))))</x:f>
        <x:v>Regular</x:v>
      </x:c>
      <x:c r="S38" t="str">
        <x:v>RELATÓRIO ALVOS TOPOGRÁFICOS - Empreitada THE EDEN, Estoril_ R04_03-09-25(1).pdf</x:v>
      </x:c>
      <x:c r="T38" t="n">
        <x:v>10</x:v>
      </x:c>
    </x:row>
    <x:row r="39">
      <x:c r="A39" s="48" t="n">
        <x:v>45846</x:v>
      </x:c>
      <x:c r="B39" t="n">
        <x:v>2</x:v>
      </x:c>
      <x:c r="C39" t="str">
        <x:v>A6</x:v>
      </x:c>
      <x:c r="D39" t="str">
        <x:v>Edifício Santa Casa da Misericórdia</x:v>
      </x:c>
      <x:c r="E39" s="66" t="n">
        <x:v>5005.4051</x:v>
      </x:c>
      <x:c r="F39" s="66" t="n">
        <x:v>5054.5767</x:v>
      </x:c>
      <x:c r="G39" s="66" t="n">
        <x:v>58.647</x:v>
      </x:c>
      <x:c r="H39" s="66" t="n">
        <x:v>5005.4076</x:v>
      </x:c>
      <x:c r="I39" s="66" t="n">
        <x:v>5054.5749</x:v>
      </x:c>
      <x:c r="J39" s="66" t="n">
        <x:v>58.6445</x:v>
      </x:c>
      <x:c r="K39" s="50" t="n">
        <x:v>-0.1</x:v>
      </x:c>
      <x:c r="L39" s="50" t="n">
        <x:v>0.5</x:v>
      </x:c>
      <x:c r="M39" s="50" t="n">
        <x:v>0.1</x:v>
      </x:c>
      <x:c r="N39" s="50" t="n">
        <x:v>2.5</x:v>
      </x:c>
      <x:c r="O39" s="50" t="n">
        <x:v>-1.8</x:v>
      </x:c>
      <x:c r="P39" s="50" t="n">
        <x:v>-2.5</x:v>
      </x:c>
      <x:c r="Q39" s="50" t="n">
        <x:f>IF(COUNT(N39:O39)&lt;2,"",SQRT(N39^2+O39^2))</x:f>
        <x:v>3.0805843601498726</x:v>
      </x:c>
      <x:c r="R39" t="str">
        <x:f>IF(COUNT(H39:P39)=0,"Sem leitura",IF(ISNUMBER(SEARCH("Escavação",D39)),IF(OR(Q39&gt;=40,ABS(P39)&gt;=15),"Alarme",IF(OR(Q39&gt;=IF(OR(ISNUMBER(SEARCH("Alçado AB",D39)),ISNUMBER(SEARCH("Alçado CD",D39)),ISNUMBER(SEARCH("Alçado BF",D39)),ISNUMBER(SEARCH("Alçado PQ",D39))),20,30),ABS(P39)&gt;=10),"Alerta","Regular")),IF(OR(Q39&gt;=25,ABS(P39)&gt;=20),"Alarme",IF(OR(Q39&gt;=15,ABS(P39)&gt;=10),"Alerta","Regular"))))</x:f>
        <x:v>Regular</x:v>
      </x:c>
      <x:c r="S39" t="str">
        <x:v>RELATÓRIO ALVOS TOPOGRÁFICOS - Empreitada THE EDEN, Estoril_ R04_03-09-25(1).pdf</x:v>
      </x:c>
      <x:c r="T39" t="n">
        <x:v>10</x:v>
      </x:c>
    </x:row>
    <x:row r="40">
      <x:c r="A40" s="48" t="n">
        <x:v>45846</x:v>
      </x:c>
      <x:c r="B40" t="n">
        <x:v>2</x:v>
      </x:c>
      <x:c r="C40" t="str">
        <x:v>A7</x:v>
      </x:c>
      <x:c r="D40" t="str">
        <x:v>Edifício Santa Casa da Misericórdia</x:v>
      </x:c>
      <x:c r="E40" s="66" t="n">
        <x:v>5005.8755</x:v>
      </x:c>
      <x:c r="F40" s="66" t="n">
        <x:v>5063.3174</x:v>
      </x:c>
      <x:c r="G40" s="66" t="n">
        <x:v>60.4811</x:v>
      </x:c>
      <x:c r="H40" s="66" t="n">
        <x:v>5005.8761</x:v>
      </x:c>
      <x:c r="I40" s="66" t="n">
        <x:v>5063.3165</x:v>
      </x:c>
      <x:c r="J40" s="66" t="n">
        <x:v>60.4802</x:v>
      </x:c>
      <x:c r="K40" s="50" t="n">
        <x:v>-0.2</x:v>
      </x:c>
      <x:c r="L40" s="50" t="n">
        <x:v>0.2</x:v>
      </x:c>
      <x:c r="M40" s="50" t="n">
        <x:v>0.2</x:v>
      </x:c>
      <x:c r="N40" s="50" t="n">
        <x:v>0.6</x:v>
      </x:c>
      <x:c r="O40" s="50" t="n">
        <x:v>-0.9</x:v>
      </x:c>
      <x:c r="P40" s="50" t="n">
        <x:v>-0.9</x:v>
      </x:c>
      <x:c r="Q40" s="50" t="n">
        <x:f>IF(COUNT(N40:O40)&lt;2,"",SQRT(N40^2+O40^2))</x:f>
        <x:v>1.0816653826391966</x:v>
      </x:c>
      <x:c r="R40" t="str">
        <x:f>IF(COUNT(H40:P40)=0,"Sem leitura",IF(ISNUMBER(SEARCH("Escavação",D40)),IF(OR(Q40&gt;=40,ABS(P40)&gt;=15),"Alarme",IF(OR(Q40&gt;=IF(OR(ISNUMBER(SEARCH("Alçado AB",D40)),ISNUMBER(SEARCH("Alçado CD",D40)),ISNUMBER(SEARCH("Alçado BF",D40)),ISNUMBER(SEARCH("Alçado PQ",D40))),20,30),ABS(P40)&gt;=10),"Alerta","Regular")),IF(OR(Q40&gt;=25,ABS(P40)&gt;=20),"Alarme",IF(OR(Q40&gt;=15,ABS(P40)&gt;=10),"Alerta","Regular"))))</x:f>
        <x:v>Regular</x:v>
      </x:c>
      <x:c r="S40" t="str">
        <x:v>RELATÓRIO ALVOS TOPOGRÁFICOS - Empreitada THE EDEN, Estoril_ R04_03-09-25(1).pdf</x:v>
      </x:c>
      <x:c r="T40" t="n">
        <x:v>10</x:v>
      </x:c>
    </x:row>
    <x:row r="41">
      <x:c r="A41" s="48" t="n">
        <x:v>45846</x:v>
      </x:c>
      <x:c r="B41" t="n">
        <x:v>2</x:v>
      </x:c>
      <x:c r="C41" t="str">
        <x:v>A8</x:v>
      </x:c>
      <x:c r="D41" t="str">
        <x:v>Edifício Santa Casa da Misericórdia</x:v>
      </x:c>
      <x:c r="E41" s="66" t="n">
        <x:v>5005.8839</x:v>
      </x:c>
      <x:c r="F41" s="66" t="n">
        <x:v>5063.7008</x:v>
      </x:c>
      <x:c r="G41" s="66" t="n">
        <x:v>59.3293</x:v>
      </x:c>
      <x:c r="H41" s="66" t="n">
        <x:v>5005.8826</x:v>
      </x:c>
      <x:c r="I41" s="66" t="n">
        <x:v>5063.6992</x:v>
      </x:c>
      <x:c r="J41" s="66" t="n">
        <x:v>59.3286</x:v>
      </x:c>
      <x:c r="K41" s="50" t="n">
        <x:v>0.1</x:v>
      </x:c>
      <x:c r="L41" s="50" t="n">
        <x:v>0.7</x:v>
      </x:c>
      <x:c r="M41" s="50" t="n">
        <x:v>0.1</x:v>
      </x:c>
      <x:c r="N41" s="50" t="n">
        <x:v>-1.3</x:v>
      </x:c>
      <x:c r="O41" s="50" t="n">
        <x:v>-1.6</x:v>
      </x:c>
      <x:c r="P41" s="50" t="n">
        <x:v>-0.7</x:v>
      </x:c>
      <x:c r="Q41" s="50" t="n">
        <x:f>IF(COUNT(N41:O41)&lt;2,"",SQRT(N41^2+O41^2))</x:f>
        <x:v>2.0615528128088303</x:v>
      </x:c>
      <x:c r="R41" t="str">
        <x:f>IF(COUNT(H41:P41)=0,"Sem leitura",IF(ISNUMBER(SEARCH("Escavação",D41)),IF(OR(Q41&gt;=40,ABS(P41)&gt;=15),"Alarme",IF(OR(Q41&gt;=IF(OR(ISNUMBER(SEARCH("Alçado AB",D41)),ISNUMBER(SEARCH("Alçado CD",D41)),ISNUMBER(SEARCH("Alçado BF",D41)),ISNUMBER(SEARCH("Alçado PQ",D41))),20,30),ABS(P41)&gt;=10),"Alerta","Regular")),IF(OR(Q41&gt;=25,ABS(P41)&gt;=20),"Alarme",IF(OR(Q41&gt;=15,ABS(P41)&gt;=10),"Alerta","Regular"))))</x:f>
        <x:v>Regular</x:v>
      </x:c>
      <x:c r="S41" t="str">
        <x:v>RELATÓRIO ALVOS TOPOGRÁFICOS - Empreitada THE EDEN, Estoril_ R04_03-09-25(1).pdf</x:v>
      </x:c>
      <x:c r="T41" t="n">
        <x:v>10</x:v>
      </x:c>
    </x:row>
    <x:row r="42">
      <x:c r="A42" s="48" t="n">
        <x:v>45846</x:v>
      </x:c>
      <x:c r="B42" t="n">
        <x:v>2</x:v>
      </x:c>
      <x:c r="C42" t="str">
        <x:v>B1</x:v>
      </x:c>
      <x:c r="D42" t="str">
        <x:v>Restaurante Cimas</x:v>
      </x:c>
      <x:c r="E42" s="66" t="n">
        <x:v>5055.3705</x:v>
      </x:c>
      <x:c r="F42" s="66" t="n">
        <x:v>5037.6908</x:v>
      </x:c>
      <x:c r="G42" s="66" t="n">
        <x:v>55.8345</x:v>
      </x:c>
      <x:c r="H42" s="66" t="n">
        <x:v>5055.3683</x:v>
      </x:c>
      <x:c r="I42" s="66" t="n">
        <x:v>5037.6909</x:v>
      </x:c>
      <x:c r="J42" s="66" t="n">
        <x:v>55.8351</x:v>
      </x:c>
      <x:c r="K42" s="50" t="n">
        <x:v>-2.2</x:v>
      </x:c>
      <x:c r="L42" s="50" t="n">
        <x:v>0.1</x:v>
      </x:c>
      <x:c r="M42" s="50" t="n">
        <x:v>0.6</x:v>
      </x:c>
      <x:c r="N42" s="50" t="n">
        <x:v>-2.2</x:v>
      </x:c>
      <x:c r="O42" s="50" t="n">
        <x:v>0.1</x:v>
      </x:c>
      <x:c r="P42" s="50" t="n">
        <x:v>0.6</x:v>
      </x:c>
      <x:c r="Q42" s="50" t="n">
        <x:f>IF(COUNT(N42:O42)&lt;2,"",SQRT(N42^2+O42^2))</x:f>
        <x:v>2.202271554554524</x:v>
      </x:c>
      <x:c r="R42" t="str">
        <x:f>IF(COUNT(H42:P42)=0,"Sem leitura",IF(ISNUMBER(SEARCH("Escavação",D42)),IF(OR(Q42&gt;=40,ABS(P42)&gt;=15),"Alarme",IF(OR(Q42&gt;=IF(OR(ISNUMBER(SEARCH("Alçado AB",D42)),ISNUMBER(SEARCH("Alçado CD",D42)),ISNUMBER(SEARCH("Alçado BF",D42)),ISNUMBER(SEARCH("Alçado PQ",D42))),20,30),ABS(P42)&gt;=10),"Alerta","Regular")),IF(OR(Q42&gt;=25,ABS(P42)&gt;=20),"Alarme",IF(OR(Q42&gt;=15,ABS(P42)&gt;=10),"Alerta","Regular"))))</x:f>
        <x:v>Regular</x:v>
      </x:c>
      <x:c r="S42" t="str">
        <x:v>RELATÓRIO ALVOS TOPOGRÁFICOS - Empreitada THE EDEN, Estoril_ R04_03-09-25(1).pdf</x:v>
      </x:c>
      <x:c r="T42" t="n">
        <x:v>10</x:v>
      </x:c>
    </x:row>
    <x:row r="43">
      <x:c r="A43" s="48" t="n">
        <x:v>45846</x:v>
      </x:c>
      <x:c r="B43" t="n">
        <x:v>2</x:v>
      </x:c>
      <x:c r="C43" t="str">
        <x:v>B2</x:v>
      </x:c>
      <x:c r="D43" t="str">
        <x:v>Restaurante Cimas</x:v>
      </x:c>
      <x:c r="E43" s="66" t="n">
        <x:v>5055.3611</x:v>
      </x:c>
      <x:c r="F43" s="66" t="n">
        <x:v>5037.652</x:v>
      </x:c>
      <x:c r="G43" s="66" t="n">
        <x:v>53.9202</x:v>
      </x:c>
      <x:c r="H43" s="66" t="n">
        <x:v>5055.3601</x:v>
      </x:c>
      <x:c r="I43" s="66" t="n">
        <x:v>5037.6512</x:v>
      </x:c>
      <x:c r="J43" s="66" t="n">
        <x:v>53.9215</x:v>
      </x:c>
      <x:c r="K43" s="50" t="n">
        <x:v>-1.2</x:v>
      </x:c>
      <x:c r="L43" s="50" t="n">
        <x:v>-0.3</x:v>
      </x:c>
      <x:c r="M43" s="50" t="n">
        <x:v>0.9</x:v>
      </x:c>
      <x:c r="N43" s="50" t="n">
        <x:v>-1</x:v>
      </x:c>
      <x:c r="O43" s="50" t="n">
        <x:v>-0.8</x:v>
      </x:c>
      <x:c r="P43" s="50" t="n">
        <x:v>1.3</x:v>
      </x:c>
      <x:c r="Q43" s="50" t="n">
        <x:f>IF(COUNT(N43:O43)&lt;2,"",SQRT(N43^2+O43^2))</x:f>
        <x:v>1.2806248474865698</x:v>
      </x:c>
      <x:c r="R43" t="str">
        <x:f>IF(COUNT(H43:P43)=0,"Sem leitura",IF(ISNUMBER(SEARCH("Escavação",D43)),IF(OR(Q43&gt;=40,ABS(P43)&gt;=15),"Alarme",IF(OR(Q43&gt;=IF(OR(ISNUMBER(SEARCH("Alçado AB",D43)),ISNUMBER(SEARCH("Alçado CD",D43)),ISNUMBER(SEARCH("Alçado BF",D43)),ISNUMBER(SEARCH("Alçado PQ",D43))),20,30),ABS(P43)&gt;=10),"Alerta","Regular")),IF(OR(Q43&gt;=25,ABS(P43)&gt;=20),"Alarme",IF(OR(Q43&gt;=15,ABS(P43)&gt;=10),"Alerta","Regular"))))</x:f>
        <x:v>Regular</x:v>
      </x:c>
      <x:c r="S43" t="str">
        <x:v>RELATÓRIO ALVOS TOPOGRÁFICOS - Empreitada THE EDEN, Estoril_ R04_03-09-25(1).pdf</x:v>
      </x:c>
      <x:c r="T43" t="n">
        <x:v>10</x:v>
      </x:c>
    </x:row>
    <x:row r="44">
      <x:c r="A44" s="48" t="n">
        <x:v>45846</x:v>
      </x:c>
      <x:c r="B44" t="n">
        <x:v>2</x:v>
      </x:c>
      <x:c r="C44" t="str">
        <x:v>B3</x:v>
      </x:c>
      <x:c r="D44" t="str">
        <x:v>Restaurante Cimas</x:v>
      </x:c>
      <x:c r="E44" s="66" t="n">
        <x:v>5053.1267</x:v>
      </x:c>
      <x:c r="F44" s="66" t="n">
        <x:v>5028.5694</x:v>
      </x:c>
      <x:c r="G44" s="66" t="n">
        <x:v>55.8769</x:v>
      </x:c>
      <x:c r="H44" s="66" t="n">
        <x:v>5053.1256</x:v>
      </x:c>
      <x:c r="I44" s="66" t="n">
        <x:v>5028.5709</x:v>
      </x:c>
      <x:c r="J44" s="66" t="n">
        <x:v>55.8772</x:v>
      </x:c>
      <x:c r="K44" s="50" t="n">
        <x:v>-0.3</x:v>
      </x:c>
      <x:c r="L44" s="50" t="n">
        <x:v>0.7</x:v>
      </x:c>
      <x:c r="M44" s="50" t="n">
        <x:v>0.3</x:v>
      </x:c>
      <x:c r="N44" s="50" t="n">
        <x:v>-1.1</x:v>
      </x:c>
      <x:c r="O44" s="50" t="n">
        <x:v>1.5</x:v>
      </x:c>
      <x:c r="P44" s="50" t="n">
        <x:v>0.3</x:v>
      </x:c>
      <x:c r="Q44" s="50" t="n">
        <x:f>IF(COUNT(N44:O44)&lt;2,"",SQRT(N44^2+O44^2))</x:f>
        <x:v>1.8601075237738274</x:v>
      </x:c>
      <x:c r="R44" t="str">
        <x:f>IF(COUNT(H44:P44)=0,"Sem leitura",IF(ISNUMBER(SEARCH("Escavação",D44)),IF(OR(Q44&gt;=40,ABS(P44)&gt;=15),"Alarme",IF(OR(Q44&gt;=IF(OR(ISNUMBER(SEARCH("Alçado AB",D44)),ISNUMBER(SEARCH("Alçado CD",D44)),ISNUMBER(SEARCH("Alçado BF",D44)),ISNUMBER(SEARCH("Alçado PQ",D44))),20,30),ABS(P44)&gt;=10),"Alerta","Regular")),IF(OR(Q44&gt;=25,ABS(P44)&gt;=20),"Alarme",IF(OR(Q44&gt;=15,ABS(P44)&gt;=10),"Alerta","Regular"))))</x:f>
        <x:v>Regular</x:v>
      </x:c>
      <x:c r="S44" t="str">
        <x:v>RELATÓRIO ALVOS TOPOGRÁFICOS - Empreitada THE EDEN, Estoril_ R04_03-09-25(1).pdf</x:v>
      </x:c>
      <x:c r="T44" t="n">
        <x:v>10</x:v>
      </x:c>
    </x:row>
    <x:row r="45">
      <x:c r="A45" s="48" t="n">
        <x:v>45846</x:v>
      </x:c>
      <x:c r="B45" t="n">
        <x:v>2</x:v>
      </x:c>
      <x:c r="C45" t="str">
        <x:v>B4</x:v>
      </x:c>
      <x:c r="D45" t="str">
        <x:v>Restaurante Cimas</x:v>
      </x:c>
      <x:c r="E45" s="66" t="n">
        <x:v>5053.123</x:v>
      </x:c>
      <x:c r="F45" s="66" t="n">
        <x:v>5028.5786</x:v>
      </x:c>
      <x:c r="G45" s="66" t="n">
        <x:v>54.1591</x:v>
      </x:c>
      <x:c r="H45" s="66" t="n">
        <x:v>5053.1215</x:v>
      </x:c>
      <x:c r="I45" s="66" t="n">
        <x:v>5028.5798</x:v>
      </x:c>
      <x:c r="J45" s="66" t="n">
        <x:v>54.1597</x:v>
      </x:c>
      <x:c r="K45" s="50" t="n">
        <x:v>-1.6</x:v>
      </x:c>
      <x:c r="L45" s="50" t="n">
        <x:v>0.3</x:v>
      </x:c>
      <x:c r="M45" s="50" t="n">
        <x:v>0</x:v>
      </x:c>
      <x:c r="N45" s="50" t="n">
        <x:v>-1.5</x:v>
      </x:c>
      <x:c r="O45" s="50" t="n">
        <x:v>1.2</x:v>
      </x:c>
      <x:c r="P45" s="50" t="n">
        <x:v>0.6</x:v>
      </x:c>
      <x:c r="Q45" s="50" t="n">
        <x:f>IF(COUNT(N45:O45)&lt;2,"",SQRT(N45^2+O45^2))</x:f>
        <x:v>1.9209372712298547</x:v>
      </x:c>
      <x:c r="R45" t="str">
        <x:f>IF(COUNT(H45:P45)=0,"Sem leitura",IF(ISNUMBER(SEARCH("Escavação",D45)),IF(OR(Q45&gt;=40,ABS(P45)&gt;=15),"Alarme",IF(OR(Q45&gt;=IF(OR(ISNUMBER(SEARCH("Alçado AB",D45)),ISNUMBER(SEARCH("Alçado CD",D45)),ISNUMBER(SEARCH("Alçado BF",D45)),ISNUMBER(SEARCH("Alçado PQ",D45))),20,30),ABS(P45)&gt;=10),"Alerta","Regular")),IF(OR(Q45&gt;=25,ABS(P45)&gt;=20),"Alarme",IF(OR(Q45&gt;=15,ABS(P45)&gt;=10),"Alerta","Regular"))))</x:f>
        <x:v>Regular</x:v>
      </x:c>
      <x:c r="S45" t="str">
        <x:v>RELATÓRIO ALVOS TOPOGRÁFICOS - Empreitada THE EDEN, Estoril_ R04_03-09-25(1).pdf</x:v>
      </x:c>
      <x:c r="T45" t="n">
        <x:v>10</x:v>
      </x:c>
    </x:row>
    <x:row r="46">
      <x:c r="A46" s="48" t="n">
        <x:v>45846</x:v>
      </x:c>
      <x:c r="B46" t="n">
        <x:v>2</x:v>
      </x:c>
      <x:c r="C46" t="str">
        <x:v>C1</x:v>
      </x:c>
      <x:c r="D46" t="str">
        <x:v>Clínica Abreu Loureiro</x:v>
      </x:c>
      <x:c r="E46" s="66" t="n">
        <x:v>5051.1407</x:v>
      </x:c>
      <x:c r="F46" s="66" t="n">
        <x:v>5062.3237</x:v>
      </x:c>
      <x:c r="G46" s="66" t="n">
        <x:v>63.0014</x:v>
      </x:c>
      <x:c r="H46" s="66" t="n">
        <x:v>5051.1407</x:v>
      </x:c>
      <x:c r="I46" s="66" t="n">
        <x:v>5062.324</x:v>
      </x:c>
      <x:c r="J46" s="66" t="n">
        <x:v>63.0001</x:v>
      </x:c>
      <x:c r="K46" s="50" t="n">
        <x:v>-0.1</x:v>
      </x:c>
      <x:c r="L46" s="50" t="n">
        <x:v>-0.5</x:v>
      </x:c>
      <x:c r="M46" s="50" t="n">
        <x:v>-0.9</x:v>
      </x:c>
      <x:c r="N46" s="50" t="n">
        <x:v>0</x:v>
      </x:c>
      <x:c r="O46" s="50" t="n">
        <x:v>0.3</x:v>
      </x:c>
      <x:c r="P46" s="50" t="n">
        <x:v>-1.3</x:v>
      </x:c>
      <x:c r="Q46" s="50" t="n">
        <x:f>IF(COUNT(N46:O46)&lt;2,"",SQRT(N46^2+O46^2))</x:f>
        <x:v>0.3</x:v>
      </x:c>
      <x:c r="R46" t="str">
        <x:f>IF(COUNT(H46:P46)=0,"Sem leitura",IF(ISNUMBER(SEARCH("Escavação",D46)),IF(OR(Q46&gt;=40,ABS(P46)&gt;=15),"Alarme",IF(OR(Q46&gt;=IF(OR(ISNUMBER(SEARCH("Alçado AB",D46)),ISNUMBER(SEARCH("Alçado CD",D46)),ISNUMBER(SEARCH("Alçado BF",D46)),ISNUMBER(SEARCH("Alçado PQ",D46))),20,30),ABS(P46)&gt;=10),"Alerta","Regular")),IF(OR(Q46&gt;=25,ABS(P46)&gt;=20),"Alarme",IF(OR(Q46&gt;=15,ABS(P46)&gt;=10),"Alerta","Regular"))))</x:f>
        <x:v>Regular</x:v>
      </x:c>
      <x:c r="S46" t="str">
        <x:v>RELATÓRIO ALVOS TOPOGRÁFICOS - Empreitada THE EDEN, Estoril_ R04_03-09-25(1).pdf</x:v>
      </x:c>
      <x:c r="T46" t="n">
        <x:v>10</x:v>
      </x:c>
    </x:row>
    <x:row r="47">
      <x:c r="A47" s="48" t="n">
        <x:v>45846</x:v>
      </x:c>
      <x:c r="B47" t="n">
        <x:v>2</x:v>
      </x:c>
      <x:c r="C47" t="str">
        <x:v>C2</x:v>
      </x:c>
      <x:c r="D47" t="str">
        <x:v>Clínica Abreu Loureiro</x:v>
      </x:c>
      <x:c r="E47" s="66" t="n">
        <x:v>5051.0086</x:v>
      </x:c>
      <x:c r="F47" s="66" t="n">
        <x:v>5062.4334</x:v>
      </x:c>
      <x:c r="G47" s="66" t="n">
        <x:v>56.898</x:v>
      </x:c>
      <x:c r="H47" s="66" t="n">
        <x:v>5051.0079</x:v>
      </x:c>
      <x:c r="I47" s="66" t="n">
        <x:v>5062.4324</x:v>
      </x:c>
      <x:c r="J47" s="66" t="n">
        <x:v>56.8966</x:v>
      </x:c>
      <x:c r="K47" s="50" t="n">
        <x:v>-0.1</x:v>
      </x:c>
      <x:c r="L47" s="50" t="n">
        <x:v>-0.4</x:v>
      </x:c>
      <x:c r="M47" s="50" t="n">
        <x:v>-0.9</x:v>
      </x:c>
      <x:c r="N47" s="50" t="n">
        <x:v>-0.7</x:v>
      </x:c>
      <x:c r="O47" s="50" t="n">
        <x:v>-1</x:v>
      </x:c>
      <x:c r="P47" s="50" t="n">
        <x:v>-1.4</x:v>
      </x:c>
      <x:c r="Q47" s="50" t="n">
        <x:f>IF(COUNT(N47:O47)&lt;2,"",SQRT(N47^2+O47^2))</x:f>
        <x:v>1.2206555615733703</x:v>
      </x:c>
      <x:c r="R47" t="str">
        <x:f>IF(COUNT(H47:P47)=0,"Sem leitura",IF(ISNUMBER(SEARCH("Escavação",D47)),IF(OR(Q47&gt;=40,ABS(P47)&gt;=15),"Alarme",IF(OR(Q47&gt;=IF(OR(ISNUMBER(SEARCH("Alçado AB",D47)),ISNUMBER(SEARCH("Alçado CD",D47)),ISNUMBER(SEARCH("Alçado BF",D47)),ISNUMBER(SEARCH("Alçado PQ",D47))),20,30),ABS(P47)&gt;=10),"Alerta","Regular")),IF(OR(Q47&gt;=25,ABS(P47)&gt;=20),"Alarme",IF(OR(Q47&gt;=15,ABS(P47)&gt;=10),"Alerta","Regular"))))</x:f>
        <x:v>Regular</x:v>
      </x:c>
      <x:c r="S47" t="str">
        <x:v>RELATÓRIO ALVOS TOPOGRÁFICOS - Empreitada THE EDEN, Estoril_ R04_03-09-25(1).pdf</x:v>
      </x:c>
      <x:c r="T47" t="n">
        <x:v>10</x:v>
      </x:c>
    </x:row>
    <x:row r="48">
      <x:c r="A48" s="48" t="n">
        <x:v>45846</x:v>
      </x:c>
      <x:c r="B48" t="n">
        <x:v>2</x:v>
      </x:c>
      <x:c r="C48" t="str">
        <x:v>C3</x:v>
      </x:c>
      <x:c r="D48" t="str">
        <x:v>Clínica Abreu Loureiro</x:v>
      </x:c>
      <x:c r="E48" s="66" t="n">
        <x:v>5058.5259</x:v>
      </x:c>
      <x:c r="F48" s="66" t="n">
        <x:v>5053.176</x:v>
      </x:c>
      <x:c r="G48" s="66" t="n">
        <x:v>63.5252</x:v>
      </x:c>
      <x:c r="H48" s="66" t="n">
        <x:v>5058.5274</x:v>
      </x:c>
      <x:c r="I48" s="66" t="n">
        <x:v>5053.1767</x:v>
      </x:c>
      <x:c r="J48" s="66" t="n">
        <x:v>63.5247</x:v>
      </x:c>
      <x:c r="K48" s="50" t="n">
        <x:v>2.1</x:v>
      </x:c>
      <x:c r="L48" s="50" t="n">
        <x:v>1</x:v>
      </x:c>
      <x:c r="M48" s="50" t="n">
        <x:v>-1</x:v>
      </x:c>
      <x:c r="N48" s="50" t="n">
        <x:v>1.5</x:v>
      </x:c>
      <x:c r="O48" s="50" t="n">
        <x:v>0.7</x:v>
      </x:c>
      <x:c r="P48" s="50" t="n">
        <x:v>-0.5</x:v>
      </x:c>
      <x:c r="Q48" s="50" t="n">
        <x:f>IF(COUNT(N48:O48)&lt;2,"",SQRT(N48^2+O48^2))</x:f>
        <x:v>1.6552945357246849</x:v>
      </x:c>
      <x:c r="R48" t="str">
        <x:f>IF(COUNT(H48:P48)=0,"Sem leitura",IF(ISNUMBER(SEARCH("Escavação",D48)),IF(OR(Q48&gt;=40,ABS(P48)&gt;=15),"Alarme",IF(OR(Q48&gt;=IF(OR(ISNUMBER(SEARCH("Alçado AB",D48)),ISNUMBER(SEARCH("Alçado CD",D48)),ISNUMBER(SEARCH("Alçado BF",D48)),ISNUMBER(SEARCH("Alçado PQ",D48))),20,30),ABS(P48)&gt;=10),"Alerta","Regular")),IF(OR(Q48&gt;=25,ABS(P48)&gt;=20),"Alarme",IF(OR(Q48&gt;=15,ABS(P48)&gt;=10),"Alerta","Regular"))))</x:f>
        <x:v>Regular</x:v>
      </x:c>
      <x:c r="S48" t="str">
        <x:v>RELATÓRIO ALVOS TOPOGRÁFICOS - Empreitada THE EDEN, Estoril_ R04_03-09-25(1).pdf</x:v>
      </x:c>
      <x:c r="T48" t="n">
        <x:v>10</x:v>
      </x:c>
    </x:row>
    <x:row r="49">
      <x:c r="A49" s="48" t="n">
        <x:v>45846</x:v>
      </x:c>
      <x:c r="B49" t="n">
        <x:v>2</x:v>
      </x:c>
      <x:c r="C49" t="str">
        <x:v>C4</x:v>
      </x:c>
      <x:c r="D49" t="str">
        <x:v>Clínica Abreu Loureiro</x:v>
      </x:c>
      <x:c r="E49" s="66" t="n">
        <x:v>5060.2733</x:v>
      </x:c>
      <x:c r="F49" s="66" t="n">
        <x:v>5059.0944</x:v>
      </x:c>
      <x:c r="G49" s="66" t="n">
        <x:v>58.7943</x:v>
      </x:c>
      <x:c r="H49" s="66" t="n">
        <x:v>5060.2729</x:v>
      </x:c>
      <x:c r="I49" s="66" t="n">
        <x:v>5059.0947</x:v>
      </x:c>
      <x:c r="J49" s="66" t="n">
        <x:v>58.7929</x:v>
      </x:c>
      <x:c r="K49" s="50" t="n">
        <x:v>-0.7</x:v>
      </x:c>
      <x:c r="L49" s="50" t="n">
        <x:v>0.6</x:v>
      </x:c>
      <x:c r="M49" s="50" t="n">
        <x:v>-1.1</x:v>
      </x:c>
      <x:c r="N49" s="50" t="n">
        <x:v>-0.4</x:v>
      </x:c>
      <x:c r="O49" s="50" t="n">
        <x:v>0.3</x:v>
      </x:c>
      <x:c r="P49" s="50" t="n">
        <x:v>-1.4</x:v>
      </x:c>
      <x:c r="Q49" s="50" t="n">
        <x:f>IF(COUNT(N49:O49)&lt;2,"",SQRT(N49^2+O49^2))</x:f>
        <x:v>0.5</x:v>
      </x:c>
      <x:c r="R49" t="str">
        <x:f>IF(COUNT(H49:P49)=0,"Sem leitura",IF(ISNUMBER(SEARCH("Escavação",D49)),IF(OR(Q49&gt;=40,ABS(P49)&gt;=15),"Alarme",IF(OR(Q49&gt;=IF(OR(ISNUMBER(SEARCH("Alçado AB",D49)),ISNUMBER(SEARCH("Alçado CD",D49)),ISNUMBER(SEARCH("Alçado BF",D49)),ISNUMBER(SEARCH("Alçado PQ",D49))),20,30),ABS(P49)&gt;=10),"Alerta","Regular")),IF(OR(Q49&gt;=25,ABS(P49)&gt;=20),"Alarme",IF(OR(Q49&gt;=15,ABS(P49)&gt;=10),"Alerta","Regular"))))</x:f>
        <x:v>Regular</x:v>
      </x:c>
      <x:c r="S49" t="str">
        <x:v>RELATÓRIO ALVOS TOPOGRÁFICOS - Empreitada THE EDEN, Estoril_ R04_03-09-25(1).pdf</x:v>
      </x:c>
      <x:c r="T49" t="n">
        <x:v>10</x:v>
      </x:c>
    </x:row>
    <x:row r="50">
      <x:c r="A50" s="48" t="n">
        <x:v>45874</x:v>
      </x:c>
      <x:c r="B50" t="n">
        <x:v>3</x:v>
      </x:c>
      <x:c r="C50" t="str">
        <x:v>A1</x:v>
      </x:c>
      <x:c r="D50" t="str">
        <x:v>Edifício Santa Casa da Misericórdia</x:v>
      </x:c>
      <x:c r="E50" s="66" t="n">
        <x:v>4990.9657</x:v>
      </x:c>
      <x:c r="F50" s="66" t="n">
        <x:v>5053.745</x:v>
      </x:c>
      <x:c r="G50" s="66" t="n">
        <x:v>60.5536</x:v>
      </x:c>
      <x:c r="H50" s="66" t="n">
        <x:v>4990.9652</x:v>
      </x:c>
      <x:c r="I50" s="66" t="n">
        <x:v>5053.7426</x:v>
      </x:c>
      <x:c r="J50" s="66" t="n">
        <x:v>60.552</x:v>
      </x:c>
      <x:c r="K50" s="50" t="n">
        <x:v>0.5</x:v>
      </x:c>
      <x:c r="L50" s="50" t="n">
        <x:v>-0.5</x:v>
      </x:c>
      <x:c r="M50" s="50" t="n">
        <x:v>-0.1</x:v>
      </x:c>
      <x:c r="N50" s="50" t="n">
        <x:v>-0.5</x:v>
      </x:c>
      <x:c r="O50" s="50" t="n">
        <x:v>-2.4</x:v>
      </x:c>
      <x:c r="P50" s="50" t="n">
        <x:v>-1.6</x:v>
      </x:c>
      <x:c r="Q50" s="50" t="n">
        <x:f>IF(COUNT(N50:O50)&lt;2,"",SQRT(N50^2+O50^2))</x:f>
        <x:v>2.4515301344262523</x:v>
      </x:c>
      <x:c r="R50" t="str">
        <x:f>IF(COUNT(H50:P50)=0,"Sem leitura",IF(ISNUMBER(SEARCH("Escavação",D50)),IF(OR(Q50&gt;=40,ABS(P50)&gt;=15),"Alarme",IF(OR(Q50&gt;=IF(OR(ISNUMBER(SEARCH("Alçado AB",D50)),ISNUMBER(SEARCH("Alçado CD",D50)),ISNUMBER(SEARCH("Alçado BF",D50)),ISNUMBER(SEARCH("Alçado PQ",D50))),20,30),ABS(P50)&gt;=10),"Alerta","Regular")),IF(OR(Q50&gt;=25,ABS(P50)&gt;=20),"Alarme",IF(OR(Q50&gt;=15,ABS(P50)&gt;=10),"Alerta","Regular"))))</x:f>
        <x:v>Regular</x:v>
      </x:c>
      <x:c r="S50" t="str">
        <x:v>RELATÓRIO ALVOS TOPOGRÁFICOS - Empreitada THE EDEN, Estoril_ R04_03-09-25(1).pdf</x:v>
      </x:c>
      <x:c r="T50" t="n">
        <x:v>11</x:v>
      </x:c>
    </x:row>
    <x:row r="51">
      <x:c r="A51" s="48" t="n">
        <x:v>45874</x:v>
      </x:c>
      <x:c r="B51" t="n">
        <x:v>3</x:v>
      </x:c>
      <x:c r="C51" t="str">
        <x:v>A2</x:v>
      </x:c>
      <x:c r="D51" t="str">
        <x:v>Edifício Santa Casa da Misericórdia</x:v>
      </x:c>
      <x:c r="E51" s="66" t="n">
        <x:v>4990.9761</x:v>
      </x:c>
      <x:c r="F51" s="66" t="n">
        <x:v>5053.7455</x:v>
      </x:c>
      <x:c r="G51" s="66" t="n">
        <x:v>59.0952</x:v>
      </x:c>
      <x:c r="H51" s="66" t="n">
        <x:v>4990.9764</x:v>
      </x:c>
      <x:c r="I51" s="66" t="n">
        <x:v>5053.7437</x:v>
      </x:c>
      <x:c r="J51" s="66" t="n">
        <x:v>59.095</x:v>
      </x:c>
      <x:c r="K51" s="50" t="n">
        <x:v>0.5</x:v>
      </x:c>
      <x:c r="L51" s="50" t="n">
        <x:v>-0.8</x:v>
      </x:c>
      <x:c r="M51" s="50" t="n">
        <x:v>0</x:v>
      </x:c>
      <x:c r="N51" s="50" t="n">
        <x:v>0.3</x:v>
      </x:c>
      <x:c r="O51" s="50" t="n">
        <x:v>-1.8</x:v>
      </x:c>
      <x:c r="P51" s="50" t="n">
        <x:v>-0.2</x:v>
      </x:c>
      <x:c r="Q51" s="50" t="n">
        <x:f>IF(COUNT(N51:O51)&lt;2,"",SQRT(N51^2+O51^2))</x:f>
        <x:v>1.8248287590894658</x:v>
      </x:c>
      <x:c r="R51" t="str">
        <x:f>IF(COUNT(H51:P51)=0,"Sem leitura",IF(ISNUMBER(SEARCH("Escavação",D51)),IF(OR(Q51&gt;=40,ABS(P51)&gt;=15),"Alarme",IF(OR(Q51&gt;=IF(OR(ISNUMBER(SEARCH("Alçado AB",D51)),ISNUMBER(SEARCH("Alçado CD",D51)),ISNUMBER(SEARCH("Alçado BF",D51)),ISNUMBER(SEARCH("Alçado PQ",D51))),20,30),ABS(P51)&gt;=10),"Alerta","Regular")),IF(OR(Q51&gt;=25,ABS(P51)&gt;=20),"Alarme",IF(OR(Q51&gt;=15,ABS(P51)&gt;=10),"Alerta","Regular"))))</x:f>
        <x:v>Regular</x:v>
      </x:c>
      <x:c r="S51" t="str">
        <x:v>RELATÓRIO ALVOS TOPOGRÁFICOS - Empreitada THE EDEN, Estoril_ R04_03-09-25(1).pdf</x:v>
      </x:c>
      <x:c r="T51" t="n">
        <x:v>11</x:v>
      </x:c>
    </x:row>
    <x:row r="52">
      <x:c r="A52" s="48" t="n">
        <x:v>45874</x:v>
      </x:c>
      <x:c r="B52" t="n">
        <x:v>3</x:v>
      </x:c>
      <x:c r="C52" t="str">
        <x:v>A3</x:v>
      </x:c>
      <x:c r="D52" t="str">
        <x:v>Edifício Santa Casa da Misericórdia</x:v>
      </x:c>
      <x:c r="E52" s="66" t="n">
        <x:v>5001.0813</x:v>
      </x:c>
      <x:c r="F52" s="66" t="n">
        <x:v>5053.5292</x:v>
      </x:c>
      <x:c r="G52" s="66" t="n">
        <x:v>60.6219</x:v>
      </x:c>
      <x:c r="H52" s="66" t="n">
        <x:v>5001.0814</x:v>
      </x:c>
      <x:c r="I52" s="66" t="n">
        <x:v>5053.5237</x:v>
      </x:c>
      <x:c r="J52" s="66" t="n">
        <x:v>60.6207</x:v>
      </x:c>
      <x:c r="K52" s="50" t="n">
        <x:v>1.3</x:v>
      </x:c>
      <x:c r="L52" s="50" t="n">
        <x:v>-1</x:v>
      </x:c>
      <x:c r="M52" s="50" t="n">
        <x:v>-0.1</x:v>
      </x:c>
      <x:c r="N52" s="50" t="n">
        <x:v>0.1</x:v>
      </x:c>
      <x:c r="O52" s="50" t="n">
        <x:v>-5.5</x:v>
      </x:c>
      <x:c r="P52" s="50" t="n">
        <x:v>-1.2</x:v>
      </x:c>
      <x:c r="Q52" s="50" t="n">
        <x:f>IF(COUNT(N52:O52)&lt;2,"",SQRT(N52^2+O52^2))</x:f>
        <x:v>5.500909015790027</x:v>
      </x:c>
      <x:c r="R52" t="str">
        <x:f>IF(COUNT(H52:P52)=0,"Sem leitura",IF(ISNUMBER(SEARCH("Escavação",D52)),IF(OR(Q52&gt;=40,ABS(P52)&gt;=15),"Alarme",IF(OR(Q52&gt;=IF(OR(ISNUMBER(SEARCH("Alçado AB",D52)),ISNUMBER(SEARCH("Alçado CD",D52)),ISNUMBER(SEARCH("Alçado BF",D52)),ISNUMBER(SEARCH("Alçado PQ",D52))),20,30),ABS(P52)&gt;=10),"Alerta","Regular")),IF(OR(Q52&gt;=25,ABS(P52)&gt;=20),"Alarme",IF(OR(Q52&gt;=15,ABS(P52)&gt;=10),"Alerta","Regular"))))</x:f>
        <x:v>Regular</x:v>
      </x:c>
      <x:c r="S52" t="str">
        <x:v>RELATÓRIO ALVOS TOPOGRÁFICOS - Empreitada THE EDEN, Estoril_ R04_03-09-25(1).pdf</x:v>
      </x:c>
      <x:c r="T52" t="n">
        <x:v>11</x:v>
      </x:c>
    </x:row>
    <x:row r="53">
      <x:c r="A53" s="48" t="n">
        <x:v>45874</x:v>
      </x:c>
      <x:c r="B53" t="n">
        <x:v>3</x:v>
      </x:c>
      <x:c r="C53" t="str">
        <x:v>A4</x:v>
      </x:c>
      <x:c r="D53" t="str">
        <x:v>Edifício Santa Casa da Misericórdia</x:v>
      </x:c>
      <x:c r="E53" s="66" t="n">
        <x:v>5001.0428</x:v>
      </x:c>
      <x:c r="F53" s="66" t="n">
        <x:v>5053.5322</x:v>
      </x:c>
      <x:c r="G53" s="66" t="n">
        <x:v>58.6778</x:v>
      </x:c>
      <x:c r="H53" s="66" t="n">
        <x:v>5001.0432</x:v>
      </x:c>
      <x:c r="I53" s="66" t="n">
        <x:v>5053.5283</x:v>
      </x:c>
      <x:c r="J53" s="66" t="n">
        <x:v>58.6757</x:v>
      </x:c>
      <x:c r="K53" s="50" t="n">
        <x:v>1.3</x:v>
      </x:c>
      <x:c r="L53" s="50" t="n">
        <x:v>-2.4</x:v>
      </x:c>
      <x:c r="M53" s="50" t="n">
        <x:v>-0.3</x:v>
      </x:c>
      <x:c r="N53" s="50" t="n">
        <x:v>0.4</x:v>
      </x:c>
      <x:c r="O53" s="50" t="n">
        <x:v>-3.9</x:v>
      </x:c>
      <x:c r="P53" s="50" t="n">
        <x:v>-2.1</x:v>
      </x:c>
      <x:c r="Q53" s="50" t="n">
        <x:f>IF(COUNT(N53:O53)&lt;2,"",SQRT(N53^2+O53^2))</x:f>
        <x:v>3.9204591567825315</x:v>
      </x:c>
      <x:c r="R53" t="str">
        <x:f>IF(COUNT(H53:P53)=0,"Sem leitura",IF(ISNUMBER(SEARCH("Escavação",D53)),IF(OR(Q53&gt;=40,ABS(P53)&gt;=15),"Alarme",IF(OR(Q53&gt;=IF(OR(ISNUMBER(SEARCH("Alçado AB",D53)),ISNUMBER(SEARCH("Alçado CD",D53)),ISNUMBER(SEARCH("Alçado BF",D53)),ISNUMBER(SEARCH("Alçado PQ",D53))),20,30),ABS(P53)&gt;=10),"Alerta","Regular")),IF(OR(Q53&gt;=25,ABS(P53)&gt;=20),"Alarme",IF(OR(Q53&gt;=15,ABS(P53)&gt;=10),"Alerta","Regular"))))</x:f>
        <x:v>Regular</x:v>
      </x:c>
      <x:c r="S53" t="str">
        <x:v>RELATÓRIO ALVOS TOPOGRÁFICOS - Empreitada THE EDEN, Estoril_ R04_03-09-25(1).pdf</x:v>
      </x:c>
      <x:c r="T53" t="n">
        <x:v>11</x:v>
      </x:c>
    </x:row>
    <x:row r="54">
      <x:c r="A54" s="48" t="n">
        <x:v>45874</x:v>
      </x:c>
      <x:c r="B54" t="n">
        <x:v>3</x:v>
      </x:c>
      <x:c r="C54" t="str">
        <x:v>A5</x:v>
      </x:c>
      <x:c r="D54" t="str">
        <x:v>Edifício Santa Casa da Misericórdia</x:v>
      </x:c>
      <x:c r="E54" s="66" t="n">
        <x:v>5005.4018</x:v>
      </x:c>
      <x:c r="F54" s="66" t="n">
        <x:v>5054.5141</x:v>
      </x:c>
      <x:c r="G54" s="66" t="n">
        <x:v>60.1819</x:v>
      </x:c>
      <x:c r="H54" s="66" t="n">
        <x:v>5005.4034</x:v>
      </x:c>
      <x:c r="I54" s="66" t="n">
        <x:v>5054.5099</x:v>
      </x:c>
      <x:c r="J54" s="66" t="n">
        <x:v>60.179</x:v>
      </x:c>
      <x:c r="K54" s="50" t="n">
        <x:v>0.1</x:v>
      </x:c>
      <x:c r="L54" s="50" t="n">
        <x:v>-2.3</x:v>
      </x:c>
      <x:c r="M54" s="50" t="n">
        <x:v>-0.6</x:v>
      </x:c>
      <x:c r="N54" s="50" t="n">
        <x:v>1.6</x:v>
      </x:c>
      <x:c r="O54" s="50" t="n">
        <x:v>-4.2</x:v>
      </x:c>
      <x:c r="P54" s="50" t="n">
        <x:v>-2.9</x:v>
      </x:c>
      <x:c r="Q54" s="50" t="n">
        <x:f>IF(COUNT(N54:O54)&lt;2,"",SQRT(N54^2+O54^2))</x:f>
        <x:v>4.494441010848846</x:v>
      </x:c>
      <x:c r="R54" t="str">
        <x:f>IF(COUNT(H54:P54)=0,"Sem leitura",IF(ISNUMBER(SEARCH("Escavação",D54)),IF(OR(Q54&gt;=40,ABS(P54)&gt;=15),"Alarme",IF(OR(Q54&gt;=IF(OR(ISNUMBER(SEARCH("Alçado AB",D54)),ISNUMBER(SEARCH("Alçado CD",D54)),ISNUMBER(SEARCH("Alçado BF",D54)),ISNUMBER(SEARCH("Alçado PQ",D54))),20,30),ABS(P54)&gt;=10),"Alerta","Regular")),IF(OR(Q54&gt;=25,ABS(P54)&gt;=20),"Alarme",IF(OR(Q54&gt;=15,ABS(P54)&gt;=10),"Alerta","Regular"))))</x:f>
        <x:v>Regular</x:v>
      </x:c>
      <x:c r="S54" t="str">
        <x:v>RELATÓRIO ALVOS TOPOGRÁFICOS - Empreitada THE EDEN, Estoril_ R04_03-09-25(1).pdf</x:v>
      </x:c>
      <x:c r="T54" t="n">
        <x:v>11</x:v>
      </x:c>
    </x:row>
    <x:row r="55">
      <x:c r="A55" s="48" t="n">
        <x:v>45874</x:v>
      </x:c>
      <x:c r="B55" t="n">
        <x:v>3</x:v>
      </x:c>
      <x:c r="C55" t="str">
        <x:v>A6</x:v>
      </x:c>
      <x:c r="D55" t="str">
        <x:v>Edifício Santa Casa da Misericórdia</x:v>
      </x:c>
      <x:c r="E55" s="66" t="n">
        <x:v>5005.4051</x:v>
      </x:c>
      <x:c r="F55" s="66" t="n">
        <x:v>5054.5767</x:v>
      </x:c>
      <x:c r="G55" s="66" t="n">
        <x:v>58.647</x:v>
      </x:c>
      <x:c r="H55" s="66" t="n">
        <x:v>5005.4073</x:v>
      </x:c>
      <x:c r="I55" s="66" t="n">
        <x:v>5054.5724</x:v>
      </x:c>
      <x:c r="J55" s="66" t="n">
        <x:v>58.644</x:v>
      </x:c>
      <x:c r="K55" s="50" t="n">
        <x:v>-0.3</x:v>
      </x:c>
      <x:c r="L55" s="50" t="n">
        <x:v>-2.5</x:v>
      </x:c>
      <x:c r="M55" s="50" t="n">
        <x:v>-0.5</x:v>
      </x:c>
      <x:c r="N55" s="50" t="n">
        <x:v>2.2</x:v>
      </x:c>
      <x:c r="O55" s="50" t="n">
        <x:v>-4.3</x:v>
      </x:c>
      <x:c r="P55" s="50" t="n">
        <x:v>-3</x:v>
      </x:c>
      <x:c r="Q55" s="50" t="n">
        <x:f>IF(COUNT(N55:O55)&lt;2,"",SQRT(N55^2+O55^2))</x:f>
        <x:v>4.830113870293329</x:v>
      </x:c>
      <x:c r="R55" t="str">
        <x:f>IF(COUNT(H55:P55)=0,"Sem leitura",IF(ISNUMBER(SEARCH("Escavação",D55)),IF(OR(Q55&gt;=40,ABS(P55)&gt;=15),"Alarme",IF(OR(Q55&gt;=IF(OR(ISNUMBER(SEARCH("Alçado AB",D55)),ISNUMBER(SEARCH("Alçado CD",D55)),ISNUMBER(SEARCH("Alçado BF",D55)),ISNUMBER(SEARCH("Alçado PQ",D55))),20,30),ABS(P55)&gt;=10),"Alerta","Regular")),IF(OR(Q55&gt;=25,ABS(P55)&gt;=20),"Alarme",IF(OR(Q55&gt;=15,ABS(P55)&gt;=10),"Alerta","Regular"))))</x:f>
        <x:v>Regular</x:v>
      </x:c>
      <x:c r="S55" t="str">
        <x:v>RELATÓRIO ALVOS TOPOGRÁFICOS - Empreitada THE EDEN, Estoril_ R04_03-09-25(1).pdf</x:v>
      </x:c>
      <x:c r="T55" t="n">
        <x:v>11</x:v>
      </x:c>
    </x:row>
    <x:row r="56">
      <x:c r="A56" s="48" t="n">
        <x:v>45874</x:v>
      </x:c>
      <x:c r="B56" t="n">
        <x:v>3</x:v>
      </x:c>
      <x:c r="C56" t="str">
        <x:v>A7</x:v>
      </x:c>
      <x:c r="D56" t="str">
        <x:v>Edifício Santa Casa da Misericórdia</x:v>
      </x:c>
      <x:c r="E56" s="66" t="n">
        <x:v>5005.8755</x:v>
      </x:c>
      <x:c r="F56" s="66" t="n">
        <x:v>5063.3174</x:v>
      </x:c>
      <x:c r="G56" s="66" t="n">
        <x:v>60.4811</x:v>
      </x:c>
      <x:c r="H56" s="66" t="n">
        <x:v>5005.8758</x:v>
      </x:c>
      <x:c r="I56" s="66" t="n">
        <x:v>5063.3156</x:v>
      </x:c>
      <x:c r="J56" s="66" t="n">
        <x:v>60.4801</x:v>
      </x:c>
      <x:c r="K56" s="50" t="n">
        <x:v>-0.3</x:v>
      </x:c>
      <x:c r="L56" s="50" t="n">
        <x:v>-0.9</x:v>
      </x:c>
      <x:c r="M56" s="50" t="n">
        <x:v>-0.1</x:v>
      </x:c>
      <x:c r="N56" s="50" t="n">
        <x:v>0.3</x:v>
      </x:c>
      <x:c r="O56" s="50" t="n">
        <x:v>-1.8</x:v>
      </x:c>
      <x:c r="P56" s="50" t="n">
        <x:v>-1</x:v>
      </x:c>
      <x:c r="Q56" s="50" t="n">
        <x:f>IF(COUNT(N56:O56)&lt;2,"",SQRT(N56^2+O56^2))</x:f>
        <x:v>1.8248287590894658</x:v>
      </x:c>
      <x:c r="R56" t="str">
        <x:f>IF(COUNT(H56:P56)=0,"Sem leitura",IF(ISNUMBER(SEARCH("Escavação",D56)),IF(OR(Q56&gt;=40,ABS(P56)&gt;=15),"Alarme",IF(OR(Q56&gt;=IF(OR(ISNUMBER(SEARCH("Alçado AB",D56)),ISNUMBER(SEARCH("Alçado CD",D56)),ISNUMBER(SEARCH("Alçado BF",D56)),ISNUMBER(SEARCH("Alçado PQ",D56))),20,30),ABS(P56)&gt;=10),"Alerta","Regular")),IF(OR(Q56&gt;=25,ABS(P56)&gt;=20),"Alarme",IF(OR(Q56&gt;=15,ABS(P56)&gt;=10),"Alerta","Regular"))))</x:f>
        <x:v>Regular</x:v>
      </x:c>
      <x:c r="S56" t="str">
        <x:v>RELATÓRIO ALVOS TOPOGRÁFICOS - Empreitada THE EDEN, Estoril_ R04_03-09-25(1).pdf</x:v>
      </x:c>
      <x:c r="T56" t="n">
        <x:v>11</x:v>
      </x:c>
    </x:row>
    <x:row r="57">
      <x:c r="A57" s="48" t="n">
        <x:v>45874</x:v>
      </x:c>
      <x:c r="B57" t="n">
        <x:v>3</x:v>
      </x:c>
      <x:c r="C57" t="str">
        <x:v>A8</x:v>
      </x:c>
      <x:c r="D57" t="str">
        <x:v>Edifício Santa Casa da Misericórdia</x:v>
      </x:c>
      <x:c r="E57" s="66" t="n">
        <x:v>5005.8839</x:v>
      </x:c>
      <x:c r="F57" s="66" t="n">
        <x:v>5063.7008</x:v>
      </x:c>
      <x:c r="G57" s="66" t="n">
        <x:v>59.3293</x:v>
      </x:c>
      <x:c r="H57" s="66" t="n">
        <x:v>5005.8827</x:v>
      </x:c>
      <x:c r="I57" s="66" t="n">
        <x:v>5063.6994</x:v>
      </x:c>
      <x:c r="J57" s="66" t="n">
        <x:v>59.3284</x:v>
      </x:c>
      <x:c r="K57" s="50" t="n">
        <x:v>0.1</x:v>
      </x:c>
      <x:c r="L57" s="50" t="n">
        <x:v>0.2</x:v>
      </x:c>
      <x:c r="M57" s="50" t="n">
        <x:v>-0.2</x:v>
      </x:c>
      <x:c r="N57" s="50" t="n">
        <x:v>-1.2</x:v>
      </x:c>
      <x:c r="O57" s="50" t="n">
        <x:v>-1.4</x:v>
      </x:c>
      <x:c r="P57" s="50" t="n">
        <x:v>-0.9</x:v>
      </x:c>
      <x:c r="Q57" s="50" t="n">
        <x:f>IF(COUNT(N57:O57)&lt;2,"",SQRT(N57^2+O57^2))</x:f>
        <x:v>1.8439088914585773</x:v>
      </x:c>
      <x:c r="R57" t="str">
        <x:f>IF(COUNT(H57:P57)=0,"Sem leitura",IF(ISNUMBER(SEARCH("Escavação",D57)),IF(OR(Q57&gt;=40,ABS(P57)&gt;=15),"Alarme",IF(OR(Q57&gt;=IF(OR(ISNUMBER(SEARCH("Alçado AB",D57)),ISNUMBER(SEARCH("Alçado CD",D57)),ISNUMBER(SEARCH("Alçado BF",D57)),ISNUMBER(SEARCH("Alçado PQ",D57))),20,30),ABS(P57)&gt;=10),"Alerta","Regular")),IF(OR(Q57&gt;=25,ABS(P57)&gt;=20),"Alarme",IF(OR(Q57&gt;=15,ABS(P57)&gt;=10),"Alerta","Regular"))))</x:f>
        <x:v>Regular</x:v>
      </x:c>
      <x:c r="S57" t="str">
        <x:v>RELATÓRIO ALVOS TOPOGRÁFICOS - Empreitada THE EDEN, Estoril_ R04_03-09-25(1).pdf</x:v>
      </x:c>
      <x:c r="T57" t="n">
        <x:v>11</x:v>
      </x:c>
    </x:row>
    <x:row r="58">
      <x:c r="A58" s="48" t="n">
        <x:v>45874</x:v>
      </x:c>
      <x:c r="B58" t="n">
        <x:v>3</x:v>
      </x:c>
      <x:c r="C58" t="str">
        <x:v>B1</x:v>
      </x:c>
      <x:c r="D58" t="str">
        <x:v>Restaurante Cimas</x:v>
      </x:c>
      <x:c r="E58" s="66" t="n">
        <x:v>5055.3705</x:v>
      </x:c>
      <x:c r="F58" s="66" t="n">
        <x:v>5037.6908</x:v>
      </x:c>
      <x:c r="G58" s="66" t="n">
        <x:v>55.8345</x:v>
      </x:c>
      <x:c r="H58" s="66" t="n">
        <x:v>5055.3688</x:v>
      </x:c>
      <x:c r="I58" s="66" t="n">
        <x:v>5037.6909</x:v>
      </x:c>
      <x:c r="J58" s="66" t="n">
        <x:v>55.8355</x:v>
      </x:c>
      <x:c r="K58" s="50" t="n">
        <x:v>0.5</x:v>
      </x:c>
      <x:c r="L58" s="50" t="n">
        <x:v>0</x:v>
      </x:c>
      <x:c r="M58" s="50" t="n">
        <x:v>0.4</x:v>
      </x:c>
      <x:c r="N58" s="50" t="n">
        <x:v>-1.7</x:v>
      </x:c>
      <x:c r="O58" s="50" t="n">
        <x:v>0.1</x:v>
      </x:c>
      <x:c r="P58" s="50" t="n">
        <x:v>1</x:v>
      </x:c>
      <x:c r="Q58" s="50" t="n">
        <x:f>IF(COUNT(N58:O58)&lt;2,"",SQRT(N58^2+O58^2))</x:f>
        <x:v>1.70293863659264</x:v>
      </x:c>
      <x:c r="R58" t="str">
        <x:f>IF(COUNT(H58:P58)=0,"Sem leitura",IF(ISNUMBER(SEARCH("Escavação",D58)),IF(OR(Q58&gt;=40,ABS(P58)&gt;=15),"Alarme",IF(OR(Q58&gt;=IF(OR(ISNUMBER(SEARCH("Alçado AB",D58)),ISNUMBER(SEARCH("Alçado CD",D58)),ISNUMBER(SEARCH("Alçado BF",D58)),ISNUMBER(SEARCH("Alçado PQ",D58))),20,30),ABS(P58)&gt;=10),"Alerta","Regular")),IF(OR(Q58&gt;=25,ABS(P58)&gt;=20),"Alarme",IF(OR(Q58&gt;=15,ABS(P58)&gt;=10),"Alerta","Regular"))))</x:f>
        <x:v>Regular</x:v>
      </x:c>
      <x:c r="S58" t="str">
        <x:v>RELATÓRIO ALVOS TOPOGRÁFICOS - Empreitada THE EDEN, Estoril_ R04_03-09-25(1).pdf</x:v>
      </x:c>
      <x:c r="T58" t="n">
        <x:v>11</x:v>
      </x:c>
    </x:row>
    <x:row r="59">
      <x:c r="A59" s="48" t="n">
        <x:v>45874</x:v>
      </x:c>
      <x:c r="B59" t="n">
        <x:v>3</x:v>
      </x:c>
      <x:c r="C59" t="str">
        <x:v>B2</x:v>
      </x:c>
      <x:c r="D59" t="str">
        <x:v>Restaurante Cimas</x:v>
      </x:c>
      <x:c r="E59" s="66" t="n">
        <x:v>5055.3611</x:v>
      </x:c>
      <x:c r="F59" s="66" t="n">
        <x:v>5037.652</x:v>
      </x:c>
      <x:c r="G59" s="66" t="n">
        <x:v>53.9202</x:v>
      </x:c>
      <x:c r="H59" s="66" t="n">
        <x:v>5055.3608</x:v>
      </x:c>
      <x:c r="I59" s="66" t="n">
        <x:v>5037.6511</x:v>
      </x:c>
      <x:c r="J59" s="66" t="n">
        <x:v>53.9219</x:v>
      </x:c>
      <x:c r="K59" s="50" t="n">
        <x:v>0.7</x:v>
      </x:c>
      <x:c r="L59" s="50" t="n">
        <x:v>-0.1</x:v>
      </x:c>
      <x:c r="M59" s="50" t="n">
        <x:v>0.4</x:v>
      </x:c>
      <x:c r="N59" s="50" t="n">
        <x:v>-0.3</x:v>
      </x:c>
      <x:c r="O59" s="50" t="n">
        <x:v>-0.9</x:v>
      </x:c>
      <x:c r="P59" s="50" t="n">
        <x:v>1.7</x:v>
      </x:c>
      <x:c r="Q59" s="50" t="n">
        <x:f>IF(COUNT(N59:O59)&lt;2,"",SQRT(N59^2+O59^2))</x:f>
        <x:v>0.9486832980505138</x:v>
      </x:c>
      <x:c r="R59" t="str">
        <x:f>IF(COUNT(H59:P59)=0,"Sem leitura",IF(ISNUMBER(SEARCH("Escavação",D59)),IF(OR(Q59&gt;=40,ABS(P59)&gt;=15),"Alarme",IF(OR(Q59&gt;=IF(OR(ISNUMBER(SEARCH("Alçado AB",D59)),ISNUMBER(SEARCH("Alçado CD",D59)),ISNUMBER(SEARCH("Alçado BF",D59)),ISNUMBER(SEARCH("Alçado PQ",D59))),20,30),ABS(P59)&gt;=10),"Alerta","Regular")),IF(OR(Q59&gt;=25,ABS(P59)&gt;=20),"Alarme",IF(OR(Q59&gt;=15,ABS(P59)&gt;=10),"Alerta","Regular"))))</x:f>
        <x:v>Regular</x:v>
      </x:c>
      <x:c r="S59" t="str">
        <x:v>RELATÓRIO ALVOS TOPOGRÁFICOS - Empreitada THE EDEN, Estoril_ R04_03-09-25(1).pdf</x:v>
      </x:c>
      <x:c r="T59" t="n">
        <x:v>11</x:v>
      </x:c>
    </x:row>
    <x:row r="60">
      <x:c r="A60" s="48" t="n">
        <x:v>45874</x:v>
      </x:c>
      <x:c r="B60" t="n">
        <x:v>3</x:v>
      </x:c>
      <x:c r="C60" t="str">
        <x:v>B3</x:v>
      </x:c>
      <x:c r="D60" t="str">
        <x:v>Restaurante Cimas</x:v>
      </x:c>
      <x:c r="E60" s="66" t="n">
        <x:v>5053.1267</x:v>
      </x:c>
      <x:c r="F60" s="66" t="n">
        <x:v>5028.5694</x:v>
      </x:c>
      <x:c r="G60" s="66" t="n">
        <x:v>55.8769</x:v>
      </x:c>
      <x:c r="H60" s="66" t="n">
        <x:v>5053.1257</x:v>
      </x:c>
      <x:c r="I60" s="66" t="n">
        <x:v>5028.5713</x:v>
      </x:c>
      <x:c r="J60" s="66" t="n">
        <x:v>55.8776</x:v>
      </x:c>
      <x:c r="K60" s="50" t="n">
        <x:v>0.1</x:v>
      </x:c>
      <x:c r="L60" s="50" t="n">
        <x:v>0.4</x:v>
      </x:c>
      <x:c r="M60" s="50" t="n">
        <x:v>0.4</x:v>
      </x:c>
      <x:c r="N60" s="50" t="n">
        <x:v>-1</x:v>
      </x:c>
      <x:c r="O60" s="50" t="n">
        <x:v>1.9</x:v>
      </x:c>
      <x:c r="P60" s="50" t="n">
        <x:v>0.7</x:v>
      </x:c>
      <x:c r="Q60" s="50" t="n">
        <x:f>IF(COUNT(N60:O60)&lt;2,"",SQRT(N60^2+O60^2))</x:f>
        <x:v>2.1470910553583886</x:v>
      </x:c>
      <x:c r="R60" t="str">
        <x:f>IF(COUNT(H60:P60)=0,"Sem leitura",IF(ISNUMBER(SEARCH("Escavação",D60)),IF(OR(Q60&gt;=40,ABS(P60)&gt;=15),"Alarme",IF(OR(Q60&gt;=IF(OR(ISNUMBER(SEARCH("Alçado AB",D60)),ISNUMBER(SEARCH("Alçado CD",D60)),ISNUMBER(SEARCH("Alçado BF",D60)),ISNUMBER(SEARCH("Alçado PQ",D60))),20,30),ABS(P60)&gt;=10),"Alerta","Regular")),IF(OR(Q60&gt;=25,ABS(P60)&gt;=20),"Alarme",IF(OR(Q60&gt;=15,ABS(P60)&gt;=10),"Alerta","Regular"))))</x:f>
        <x:v>Regular</x:v>
      </x:c>
      <x:c r="S60" t="str">
        <x:v>RELATÓRIO ALVOS TOPOGRÁFICOS - Empreitada THE EDEN, Estoril_ R04_03-09-25(1).pdf</x:v>
      </x:c>
      <x:c r="T60" t="n">
        <x:v>11</x:v>
      </x:c>
    </x:row>
    <x:row r="61">
      <x:c r="A61" s="48" t="n">
        <x:v>45874</x:v>
      </x:c>
      <x:c r="B61" t="n">
        <x:v>3</x:v>
      </x:c>
      <x:c r="C61" t="str">
        <x:v>B4</x:v>
      </x:c>
      <x:c r="D61" t="str">
        <x:v>Restaurante Cimas</x:v>
      </x:c>
      <x:c r="E61" s="66" t="n">
        <x:v>5053.123</x:v>
      </x:c>
      <x:c r="F61" s="66" t="n">
        <x:v>5028.5786</x:v>
      </x:c>
      <x:c r="G61" s="66" t="n">
        <x:v>54.1591</x:v>
      </x:c>
      <x:c r="H61" s="66" t="n">
        <x:v>5053.1219</x:v>
      </x:c>
      <x:c r="I61" s="66" t="n">
        <x:v>5028.5798</x:v>
      </x:c>
      <x:c r="J61" s="66" t="n">
        <x:v>54.16</x:v>
      </x:c>
      <x:c r="K61" s="50" t="n">
        <x:v>0.4</x:v>
      </x:c>
      <x:c r="L61" s="50" t="n">
        <x:v>0</x:v>
      </x:c>
      <x:c r="M61" s="50" t="n">
        <x:v>0.3</x:v>
      </x:c>
      <x:c r="N61" s="50" t="n">
        <x:v>-1.1</x:v>
      </x:c>
      <x:c r="O61" s="50" t="n">
        <x:v>1.2</x:v>
      </x:c>
      <x:c r="P61" s="50" t="n">
        <x:v>0.9</x:v>
      </x:c>
      <x:c r="Q61" s="50" t="n">
        <x:f>IF(COUNT(N61:O61)&lt;2,"",SQRT(N61^2+O61^2))</x:f>
        <x:v>1.6278820596099708</x:v>
      </x:c>
      <x:c r="R61" t="str">
        <x:f>IF(COUNT(H61:P61)=0,"Sem leitura",IF(ISNUMBER(SEARCH("Escavação",D61)),IF(OR(Q61&gt;=40,ABS(P61)&gt;=15),"Alarme",IF(OR(Q61&gt;=IF(OR(ISNUMBER(SEARCH("Alçado AB",D61)),ISNUMBER(SEARCH("Alçado CD",D61)),ISNUMBER(SEARCH("Alçado BF",D61)),ISNUMBER(SEARCH("Alçado PQ",D61))),20,30),ABS(P61)&gt;=10),"Alerta","Regular")),IF(OR(Q61&gt;=25,ABS(P61)&gt;=20),"Alarme",IF(OR(Q61&gt;=15,ABS(P61)&gt;=10),"Alerta","Regular"))))</x:f>
        <x:v>Regular</x:v>
      </x:c>
      <x:c r="S61" t="str">
        <x:v>RELATÓRIO ALVOS TOPOGRÁFICOS - Empreitada THE EDEN, Estoril_ R04_03-09-25(1).pdf</x:v>
      </x:c>
      <x:c r="T61" t="n">
        <x:v>11</x:v>
      </x:c>
    </x:row>
    <x:row r="62">
      <x:c r="A62" s="48" t="n">
        <x:v>45874</x:v>
      </x:c>
      <x:c r="B62" t="n">
        <x:v>3</x:v>
      </x:c>
      <x:c r="C62" t="str">
        <x:v>C1</x:v>
      </x:c>
      <x:c r="D62" t="str">
        <x:v>Clínica Abreu Loureiro</x:v>
      </x:c>
      <x:c r="E62" s="66" t="n">
        <x:v>5051.1407</x:v>
      </x:c>
      <x:c r="F62" s="66" t="n">
        <x:v>5062.3237</x:v>
      </x:c>
      <x:c r="G62" s="66" t="n">
        <x:v>63.0014</x:v>
      </x:c>
      <x:c r="H62" s="66" t="n">
        <x:v>5051.142</x:v>
      </x:c>
      <x:c r="I62" s="66" t="n">
        <x:v>5062.3234</x:v>
      </x:c>
      <x:c r="J62" s="66" t="n">
        <x:v>63.0006</x:v>
      </x:c>
      <x:c r="K62" s="50" t="n">
        <x:v>1.3</x:v>
      </x:c>
      <x:c r="L62" s="50" t="n">
        <x:v>-0.6</x:v>
      </x:c>
      <x:c r="M62" s="50" t="n">
        <x:v>0.5</x:v>
      </x:c>
      <x:c r="N62" s="50" t="n">
        <x:v>1.3</x:v>
      </x:c>
      <x:c r="O62" s="50" t="n">
        <x:v>-0.3</x:v>
      </x:c>
      <x:c r="P62" s="50" t="n">
        <x:v>-0.8</x:v>
      </x:c>
      <x:c r="Q62" s="50" t="n">
        <x:f>IF(COUNT(N62:O62)&lt;2,"",SQRT(N62^2+O62^2))</x:f>
        <x:v>1.3341664064126335</x:v>
      </x:c>
      <x:c r="R62" t="str">
        <x:f>IF(COUNT(H62:P62)=0,"Sem leitura",IF(ISNUMBER(SEARCH("Escavação",D62)),IF(OR(Q62&gt;=40,ABS(P62)&gt;=15),"Alarme",IF(OR(Q62&gt;=IF(OR(ISNUMBER(SEARCH("Alçado AB",D62)),ISNUMBER(SEARCH("Alçado CD",D62)),ISNUMBER(SEARCH("Alçado BF",D62)),ISNUMBER(SEARCH("Alçado PQ",D62))),20,30),ABS(P62)&gt;=10),"Alerta","Regular")),IF(OR(Q62&gt;=25,ABS(P62)&gt;=20),"Alarme",IF(OR(Q62&gt;=15,ABS(P62)&gt;=10),"Alerta","Regular"))))</x:f>
        <x:v>Regular</x:v>
      </x:c>
      <x:c r="S62" t="str">
        <x:v>RELATÓRIO ALVOS TOPOGRÁFICOS - Empreitada THE EDEN, Estoril_ R04_03-09-25(1).pdf</x:v>
      </x:c>
      <x:c r="T62" t="n">
        <x:v>11</x:v>
      </x:c>
    </x:row>
    <x:row r="63">
      <x:c r="A63" s="48" t="n">
        <x:v>45874</x:v>
      </x:c>
      <x:c r="B63" t="n">
        <x:v>3</x:v>
      </x:c>
      <x:c r="C63" t="str">
        <x:v>C2</x:v>
      </x:c>
      <x:c r="D63" t="str">
        <x:v>Clínica Abreu Loureiro</x:v>
      </x:c>
      <x:c r="E63" s="66" t="n">
        <x:v>5051.0086</x:v>
      </x:c>
      <x:c r="F63" s="66" t="n">
        <x:v>5062.4334</x:v>
      </x:c>
      <x:c r="G63" s="66" t="n">
        <x:v>56.898</x:v>
      </x:c>
      <x:c r="H63" s="66" t="n">
        <x:v>5051.0071</x:v>
      </x:c>
      <x:c r="I63" s="66" t="n">
        <x:v>5062.4323</x:v>
      </x:c>
      <x:c r="J63" s="66" t="n">
        <x:v>56.897</x:v>
      </x:c>
      <x:c r="K63" s="50" t="n">
        <x:v>-0.8</x:v>
      </x:c>
      <x:c r="L63" s="50" t="n">
        <x:v>-0.1</x:v>
      </x:c>
      <x:c r="M63" s="50" t="n">
        <x:v>0.4</x:v>
      </x:c>
      <x:c r="N63" s="50" t="n">
        <x:v>-1.5</x:v>
      </x:c>
      <x:c r="O63" s="50" t="n">
        <x:v>-1.1</x:v>
      </x:c>
      <x:c r="P63" s="50" t="n">
        <x:v>-1</x:v>
      </x:c>
      <x:c r="Q63" s="50" t="n">
        <x:f>IF(COUNT(N63:O63)&lt;2,"",SQRT(N63^2+O63^2))</x:f>
        <x:v>1.8601075237738274</x:v>
      </x:c>
      <x:c r="R63" t="str">
        <x:f>IF(COUNT(H63:P63)=0,"Sem leitura",IF(ISNUMBER(SEARCH("Escavação",D63)),IF(OR(Q63&gt;=40,ABS(P63)&gt;=15),"Alarme",IF(OR(Q63&gt;=IF(OR(ISNUMBER(SEARCH("Alçado AB",D63)),ISNUMBER(SEARCH("Alçado CD",D63)),ISNUMBER(SEARCH("Alçado BF",D63)),ISNUMBER(SEARCH("Alçado PQ",D63))),20,30),ABS(P63)&gt;=10),"Alerta","Regular")),IF(OR(Q63&gt;=25,ABS(P63)&gt;=20),"Alarme",IF(OR(Q63&gt;=15,ABS(P63)&gt;=10),"Alerta","Regular"))))</x:f>
        <x:v>Regular</x:v>
      </x:c>
      <x:c r="S63" t="str">
        <x:v>RELATÓRIO ALVOS TOPOGRÁFICOS - Empreitada THE EDEN, Estoril_ R04_03-09-25(1).pdf</x:v>
      </x:c>
      <x:c r="T63" t="n">
        <x:v>11</x:v>
      </x:c>
    </x:row>
    <x:row r="64">
      <x:c r="A64" s="48" t="n">
        <x:v>45874</x:v>
      </x:c>
      <x:c r="B64" t="n">
        <x:v>3</x:v>
      </x:c>
      <x:c r="C64" t="str">
        <x:v>C3</x:v>
      </x:c>
      <x:c r="D64" t="str">
        <x:v>Clínica Abreu Loureiro</x:v>
      </x:c>
      <x:c r="E64" s="66" t="n">
        <x:v>5058.5259</x:v>
      </x:c>
      <x:c r="F64" s="66" t="n">
        <x:v>5053.176</x:v>
      </x:c>
      <x:c r="G64" s="66" t="n">
        <x:v>63.5252</x:v>
      </x:c>
      <x:c r="H64" s="66" t="n">
        <x:v>5058.5278</x:v>
      </x:c>
      <x:c r="I64" s="66" t="n">
        <x:v>5053.1755</x:v>
      </x:c>
      <x:c r="J64" s="66" t="n">
        <x:v>63.5247</x:v>
      </x:c>
      <x:c r="K64" s="50" t="n">
        <x:v>0.4</x:v>
      </x:c>
      <x:c r="L64" s="50" t="n">
        <x:v>-1.2</x:v>
      </x:c>
      <x:c r="M64" s="50" t="n">
        <x:v>0</x:v>
      </x:c>
      <x:c r="N64" s="50" t="n">
        <x:v>1.9</x:v>
      </x:c>
      <x:c r="O64" s="50" t="n">
        <x:v>-0.5</x:v>
      </x:c>
      <x:c r="P64" s="50" t="n">
        <x:v>-0.5</x:v>
      </x:c>
      <x:c r="Q64" s="50" t="n">
        <x:f>IF(COUNT(N64:O64)&lt;2,"",SQRT(N64^2+O64^2))</x:f>
        <x:v>1.96468827043885</x:v>
      </x:c>
      <x:c r="R64" t="str">
        <x:f>IF(COUNT(H64:P64)=0,"Sem leitura",IF(ISNUMBER(SEARCH("Escavação",D64)),IF(OR(Q64&gt;=40,ABS(P64)&gt;=15),"Alarme",IF(OR(Q64&gt;=IF(OR(ISNUMBER(SEARCH("Alçado AB",D64)),ISNUMBER(SEARCH("Alçado CD",D64)),ISNUMBER(SEARCH("Alçado BF",D64)),ISNUMBER(SEARCH("Alçado PQ",D64))),20,30),ABS(P64)&gt;=10),"Alerta","Regular")),IF(OR(Q64&gt;=25,ABS(P64)&gt;=20),"Alarme",IF(OR(Q64&gt;=15,ABS(P64)&gt;=10),"Alerta","Regular"))))</x:f>
        <x:v>Regular</x:v>
      </x:c>
      <x:c r="S64" t="str">
        <x:v>RELATÓRIO ALVOS TOPOGRÁFICOS - Empreitada THE EDEN, Estoril_ R04_03-09-25(1).pdf</x:v>
      </x:c>
      <x:c r="T64" t="n">
        <x:v>11</x:v>
      </x:c>
    </x:row>
    <x:row r="65">
      <x:c r="A65" s="48" t="n">
        <x:v>45874</x:v>
      </x:c>
      <x:c r="B65" t="n">
        <x:v>3</x:v>
      </x:c>
      <x:c r="C65" t="str">
        <x:v>C4</x:v>
      </x:c>
      <x:c r="D65" t="str">
        <x:v>Clínica Abreu Loureiro</x:v>
      </x:c>
      <x:c r="E65" s="66" t="n">
        <x:v>5060.2733</x:v>
      </x:c>
      <x:c r="F65" s="66" t="n">
        <x:v>5059.0944</x:v>
      </x:c>
      <x:c r="G65" s="66" t="n">
        <x:v>58.7943</x:v>
      </x:c>
      <x:c r="H65" s="66" t="n">
        <x:v>5060.2738</x:v>
      </x:c>
      <x:c r="I65" s="66" t="n">
        <x:v>5059.0944</x:v>
      </x:c>
      <x:c r="J65" s="66" t="n">
        <x:v>58.7932</x:v>
      </x:c>
      <x:c r="K65" s="50" t="n">
        <x:v>0.9</x:v>
      </x:c>
      <x:c r="L65" s="50" t="n">
        <x:v>-0.3</x:v>
      </x:c>
      <x:c r="M65" s="50" t="n">
        <x:v>0.3</x:v>
      </x:c>
      <x:c r="N65" s="50" t="n">
        <x:v>0.5</x:v>
      </x:c>
      <x:c r="O65" s="50" t="n">
        <x:v>0</x:v>
      </x:c>
      <x:c r="P65" s="50" t="n">
        <x:v>-1.1</x:v>
      </x:c>
      <x:c r="Q65" s="50" t="n">
        <x:f>IF(COUNT(N65:O65)&lt;2,"",SQRT(N65^2+O65^2))</x:f>
        <x:v>0.5</x:v>
      </x:c>
      <x:c r="R65" t="str">
        <x:f>IF(COUNT(H65:P65)=0,"Sem leitura",IF(ISNUMBER(SEARCH("Escavação",D65)),IF(OR(Q65&gt;=40,ABS(P65)&gt;=15),"Alarme",IF(OR(Q65&gt;=IF(OR(ISNUMBER(SEARCH("Alçado AB",D65)),ISNUMBER(SEARCH("Alçado CD",D65)),ISNUMBER(SEARCH("Alçado BF",D65)),ISNUMBER(SEARCH("Alçado PQ",D65))),20,30),ABS(P65)&gt;=10),"Alerta","Regular")),IF(OR(Q65&gt;=25,ABS(P65)&gt;=20),"Alarme",IF(OR(Q65&gt;=15,ABS(P65)&gt;=10),"Alerta","Regular"))))</x:f>
        <x:v>Regular</x:v>
      </x:c>
      <x:c r="S65" t="str">
        <x:v>RELATÓRIO ALVOS TOPOGRÁFICOS - Empreitada THE EDEN, Estoril_ R04_03-09-25(1).pdf</x:v>
      </x:c>
      <x:c r="T65" t="n">
        <x:v>11</x:v>
      </x:c>
    </x:row>
    <x:row r="66">
      <x:c r="A66" s="48" t="n">
        <x:v>45903</x:v>
      </x:c>
      <x:c r="B66" t="n">
        <x:v>4</x:v>
      </x:c>
      <x:c r="C66" t="str">
        <x:v>A1</x:v>
      </x:c>
      <x:c r="D66" t="str">
        <x:v>Edifício Santa Casa da Misericórdia</x:v>
      </x:c>
      <x:c r="E66" s="66" t="n">
        <x:v>4990.9657</x:v>
      </x:c>
      <x:c r="F66" s="66" t="n">
        <x:v>5053.745</x:v>
      </x:c>
      <x:c r="G66" s="66" t="n">
        <x:v>60.5536</x:v>
      </x:c>
      <x:c r="H66" s="66" t="n">
        <x:v>4990.9652</x:v>
      </x:c>
      <x:c r="I66" s="66" t="n">
        <x:v>5053.7439</x:v>
      </x:c>
      <x:c r="J66" s="66" t="n">
        <x:v>60.552</x:v>
      </x:c>
      <x:c r="K66" s="50" t="n">
        <x:v>0</x:v>
      </x:c>
      <x:c r="L66" s="50" t="n">
        <x:v>1.3</x:v>
      </x:c>
      <x:c r="M66" s="50" t="n">
        <x:v>0</x:v>
      </x:c>
      <x:c r="N66" s="50" t="n">
        <x:v>-0.5</x:v>
      </x:c>
      <x:c r="O66" s="50" t="n">
        <x:v>-1.1</x:v>
      </x:c>
      <x:c r="P66" s="50" t="n">
        <x:v>-1.6</x:v>
      </x:c>
      <x:c r="Q66" s="50" t="n">
        <x:f>IF(COUNT(N66:O66)&lt;2,"",SQRT(N66^2+O66^2))</x:f>
        <x:v>1.2083045973594573</x:v>
      </x:c>
      <x:c r="R66" t="str">
        <x:f>IF(COUNT(H66:P66)=0,"Sem leitura",IF(ISNUMBER(SEARCH("Escavação",D66)),IF(OR(Q66&gt;=40,ABS(P66)&gt;=15),"Alarme",IF(OR(Q66&gt;=IF(OR(ISNUMBER(SEARCH("Alçado AB",D66)),ISNUMBER(SEARCH("Alçado CD",D66)),ISNUMBER(SEARCH("Alçado BF",D66)),ISNUMBER(SEARCH("Alçado PQ",D66))),20,30),ABS(P66)&gt;=10),"Alerta","Regular")),IF(OR(Q66&gt;=25,ABS(P66)&gt;=20),"Alarme",IF(OR(Q66&gt;=15,ABS(P66)&gt;=10),"Alerta","Regular"))))</x:f>
        <x:v>Regular</x:v>
      </x:c>
      <x:c r="S66" t="str">
        <x:v>RELATÓRIO ALVOS TOPOGRÁFICOS - Empreitada THE EDEN, Estoril_ R04_03-09-25(1).pdf</x:v>
      </x:c>
      <x:c r="T66" t="n">
        <x:v>12</x:v>
      </x:c>
    </x:row>
    <x:row r="67">
      <x:c r="A67" s="48" t="n">
        <x:v>45903</x:v>
      </x:c>
      <x:c r="B67" t="n">
        <x:v>4</x:v>
      </x:c>
      <x:c r="C67" t="str">
        <x:v>A2</x:v>
      </x:c>
      <x:c r="D67" t="str">
        <x:v>Edifício Santa Casa da Misericórdia</x:v>
      </x:c>
      <x:c r="E67" s="66" t="n">
        <x:v>4990.9761</x:v>
      </x:c>
      <x:c r="F67" s="66" t="n">
        <x:v>5053.7455</x:v>
      </x:c>
      <x:c r="G67" s="66" t="n">
        <x:v>59.0952</x:v>
      </x:c>
      <x:c r="H67" s="66" t="n">
        <x:v>4990.9768</x:v>
      </x:c>
      <x:c r="I67" s="66" t="n">
        <x:v>5053.7427</x:v>
      </x:c>
      <x:c r="J67" s="66" t="n">
        <x:v>59.0951</x:v>
      </x:c>
      <x:c r="K67" s="50" t="n">
        <x:v>0.4</x:v>
      </x:c>
      <x:c r="L67" s="50" t="n">
        <x:v>-1</x:v>
      </x:c>
      <x:c r="M67" s="50" t="n">
        <x:v>0.1</x:v>
      </x:c>
      <x:c r="N67" s="50" t="n">
        <x:v>0.7</x:v>
      </x:c>
      <x:c r="O67" s="50" t="n">
        <x:v>-2.8</x:v>
      </x:c>
      <x:c r="P67" s="50" t="n">
        <x:v>-0.1</x:v>
      </x:c>
      <x:c r="Q67" s="50" t="n">
        <x:f>IF(COUNT(N67:O67)&lt;2,"",SQRT(N67^2+O67^2))</x:f>
        <x:v>2.886173937932362</x:v>
      </x:c>
      <x:c r="R67" t="str">
        <x:f>IF(COUNT(H67:P67)=0,"Sem leitura",IF(ISNUMBER(SEARCH("Escavação",D67)),IF(OR(Q67&gt;=40,ABS(P67)&gt;=15),"Alarme",IF(OR(Q67&gt;=IF(OR(ISNUMBER(SEARCH("Alçado AB",D67)),ISNUMBER(SEARCH("Alçado CD",D67)),ISNUMBER(SEARCH("Alçado BF",D67)),ISNUMBER(SEARCH("Alçado PQ",D67))),20,30),ABS(P67)&gt;=10),"Alerta","Regular")),IF(OR(Q67&gt;=25,ABS(P67)&gt;=20),"Alarme",IF(OR(Q67&gt;=15,ABS(P67)&gt;=10),"Alerta","Regular"))))</x:f>
        <x:v>Regular</x:v>
      </x:c>
      <x:c r="S67" t="str">
        <x:v>RELATÓRIO ALVOS TOPOGRÁFICOS - Empreitada THE EDEN, Estoril_ R04_03-09-25(1).pdf</x:v>
      </x:c>
      <x:c r="T67" t="n">
        <x:v>12</x:v>
      </x:c>
    </x:row>
    <x:row r="68">
      <x:c r="A68" s="48" t="n">
        <x:v>45903</x:v>
      </x:c>
      <x:c r="B68" t="n">
        <x:v>4</x:v>
      </x:c>
      <x:c r="C68" t="str">
        <x:v>A3</x:v>
      </x:c>
      <x:c r="D68" t="str">
        <x:v>Edifício Santa Casa da Misericórdia</x:v>
      </x:c>
      <x:c r="E68" s="66" t="n">
        <x:v>5001.0813</x:v>
      </x:c>
      <x:c r="F68" s="66" t="n">
        <x:v>5053.5292</x:v>
      </x:c>
      <x:c r="G68" s="66" t="n">
        <x:v>60.6219</x:v>
      </x:c>
      <x:c r="H68" s="66" t="n">
        <x:v>5001.0823</x:v>
      </x:c>
      <x:c r="I68" s="66" t="n">
        <x:v>5053.5216</x:v>
      </x:c>
      <x:c r="J68" s="66" t="n">
        <x:v>60.6206</x:v>
      </x:c>
      <x:c r="K68" s="50" t="n">
        <x:v>0.9</x:v>
      </x:c>
      <x:c r="L68" s="50" t="n">
        <x:v>-2.1</x:v>
      </x:c>
      <x:c r="M68" s="50" t="n">
        <x:v>-0.1</x:v>
      </x:c>
      <x:c r="N68" s="50" t="n">
        <x:v>1</x:v>
      </x:c>
      <x:c r="O68" s="50" t="n">
        <x:v>-7.6</x:v>
      </x:c>
      <x:c r="P68" s="50" t="n">
        <x:v>-1.3</x:v>
      </x:c>
      <x:c r="Q68" s="50" t="n">
        <x:f>IF(COUNT(N68:O68)&lt;2,"",SQRT(N68^2+O68^2))</x:f>
        <x:v>7.66550715869472</x:v>
      </x:c>
      <x:c r="R68" t="str">
        <x:f>IF(COUNT(H68:P68)=0,"Sem leitura",IF(ISNUMBER(SEARCH("Escavação",D68)),IF(OR(Q68&gt;=40,ABS(P68)&gt;=15),"Alarme",IF(OR(Q68&gt;=IF(OR(ISNUMBER(SEARCH("Alçado AB",D68)),ISNUMBER(SEARCH("Alçado CD",D68)),ISNUMBER(SEARCH("Alçado BF",D68)),ISNUMBER(SEARCH("Alçado PQ",D68))),20,30),ABS(P68)&gt;=10),"Alerta","Regular")),IF(OR(Q68&gt;=25,ABS(P68)&gt;=20),"Alarme",IF(OR(Q68&gt;=15,ABS(P68)&gt;=10),"Alerta","Regular"))))</x:f>
        <x:v>Regular</x:v>
      </x:c>
      <x:c r="S68" t="str">
        <x:v>RELATÓRIO ALVOS TOPOGRÁFICOS - Empreitada THE EDEN, Estoril_ R04_03-09-25(1).pdf</x:v>
      </x:c>
      <x:c r="T68" t="n">
        <x:v>12</x:v>
      </x:c>
    </x:row>
    <x:row r="69">
      <x:c r="A69" s="48" t="n">
        <x:v>45903</x:v>
      </x:c>
      <x:c r="B69" t="n">
        <x:v>4</x:v>
      </x:c>
      <x:c r="C69" t="str">
        <x:v>A4</x:v>
      </x:c>
      <x:c r="D69" t="str">
        <x:v>Edifício Santa Casa da Misericórdia</x:v>
      </x:c>
      <x:c r="E69" s="66" t="n">
        <x:v>5001.0428</x:v>
      </x:c>
      <x:c r="F69" s="66" t="n">
        <x:v>5053.5322</x:v>
      </x:c>
      <x:c r="G69" s="66" t="n">
        <x:v>58.6778</x:v>
      </x:c>
      <x:c r="H69" s="66" t="n">
        <x:v>5001.043</x:v>
      </x:c>
      <x:c r="I69" s="66" t="n">
        <x:v>5053.5253</x:v>
      </x:c>
      <x:c r="J69" s="66" t="n">
        <x:v>58.6753</x:v>
      </x:c>
      <x:c r="K69" s="50" t="n">
        <x:v>-0.2</x:v>
      </x:c>
      <x:c r="L69" s="50" t="n">
        <x:v>-3</x:v>
      </x:c>
      <x:c r="M69" s="50" t="n">
        <x:v>-0.4</x:v>
      </x:c>
      <x:c r="N69" s="50" t="n">
        <x:v>0.2</x:v>
      </x:c>
      <x:c r="O69" s="50" t="n">
        <x:v>-6.9</x:v>
      </x:c>
      <x:c r="P69" s="50" t="n">
        <x:v>-2.5</x:v>
      </x:c>
      <x:c r="Q69" s="50" t="n">
        <x:f>IF(COUNT(N69:O69)&lt;2,"",SQRT(N69^2+O69^2))</x:f>
        <x:v>6.902897942168927</x:v>
      </x:c>
      <x:c r="R69" t="str">
        <x:f>IF(COUNT(H69:P69)=0,"Sem leitura",IF(ISNUMBER(SEARCH("Escavação",D69)),IF(OR(Q69&gt;=40,ABS(P69)&gt;=15),"Alarme",IF(OR(Q69&gt;=IF(OR(ISNUMBER(SEARCH("Alçado AB",D69)),ISNUMBER(SEARCH("Alçado CD",D69)),ISNUMBER(SEARCH("Alçado BF",D69)),ISNUMBER(SEARCH("Alçado PQ",D69))),20,30),ABS(P69)&gt;=10),"Alerta","Regular")),IF(OR(Q69&gt;=25,ABS(P69)&gt;=20),"Alarme",IF(OR(Q69&gt;=15,ABS(P69)&gt;=10),"Alerta","Regular"))))</x:f>
        <x:v>Regular</x:v>
      </x:c>
      <x:c r="S69" t="str">
        <x:v>RELATÓRIO ALVOS TOPOGRÁFICOS - Empreitada THE EDEN, Estoril_ R04_03-09-25(1).pdf</x:v>
      </x:c>
      <x:c r="T69" t="n">
        <x:v>12</x:v>
      </x:c>
    </x:row>
    <x:row r="70">
      <x:c r="A70" s="48" t="n">
        <x:v>45903</x:v>
      </x:c>
      <x:c r="B70" t="n">
        <x:v>4</x:v>
      </x:c>
      <x:c r="C70" t="str">
        <x:v>A5</x:v>
      </x:c>
      <x:c r="D70" t="str">
        <x:v>Edifício Santa Casa da Misericórdia</x:v>
      </x:c>
      <x:c r="E70" s="66" t="n">
        <x:v>5005.4018</x:v>
      </x:c>
      <x:c r="F70" s="66" t="n">
        <x:v>5054.5141</x:v>
      </x:c>
      <x:c r="G70" s="66" t="n">
        <x:v>60.1819</x:v>
      </x:c>
      <x:c r="H70" s="66" t="n">
        <x:v>5005.4051</x:v>
      </x:c>
      <x:c r="I70" s="66" t="n">
        <x:v>5054.5089</x:v>
      </x:c>
      <x:c r="J70" s="66" t="n">
        <x:v>60.1784</x:v>
      </x:c>
      <x:c r="K70" s="50" t="n">
        <x:v>1.7</x:v>
      </x:c>
      <x:c r="L70" s="50" t="n">
        <x:v>-1</x:v>
      </x:c>
      <x:c r="M70" s="50" t="n">
        <x:v>-0.6</x:v>
      </x:c>
      <x:c r="N70" s="50" t="n">
        <x:v>3.3</x:v>
      </x:c>
      <x:c r="O70" s="50" t="n">
        <x:v>-5.2</x:v>
      </x:c>
      <x:c r="P70" s="50" t="n">
        <x:v>-3.5</x:v>
      </x:c>
      <x:c r="Q70" s="50" t="n">
        <x:f>IF(COUNT(N70:O70)&lt;2,"",SQRT(N70^2+O70^2))</x:f>
        <x:v>6.158733636065128</x:v>
      </x:c>
      <x:c r="R70" t="str">
        <x:f>IF(COUNT(H70:P70)=0,"Sem leitura",IF(ISNUMBER(SEARCH("Escavação",D70)),IF(OR(Q70&gt;=40,ABS(P70)&gt;=15),"Alarme",IF(OR(Q70&gt;=IF(OR(ISNUMBER(SEARCH("Alçado AB",D70)),ISNUMBER(SEARCH("Alçado CD",D70)),ISNUMBER(SEARCH("Alçado BF",D70)),ISNUMBER(SEARCH("Alçado PQ",D70))),20,30),ABS(P70)&gt;=10),"Alerta","Regular")),IF(OR(Q70&gt;=25,ABS(P70)&gt;=20),"Alarme",IF(OR(Q70&gt;=15,ABS(P70)&gt;=10),"Alerta","Regular"))))</x:f>
        <x:v>Regular</x:v>
      </x:c>
      <x:c r="S70" t="str">
        <x:v>RELATÓRIO ALVOS TOPOGRÁFICOS - Empreitada THE EDEN, Estoril_ R04_03-09-25(1).pdf</x:v>
      </x:c>
      <x:c r="T70" t="n">
        <x:v>12</x:v>
      </x:c>
    </x:row>
    <x:row r="71">
      <x:c r="A71" s="48" t="n">
        <x:v>45903</x:v>
      </x:c>
      <x:c r="B71" t="n">
        <x:v>4</x:v>
      </x:c>
      <x:c r="C71" t="str">
        <x:v>A6</x:v>
      </x:c>
      <x:c r="D71" t="str">
        <x:v>Edifício Santa Casa da Misericórdia</x:v>
      </x:c>
      <x:c r="E71" s="66" t="n">
        <x:v>5005.4051</x:v>
      </x:c>
      <x:c r="F71" s="66" t="n">
        <x:v>5054.5767</x:v>
      </x:c>
      <x:c r="G71" s="66" t="n">
        <x:v>58.647</x:v>
      </x:c>
      <x:c r="H71" s="66" t="n">
        <x:v>5005.4092</x:v>
      </x:c>
      <x:c r="I71" s="66" t="n">
        <x:v>5054.5726</x:v>
      </x:c>
      <x:c r="J71" s="66" t="n">
        <x:v>58.6435</x:v>
      </x:c>
      <x:c r="K71" s="50" t="n">
        <x:v>1.9</x:v>
      </x:c>
      <x:c r="L71" s="50" t="n">
        <x:v>0.2</x:v>
      </x:c>
      <x:c r="M71" s="50" t="n">
        <x:v>-0.5</x:v>
      </x:c>
      <x:c r="N71" s="50" t="n">
        <x:v>4.1</x:v>
      </x:c>
      <x:c r="O71" s="50" t="n">
        <x:v>-4.1</x:v>
      </x:c>
      <x:c r="P71" s="50" t="n">
        <x:v>-3.5</x:v>
      </x:c>
      <x:c r="Q71" s="50" t="n">
        <x:f>IF(COUNT(N71:O71)&lt;2,"",SQRT(N71^2+O71^2))</x:f>
        <x:v>5.79827560572969</x:v>
      </x:c>
      <x:c r="R71" t="str">
        <x:f>IF(COUNT(H71:P71)=0,"Sem leitura",IF(ISNUMBER(SEARCH("Escavação",D71)),IF(OR(Q71&gt;=40,ABS(P71)&gt;=15),"Alarme",IF(OR(Q71&gt;=IF(OR(ISNUMBER(SEARCH("Alçado AB",D71)),ISNUMBER(SEARCH("Alçado CD",D71)),ISNUMBER(SEARCH("Alçado BF",D71)),ISNUMBER(SEARCH("Alçado PQ",D71))),20,30),ABS(P71)&gt;=10),"Alerta","Regular")),IF(OR(Q71&gt;=25,ABS(P71)&gt;=20),"Alarme",IF(OR(Q71&gt;=15,ABS(P71)&gt;=10),"Alerta","Regular"))))</x:f>
        <x:v>Regular</x:v>
      </x:c>
      <x:c r="S71" t="str">
        <x:v>RELATÓRIO ALVOS TOPOGRÁFICOS - Empreitada THE EDEN, Estoril_ R04_03-09-25(1).pdf</x:v>
      </x:c>
      <x:c r="T71" t="n">
        <x:v>12</x:v>
      </x:c>
    </x:row>
    <x:row r="72">
      <x:c r="A72" s="48" t="n">
        <x:v>45903</x:v>
      </x:c>
      <x:c r="B72" t="n">
        <x:v>4</x:v>
      </x:c>
      <x:c r="C72" t="str">
        <x:v>A7</x:v>
      </x:c>
      <x:c r="D72" t="str">
        <x:v>Edifício Santa Casa da Misericórdia</x:v>
      </x:c>
      <x:c r="E72" s="66" t="n">
        <x:v>5005.8755</x:v>
      </x:c>
      <x:c r="F72" s="66" t="n">
        <x:v>5063.3174</x:v>
      </x:c>
      <x:c r="G72" s="66" t="n">
        <x:v>60.4811</x:v>
      </x:c>
      <x:c r="H72" s="66" t="n">
        <x:v>5005.8762</x:v>
      </x:c>
      <x:c r="I72" s="66" t="n">
        <x:v>5063.3154</x:v>
      </x:c>
      <x:c r="J72" s="66" t="n">
        <x:v>60.48</x:v>
      </x:c>
      <x:c r="K72" s="50" t="n">
        <x:v>0.4</x:v>
      </x:c>
      <x:c r="L72" s="50" t="n">
        <x:v>-0.2</x:v>
      </x:c>
      <x:c r="M72" s="50" t="n">
        <x:v>-0.1</x:v>
      </x:c>
      <x:c r="N72" s="50" t="n">
        <x:v>0.7</x:v>
      </x:c>
      <x:c r="O72" s="50" t="n">
        <x:v>-2</x:v>
      </x:c>
      <x:c r="P72" s="50" t="n">
        <x:v>-1.1</x:v>
      </x:c>
      <x:c r="Q72" s="50" t="n">
        <x:f>IF(COUNT(N72:O72)&lt;2,"",SQRT(N72^2+O72^2))</x:f>
        <x:v>2.118962010041709</x:v>
      </x:c>
      <x:c r="R72" t="str">
        <x:f>IF(COUNT(H72:P72)=0,"Sem leitura",IF(ISNUMBER(SEARCH("Escavação",D72)),IF(OR(Q72&gt;=40,ABS(P72)&gt;=15),"Alarme",IF(OR(Q72&gt;=IF(OR(ISNUMBER(SEARCH("Alçado AB",D72)),ISNUMBER(SEARCH("Alçado CD",D72)),ISNUMBER(SEARCH("Alçado BF",D72)),ISNUMBER(SEARCH("Alçado PQ",D72))),20,30),ABS(P72)&gt;=10),"Alerta","Regular")),IF(OR(Q72&gt;=25,ABS(P72)&gt;=20),"Alarme",IF(OR(Q72&gt;=15,ABS(P72)&gt;=10),"Alerta","Regular"))))</x:f>
        <x:v>Regular</x:v>
      </x:c>
      <x:c r="S72" t="str">
        <x:v>RELATÓRIO ALVOS TOPOGRÁFICOS - Empreitada THE EDEN, Estoril_ R04_03-09-25(1).pdf</x:v>
      </x:c>
      <x:c r="T72" t="n">
        <x:v>12</x:v>
      </x:c>
    </x:row>
    <x:row r="73">
      <x:c r="A73" s="48" t="n">
        <x:v>45903</x:v>
      </x:c>
      <x:c r="B73" t="n">
        <x:v>4</x:v>
      </x:c>
      <x:c r="C73" t="str">
        <x:v>A8</x:v>
      </x:c>
      <x:c r="D73" t="str">
        <x:v>Edifício Santa Casa da Misericórdia</x:v>
      </x:c>
      <x:c r="E73" s="66" t="n">
        <x:v>5005.8839</x:v>
      </x:c>
      <x:c r="F73" s="66" t="n">
        <x:v>5063.7008</x:v>
      </x:c>
      <x:c r="G73" s="66" t="n">
        <x:v>59.3293</x:v>
      </x:c>
      <x:c r="H73" s="66" t="n">
        <x:v>5005.8835</x:v>
      </x:c>
      <x:c r="I73" s="66" t="n">
        <x:v>5063.6987</x:v>
      </x:c>
      <x:c r="J73" s="66" t="n">
        <x:v>59.3289</x:v>
      </x:c>
      <x:c r="K73" s="50" t="n">
        <x:v>0.8</x:v>
      </x:c>
      <x:c r="L73" s="50" t="n">
        <x:v>-0.7</x:v>
      </x:c>
      <x:c r="M73" s="50" t="n">
        <x:v>0.5</x:v>
      </x:c>
      <x:c r="N73" s="50" t="n">
        <x:v>-0.4</x:v>
      </x:c>
      <x:c r="O73" s="50" t="n">
        <x:v>-2.1</x:v>
      </x:c>
      <x:c r="P73" s="50" t="n">
        <x:v>-0.4</x:v>
      </x:c>
      <x:c r="Q73" s="50" t="n">
        <x:f>IF(COUNT(N73:O73)&lt;2,"",SQRT(N73^2+O73^2))</x:f>
        <x:v>2.137755832643195</x:v>
      </x:c>
      <x:c r="R73" t="str">
        <x:f>IF(COUNT(H73:P73)=0,"Sem leitura",IF(ISNUMBER(SEARCH("Escavação",D73)),IF(OR(Q73&gt;=40,ABS(P73)&gt;=15),"Alarme",IF(OR(Q73&gt;=IF(OR(ISNUMBER(SEARCH("Alçado AB",D73)),ISNUMBER(SEARCH("Alçado CD",D73)),ISNUMBER(SEARCH("Alçado BF",D73)),ISNUMBER(SEARCH("Alçado PQ",D73))),20,30),ABS(P73)&gt;=10),"Alerta","Regular")),IF(OR(Q73&gt;=25,ABS(P73)&gt;=20),"Alarme",IF(OR(Q73&gt;=15,ABS(P73)&gt;=10),"Alerta","Regular"))))</x:f>
        <x:v>Regular</x:v>
      </x:c>
      <x:c r="S73" t="str">
        <x:v>RELATÓRIO ALVOS TOPOGRÁFICOS - Empreitada THE EDEN, Estoril_ R04_03-09-25(1).pdf</x:v>
      </x:c>
      <x:c r="T73" t="n">
        <x:v>12</x:v>
      </x:c>
    </x:row>
    <x:row r="74">
      <x:c r="A74" s="48" t="n">
        <x:v>45903</x:v>
      </x:c>
      <x:c r="B74" t="n">
        <x:v>4</x:v>
      </x:c>
      <x:c r="C74" t="str">
        <x:v>B1</x:v>
      </x:c>
      <x:c r="D74" t="str">
        <x:v>Restaurante Cimas</x:v>
      </x:c>
      <x:c r="E74" s="66" t="n">
        <x:v>5055.3705</x:v>
      </x:c>
      <x:c r="F74" s="66" t="n">
        <x:v>5037.6908</x:v>
      </x:c>
      <x:c r="G74" s="66" t="n">
        <x:v>55.8345</x:v>
      </x:c>
      <x:c r="H74" s="66" t="n">
        <x:v>5055.3683</x:v>
      </x:c>
      <x:c r="I74" s="66" t="n">
        <x:v>5037.6917</x:v>
      </x:c>
      <x:c r="J74" s="66" t="n">
        <x:v>55.8355</x:v>
      </x:c>
      <x:c r="K74" s="50" t="n">
        <x:v>-0.5</x:v>
      </x:c>
      <x:c r="L74" s="50" t="n">
        <x:v>0.8</x:v>
      </x:c>
      <x:c r="M74" s="50" t="n">
        <x:v>0</x:v>
      </x:c>
      <x:c r="N74" s="50" t="n">
        <x:v>-2.2</x:v>
      </x:c>
      <x:c r="O74" s="50" t="n">
        <x:v>0.9</x:v>
      </x:c>
      <x:c r="P74" s="50" t="n">
        <x:v>1</x:v>
      </x:c>
      <x:c r="Q74" s="50" t="n">
        <x:f>IF(COUNT(N74:O74)&lt;2,"",SQRT(N74^2+O74^2))</x:f>
        <x:v>2.3769728648009427</x:v>
      </x:c>
      <x:c r="R74" t="str">
        <x:f>IF(COUNT(H74:P74)=0,"Sem leitura",IF(ISNUMBER(SEARCH("Escavação",D74)),IF(OR(Q74&gt;=40,ABS(P74)&gt;=15),"Alarme",IF(OR(Q74&gt;=IF(OR(ISNUMBER(SEARCH("Alçado AB",D74)),ISNUMBER(SEARCH("Alçado CD",D74)),ISNUMBER(SEARCH("Alçado BF",D74)),ISNUMBER(SEARCH("Alçado PQ",D74))),20,30),ABS(P74)&gt;=10),"Alerta","Regular")),IF(OR(Q74&gt;=25,ABS(P74)&gt;=20),"Alarme",IF(OR(Q74&gt;=15,ABS(P74)&gt;=10),"Alerta","Regular"))))</x:f>
        <x:v>Regular</x:v>
      </x:c>
      <x:c r="S74" t="str">
        <x:v>RELATÓRIO ALVOS TOPOGRÁFICOS - Empreitada THE EDEN, Estoril_ R04_03-09-25(1).pdf</x:v>
      </x:c>
      <x:c r="T74" t="n">
        <x:v>12</x:v>
      </x:c>
    </x:row>
    <x:row r="75">
      <x:c r="A75" s="48" t="n">
        <x:v>45903</x:v>
      </x:c>
      <x:c r="B75" t="n">
        <x:v>4</x:v>
      </x:c>
      <x:c r="C75" t="str">
        <x:v>B2</x:v>
      </x:c>
      <x:c r="D75" t="str">
        <x:v>Restaurante Cimas</x:v>
      </x:c>
      <x:c r="E75" s="66" t="n">
        <x:v>5055.3611</x:v>
      </x:c>
      <x:c r="F75" s="66" t="n">
        <x:v>5037.652</x:v>
      </x:c>
      <x:c r="G75" s="66" t="n">
        <x:v>53.9202</x:v>
      </x:c>
      <x:c r="H75" s="66" t="n">
        <x:v>5055.3604</x:v>
      </x:c>
      <x:c r="I75" s="66" t="n">
        <x:v>5037.6506</x:v>
      </x:c>
      <x:c r="J75" s="66" t="n">
        <x:v>53.9225</x:v>
      </x:c>
      <x:c r="K75" s="50" t="n">
        <x:v>-0.4</x:v>
      </x:c>
      <x:c r="L75" s="50" t="n">
        <x:v>-0.5</x:v>
      </x:c>
      <x:c r="M75" s="50" t="n">
        <x:v>0.6</x:v>
      </x:c>
      <x:c r="N75" s="50" t="n">
        <x:v>-0.7</x:v>
      </x:c>
      <x:c r="O75" s="50" t="n">
        <x:v>-1.4</x:v>
      </x:c>
      <x:c r="P75" s="50" t="n">
        <x:v>2.3</x:v>
      </x:c>
      <x:c r="Q75" s="50" t="n">
        <x:f>IF(COUNT(N75:O75)&lt;2,"",SQRT(N75^2+O75^2))</x:f>
        <x:v>1.5652475842498528</x:v>
      </x:c>
      <x:c r="R75" t="str">
        <x:f>IF(COUNT(H75:P75)=0,"Sem leitura",IF(ISNUMBER(SEARCH("Escavação",D75)),IF(OR(Q75&gt;=40,ABS(P75)&gt;=15),"Alarme",IF(OR(Q75&gt;=IF(OR(ISNUMBER(SEARCH("Alçado AB",D75)),ISNUMBER(SEARCH("Alçado CD",D75)),ISNUMBER(SEARCH("Alçado BF",D75)),ISNUMBER(SEARCH("Alçado PQ",D75))),20,30),ABS(P75)&gt;=10),"Alerta","Regular")),IF(OR(Q75&gt;=25,ABS(P75)&gt;=20),"Alarme",IF(OR(Q75&gt;=15,ABS(P75)&gt;=10),"Alerta","Regular"))))</x:f>
        <x:v>Regular</x:v>
      </x:c>
      <x:c r="S75" t="str">
        <x:v>RELATÓRIO ALVOS TOPOGRÁFICOS - Empreitada THE EDEN, Estoril_ R04_03-09-25(1).pdf</x:v>
      </x:c>
      <x:c r="T75" t="n">
        <x:v>12</x:v>
      </x:c>
    </x:row>
    <x:row r="76">
      <x:c r="A76" s="48" t="n">
        <x:v>45903</x:v>
      </x:c>
      <x:c r="B76" t="n">
        <x:v>4</x:v>
      </x:c>
      <x:c r="C76" t="str">
        <x:v>B3</x:v>
      </x:c>
      <x:c r="D76" t="str">
        <x:v>Restaurante Cimas</x:v>
      </x:c>
      <x:c r="E76" s="66" t="n">
        <x:v>5053.1267</x:v>
      </x:c>
      <x:c r="F76" s="66" t="n">
        <x:v>5028.5694</x:v>
      </x:c>
      <x:c r="G76" s="66" t="n">
        <x:v>55.8769</x:v>
      </x:c>
      <x:c r="H76" s="66" t="n">
        <x:v>5053.1253</x:v>
      </x:c>
      <x:c r="I76" s="66" t="n">
        <x:v>5028.5713</x:v>
      </x:c>
      <x:c r="J76" s="66" t="n">
        <x:v>55.8778</x:v>
      </x:c>
      <x:c r="K76" s="50" t="n">
        <x:v>-0.4</x:v>
      </x:c>
      <x:c r="L76" s="50" t="n">
        <x:v>0</x:v>
      </x:c>
      <x:c r="M76" s="50" t="n">
        <x:v>0.2</x:v>
      </x:c>
      <x:c r="N76" s="50" t="n">
        <x:v>-1.4</x:v>
      </x:c>
      <x:c r="O76" s="50" t="n">
        <x:v>1.9</x:v>
      </x:c>
      <x:c r="P76" s="50" t="n">
        <x:v>0.9</x:v>
      </x:c>
      <x:c r="Q76" s="50" t="n">
        <x:f>IF(COUNT(N76:O76)&lt;2,"",SQRT(N76^2+O76^2))</x:f>
        <x:v>2.360084744241189</x:v>
      </x:c>
      <x:c r="R76" t="str">
        <x:f>IF(COUNT(H76:P76)=0,"Sem leitura",IF(ISNUMBER(SEARCH("Escavação",D76)),IF(OR(Q76&gt;=40,ABS(P76)&gt;=15),"Alarme",IF(OR(Q76&gt;=IF(OR(ISNUMBER(SEARCH("Alçado AB",D76)),ISNUMBER(SEARCH("Alçado CD",D76)),ISNUMBER(SEARCH("Alçado BF",D76)),ISNUMBER(SEARCH("Alçado PQ",D76))),20,30),ABS(P76)&gt;=10),"Alerta","Regular")),IF(OR(Q76&gt;=25,ABS(P76)&gt;=20),"Alarme",IF(OR(Q76&gt;=15,ABS(P76)&gt;=10),"Alerta","Regular"))))</x:f>
        <x:v>Regular</x:v>
      </x:c>
      <x:c r="S76" t="str">
        <x:v>RELATÓRIO ALVOS TOPOGRÁFICOS - Empreitada THE EDEN, Estoril_ R04_03-09-25(1).pdf</x:v>
      </x:c>
      <x:c r="T76" t="n">
        <x:v>12</x:v>
      </x:c>
    </x:row>
    <x:row r="77">
      <x:c r="A77" s="48" t="n">
        <x:v>45903</x:v>
      </x:c>
      <x:c r="B77" t="n">
        <x:v>4</x:v>
      </x:c>
      <x:c r="C77" t="str">
        <x:v>B4</x:v>
      </x:c>
      <x:c r="D77" t="str">
        <x:v>Restaurante Cimas</x:v>
      </x:c>
      <x:c r="E77" s="66" t="n">
        <x:v>5053.123</x:v>
      </x:c>
      <x:c r="F77" s="66" t="n">
        <x:v>5028.5786</x:v>
      </x:c>
      <x:c r="G77" s="66" t="n">
        <x:v>54.1591</x:v>
      </x:c>
      <x:c r="H77" s="66" t="n">
        <x:v>5053.1214</x:v>
      </x:c>
      <x:c r="I77" s="66" t="n">
        <x:v>5028.5798</x:v>
      </x:c>
      <x:c r="J77" s="66" t="n">
        <x:v>54.1601</x:v>
      </x:c>
      <x:c r="K77" s="50" t="n">
        <x:v>-0.5</x:v>
      </x:c>
      <x:c r="L77" s="50" t="n">
        <x:v>0</x:v>
      </x:c>
      <x:c r="M77" s="50" t="n">
        <x:v>0.1</x:v>
      </x:c>
      <x:c r="N77" s="50" t="n">
        <x:v>-1.6</x:v>
      </x:c>
      <x:c r="O77" s="50" t="n">
        <x:v>1.2</x:v>
      </x:c>
      <x:c r="P77" s="50" t="n">
        <x:v>1</x:v>
      </x:c>
      <x:c r="Q77" s="50" t="n">
        <x:f>IF(COUNT(N77:O77)&lt;2,"",SQRT(N77^2+O77^2))</x:f>
        <x:v>2</x:v>
      </x:c>
      <x:c r="R77" t="str">
        <x:f>IF(COUNT(H77:P77)=0,"Sem leitura",IF(ISNUMBER(SEARCH("Escavação",D77)),IF(OR(Q77&gt;=40,ABS(P77)&gt;=15),"Alarme",IF(OR(Q77&gt;=IF(OR(ISNUMBER(SEARCH("Alçado AB",D77)),ISNUMBER(SEARCH("Alçado CD",D77)),ISNUMBER(SEARCH("Alçado BF",D77)),ISNUMBER(SEARCH("Alçado PQ",D77))),20,30),ABS(P77)&gt;=10),"Alerta","Regular")),IF(OR(Q77&gt;=25,ABS(P77)&gt;=20),"Alarme",IF(OR(Q77&gt;=15,ABS(P77)&gt;=10),"Alerta","Regular"))))</x:f>
        <x:v>Regular</x:v>
      </x:c>
      <x:c r="S77" t="str">
        <x:v>RELATÓRIO ALVOS TOPOGRÁFICOS - Empreitada THE EDEN, Estoril_ R04_03-09-25(1).pdf</x:v>
      </x:c>
      <x:c r="T77" t="n">
        <x:v>12</x:v>
      </x:c>
    </x:row>
    <x:row r="78">
      <x:c r="A78" s="48" t="n">
        <x:v>45903</x:v>
      </x:c>
      <x:c r="B78" t="n">
        <x:v>4</x:v>
      </x:c>
      <x:c r="C78" t="str">
        <x:v>C1</x:v>
      </x:c>
      <x:c r="D78" t="str">
        <x:v>Clínica Abreu Loureiro</x:v>
      </x:c>
      <x:c r="E78" s="66" t="n">
        <x:v>5051.1407</x:v>
      </x:c>
      <x:c r="F78" s="66" t="n">
        <x:v>5062.3237</x:v>
      </x:c>
      <x:c r="G78" s="66" t="n">
        <x:v>63.0014</x:v>
      </x:c>
      <x:c r="H78" s="66" t="n">
        <x:v>5051.141</x:v>
      </x:c>
      <x:c r="I78" s="66" t="n">
        <x:v>5062.3229</x:v>
      </x:c>
      <x:c r="J78" s="66" t="n">
        <x:v>63.0012</x:v>
      </x:c>
      <x:c r="K78" s="50" t="n">
        <x:v>-1</x:v>
      </x:c>
      <x:c r="L78" s="50" t="n">
        <x:v>-0.5</x:v>
      </x:c>
      <x:c r="M78" s="50" t="n">
        <x:v>0.6</x:v>
      </x:c>
      <x:c r="N78" s="50" t="n">
        <x:v>0.3</x:v>
      </x:c>
      <x:c r="O78" s="50" t="n">
        <x:v>-0.8</x:v>
      </x:c>
      <x:c r="P78" s="50" t="n">
        <x:v>-0.2</x:v>
      </x:c>
      <x:c r="Q78" s="50" t="n">
        <x:f>IF(COUNT(N78:O78)&lt;2,"",SQRT(N78^2+O78^2))</x:f>
        <x:v>0.8544003745317532</x:v>
      </x:c>
      <x:c r="R78" t="str">
        <x:f>IF(COUNT(H78:P78)=0,"Sem leitura",IF(ISNUMBER(SEARCH("Escavação",D78)),IF(OR(Q78&gt;=40,ABS(P78)&gt;=15),"Alarme",IF(OR(Q78&gt;=IF(OR(ISNUMBER(SEARCH("Alçado AB",D78)),ISNUMBER(SEARCH("Alçado CD",D78)),ISNUMBER(SEARCH("Alçado BF",D78)),ISNUMBER(SEARCH("Alçado PQ",D78))),20,30),ABS(P78)&gt;=10),"Alerta","Regular")),IF(OR(Q78&gt;=25,ABS(P78)&gt;=20),"Alarme",IF(OR(Q78&gt;=15,ABS(P78)&gt;=10),"Alerta","Regular"))))</x:f>
        <x:v>Regular</x:v>
      </x:c>
      <x:c r="S78" t="str">
        <x:v>RELATÓRIO ALVOS TOPOGRÁFICOS - Empreitada THE EDEN, Estoril_ R04_03-09-25(1).pdf</x:v>
      </x:c>
      <x:c r="T78" t="n">
        <x:v>12</x:v>
      </x:c>
    </x:row>
    <x:row r="79">
      <x:c r="A79" s="48" t="n">
        <x:v>45903</x:v>
      </x:c>
      <x:c r="B79" t="n">
        <x:v>4</x:v>
      </x:c>
      <x:c r="C79" t="str">
        <x:v>C2</x:v>
      </x:c>
      <x:c r="D79" t="str">
        <x:v>Clínica Abreu Loureiro</x:v>
      </x:c>
      <x:c r="E79" s="66" t="n">
        <x:v>5051.0086</x:v>
      </x:c>
      <x:c r="F79" s="66" t="n">
        <x:v>5062.4334</x:v>
      </x:c>
      <x:c r="G79" s="66" t="n">
        <x:v>56.898</x:v>
      </x:c>
      <x:c r="H79" s="66" t="n">
        <x:v>5051.0076</x:v>
      </x:c>
      <x:c r="I79" s="66" t="n">
        <x:v>5062.433</x:v>
      </x:c>
      <x:c r="J79" s="66" t="n">
        <x:v>56.8971</x:v>
      </x:c>
      <x:c r="K79" s="50" t="n">
        <x:v>0.5</x:v>
      </x:c>
      <x:c r="L79" s="50" t="n">
        <x:v>0.7</x:v>
      </x:c>
      <x:c r="M79" s="50" t="n">
        <x:v>0.1</x:v>
      </x:c>
      <x:c r="N79" s="50" t="n">
        <x:v>-1</x:v>
      </x:c>
      <x:c r="O79" s="50" t="n">
        <x:v>-0.4</x:v>
      </x:c>
      <x:c r="P79" s="50" t="n">
        <x:v>-0.9</x:v>
      </x:c>
      <x:c r="Q79" s="50" t="n">
        <x:f>IF(COUNT(N79:O79)&lt;2,"",SQRT(N79^2+O79^2))</x:f>
        <x:v>1.077032961426901</x:v>
      </x:c>
      <x:c r="R79" t="str">
        <x:f>IF(COUNT(H79:P79)=0,"Sem leitura",IF(ISNUMBER(SEARCH("Escavação",D79)),IF(OR(Q79&gt;=40,ABS(P79)&gt;=15),"Alarme",IF(OR(Q79&gt;=IF(OR(ISNUMBER(SEARCH("Alçado AB",D79)),ISNUMBER(SEARCH("Alçado CD",D79)),ISNUMBER(SEARCH("Alçado BF",D79)),ISNUMBER(SEARCH("Alçado PQ",D79))),20,30),ABS(P79)&gt;=10),"Alerta","Regular")),IF(OR(Q79&gt;=25,ABS(P79)&gt;=20),"Alarme",IF(OR(Q79&gt;=15,ABS(P79)&gt;=10),"Alerta","Regular"))))</x:f>
        <x:v>Regular</x:v>
      </x:c>
      <x:c r="S79" t="str">
        <x:v>RELATÓRIO ALVOS TOPOGRÁFICOS - Empreitada THE EDEN, Estoril_ R04_03-09-25(1).pdf</x:v>
      </x:c>
      <x:c r="T79" t="n">
        <x:v>12</x:v>
      </x:c>
    </x:row>
    <x:row r="80">
      <x:c r="A80" s="48" t="n">
        <x:v>45903</x:v>
      </x:c>
      <x:c r="B80" t="n">
        <x:v>4</x:v>
      </x:c>
      <x:c r="C80" t="str">
        <x:v>C3</x:v>
      </x:c>
      <x:c r="D80" t="str">
        <x:v>Clínica Abreu Loureiro</x:v>
      </x:c>
      <x:c r="E80" s="66" t="n">
        <x:v>5058.5259</x:v>
      </x:c>
      <x:c r="F80" s="66" t="n">
        <x:v>5053.176</x:v>
      </x:c>
      <x:c r="G80" s="66" t="n">
        <x:v>63.5252</x:v>
      </x:c>
      <x:c r="H80" s="66" t="n">
        <x:v>5058.5279</x:v>
      </x:c>
      <x:c r="I80" s="66" t="n">
        <x:v>5053.1758</x:v>
      </x:c>
      <x:c r="J80" s="66" t="n">
        <x:v>63.5251</x:v>
      </x:c>
      <x:c r="K80" s="50" t="n">
        <x:v>0.1</x:v>
      </x:c>
      <x:c r="L80" s="50" t="n">
        <x:v>0.3</x:v>
      </x:c>
      <x:c r="M80" s="50" t="n">
        <x:v>0.4</x:v>
      </x:c>
      <x:c r="N80" s="50" t="n">
        <x:v>2</x:v>
      </x:c>
      <x:c r="O80" s="50" t="n">
        <x:v>-0.2</x:v>
      </x:c>
      <x:c r="P80" s="50" t="n">
        <x:v>-0.1</x:v>
      </x:c>
      <x:c r="Q80" s="50" t="n">
        <x:f>IF(COUNT(N80:O80)&lt;2,"",SQRT(N80^2+O80^2))</x:f>
        <x:v>2.009975124224178</x:v>
      </x:c>
      <x:c r="R80" t="str">
        <x:f>IF(COUNT(H80:P80)=0,"Sem leitura",IF(ISNUMBER(SEARCH("Escavação",D80)),IF(OR(Q80&gt;=40,ABS(P80)&gt;=15),"Alarme",IF(OR(Q80&gt;=IF(OR(ISNUMBER(SEARCH("Alçado AB",D80)),ISNUMBER(SEARCH("Alçado CD",D80)),ISNUMBER(SEARCH("Alçado BF",D80)),ISNUMBER(SEARCH("Alçado PQ",D80))),20,30),ABS(P80)&gt;=10),"Alerta","Regular")),IF(OR(Q80&gt;=25,ABS(P80)&gt;=20),"Alarme",IF(OR(Q80&gt;=15,ABS(P80)&gt;=10),"Alerta","Regular"))))</x:f>
        <x:v>Regular</x:v>
      </x:c>
      <x:c r="S80" t="str">
        <x:v>RELATÓRIO ALVOS TOPOGRÁFICOS - Empreitada THE EDEN, Estoril_ R04_03-09-25(1).pdf</x:v>
      </x:c>
      <x:c r="T80" t="n">
        <x:v>12</x:v>
      </x:c>
    </x:row>
    <x:row r="81">
      <x:c r="A81" s="48" t="n">
        <x:v>45903</x:v>
      </x:c>
      <x:c r="B81" t="n">
        <x:v>4</x:v>
      </x:c>
      <x:c r="C81" t="str">
        <x:v>C4</x:v>
      </x:c>
      <x:c r="D81" t="str">
        <x:v>Clínica Abreu Loureiro</x:v>
      </x:c>
      <x:c r="E81" s="66" t="n">
        <x:v>5060.2733</x:v>
      </x:c>
      <x:c r="F81" s="66" t="n">
        <x:v>5059.0944</x:v>
      </x:c>
      <x:c r="G81" s="66" t="n">
        <x:v>58.7943</x:v>
      </x:c>
      <x:c r="H81" s="66" t="n">
        <x:v>5060.2732</x:v>
      </x:c>
      <x:c r="I81" s="66" t="n">
        <x:v>5059.0944</x:v>
      </x:c>
      <x:c r="J81" s="66" t="n">
        <x:v>58.7928</x:v>
      </x:c>
      <x:c r="K81" s="50" t="n">
        <x:v>-0.6</x:v>
      </x:c>
      <x:c r="L81" s="50" t="n">
        <x:v>0</x:v>
      </x:c>
      <x:c r="M81" s="50" t="n">
        <x:v>-0.4</x:v>
      </x:c>
      <x:c r="N81" s="50" t="n">
        <x:v>-0.1</x:v>
      </x:c>
      <x:c r="O81" s="50" t="n">
        <x:v>0</x:v>
      </x:c>
      <x:c r="P81" s="50" t="n">
        <x:v>-1.5</x:v>
      </x:c>
      <x:c r="Q81" s="50" t="n">
        <x:f>IF(COUNT(N81:O81)&lt;2,"",SQRT(N81^2+O81^2))</x:f>
        <x:v>0.1</x:v>
      </x:c>
      <x:c r="R81" t="str">
        <x:f>IF(COUNT(H81:P81)=0,"Sem leitura",IF(ISNUMBER(SEARCH("Escavação",D81)),IF(OR(Q81&gt;=40,ABS(P81)&gt;=15),"Alarme",IF(OR(Q81&gt;=IF(OR(ISNUMBER(SEARCH("Alçado AB",D81)),ISNUMBER(SEARCH("Alçado CD",D81)),ISNUMBER(SEARCH("Alçado BF",D81)),ISNUMBER(SEARCH("Alçado PQ",D81))),20,30),ABS(P81)&gt;=10),"Alerta","Regular")),IF(OR(Q81&gt;=25,ABS(P81)&gt;=20),"Alarme",IF(OR(Q81&gt;=15,ABS(P81)&gt;=10),"Alerta","Regular"))))</x:f>
        <x:v>Regular</x:v>
      </x:c>
      <x:c r="S81" t="str">
        <x:v>RELATÓRIO ALVOS TOPOGRÁFICOS - Empreitada THE EDEN, Estoril_ R04_03-09-25(1).pdf</x:v>
      </x:c>
      <x:c r="T81" t="n">
        <x:v>12</x:v>
      </x:c>
    </x:row>
    <x:row r="82">
      <x:c r="A82" s="48" t="n">
        <x:v>45930</x:v>
      </x:c>
      <x:c r="B82" t="n">
        <x:v>5</x:v>
      </x:c>
      <x:c r="C82" t="str">
        <x:v>C1</x:v>
      </x:c>
      <x:c r="D82" t="str">
        <x:v>Clínica Abreu Loureiro</x:v>
      </x:c>
      <x:c r="E82" s="66" t="n">
        <x:v>5051.1407</x:v>
      </x:c>
      <x:c r="F82" s="66" t="n">
        <x:v>5062.3237</x:v>
      </x:c>
      <x:c r="G82" s="66" t="n">
        <x:v>63.0014</x:v>
      </x:c>
      <x:c r="H82" s="66" t="n">
        <x:v>5051.1419</x:v>
      </x:c>
      <x:c r="I82" s="66" t="n">
        <x:v>5062.3237</x:v>
      </x:c>
      <x:c r="J82" s="66" t="n">
        <x:v>63.0021</x:v>
      </x:c>
      <x:c r="K82" s="50" t="n">
        <x:v>0.9</x:v>
      </x:c>
      <x:c r="L82" s="50" t="n">
        <x:v>0.8</x:v>
      </x:c>
      <x:c r="M82" s="50" t="n">
        <x:v>0.9</x:v>
      </x:c>
      <x:c r="N82" s="50" t="n">
        <x:v>1.2</x:v>
      </x:c>
      <x:c r="O82" s="50" t="n">
        <x:v>0</x:v>
      </x:c>
      <x:c r="P82" s="50" t="n">
        <x:v>0.7</x:v>
      </x:c>
      <x:c r="Q82" s="50" t="n">
        <x:f>IF(COUNT(N82:O82)&lt;2,"",SQRT(N82^2+O82^2))</x:f>
        <x:v>1.2</x:v>
      </x:c>
      <x:c r="R82" t="str">
        <x:f>IF(COUNT(H82:P82)=0,"Sem leitura",IF(ISNUMBER(SEARCH("Escavação",D82)),IF(OR(Q82&gt;=40,ABS(P82)&gt;=15),"Alarme",IF(OR(Q82&gt;=IF(OR(ISNUMBER(SEARCH("Alçado AB",D82)),ISNUMBER(SEARCH("Alçado CD",D82)),ISNUMBER(SEARCH("Alçado BF",D82)),ISNUMBER(SEARCH("Alçado PQ",D82))),20,30),ABS(P82)&gt;=10),"Alerta","Regular")),IF(OR(Q82&gt;=25,ABS(P82)&gt;=20),"Alarme",IF(OR(Q82&gt;=15,ABS(P82)&gt;=10),"Alerta","Regular"))))</x:f>
        <x:v>Regular</x:v>
      </x:c>
      <x:c r="S82" t="str">
        <x:v>RELATÓRIO ALVOS TOPOGRÁFICOS - Empreitada THE EDEN, Estoril_ R09_31-10-25(1).pdf</x:v>
      </x:c>
      <x:c r="T82" t="n">
        <x:v>14</x:v>
      </x:c>
    </x:row>
    <x:row r="83">
      <x:c r="A83" s="48" t="n">
        <x:v>45930</x:v>
      </x:c>
      <x:c r="B83" t="n">
        <x:v>5</x:v>
      </x:c>
      <x:c r="C83" t="str">
        <x:v>C2</x:v>
      </x:c>
      <x:c r="D83" t="str">
        <x:v>Clínica Abreu Loureiro</x:v>
      </x:c>
      <x:c r="E83" s="66" t="n">
        <x:v>5051.0086</x:v>
      </x:c>
      <x:c r="F83" s="66" t="n">
        <x:v>5062.4334</x:v>
      </x:c>
      <x:c r="G83" s="66" t="n">
        <x:v>56.898</x:v>
      </x:c>
      <x:c r="H83" s="66" t="n">
        <x:v>5051.0087</x:v>
      </x:c>
      <x:c r="I83" s="66" t="n">
        <x:v>5062.4335</x:v>
      </x:c>
      <x:c r="J83" s="66" t="n">
        <x:v>56.8978</x:v>
      </x:c>
      <x:c r="K83" s="50" t="n">
        <x:v>1.1</x:v>
      </x:c>
      <x:c r="L83" s="50" t="n">
        <x:v>0.5</x:v>
      </x:c>
      <x:c r="M83" s="50" t="n">
        <x:v>0.7</x:v>
      </x:c>
      <x:c r="N83" s="50" t="n">
        <x:v>0.1</x:v>
      </x:c>
      <x:c r="O83" s="50" t="n">
        <x:v>0.1</x:v>
      </x:c>
      <x:c r="P83" s="50" t="n">
        <x:v>-0.2</x:v>
      </x:c>
      <x:c r="Q83" s="50" t="n">
        <x:f>IF(COUNT(N83:O83)&lt;2,"",SQRT(N83^2+O83^2))</x:f>
        <x:v>0.14142135623730953</x:v>
      </x:c>
      <x:c r="R83" t="str">
        <x:f>IF(COUNT(H83:P83)=0,"Sem leitura",IF(ISNUMBER(SEARCH("Escavação",D83)),IF(OR(Q83&gt;=40,ABS(P83)&gt;=15),"Alarme",IF(OR(Q83&gt;=IF(OR(ISNUMBER(SEARCH("Alçado AB",D83)),ISNUMBER(SEARCH("Alçado CD",D83)),ISNUMBER(SEARCH("Alçado BF",D83)),ISNUMBER(SEARCH("Alçado PQ",D83))),20,30),ABS(P83)&gt;=10),"Alerta","Regular")),IF(OR(Q83&gt;=25,ABS(P83)&gt;=20),"Alarme",IF(OR(Q83&gt;=15,ABS(P83)&gt;=10),"Alerta","Regular"))))</x:f>
        <x:v>Regular</x:v>
      </x:c>
      <x:c r="S83" t="str">
        <x:v>RELATÓRIO ALVOS TOPOGRÁFICOS - Empreitada THE EDEN, Estoril_ R09_31-10-25(1).pdf</x:v>
      </x:c>
      <x:c r="T83" t="n">
        <x:v>14</x:v>
      </x:c>
    </x:row>
    <x:row r="84">
      <x:c r="A84" s="48" t="n">
        <x:v>45930</x:v>
      </x:c>
      <x:c r="B84" t="n">
        <x:v>5</x:v>
      </x:c>
      <x:c r="C84" t="str">
        <x:v>C3</x:v>
      </x:c>
      <x:c r="D84" t="str">
        <x:v>Clínica Abreu Loureiro</x:v>
      </x:c>
      <x:c r="E84" s="66" t="n">
        <x:v>5058.5259</x:v>
      </x:c>
      <x:c r="F84" s="66" t="n">
        <x:v>5053.176</x:v>
      </x:c>
      <x:c r="G84" s="66" t="n">
        <x:v>63.5252</x:v>
      </x:c>
      <x:c r="H84" s="66" t="n">
        <x:v>5058.5256</x:v>
      </x:c>
      <x:c r="I84" s="66" t="n">
        <x:v>5053.176</x:v>
      </x:c>
      <x:c r="J84" s="66" t="n">
        <x:v>63.525</x:v>
      </x:c>
      <x:c r="K84" s="50" t="n">
        <x:v>-2.3</x:v>
      </x:c>
      <x:c r="L84" s="50" t="n">
        <x:v>0.2</x:v>
      </x:c>
      <x:c r="M84" s="50" t="n">
        <x:v>-0.1</x:v>
      </x:c>
      <x:c r="N84" s="50" t="n">
        <x:v>-0.3</x:v>
      </x:c>
      <x:c r="O84" s="50" t="n">
        <x:v>0</x:v>
      </x:c>
      <x:c r="P84" s="50" t="n">
        <x:v>-0.2</x:v>
      </x:c>
      <x:c r="Q84" s="50" t="n">
        <x:f>IF(COUNT(N84:O84)&lt;2,"",SQRT(N84^2+O84^2))</x:f>
        <x:v>0.3</x:v>
      </x:c>
      <x:c r="R84" t="str">
        <x:f>IF(COUNT(H84:P84)=0,"Sem leitura",IF(ISNUMBER(SEARCH("Escavação",D84)),IF(OR(Q84&gt;=40,ABS(P84)&gt;=15),"Alarme",IF(OR(Q84&gt;=IF(OR(ISNUMBER(SEARCH("Alçado AB",D84)),ISNUMBER(SEARCH("Alçado CD",D84)),ISNUMBER(SEARCH("Alçado BF",D84)),ISNUMBER(SEARCH("Alçado PQ",D84))),20,30),ABS(P84)&gt;=10),"Alerta","Regular")),IF(OR(Q84&gt;=25,ABS(P84)&gt;=20),"Alarme",IF(OR(Q84&gt;=15,ABS(P84)&gt;=10),"Alerta","Regular"))))</x:f>
        <x:v>Regular</x:v>
      </x:c>
      <x:c r="S84" t="str">
        <x:v>RELATÓRIO ALVOS TOPOGRÁFICOS - Empreitada THE EDEN, Estoril_ R09_31-10-25(1).pdf</x:v>
      </x:c>
      <x:c r="T84" t="n">
        <x:v>14</x:v>
      </x:c>
    </x:row>
    <x:row r="85">
      <x:c r="A85" s="48" t="n">
        <x:v>45930</x:v>
      </x:c>
      <x:c r="B85" t="n">
        <x:v>5</x:v>
      </x:c>
      <x:c r="C85" t="str">
        <x:v>C4</x:v>
      </x:c>
      <x:c r="D85" t="str">
        <x:v>Clínica Abreu Loureiro</x:v>
      </x:c>
      <x:c r="E85" s="66" t="n">
        <x:v>5060.2733</x:v>
      </x:c>
      <x:c r="F85" s="66" t="n">
        <x:v>5059.0944</x:v>
      </x:c>
      <x:c r="G85" s="66" t="n">
        <x:v>58.7943</x:v>
      </x:c>
      <x:c r="H85" s="66" t="n">
        <x:v>5060.2721</x:v>
      </x:c>
      <x:c r="I85" s="66" t="n">
        <x:v>5059.0945</x:v>
      </x:c>
      <x:c r="J85" s="66" t="n">
        <x:v>58.7936</x:v>
      </x:c>
      <x:c r="K85" s="50" t="n">
        <x:v>-1.1</x:v>
      </x:c>
      <x:c r="L85" s="50" t="n">
        <x:v>0.1</x:v>
      </x:c>
      <x:c r="M85" s="50" t="n">
        <x:v>0.8</x:v>
      </x:c>
      <x:c r="N85" s="50" t="n">
        <x:v>-1.2</x:v>
      </x:c>
      <x:c r="O85" s="50" t="n">
        <x:v>0.1</x:v>
      </x:c>
      <x:c r="P85" s="50" t="n">
        <x:v>-0.7</x:v>
      </x:c>
      <x:c r="Q85" s="50" t="n">
        <x:f>IF(COUNT(N85:O85)&lt;2,"",SQRT(N85^2+O85^2))</x:f>
        <x:v>1.2041594578792296</x:v>
      </x:c>
      <x:c r="R85" t="str">
        <x:f>IF(COUNT(H85:P85)=0,"Sem leitura",IF(ISNUMBER(SEARCH("Escavação",D85)),IF(OR(Q85&gt;=40,ABS(P85)&gt;=15),"Alarme",IF(OR(Q85&gt;=IF(OR(ISNUMBER(SEARCH("Alçado AB",D85)),ISNUMBER(SEARCH("Alçado CD",D85)),ISNUMBER(SEARCH("Alçado BF",D85)),ISNUMBER(SEARCH("Alçado PQ",D85))),20,30),ABS(P85)&gt;=10),"Alerta","Regular")),IF(OR(Q85&gt;=25,ABS(P85)&gt;=20),"Alarme",IF(OR(Q85&gt;=15,ABS(P85)&gt;=10),"Alerta","Regular"))))</x:f>
        <x:v>Regular</x:v>
      </x:c>
      <x:c r="S85" t="str">
        <x:v>RELATÓRIO ALVOS TOPOGRÁFICOS - Empreitada THE EDEN, Estoril_ R09_31-10-25(1).pdf</x:v>
      </x:c>
      <x:c r="T85" t="n">
        <x:v>14</x:v>
      </x:c>
    </x:row>
    <x:row r="86">
      <x:c r="A86" s="48" t="n">
        <x:v>45930</x:v>
      </x:c>
      <x:c r="B86" t="n">
        <x:v>5</x:v>
      </x:c>
      <x:c r="C86" t="str">
        <x:v>A1</x:v>
      </x:c>
      <x:c r="D86" t="str">
        <x:v>Edifício Santa Casa da Misericórdia</x:v>
      </x:c>
      <x:c r="E86" s="66" t="n">
        <x:v>4990.9657</x:v>
      </x:c>
      <x:c r="F86" s="66" t="n">
        <x:v>5053.745</x:v>
      </x:c>
      <x:c r="G86" s="66" t="n">
        <x:v>60.5536</x:v>
      </x:c>
      <x:c r="H86" s="66" t="n">
        <x:v>4990.9661</x:v>
      </x:c>
      <x:c r="I86" s="66" t="n">
        <x:v>5053.7397</x:v>
      </x:c>
      <x:c r="J86" s="66" t="n">
        <x:v>60.5537</x:v>
      </x:c>
      <x:c r="K86" s="50" t="n">
        <x:v>0.9</x:v>
      </x:c>
      <x:c r="L86" s="50" t="n">
        <x:v>-4.2</x:v>
      </x:c>
      <x:c r="M86" s="50" t="n">
        <x:v>1.7</x:v>
      </x:c>
      <x:c r="N86" s="50" t="n">
        <x:v>0.4</x:v>
      </x:c>
      <x:c r="O86" s="50" t="n">
        <x:v>-5.3</x:v>
      </x:c>
      <x:c r="P86" s="50" t="n">
        <x:v>0.1</x:v>
      </x:c>
      <x:c r="Q86" s="50" t="n">
        <x:f>IF(COUNT(N86:O86)&lt;2,"",SQRT(N86^2+O86^2))</x:f>
        <x:v>5.315072906367325</x:v>
      </x:c>
      <x:c r="R86" t="str">
        <x:f>IF(COUNT(H86:P86)=0,"Sem leitura",IF(ISNUMBER(SEARCH("Escavação",D86)),IF(OR(Q86&gt;=40,ABS(P86)&gt;=15),"Alarme",IF(OR(Q86&gt;=IF(OR(ISNUMBER(SEARCH("Alçado AB",D86)),ISNUMBER(SEARCH("Alçado CD",D86)),ISNUMBER(SEARCH("Alçado BF",D86)),ISNUMBER(SEARCH("Alçado PQ",D86))),20,30),ABS(P86)&gt;=10),"Alerta","Regular")),IF(OR(Q86&gt;=25,ABS(P86)&gt;=20),"Alarme",IF(OR(Q86&gt;=15,ABS(P86)&gt;=10),"Alerta","Regular"))))</x:f>
        <x:v>Regular</x:v>
      </x:c>
      <x:c r="S86" t="str">
        <x:v>RELATÓRIO ALVOS TOPOGRÁFICOS - Empreitada THE EDEN, Estoril_ R09_31-10-25(1).pdf</x:v>
      </x:c>
      <x:c r="T86" t="n">
        <x:v>14</x:v>
      </x:c>
    </x:row>
    <x:row r="87">
      <x:c r="A87" s="48" t="n">
        <x:v>45930</x:v>
      </x:c>
      <x:c r="B87" t="n">
        <x:v>5</x:v>
      </x:c>
      <x:c r="C87" t="str">
        <x:v>A2</x:v>
      </x:c>
      <x:c r="D87" t="str">
        <x:v>Edifício Santa Casa da Misericórdia</x:v>
      </x:c>
      <x:c r="E87" s="66" t="n">
        <x:v>4990.9761</x:v>
      </x:c>
      <x:c r="F87" s="66" t="n">
        <x:v>5053.7455</x:v>
      </x:c>
      <x:c r="G87" s="66" t="n">
        <x:v>59.0952</x:v>
      </x:c>
      <x:c r="H87" s="66" t="n">
        <x:v>4990.9758</x:v>
      </x:c>
      <x:c r="I87" s="66" t="n">
        <x:v>5053.7409</x:v>
      </x:c>
      <x:c r="J87" s="66" t="n">
        <x:v>59.0968</x:v>
      </x:c>
      <x:c r="K87" s="50" t="n">
        <x:v>-1</x:v>
      </x:c>
      <x:c r="L87" s="50" t="n">
        <x:v>-1.8</x:v>
      </x:c>
      <x:c r="M87" s="50" t="n">
        <x:v>1.7</x:v>
      </x:c>
      <x:c r="N87" s="50" t="n">
        <x:v>-0.3</x:v>
      </x:c>
      <x:c r="O87" s="50" t="n">
        <x:v>-4.6</x:v>
      </x:c>
      <x:c r="P87" s="50" t="n">
        <x:v>1.6</x:v>
      </x:c>
      <x:c r="Q87" s="50" t="n">
        <x:f>IF(COUNT(N87:O87)&lt;2,"",SQRT(N87^2+O87^2))</x:f>
        <x:v>4.6097722286464435</x:v>
      </x:c>
      <x:c r="R87" t="str">
        <x:f>IF(COUNT(H87:P87)=0,"Sem leitura",IF(ISNUMBER(SEARCH("Escavação",D87)),IF(OR(Q87&gt;=40,ABS(P87)&gt;=15),"Alarme",IF(OR(Q87&gt;=IF(OR(ISNUMBER(SEARCH("Alçado AB",D87)),ISNUMBER(SEARCH("Alçado CD",D87)),ISNUMBER(SEARCH("Alçado BF",D87)),ISNUMBER(SEARCH("Alçado PQ",D87))),20,30),ABS(P87)&gt;=10),"Alerta","Regular")),IF(OR(Q87&gt;=25,ABS(P87)&gt;=20),"Alarme",IF(OR(Q87&gt;=15,ABS(P87)&gt;=10),"Alerta","Regular"))))</x:f>
        <x:v>Regular</x:v>
      </x:c>
      <x:c r="S87" t="str">
        <x:v>RELATÓRIO ALVOS TOPOGRÁFICOS - Empreitada THE EDEN, Estoril_ R09_31-10-25(1).pdf</x:v>
      </x:c>
      <x:c r="T87" t="n">
        <x:v>14</x:v>
      </x:c>
    </x:row>
    <x:row r="88">
      <x:c r="A88" s="48" t="n">
        <x:v>45930</x:v>
      </x:c>
      <x:c r="B88" t="n">
        <x:v>5</x:v>
      </x:c>
      <x:c r="C88" t="str">
        <x:v>A3</x:v>
      </x:c>
      <x:c r="D88" t="str">
        <x:v>Edifício Santa Casa da Misericórdia</x:v>
      </x:c>
      <x:c r="E88" s="66" t="n">
        <x:v>5001.0813</x:v>
      </x:c>
      <x:c r="F88" s="66" t="n">
        <x:v>5053.5292</x:v>
      </x:c>
      <x:c r="G88" s="66" t="n">
        <x:v>60.6219</x:v>
      </x:c>
      <x:c r="H88" s="66" t="n">
        <x:v>5001.084</x:v>
      </x:c>
      <x:c r="I88" s="66" t="n">
        <x:v>5053.5185</x:v>
      </x:c>
      <x:c r="J88" s="66" t="n">
        <x:v>60.6205</x:v>
      </x:c>
      <x:c r="K88" s="50" t="n">
        <x:v>1.7</x:v>
      </x:c>
      <x:c r="L88" s="50" t="n">
        <x:v>-3.1</x:v>
      </x:c>
      <x:c r="M88" s="50" t="n">
        <x:v>-0.1</x:v>
      </x:c>
      <x:c r="N88" s="50" t="n">
        <x:v>2.7</x:v>
      </x:c>
      <x:c r="O88" s="50" t="n">
        <x:v>-10.7</x:v>
      </x:c>
      <x:c r="P88" s="50" t="n">
        <x:v>-1.4</x:v>
      </x:c>
      <x:c r="Q88" s="50" t="n">
        <x:f>IF(COUNT(N88:O88)&lt;2,"",SQRT(N88^2+O88^2))</x:f>
        <x:v>11.035397591387452</x:v>
      </x:c>
      <x:c r="R88" t="str">
        <x:f>IF(COUNT(H88:P88)=0,"Sem leitura",IF(ISNUMBER(SEARCH("Escavação",D88)),IF(OR(Q88&gt;=40,ABS(P88)&gt;=15),"Alarme",IF(OR(Q88&gt;=IF(OR(ISNUMBER(SEARCH("Alçado AB",D88)),ISNUMBER(SEARCH("Alçado CD",D88)),ISNUMBER(SEARCH("Alçado BF",D88)),ISNUMBER(SEARCH("Alçado PQ",D88))),20,30),ABS(P88)&gt;=10),"Alerta","Regular")),IF(OR(Q88&gt;=25,ABS(P88)&gt;=20),"Alarme",IF(OR(Q88&gt;=15,ABS(P88)&gt;=10),"Alerta","Regular"))))</x:f>
        <x:v>Regular</x:v>
      </x:c>
      <x:c r="S88" t="str">
        <x:v>RELATÓRIO ALVOS TOPOGRÁFICOS - Empreitada THE EDEN, Estoril_ R09_31-10-25(1).pdf</x:v>
      </x:c>
      <x:c r="T88" t="n">
        <x:v>14</x:v>
      </x:c>
    </x:row>
    <x:row r="89">
      <x:c r="A89" s="48" t="n">
        <x:v>45930</x:v>
      </x:c>
      <x:c r="B89" t="n">
        <x:v>5</x:v>
      </x:c>
      <x:c r="C89" t="str">
        <x:v>A4</x:v>
      </x:c>
      <x:c r="D89" t="str">
        <x:v>Edifício Santa Casa da Misericórdia</x:v>
      </x:c>
      <x:c r="E89" s="66" t="n">
        <x:v>5001.0428</x:v>
      </x:c>
      <x:c r="F89" s="66" t="n">
        <x:v>5053.5322</x:v>
      </x:c>
      <x:c r="G89" s="66" t="n">
        <x:v>58.6778</x:v>
      </x:c>
      <x:c r="H89" s="66" t="n">
        <x:v>5001.0462</x:v>
      </x:c>
      <x:c r="I89" s="66" t="n">
        <x:v>5053.5241</x:v>
      </x:c>
      <x:c r="J89" s="66" t="n">
        <x:v>58.6754</x:v>
      </x:c>
      <x:c r="K89" s="50" t="n">
        <x:v>3.2</x:v>
      </x:c>
      <x:c r="L89" s="50" t="n">
        <x:v>-1.2</x:v>
      </x:c>
      <x:c r="M89" s="50" t="n">
        <x:v>0.1</x:v>
      </x:c>
      <x:c r="N89" s="50" t="n">
        <x:v>3.4</x:v>
      </x:c>
      <x:c r="O89" s="50" t="n">
        <x:v>-8.1</x:v>
      </x:c>
      <x:c r="P89" s="50" t="n">
        <x:v>-2.4</x:v>
      </x:c>
      <x:c r="Q89" s="50" t="n">
        <x:f>IF(COUNT(N89:O89)&lt;2,"",SQRT(N89^2+O89^2))</x:f>
        <x:v>8.784645695758025</x:v>
      </x:c>
      <x:c r="R89" t="str">
        <x:f>IF(COUNT(H89:P89)=0,"Sem leitura",IF(ISNUMBER(SEARCH("Escavação",D89)),IF(OR(Q89&gt;=40,ABS(P89)&gt;=15),"Alarme",IF(OR(Q89&gt;=IF(OR(ISNUMBER(SEARCH("Alçado AB",D89)),ISNUMBER(SEARCH("Alçado CD",D89)),ISNUMBER(SEARCH("Alçado BF",D89)),ISNUMBER(SEARCH("Alçado PQ",D89))),20,30),ABS(P89)&gt;=10),"Alerta","Regular")),IF(OR(Q89&gt;=25,ABS(P89)&gt;=20),"Alarme",IF(OR(Q89&gt;=15,ABS(P89)&gt;=10),"Alerta","Regular"))))</x:f>
        <x:v>Regular</x:v>
      </x:c>
      <x:c r="S89" t="str">
        <x:v>RELATÓRIO ALVOS TOPOGRÁFICOS - Empreitada THE EDEN, Estoril_ R09_31-10-25(1).pdf</x:v>
      </x:c>
      <x:c r="T89" t="n">
        <x:v>14</x:v>
      </x:c>
    </x:row>
    <x:row r="90">
      <x:c r="A90" s="48" t="n">
        <x:v>45930</x:v>
      </x:c>
      <x:c r="B90" t="n">
        <x:v>5</x:v>
      </x:c>
      <x:c r="C90" t="str">
        <x:v>A5</x:v>
      </x:c>
      <x:c r="D90" t="str">
        <x:v>Edifício Santa Casa da Misericórdia</x:v>
      </x:c>
      <x:c r="E90" s="66" t="n">
        <x:v>5005.4018</x:v>
      </x:c>
      <x:c r="F90" s="66" t="n">
        <x:v>5054.5141</x:v>
      </x:c>
      <x:c r="G90" s="66" t="n">
        <x:v>60.1819</x:v>
      </x:c>
      <x:c r="H90" s="66" t="n">
        <x:v>5005.4071</x:v>
      </x:c>
      <x:c r="I90" s="66" t="n">
        <x:v>5054.5085</x:v>
      </x:c>
      <x:c r="J90" s="66" t="n">
        <x:v>60.1772</x:v>
      </x:c>
      <x:c r="K90" s="50" t="n">
        <x:v>2</x:v>
      </x:c>
      <x:c r="L90" s="50" t="n">
        <x:v>-0.4</x:v>
      </x:c>
      <x:c r="M90" s="50" t="n">
        <x:v>-1.2</x:v>
      </x:c>
      <x:c r="N90" s="50" t="n">
        <x:v>5.3</x:v>
      </x:c>
      <x:c r="O90" s="50" t="n">
        <x:v>-5.6</x:v>
      </x:c>
      <x:c r="P90" s="50" t="n">
        <x:v>-4.7</x:v>
      </x:c>
      <x:c r="Q90" s="50" t="n">
        <x:f>IF(COUNT(N90:O90)&lt;2,"",SQRT(N90^2+O90^2))</x:f>
        <x:v>7.710382610480494</x:v>
      </x:c>
      <x:c r="R90" t="str">
        <x:f>IF(COUNT(H90:P90)=0,"Sem leitura",IF(ISNUMBER(SEARCH("Escavação",D90)),IF(OR(Q90&gt;=40,ABS(P90)&gt;=15),"Alarme",IF(OR(Q90&gt;=IF(OR(ISNUMBER(SEARCH("Alçado AB",D90)),ISNUMBER(SEARCH("Alçado CD",D90)),ISNUMBER(SEARCH("Alçado BF",D90)),ISNUMBER(SEARCH("Alçado PQ",D90))),20,30),ABS(P90)&gt;=10),"Alerta","Regular")),IF(OR(Q90&gt;=25,ABS(P90)&gt;=20),"Alarme",IF(OR(Q90&gt;=15,ABS(P90)&gt;=10),"Alerta","Regular"))))</x:f>
        <x:v>Regular</x:v>
      </x:c>
      <x:c r="S90" t="str">
        <x:v>RELATÓRIO ALVOS TOPOGRÁFICOS - Empreitada THE EDEN, Estoril_ R09_31-10-25(1).pdf</x:v>
      </x:c>
      <x:c r="T90" t="n">
        <x:v>14</x:v>
      </x:c>
    </x:row>
    <x:row r="91">
      <x:c r="A91" s="48" t="n">
        <x:v>45930</x:v>
      </x:c>
      <x:c r="B91" t="n">
        <x:v>5</x:v>
      </x:c>
      <x:c r="C91" t="str">
        <x:v>A6</x:v>
      </x:c>
      <x:c r="D91" t="str">
        <x:v>Edifício Santa Casa da Misericórdia</x:v>
      </x:c>
      <x:c r="E91" s="66" t="n">
        <x:v>5005.4051</x:v>
      </x:c>
      <x:c r="F91" s="66" t="n">
        <x:v>5054.5767</x:v>
      </x:c>
      <x:c r="G91" s="66" t="n">
        <x:v>58.647</x:v>
      </x:c>
      <x:c r="H91" s="66" t="n">
        <x:v>5005.4123</x:v>
      </x:c>
      <x:c r="I91" s="66" t="n">
        <x:v>5054.5691</x:v>
      </x:c>
      <x:c r="J91" s="66" t="n">
        <x:v>58.6427</x:v>
      </x:c>
      <x:c r="K91" s="50" t="n">
        <x:v>3.1</x:v>
      </x:c>
      <x:c r="L91" s="50" t="n">
        <x:v>-3.5</x:v>
      </x:c>
      <x:c r="M91" s="50" t="n">
        <x:v>-0.8</x:v>
      </x:c>
      <x:c r="N91" s="50" t="n">
        <x:v>7.2</x:v>
      </x:c>
      <x:c r="O91" s="50" t="n">
        <x:v>-7.6</x:v>
      </x:c>
      <x:c r="P91" s="50" t="n">
        <x:v>-4.3</x:v>
      </x:c>
      <x:c r="Q91" s="50" t="n">
        <x:f>IF(COUNT(N91:O91)&lt;2,"",SQRT(N91^2+O91^2))</x:f>
        <x:v>10.469001862641921</x:v>
      </x:c>
      <x:c r="R91" t="str">
        <x:f>IF(COUNT(H91:P91)=0,"Sem leitura",IF(ISNUMBER(SEARCH("Escavação",D91)),IF(OR(Q91&gt;=40,ABS(P91)&gt;=15),"Alarme",IF(OR(Q91&gt;=IF(OR(ISNUMBER(SEARCH("Alçado AB",D91)),ISNUMBER(SEARCH("Alçado CD",D91)),ISNUMBER(SEARCH("Alçado BF",D91)),ISNUMBER(SEARCH("Alçado PQ",D91))),20,30),ABS(P91)&gt;=10),"Alerta","Regular")),IF(OR(Q91&gt;=25,ABS(P91)&gt;=20),"Alarme",IF(OR(Q91&gt;=15,ABS(P91)&gt;=10),"Alerta","Regular"))))</x:f>
        <x:v>Regular</x:v>
      </x:c>
      <x:c r="S91" t="str">
        <x:v>RELATÓRIO ALVOS TOPOGRÁFICOS - Empreitada THE EDEN, Estoril_ R09_31-10-25(1).pdf</x:v>
      </x:c>
      <x:c r="T91" t="n">
        <x:v>14</x:v>
      </x:c>
    </x:row>
    <x:row r="92">
      <x:c r="A92" s="48" t="n">
        <x:v>45930</x:v>
      </x:c>
      <x:c r="B92" t="n">
        <x:v>5</x:v>
      </x:c>
      <x:c r="C92" t="str">
        <x:v>A7</x:v>
      </x:c>
      <x:c r="D92" t="str">
        <x:v>Edifício Santa Casa da Misericórdia</x:v>
      </x:c>
      <x:c r="E92" s="66" t="n">
        <x:v>5005.8755</x:v>
      </x:c>
      <x:c r="F92" s="66" t="n">
        <x:v>5063.3174</x:v>
      </x:c>
      <x:c r="G92" s="66" t="n">
        <x:v>60.4811</x:v>
      </x:c>
      <x:c r="H92" s="66" t="n">
        <x:v>5005.8756</x:v>
      </x:c>
      <x:c r="I92" s="66" t="n">
        <x:v>5063.3141</x:v>
      </x:c>
      <x:c r="J92" s="66" t="n">
        <x:v>60.4805</x:v>
      </x:c>
      <x:c r="K92" s="50" t="n">
        <x:v>-0.6</x:v>
      </x:c>
      <x:c r="L92" s="50" t="n">
        <x:v>-1.3</x:v>
      </x:c>
      <x:c r="M92" s="50" t="n">
        <x:v>0.5</x:v>
      </x:c>
      <x:c r="N92" s="50" t="n">
        <x:v>0.1</x:v>
      </x:c>
      <x:c r="O92" s="50" t="n">
        <x:v>-3.3</x:v>
      </x:c>
      <x:c r="P92" s="50" t="n">
        <x:v>-0.6</x:v>
      </x:c>
      <x:c r="Q92" s="50" t="n">
        <x:f>IF(COUNT(N92:O92)&lt;2,"",SQRT(N92^2+O92^2))</x:f>
        <x:v>3.3015148038438356</x:v>
      </x:c>
      <x:c r="R92" t="str">
        <x:f>IF(COUNT(H92:P92)=0,"Sem leitura",IF(ISNUMBER(SEARCH("Escavação",D92)),IF(OR(Q92&gt;=40,ABS(P92)&gt;=15),"Alarme",IF(OR(Q92&gt;=IF(OR(ISNUMBER(SEARCH("Alçado AB",D92)),ISNUMBER(SEARCH("Alçado CD",D92)),ISNUMBER(SEARCH("Alçado BF",D92)),ISNUMBER(SEARCH("Alçado PQ",D92))),20,30),ABS(P92)&gt;=10),"Alerta","Regular")),IF(OR(Q92&gt;=25,ABS(P92)&gt;=20),"Alarme",IF(OR(Q92&gt;=15,ABS(P92)&gt;=10),"Alerta","Regular"))))</x:f>
        <x:v>Regular</x:v>
      </x:c>
      <x:c r="S92" t="str">
        <x:v>RELATÓRIO ALVOS TOPOGRÁFICOS - Empreitada THE EDEN, Estoril_ R09_31-10-25(1).pdf</x:v>
      </x:c>
      <x:c r="T92" t="n">
        <x:v>14</x:v>
      </x:c>
    </x:row>
    <x:row r="93">
      <x:c r="A93" s="48" t="n">
        <x:v>45930</x:v>
      </x:c>
      <x:c r="B93" t="n">
        <x:v>5</x:v>
      </x:c>
      <x:c r="C93" t="str">
        <x:v>A8</x:v>
      </x:c>
      <x:c r="D93" t="str">
        <x:v>Edifício Santa Casa da Misericórdia</x:v>
      </x:c>
      <x:c r="E93" s="66" t="n">
        <x:v>5005.8839</x:v>
      </x:c>
      <x:c r="F93" s="66" t="n">
        <x:v>5063.7008</x:v>
      </x:c>
      <x:c r="G93" s="66" t="n">
        <x:v>59.3293</x:v>
      </x:c>
      <x:c r="H93" s="66" t="n">
        <x:v>5005.8847</x:v>
      </x:c>
      <x:c r="I93" s="66" t="n">
        <x:v>5063.6988</x:v>
      </x:c>
      <x:c r="J93" s="66" t="n">
        <x:v>59.3292</x:v>
      </x:c>
      <x:c r="K93" s="50" t="n">
        <x:v>1.2</x:v>
      </x:c>
      <x:c r="L93" s="50" t="n">
        <x:v>0.1</x:v>
      </x:c>
      <x:c r="M93" s="50" t="n">
        <x:v>0.3</x:v>
      </x:c>
      <x:c r="N93" s="50" t="n">
        <x:v>0.8</x:v>
      </x:c>
      <x:c r="O93" s="50" t="n">
        <x:v>-2</x:v>
      </x:c>
      <x:c r="P93" s="50" t="n">
        <x:v>-0.1</x:v>
      </x:c>
      <x:c r="Q93" s="50" t="n">
        <x:f>IF(COUNT(N93:O93)&lt;2,"",SQRT(N93^2+O93^2))</x:f>
        <x:v>2.154065922853802</x:v>
      </x:c>
      <x:c r="R93" t="str">
        <x:f>IF(COUNT(H93:P93)=0,"Sem leitura",IF(ISNUMBER(SEARCH("Escavação",D93)),IF(OR(Q93&gt;=40,ABS(P93)&gt;=15),"Alarme",IF(OR(Q93&gt;=IF(OR(ISNUMBER(SEARCH("Alçado AB",D93)),ISNUMBER(SEARCH("Alçado CD",D93)),ISNUMBER(SEARCH("Alçado BF",D93)),ISNUMBER(SEARCH("Alçado PQ",D93))),20,30),ABS(P93)&gt;=10),"Alerta","Regular")),IF(OR(Q93&gt;=25,ABS(P93)&gt;=20),"Alarme",IF(OR(Q93&gt;=15,ABS(P93)&gt;=10),"Alerta","Regular"))))</x:f>
        <x:v>Regular</x:v>
      </x:c>
      <x:c r="S93" t="str">
        <x:v>RELATÓRIO ALVOS TOPOGRÁFICOS - Empreitada THE EDEN, Estoril_ R09_31-10-25(1).pdf</x:v>
      </x:c>
      <x:c r="T93" t="n">
        <x:v>14</x:v>
      </x:c>
    </x:row>
    <x:row r="94">
      <x:c r="A94" s="48" t="n">
        <x:v>45930</x:v>
      </x:c>
      <x:c r="B94" t="n">
        <x:v>0</x:v>
      </x:c>
      <x:c r="C94" t="str">
        <x:v>FG1</x:v>
      </x:c>
      <x:c r="D94" t="str">
        <x:v>Escavação e Contenção Periférica - Alçado FG</x:v>
      </x:c>
      <x:c r="E94" s="66" t="n">
        <x:v>4974.3925</x:v>
      </x:c>
      <x:c r="F94" s="66" t="n">
        <x:v>5039.5326</x:v>
      </x:c>
      <x:c r="G94" s="66" t="n">
        <x:v>53.5568</x:v>
      </x:c>
      <x:c r="H94" s="66" t="n">
        <x:v>4974.3925</x:v>
      </x:c>
      <x:c r="I94" s="66" t="n">
        <x:v>5039.5326</x:v>
      </x:c>
      <x:c r="J94" s="66" t="n">
        <x:v>53.5568</x:v>
      </x:c>
      <x:c r="K94" s="50" t="n">
        <x:v>0</x:v>
      </x:c>
      <x:c r="L94" s="50" t="n">
        <x:v>0</x:v>
      </x:c>
      <x:c r="M94" s="50" t="n">
        <x:v>0</x:v>
      </x:c>
      <x:c r="N94" s="50" t="n">
        <x:v>0</x:v>
      </x:c>
      <x:c r="O94" s="50" t="n">
        <x:v>0</x:v>
      </x:c>
      <x:c r="P94" s="50" t="n">
        <x:v>0</x:v>
      </x:c>
      <x:c r="Q94" s="50" t="n">
        <x:f>IF(COUNT(N94:O94)&lt;2,"",SQRT(N94^2+O94^2))</x:f>
        <x:v>0</x:v>
      </x:c>
      <x:c r="R94" t="str">
        <x:f>IF(COUNT(H94:P94)=0,"Sem leitura",IF(ISNUMBER(SEARCH("Escavação",D94)),IF(OR(Q94&gt;=40,ABS(P94)&gt;=15),"Alarme",IF(OR(Q94&gt;=IF(OR(ISNUMBER(SEARCH("Alçado AB",D94)),ISNUMBER(SEARCH("Alçado CD",D94)),ISNUMBER(SEARCH("Alçado BF",D94)),ISNUMBER(SEARCH("Alçado PQ",D94))),20,30),ABS(P94)&gt;=10),"Alerta","Regular")),IF(OR(Q94&gt;=25,ABS(P94)&gt;=20),"Alarme",IF(OR(Q94&gt;=15,ABS(P94)&gt;=10),"Alerta","Regular"))))</x:f>
        <x:v>Regular</x:v>
      </x:c>
      <x:c r="S94" t="str">
        <x:v>RELATÓRIO ALVOS TOPOGRÁFICOS - Empreitada THE EDEN, Estoril_ R09_31-10-25(1).pdf</x:v>
      </x:c>
      <x:c r="T94" t="n">
        <x:v>38</x:v>
      </x:c>
    </x:row>
    <x:row r="95">
      <x:c r="A95" s="48" t="n">
        <x:v>45930</x:v>
      </x:c>
      <x:c r="B95" t="n">
        <x:v>0</x:v>
      </x:c>
      <x:c r="C95" t="str">
        <x:v>GH1</x:v>
      </x:c>
      <x:c r="D95" t="str">
        <x:v>Escavação e Contenção Periférica - Alçado GH</x:v>
      </x:c>
      <x:c r="E95" s="66" t="n">
        <x:v>4981.8689</x:v>
      </x:c>
      <x:c r="F95" s="66" t="n">
        <x:v>5046.9902</x:v>
      </x:c>
      <x:c r="G95" s="66" t="n">
        <x:v>53.9665</x:v>
      </x:c>
      <x:c r="H95" s="66" t="n">
        <x:v>4981.8689</x:v>
      </x:c>
      <x:c r="I95" s="66" t="n">
        <x:v>5046.9902</x:v>
      </x:c>
      <x:c r="J95" s="66" t="n">
        <x:v>53.9665</x:v>
      </x:c>
      <x:c r="K95" s="50" t="n">
        <x:v>0</x:v>
      </x:c>
      <x:c r="L95" s="50" t="n">
        <x:v>0</x:v>
      </x:c>
      <x:c r="M95" s="50" t="n">
        <x:v>0</x:v>
      </x:c>
      <x:c r="N95" s="50" t="n">
        <x:v>0</x:v>
      </x:c>
      <x:c r="O95" s="50" t="n">
        <x:v>0</x:v>
      </x:c>
      <x:c r="P95" s="50" t="n">
        <x:v>0</x:v>
      </x:c>
      <x:c r="Q95" s="50" t="n">
        <x:f>IF(COUNT(N95:O95)&lt;2,"",SQRT(N95^2+O95^2))</x:f>
        <x:v>0</x:v>
      </x:c>
      <x:c r="R95" t="str">
        <x:f>IF(COUNT(H95:P95)=0,"Sem leitura",IF(ISNUMBER(SEARCH("Escavação",D95)),IF(OR(Q95&gt;=40,ABS(P95)&gt;=15),"Alarme",IF(OR(Q95&gt;=IF(OR(ISNUMBER(SEARCH("Alçado AB",D95)),ISNUMBER(SEARCH("Alçado CD",D95)),ISNUMBER(SEARCH("Alçado BF",D95)),ISNUMBER(SEARCH("Alçado PQ",D95))),20,30),ABS(P95)&gt;=10),"Alerta","Regular")),IF(OR(Q95&gt;=25,ABS(P95)&gt;=20),"Alarme",IF(OR(Q95&gt;=15,ABS(P95)&gt;=10),"Alerta","Regular"))))</x:f>
        <x:v>Regular</x:v>
      </x:c>
      <x:c r="S95" t="str">
        <x:v>RELATÓRIO ALVOS TOPOGRÁFICOS - Empreitada THE EDEN, Estoril_ R09_31-10-25(1).pdf</x:v>
      </x:c>
      <x:c r="T95" t="n">
        <x:v>38</x:v>
      </x:c>
    </x:row>
    <x:row r="96">
      <x:c r="A96" s="48" t="n">
        <x:v>45930</x:v>
      </x:c>
      <x:c r="B96" t="n">
        <x:v>0</x:v>
      </x:c>
      <x:c r="C96" t="str">
        <x:v>GH2</x:v>
      </x:c>
      <x:c r="D96" t="str">
        <x:v>Escavação e Contenção Periférica - Alçado GH</x:v>
      </x:c>
      <x:c r="E96" s="66" t="n">
        <x:v>4993.0258</x:v>
      </x:c>
      <x:c r="F96" s="66" t="n">
        <x:v>5045.3909</x:v>
      </x:c>
      <x:c r="G96" s="66" t="n">
        <x:v>53.9052</x:v>
      </x:c>
      <x:c r="H96" s="66" t="n">
        <x:v>4993.0258</x:v>
      </x:c>
      <x:c r="I96" s="66" t="n">
        <x:v>5045.3909</x:v>
      </x:c>
      <x:c r="J96" s="66" t="n">
        <x:v>53.9052</x:v>
      </x:c>
      <x:c r="K96" s="50" t="n">
        <x:v>0</x:v>
      </x:c>
      <x:c r="L96" s="50" t="n">
        <x:v>0</x:v>
      </x:c>
      <x:c r="M96" s="50" t="n">
        <x:v>0</x:v>
      </x:c>
      <x:c r="N96" s="50" t="n">
        <x:v>0</x:v>
      </x:c>
      <x:c r="O96" s="50" t="n">
        <x:v>0</x:v>
      </x:c>
      <x:c r="P96" s="50" t="n">
        <x:v>0</x:v>
      </x:c>
      <x:c r="Q96" s="50" t="n">
        <x:f>IF(COUNT(N96:O96)&lt;2,"",SQRT(N96^2+O96^2))</x:f>
        <x:v>0</x:v>
      </x:c>
      <x:c r="R96" t="str">
        <x:f>IF(COUNT(H96:P96)=0,"Sem leitura",IF(ISNUMBER(SEARCH("Escavação",D96)),IF(OR(Q96&gt;=40,ABS(P96)&gt;=15),"Alarme",IF(OR(Q96&gt;=IF(OR(ISNUMBER(SEARCH("Alçado AB",D96)),ISNUMBER(SEARCH("Alçado CD",D96)),ISNUMBER(SEARCH("Alçado BF",D96)),ISNUMBER(SEARCH("Alçado PQ",D96))),20,30),ABS(P96)&gt;=10),"Alerta","Regular")),IF(OR(Q96&gt;=25,ABS(P96)&gt;=20),"Alarme",IF(OR(Q96&gt;=15,ABS(P96)&gt;=10),"Alerta","Regular"))))</x:f>
        <x:v>Regular</x:v>
      </x:c>
      <x:c r="S96" t="str">
        <x:v>RELATÓRIO ALVOS TOPOGRÁFICOS - Empreitada THE EDEN, Estoril_ R09_31-10-25(1).pdf</x:v>
      </x:c>
      <x:c r="T96" t="n">
        <x:v>38</x:v>
      </x:c>
    </x:row>
    <x:row r="97">
      <x:c r="A97" s="48" t="n">
        <x:v>45930</x:v>
      </x:c>
      <x:c r="B97" t="n">
        <x:v>0</x:v>
      </x:c>
      <x:c r="C97" t="str">
        <x:v>GH3</x:v>
      </x:c>
      <x:c r="D97" t="str">
        <x:v>Escavação e Contenção Periférica - Alçado GH</x:v>
      </x:c>
      <x:c r="E97" s="66" t="n">
        <x:v>5002.4091</x:v>
      </x:c>
      <x:c r="F97" s="66" t="n">
        <x:v>5044.0244</x:v>
      </x:c>
      <x:c r="G97" s="66" t="n">
        <x:v>53.8892</x:v>
      </x:c>
      <x:c r="H97" s="66" t="n">
        <x:v>5002.4091</x:v>
      </x:c>
      <x:c r="I97" s="66" t="n">
        <x:v>5044.0244</x:v>
      </x:c>
      <x:c r="J97" s="66" t="n">
        <x:v>53.8892</x:v>
      </x:c>
      <x:c r="K97" s="50" t="n">
        <x:v>0</x:v>
      </x:c>
      <x:c r="L97" s="50" t="n">
        <x:v>0</x:v>
      </x:c>
      <x:c r="M97" s="50" t="n">
        <x:v>0</x:v>
      </x:c>
      <x:c r="N97" s="50" t="n">
        <x:v>0</x:v>
      </x:c>
      <x:c r="O97" s="50" t="n">
        <x:v>0</x:v>
      </x:c>
      <x:c r="P97" s="50" t="n">
        <x:v>0</x:v>
      </x:c>
      <x:c r="Q97" s="50" t="n">
        <x:f>IF(COUNT(N97:O97)&lt;2,"",SQRT(N97^2+O97^2))</x:f>
        <x:v>0</x:v>
      </x:c>
      <x:c r="R97" t="str">
        <x:f>IF(COUNT(H97:P97)=0,"Sem leitura",IF(ISNUMBER(SEARCH("Escavação",D97)),IF(OR(Q97&gt;=40,ABS(P97)&gt;=15),"Alarme",IF(OR(Q97&gt;=IF(OR(ISNUMBER(SEARCH("Alçado AB",D97)),ISNUMBER(SEARCH("Alçado CD",D97)),ISNUMBER(SEARCH("Alçado BF",D97)),ISNUMBER(SEARCH("Alçado PQ",D97))),20,30),ABS(P97)&gt;=10),"Alerta","Regular")),IF(OR(Q97&gt;=25,ABS(P97)&gt;=20),"Alarme",IF(OR(Q97&gt;=15,ABS(P97)&gt;=10),"Alerta","Regular"))))</x:f>
        <x:v>Regular</x:v>
      </x:c>
      <x:c r="S97" t="str">
        <x:v>RELATÓRIO ALVOS TOPOGRÁFICOS - Empreitada THE EDEN, Estoril_ R09_31-10-25(1).pdf</x:v>
      </x:c>
      <x:c r="T97" t="n">
        <x:v>38</x:v>
      </x:c>
    </x:row>
    <x:row r="98">
      <x:c r="A98" s="48" t="n">
        <x:v>45930</x:v>
      </x:c>
      <x:c r="B98" t="n">
        <x:v>0</x:v>
      </x:c>
      <x:c r="C98" t="str">
        <x:v>PQ1</x:v>
      </x:c>
      <x:c r="D98" t="str">
        <x:v>Escavação e Contenção Periférica - Alçado PQ</x:v>
      </x:c>
      <x:c r="E98" s="66" t="n">
        <x:v>5046.1883</x:v>
      </x:c>
      <x:c r="F98" s="66" t="n">
        <x:v>5033.5623</x:v>
      </x:c>
      <x:c r="G98" s="66" t="n">
        <x:v>48.9991</x:v>
      </x:c>
      <x:c r="H98" s="66" t="n">
        <x:v>5046.1883</x:v>
      </x:c>
      <x:c r="I98" s="66" t="n">
        <x:v>5033.5623</x:v>
      </x:c>
      <x:c r="J98" s="66" t="n">
        <x:v>48.9991</x:v>
      </x:c>
      <x:c r="K98" s="50" t="n">
        <x:v>0</x:v>
      </x:c>
      <x:c r="L98" s="50" t="n">
        <x:v>0</x:v>
      </x:c>
      <x:c r="M98" s="50" t="n">
        <x:v>0</x:v>
      </x:c>
      <x:c r="N98" s="50" t="n">
        <x:v>0</x:v>
      </x:c>
      <x:c r="O98" s="50" t="n">
        <x:v>0</x:v>
      </x:c>
      <x:c r="P98" s="50" t="n">
        <x:v>0</x:v>
      </x:c>
      <x:c r="Q98" s="50" t="n">
        <x:f>IF(COUNT(N98:O98)&lt;2,"",SQRT(N98^2+O98^2))</x:f>
        <x:v>0</x:v>
      </x:c>
      <x:c r="R98" t="str">
        <x:f>IF(COUNT(H98:P98)=0,"Sem leitura",IF(ISNUMBER(SEARCH("Escavação",D98)),IF(OR(Q98&gt;=40,ABS(P98)&gt;=15),"Alarme",IF(OR(Q98&gt;=IF(OR(ISNUMBER(SEARCH("Alçado AB",D98)),ISNUMBER(SEARCH("Alçado CD",D98)),ISNUMBER(SEARCH("Alçado BF",D98)),ISNUMBER(SEARCH("Alçado PQ",D98))),20,30),ABS(P98)&gt;=10),"Alerta","Regular")),IF(OR(Q98&gt;=25,ABS(P98)&gt;=20),"Alarme",IF(OR(Q98&gt;=15,ABS(P98)&gt;=10),"Alerta","Regular"))))</x:f>
        <x:v>Regular</x:v>
      </x:c>
      <x:c r="S98" t="str">
        <x:v>RELATÓRIO ALVOS TOPOGRÁFICOS - Empreitada THE EDEN, Estoril_ R09_31-10-25(1).pdf</x:v>
      </x:c>
      <x:c r="T98" t="n">
        <x:v>38</x:v>
      </x:c>
    </x:row>
    <x:row r="99">
      <x:c r="A99" s="48" t="n">
        <x:v>45930</x:v>
      </x:c>
      <x:c r="B99" t="n">
        <x:v>5</x:v>
      </x:c>
      <x:c r="C99" t="str">
        <x:v>B1</x:v>
      </x:c>
      <x:c r="D99" t="str">
        <x:v>Restaurante Cimas</x:v>
      </x:c>
      <x:c r="E99" s="66" t="n">
        <x:v>5055.3705</x:v>
      </x:c>
      <x:c r="F99" s="66" t="n">
        <x:v>5037.6908</x:v>
      </x:c>
      <x:c r="G99" s="66" t="n">
        <x:v>55.8345</x:v>
      </x:c>
      <x:c r="H99" s="66" t="n">
        <x:v>5055.3682</x:v>
      </x:c>
      <x:c r="I99" s="66" t="n">
        <x:v>5037.692</x:v>
      </x:c>
      <x:c r="J99" s="66" t="n">
        <x:v>55.8364</x:v>
      </x:c>
      <x:c r="K99" s="50" t="n">
        <x:v>-0.1</x:v>
      </x:c>
      <x:c r="L99" s="50" t="n">
        <x:v>0.3</x:v>
      </x:c>
      <x:c r="M99" s="50" t="n">
        <x:v>0.9</x:v>
      </x:c>
      <x:c r="N99" s="50" t="n">
        <x:v>-2.3</x:v>
      </x:c>
      <x:c r="O99" s="50" t="n">
        <x:v>1.2</x:v>
      </x:c>
      <x:c r="P99" s="50" t="n">
        <x:v>1.9</x:v>
      </x:c>
      <x:c r="Q99" s="50" t="n">
        <x:f>IF(COUNT(N99:O99)&lt;2,"",SQRT(N99^2+O99^2))</x:f>
        <x:v>2.5942243542145693</x:v>
      </x:c>
      <x:c r="R99" t="str">
        <x:f>IF(COUNT(H99:P99)=0,"Sem leitura",IF(ISNUMBER(SEARCH("Escavação",D99)),IF(OR(Q99&gt;=40,ABS(P99)&gt;=15),"Alarme",IF(OR(Q99&gt;=IF(OR(ISNUMBER(SEARCH("Alçado AB",D99)),ISNUMBER(SEARCH("Alçado CD",D99)),ISNUMBER(SEARCH("Alçado BF",D99)),ISNUMBER(SEARCH("Alçado PQ",D99))),20,30),ABS(P99)&gt;=10),"Alerta","Regular")),IF(OR(Q99&gt;=25,ABS(P99)&gt;=20),"Alarme",IF(OR(Q99&gt;=15,ABS(P99)&gt;=10),"Alerta","Regular"))))</x:f>
        <x:v>Regular</x:v>
      </x:c>
      <x:c r="S99" t="str">
        <x:v>RELATÓRIO ALVOS TOPOGRÁFICOS - Empreitada THE EDEN, Estoril_ R09_31-10-25(1).pdf</x:v>
      </x:c>
      <x:c r="T99" t="n">
        <x:v>14</x:v>
      </x:c>
    </x:row>
    <x:row r="100">
      <x:c r="A100" s="48" t="n">
        <x:v>45930</x:v>
      </x:c>
      <x:c r="B100" t="n">
        <x:v>5</x:v>
      </x:c>
      <x:c r="C100" t="str">
        <x:v>B2</x:v>
      </x:c>
      <x:c r="D100" t="str">
        <x:v>Restaurante Cimas</x:v>
      </x:c>
      <x:c r="E100" s="66" t="n">
        <x:v>5055.3611</x:v>
      </x:c>
      <x:c r="F100" s="66" t="n">
        <x:v>5037.652</x:v>
      </x:c>
      <x:c r="G100" s="66" t="n">
        <x:v>53.9202</x:v>
      </x:c>
      <x:c r="H100" s="66" t="n">
        <x:v>5055.3599</x:v>
      </x:c>
      <x:c r="I100" s="66" t="n">
        <x:v>5037.6504</x:v>
      </x:c>
      <x:c r="J100" s="66" t="n">
        <x:v>53.9225</x:v>
      </x:c>
      <x:c r="K100" s="50" t="n">
        <x:v>-0.5</x:v>
      </x:c>
      <x:c r="L100" s="50" t="n">
        <x:v>-0.2</x:v>
      </x:c>
      <x:c r="M100" s="50" t="n">
        <x:v>0</x:v>
      </x:c>
      <x:c r="N100" s="50" t="n">
        <x:v>-1.2</x:v>
      </x:c>
      <x:c r="O100" s="50" t="n">
        <x:v>-1.6</x:v>
      </x:c>
      <x:c r="P100" s="50" t="n">
        <x:v>2.3</x:v>
      </x:c>
      <x:c r="Q100" s="50" t="n">
        <x:f>IF(COUNT(N100:O100)&lt;2,"",SQRT(N100^2+O100^2))</x:f>
        <x:v>2</x:v>
      </x:c>
      <x:c r="R100" t="str">
        <x:f>IF(COUNT(H100:P100)=0,"Sem leitura",IF(ISNUMBER(SEARCH("Escavação",D100)),IF(OR(Q100&gt;=40,ABS(P100)&gt;=15),"Alarme",IF(OR(Q100&gt;=IF(OR(ISNUMBER(SEARCH("Alçado AB",D100)),ISNUMBER(SEARCH("Alçado CD",D100)),ISNUMBER(SEARCH("Alçado BF",D100)),ISNUMBER(SEARCH("Alçado PQ",D100))),20,30),ABS(P100)&gt;=10),"Alerta","Regular")),IF(OR(Q100&gt;=25,ABS(P100)&gt;=20),"Alarme",IF(OR(Q100&gt;=15,ABS(P100)&gt;=10),"Alerta","Regular"))))</x:f>
        <x:v>Regular</x:v>
      </x:c>
      <x:c r="S100" t="str">
        <x:v>RELATÓRIO ALVOS TOPOGRÁFICOS - Empreitada THE EDEN, Estoril_ R09_31-10-25(1).pdf</x:v>
      </x:c>
      <x:c r="T100" t="n">
        <x:v>14</x:v>
      </x:c>
    </x:row>
    <x:row r="101">
      <x:c r="A101" s="48" t="n">
        <x:v>45930</x:v>
      </x:c>
      <x:c r="B101" t="n">
        <x:v>5</x:v>
      </x:c>
      <x:c r="C101" t="str">
        <x:v>B3</x:v>
      </x:c>
      <x:c r="D101" t="str">
        <x:v>Restaurante Cimas</x:v>
      </x:c>
      <x:c r="E101" s="66" t="n">
        <x:v>5053.1267</x:v>
      </x:c>
      <x:c r="F101" s="66" t="n">
        <x:v>5028.5694</x:v>
      </x:c>
      <x:c r="G101" s="66" t="n">
        <x:v>55.8769</x:v>
      </x:c>
      <x:c r="H101" s="66" t="n">
        <x:v>5053.1245</x:v>
      </x:c>
      <x:c r="I101" s="66" t="n">
        <x:v>5028.5722</x:v>
      </x:c>
      <x:c r="J101" s="66" t="n">
        <x:v>55.8783</x:v>
      </x:c>
      <x:c r="K101" s="50" t="n">
        <x:v>-0.8</x:v>
      </x:c>
      <x:c r="L101" s="50" t="n">
        <x:v>0.9</x:v>
      </x:c>
      <x:c r="M101" s="50" t="n">
        <x:v>0.5</x:v>
      </x:c>
      <x:c r="N101" s="50" t="n">
        <x:v>-2.2</x:v>
      </x:c>
      <x:c r="O101" s="50" t="n">
        <x:v>2.8</x:v>
      </x:c>
      <x:c r="P101" s="50" t="n">
        <x:v>1.4</x:v>
      </x:c>
      <x:c r="Q101" s="50" t="n">
        <x:f>IF(COUNT(N101:O101)&lt;2,"",SQRT(N101^2+O101^2))</x:f>
        <x:v>3.560898762952971</x:v>
      </x:c>
      <x:c r="R101" t="str">
        <x:f>IF(COUNT(H101:P101)=0,"Sem leitura",IF(ISNUMBER(SEARCH("Escavação",D101)),IF(OR(Q101&gt;=40,ABS(P101)&gt;=15),"Alarme",IF(OR(Q101&gt;=IF(OR(ISNUMBER(SEARCH("Alçado AB",D101)),ISNUMBER(SEARCH("Alçado CD",D101)),ISNUMBER(SEARCH("Alçado BF",D101)),ISNUMBER(SEARCH("Alçado PQ",D101))),20,30),ABS(P101)&gt;=10),"Alerta","Regular")),IF(OR(Q101&gt;=25,ABS(P101)&gt;=20),"Alarme",IF(OR(Q101&gt;=15,ABS(P101)&gt;=10),"Alerta","Regular"))))</x:f>
        <x:v>Regular</x:v>
      </x:c>
      <x:c r="S101" t="str">
        <x:v>RELATÓRIO ALVOS TOPOGRÁFICOS - Empreitada THE EDEN, Estoril_ R09_31-10-25(1).pdf</x:v>
      </x:c>
      <x:c r="T101" t="n">
        <x:v>14</x:v>
      </x:c>
    </x:row>
    <x:row r="102">
      <x:c r="A102" s="48" t="n">
        <x:v>45930</x:v>
      </x:c>
      <x:c r="B102" t="n">
        <x:v>5</x:v>
      </x:c>
      <x:c r="C102" t="str">
        <x:v>B4</x:v>
      </x:c>
      <x:c r="D102" t="str">
        <x:v>Restaurante Cimas</x:v>
      </x:c>
      <x:c r="E102" s="66" t="n">
        <x:v>5053.123</x:v>
      </x:c>
      <x:c r="F102" s="66" t="n">
        <x:v>5028.5786</x:v>
      </x:c>
      <x:c r="G102" s="66" t="n">
        <x:v>54.1591</x:v>
      </x:c>
      <x:c r="H102" s="66" t="n">
        <x:v>5053.1211</x:v>
      </x:c>
      <x:c r="I102" s="66" t="n">
        <x:v>5028.5799</x:v>
      </x:c>
      <x:c r="J102" s="66" t="n">
        <x:v>54.1605</x:v>
      </x:c>
      <x:c r="K102" s="50" t="n">
        <x:v>-0.3</x:v>
      </x:c>
      <x:c r="L102" s="50" t="n">
        <x:v>0.1</x:v>
      </x:c>
      <x:c r="M102" s="50" t="n">
        <x:v>0.4</x:v>
      </x:c>
      <x:c r="N102" s="50" t="n">
        <x:v>-1.9</x:v>
      </x:c>
      <x:c r="O102" s="50" t="n">
        <x:v>1.3</x:v>
      </x:c>
      <x:c r="P102" s="50" t="n">
        <x:v>1.4</x:v>
      </x:c>
      <x:c r="Q102" s="50" t="n">
        <x:f>IF(COUNT(N102:O102)&lt;2,"",SQRT(N102^2+O102^2))</x:f>
        <x:v>2.3021728866442674</x:v>
      </x:c>
      <x:c r="R102" t="str">
        <x:f>IF(COUNT(H102:P102)=0,"Sem leitura",IF(ISNUMBER(SEARCH("Escavação",D102)),IF(OR(Q102&gt;=40,ABS(P102)&gt;=15),"Alarme",IF(OR(Q102&gt;=IF(OR(ISNUMBER(SEARCH("Alçado AB",D102)),ISNUMBER(SEARCH("Alçado CD",D102)),ISNUMBER(SEARCH("Alçado BF",D102)),ISNUMBER(SEARCH("Alçado PQ",D102))),20,30),ABS(P102)&gt;=10),"Alerta","Regular")),IF(OR(Q102&gt;=25,ABS(P102)&gt;=20),"Alarme",IF(OR(Q102&gt;=15,ABS(P102)&gt;=10),"Alerta","Regular"))))</x:f>
        <x:v>Regular</x:v>
      </x:c>
      <x:c r="S102" t="str">
        <x:v>RELATÓRIO ALVOS TOPOGRÁFICOS - Empreitada THE EDEN, Estoril_ R09_31-10-25(1).pdf</x:v>
      </x:c>
      <x:c r="T102" t="n">
        <x:v>14</x:v>
      </x:c>
    </x:row>
    <x:row r="103">
      <x:c r="A103" s="48" t="n">
        <x:v>45936</x:v>
      </x:c>
      <x:c r="B103" t="n">
        <x:v>6</x:v>
      </x:c>
      <x:c r="C103" t="str">
        <x:v>C1</x:v>
      </x:c>
      <x:c r="D103" t="str">
        <x:v>Clínica Abreu Loureiro</x:v>
      </x:c>
      <x:c r="E103" s="66" t="n">
        <x:v>5051.1407</x:v>
      </x:c>
      <x:c r="F103" s="66" t="n">
        <x:v>5062.3237</x:v>
      </x:c>
      <x:c r="G103" s="66" t="n">
        <x:v>63.0014</x:v>
      </x:c>
      <x:c r="H103" s="66" t="n">
        <x:v>5051.1422</x:v>
      </x:c>
      <x:c r="I103" s="66" t="n">
        <x:v>5062.325</x:v>
      </x:c>
      <x:c r="J103" s="66" t="n">
        <x:v>63.0008</x:v>
      </x:c>
      <x:c r="K103" s="50" t="n">
        <x:v>0.3</x:v>
      </x:c>
      <x:c r="L103" s="50" t="n">
        <x:v>1.3</x:v>
      </x:c>
      <x:c r="M103" s="50" t="n">
        <x:v>-1.3</x:v>
      </x:c>
      <x:c r="N103" s="50" t="n">
        <x:v>1.5</x:v>
      </x:c>
      <x:c r="O103" s="50" t="n">
        <x:v>1.3</x:v>
      </x:c>
      <x:c r="P103" s="50" t="n">
        <x:v>-0.6</x:v>
      </x:c>
      <x:c r="Q103" s="50" t="n">
        <x:f>IF(COUNT(N103:O103)&lt;2,"",SQRT(N103^2+O103^2))</x:f>
        <x:v>1.9849433241279208</x:v>
      </x:c>
      <x:c r="R103" t="str">
        <x:f>IF(COUNT(H103:P103)=0,"Sem leitura",IF(ISNUMBER(SEARCH("Escavação",D103)),IF(OR(Q103&gt;=40,ABS(P103)&gt;=15),"Alarme",IF(OR(Q103&gt;=IF(OR(ISNUMBER(SEARCH("Alçado AB",D103)),ISNUMBER(SEARCH("Alçado CD",D103)),ISNUMBER(SEARCH("Alçado BF",D103)),ISNUMBER(SEARCH("Alçado PQ",D103))),20,30),ABS(P103)&gt;=10),"Alerta","Regular")),IF(OR(Q103&gt;=25,ABS(P103)&gt;=20),"Alarme",IF(OR(Q103&gt;=15,ABS(P103)&gt;=10),"Alerta","Regular"))))</x:f>
        <x:v>Regular</x:v>
      </x:c>
      <x:c r="S103" t="str">
        <x:v>RELATÓRIO ALVOS TOPOGRÁFICOS - Empreitada THE EDEN, Estoril_ R09_31-10-25(1).pdf</x:v>
      </x:c>
      <x:c r="T103" t="n">
        <x:v>15</x:v>
      </x:c>
    </x:row>
    <x:row r="104">
      <x:c r="A104" s="48" t="n">
        <x:v>45936</x:v>
      </x:c>
      <x:c r="B104" t="n">
        <x:v>6</x:v>
      </x:c>
      <x:c r="C104" t="str">
        <x:v>C2</x:v>
      </x:c>
      <x:c r="D104" t="str">
        <x:v>Clínica Abreu Loureiro</x:v>
      </x:c>
      <x:c r="E104" s="66" t="n">
        <x:v>5051.0086</x:v>
      </x:c>
      <x:c r="F104" s="66" t="n">
        <x:v>5062.4334</x:v>
      </x:c>
      <x:c r="G104" s="66" t="n">
        <x:v>56.898</x:v>
      </x:c>
      <x:c r="H104" s="66" t="n">
        <x:v>5051.009</x:v>
      </x:c>
      <x:c r="I104" s="66" t="n">
        <x:v>5062.4344</x:v>
      </x:c>
      <x:c r="J104" s="66" t="n">
        <x:v>56.8983</x:v>
      </x:c>
      <x:c r="K104" s="50" t="n">
        <x:v>0.3</x:v>
      </x:c>
      <x:c r="L104" s="50" t="n">
        <x:v>0.9</x:v>
      </x:c>
      <x:c r="M104" s="50" t="n">
        <x:v>0.5</x:v>
      </x:c>
      <x:c r="N104" s="50" t="n">
        <x:v>0.4</x:v>
      </x:c>
      <x:c r="O104" s="50" t="n">
        <x:v>1</x:v>
      </x:c>
      <x:c r="P104" s="50" t="n">
        <x:v>0.3</x:v>
      </x:c>
      <x:c r="Q104" s="50" t="n">
        <x:f>IF(COUNT(N104:O104)&lt;2,"",SQRT(N104^2+O104^2))</x:f>
        <x:v>1.077032961426901</x:v>
      </x:c>
      <x:c r="R104" t="str">
        <x:f>IF(COUNT(H104:P104)=0,"Sem leitura",IF(ISNUMBER(SEARCH("Escavação",D104)),IF(OR(Q104&gt;=40,ABS(P104)&gt;=15),"Alarme",IF(OR(Q104&gt;=IF(OR(ISNUMBER(SEARCH("Alçado AB",D104)),ISNUMBER(SEARCH("Alçado CD",D104)),ISNUMBER(SEARCH("Alçado BF",D104)),ISNUMBER(SEARCH("Alçado PQ",D104))),20,30),ABS(P104)&gt;=10),"Alerta","Regular")),IF(OR(Q104&gt;=25,ABS(P104)&gt;=20),"Alarme",IF(OR(Q104&gt;=15,ABS(P104)&gt;=10),"Alerta","Regular"))))</x:f>
        <x:v>Regular</x:v>
      </x:c>
      <x:c r="S104" t="str">
        <x:v>RELATÓRIO ALVOS TOPOGRÁFICOS - Empreitada THE EDEN, Estoril_ R09_31-10-25(1).pdf</x:v>
      </x:c>
      <x:c r="T104" t="n">
        <x:v>15</x:v>
      </x:c>
    </x:row>
    <x:row r="105">
      <x:c r="A105" s="48" t="n">
        <x:v>45936</x:v>
      </x:c>
      <x:c r="B105" t="n">
        <x:v>6</x:v>
      </x:c>
      <x:c r="C105" t="str">
        <x:v>C3</x:v>
      </x:c>
      <x:c r="D105" t="str">
        <x:v>Clínica Abreu Loureiro</x:v>
      </x:c>
      <x:c r="E105" s="66" t="n">
        <x:v>5058.5259</x:v>
      </x:c>
      <x:c r="F105" s="66" t="n">
        <x:v>5053.176</x:v>
      </x:c>
      <x:c r="G105" s="66" t="n">
        <x:v>63.5252</x:v>
      </x:c>
      <x:c r="H105" s="66" t="n">
        <x:v>5058.5264</x:v>
      </x:c>
      <x:c r="I105" s="66" t="n">
        <x:v>5053.1761</x:v>
      </x:c>
      <x:c r="J105" s="66" t="n">
        <x:v>63.5247</x:v>
      </x:c>
      <x:c r="K105" s="50" t="n">
        <x:v>0.8</x:v>
      </x:c>
      <x:c r="L105" s="50" t="n">
        <x:v>0.1</x:v>
      </x:c>
      <x:c r="M105" s="50" t="n">
        <x:v>-0.3</x:v>
      </x:c>
      <x:c r="N105" s="50" t="n">
        <x:v>0.5</x:v>
      </x:c>
      <x:c r="O105" s="50" t="n">
        <x:v>0.1</x:v>
      </x:c>
      <x:c r="P105" s="50" t="n">
        <x:v>-0.5</x:v>
      </x:c>
      <x:c r="Q105" s="50" t="n">
        <x:f>IF(COUNT(N105:O105)&lt;2,"",SQRT(N105^2+O105^2))</x:f>
        <x:v>0.5099019513592785</x:v>
      </x:c>
      <x:c r="R105" t="str">
        <x:f>IF(COUNT(H105:P105)=0,"Sem leitura",IF(ISNUMBER(SEARCH("Escavação",D105)),IF(OR(Q105&gt;=40,ABS(P105)&gt;=15),"Alarme",IF(OR(Q105&gt;=IF(OR(ISNUMBER(SEARCH("Alçado AB",D105)),ISNUMBER(SEARCH("Alçado CD",D105)),ISNUMBER(SEARCH("Alçado BF",D105)),ISNUMBER(SEARCH("Alçado PQ",D105))),20,30),ABS(P105)&gt;=10),"Alerta","Regular")),IF(OR(Q105&gt;=25,ABS(P105)&gt;=20),"Alarme",IF(OR(Q105&gt;=15,ABS(P105)&gt;=10),"Alerta","Regular"))))</x:f>
        <x:v>Regular</x:v>
      </x:c>
      <x:c r="S105" t="str">
        <x:v>RELATÓRIO ALVOS TOPOGRÁFICOS - Empreitada THE EDEN, Estoril_ R09_31-10-25(1).pdf</x:v>
      </x:c>
      <x:c r="T105" t="n">
        <x:v>15</x:v>
      </x:c>
    </x:row>
    <x:row r="106">
      <x:c r="A106" s="48" t="n">
        <x:v>45936</x:v>
      </x:c>
      <x:c r="B106" t="n">
        <x:v>6</x:v>
      </x:c>
      <x:c r="C106" t="str">
        <x:v>C4</x:v>
      </x:c>
      <x:c r="D106" t="str">
        <x:v>Clínica Abreu Loureiro</x:v>
      </x:c>
      <x:c r="E106" s="66" t="n">
        <x:v>5060.2733</x:v>
      </x:c>
      <x:c r="F106" s="66" t="n">
        <x:v>5059.0944</x:v>
      </x:c>
      <x:c r="G106" s="66" t="n">
        <x:v>58.7943</x:v>
      </x:c>
      <x:c r="H106" s="66" t="n">
        <x:v>5060.2734</x:v>
      </x:c>
      <x:c r="I106" s="66" t="n">
        <x:v>5059.0938</x:v>
      </x:c>
      <x:c r="J106" s="66" t="n">
        <x:v>58.7918</x:v>
      </x:c>
      <x:c r="K106" s="50" t="n">
        <x:v>1.3</x:v>
      </x:c>
      <x:c r="L106" s="50" t="n">
        <x:v>-0.7</x:v>
      </x:c>
      <x:c r="M106" s="50" t="n">
        <x:v>-1.8</x:v>
      </x:c>
      <x:c r="N106" s="50" t="n">
        <x:v>0.1</x:v>
      </x:c>
      <x:c r="O106" s="50" t="n">
        <x:v>-0.6</x:v>
      </x:c>
      <x:c r="P106" s="50" t="n">
        <x:v>-2.5</x:v>
      </x:c>
      <x:c r="Q106" s="50" t="n">
        <x:f>IF(COUNT(N106:O106)&lt;2,"",SQRT(N106^2+O106^2))</x:f>
        <x:v>0.6082762530298219</x:v>
      </x:c>
      <x:c r="R106" t="str">
        <x:f>IF(COUNT(H106:P106)=0,"Sem leitura",IF(ISNUMBER(SEARCH("Escavação",D106)),IF(OR(Q106&gt;=40,ABS(P106)&gt;=15),"Alarme",IF(OR(Q106&gt;=IF(OR(ISNUMBER(SEARCH("Alçado AB",D106)),ISNUMBER(SEARCH("Alçado CD",D106)),ISNUMBER(SEARCH("Alçado BF",D106)),ISNUMBER(SEARCH("Alçado PQ",D106))),20,30),ABS(P106)&gt;=10),"Alerta","Regular")),IF(OR(Q106&gt;=25,ABS(P106)&gt;=20),"Alarme",IF(OR(Q106&gt;=15,ABS(P106)&gt;=10),"Alerta","Regular"))))</x:f>
        <x:v>Regular</x:v>
      </x:c>
      <x:c r="S106" t="str">
        <x:v>RELATÓRIO ALVOS TOPOGRÁFICOS - Empreitada THE EDEN, Estoril_ R09_31-10-25(1).pdf</x:v>
      </x:c>
      <x:c r="T106" t="n">
        <x:v>15</x:v>
      </x:c>
    </x:row>
    <x:row r="107">
      <x:c r="A107" s="48" t="n">
        <x:v>45936</x:v>
      </x:c>
      <x:c r="B107" t="n">
        <x:v>6</x:v>
      </x:c>
      <x:c r="C107" t="str">
        <x:v>A1</x:v>
      </x:c>
      <x:c r="D107" t="str">
        <x:v>Edifício Santa Casa da Misericórdia</x:v>
      </x:c>
      <x:c r="E107" s="66" t="n">
        <x:v>4990.9657</x:v>
      </x:c>
      <x:c r="F107" s="66" t="n">
        <x:v>5053.745</x:v>
      </x:c>
      <x:c r="G107" s="66" t="n">
        <x:v>60.5536</x:v>
      </x:c>
      <x:c r="H107" s="66" t="n">
        <x:v>4990.966</x:v>
      </x:c>
      <x:c r="I107" s="66" t="n">
        <x:v>5053.7396</x:v>
      </x:c>
      <x:c r="J107" s="66" t="n">
        <x:v>60.5533</x:v>
      </x:c>
      <x:c r="K107" s="50" t="n">
        <x:v>-0.1</x:v>
      </x:c>
      <x:c r="L107" s="50" t="n">
        <x:v>-0.1</x:v>
      </x:c>
      <x:c r="M107" s="50" t="n">
        <x:v>-0.4</x:v>
      </x:c>
      <x:c r="N107" s="50" t="n">
        <x:v>0.3</x:v>
      </x:c>
      <x:c r="O107" s="50" t="n">
        <x:v>-5.4</x:v>
      </x:c>
      <x:c r="P107" s="50" t="n">
        <x:v>-0.3</x:v>
      </x:c>
      <x:c r="Q107" s="50" t="n">
        <x:f>IF(COUNT(N107:O107)&lt;2,"",SQRT(N107^2+O107^2))</x:f>
        <x:v>5.408326913195984</x:v>
      </x:c>
      <x:c r="R107" t="str">
        <x:f>IF(COUNT(H107:P107)=0,"Sem leitura",IF(ISNUMBER(SEARCH("Escavação",D107)),IF(OR(Q107&gt;=40,ABS(P107)&gt;=15),"Alarme",IF(OR(Q107&gt;=IF(OR(ISNUMBER(SEARCH("Alçado AB",D107)),ISNUMBER(SEARCH("Alçado CD",D107)),ISNUMBER(SEARCH("Alçado BF",D107)),ISNUMBER(SEARCH("Alçado PQ",D107))),20,30),ABS(P107)&gt;=10),"Alerta","Regular")),IF(OR(Q107&gt;=25,ABS(P107)&gt;=20),"Alarme",IF(OR(Q107&gt;=15,ABS(P107)&gt;=10),"Alerta","Regular"))))</x:f>
        <x:v>Regular</x:v>
      </x:c>
      <x:c r="S107" t="str">
        <x:v>RELATÓRIO ALVOS TOPOGRÁFICOS - Empreitada THE EDEN, Estoril_ R09_31-10-25(1).pdf</x:v>
      </x:c>
      <x:c r="T107" t="n">
        <x:v>15</x:v>
      </x:c>
    </x:row>
    <x:row r="108">
      <x:c r="A108" s="48" t="n">
        <x:v>45936</x:v>
      </x:c>
      <x:c r="B108" t="n">
        <x:v>6</x:v>
      </x:c>
      <x:c r="C108" t="str">
        <x:v>A2</x:v>
      </x:c>
      <x:c r="D108" t="str">
        <x:v>Edifício Santa Casa da Misericórdia</x:v>
      </x:c>
      <x:c r="E108" s="66" t="n">
        <x:v>4990.9761</x:v>
      </x:c>
      <x:c r="F108" s="66" t="n">
        <x:v>5053.7455</x:v>
      </x:c>
      <x:c r="G108" s="66" t="n">
        <x:v>59.0952</x:v>
      </x:c>
      <x:c r="H108" s="66" t="n">
        <x:v>4990.9753</x:v>
      </x:c>
      <x:c r="I108" s="66" t="n">
        <x:v>5053.7418</x:v>
      </x:c>
      <x:c r="J108" s="66" t="n">
        <x:v>59.0973</x:v>
      </x:c>
      <x:c r="K108" s="50" t="n">
        <x:v>-0.5</x:v>
      </x:c>
      <x:c r="L108" s="50" t="n">
        <x:v>0.9</x:v>
      </x:c>
      <x:c r="M108" s="50" t="n">
        <x:v>0.5</x:v>
      </x:c>
      <x:c r="N108" s="50" t="n">
        <x:v>-0.8</x:v>
      </x:c>
      <x:c r="O108" s="50" t="n">
        <x:v>-3.7</x:v>
      </x:c>
      <x:c r="P108" s="50" t="n">
        <x:v>2.1</x:v>
      </x:c>
      <x:c r="Q108" s="50" t="n">
        <x:f>IF(COUNT(N108:O108)&lt;2,"",SQRT(N108^2+O108^2))</x:f>
        <x:v>3.78549864614954</x:v>
      </x:c>
      <x:c r="R108" t="str">
        <x:f>IF(COUNT(H108:P108)=0,"Sem leitura",IF(ISNUMBER(SEARCH("Escavação",D108)),IF(OR(Q108&gt;=40,ABS(P108)&gt;=15),"Alarme",IF(OR(Q108&gt;=IF(OR(ISNUMBER(SEARCH("Alçado AB",D108)),ISNUMBER(SEARCH("Alçado CD",D108)),ISNUMBER(SEARCH("Alçado BF",D108)),ISNUMBER(SEARCH("Alçado PQ",D108))),20,30),ABS(P108)&gt;=10),"Alerta","Regular")),IF(OR(Q108&gt;=25,ABS(P108)&gt;=20),"Alarme",IF(OR(Q108&gt;=15,ABS(P108)&gt;=10),"Alerta","Regular"))))</x:f>
        <x:v>Regular</x:v>
      </x:c>
      <x:c r="S108" t="str">
        <x:v>RELATÓRIO ALVOS TOPOGRÁFICOS - Empreitada THE EDEN, Estoril_ R09_31-10-25(1).pdf</x:v>
      </x:c>
      <x:c r="T108" t="n">
        <x:v>15</x:v>
      </x:c>
    </x:row>
    <x:row r="109">
      <x:c r="A109" s="48" t="n">
        <x:v>45936</x:v>
      </x:c>
      <x:c r="B109" t="n">
        <x:v>6</x:v>
      </x:c>
      <x:c r="C109" t="str">
        <x:v>A3</x:v>
      </x:c>
      <x:c r="D109" t="str">
        <x:v>Edifício Santa Casa da Misericórdia</x:v>
      </x:c>
      <x:c r="E109" s="66" t="n">
        <x:v>5001.0813</x:v>
      </x:c>
      <x:c r="F109" s="66" t="n">
        <x:v>5053.5292</x:v>
      </x:c>
      <x:c r="G109" s="66" t="n">
        <x:v>60.6219</x:v>
      </x:c>
      <x:c r="H109" s="66" t="n">
        <x:v>5001.0839</x:v>
      </x:c>
      <x:c r="I109" s="66" t="n">
        <x:v>5053.5192</x:v>
      </x:c>
      <x:c r="J109" s="66" t="n">
        <x:v>60.6195</x:v>
      </x:c>
      <x:c r="K109" s="50" t="n">
        <x:v>-0.1</x:v>
      </x:c>
      <x:c r="L109" s="50" t="n">
        <x:v>0.7</x:v>
      </x:c>
      <x:c r="M109" s="50" t="n">
        <x:v>-1</x:v>
      </x:c>
      <x:c r="N109" s="50" t="n">
        <x:v>2.6</x:v>
      </x:c>
      <x:c r="O109" s="50" t="n">
        <x:v>-10</x:v>
      </x:c>
      <x:c r="P109" s="50" t="n">
        <x:v>-2.4</x:v>
      </x:c>
      <x:c r="Q109" s="50" t="n">
        <x:f>IF(COUNT(N109:O109)&lt;2,"",SQRT(N109^2+O109^2))</x:f>
        <x:v>10.332473082471592</x:v>
      </x:c>
      <x:c r="R109" t="str">
        <x:f>IF(COUNT(H109:P109)=0,"Sem leitura",IF(ISNUMBER(SEARCH("Escavação",D109)),IF(OR(Q109&gt;=40,ABS(P109)&gt;=15),"Alarme",IF(OR(Q109&gt;=IF(OR(ISNUMBER(SEARCH("Alçado AB",D109)),ISNUMBER(SEARCH("Alçado CD",D109)),ISNUMBER(SEARCH("Alçado BF",D109)),ISNUMBER(SEARCH("Alçado PQ",D109))),20,30),ABS(P109)&gt;=10),"Alerta","Regular")),IF(OR(Q109&gt;=25,ABS(P109)&gt;=20),"Alarme",IF(OR(Q109&gt;=15,ABS(P109)&gt;=10),"Alerta","Regular"))))</x:f>
        <x:v>Regular</x:v>
      </x:c>
      <x:c r="S109" t="str">
        <x:v>RELATÓRIO ALVOS TOPOGRÁFICOS - Empreitada THE EDEN, Estoril_ R09_31-10-25(1).pdf</x:v>
      </x:c>
      <x:c r="T109" t="n">
        <x:v>15</x:v>
      </x:c>
    </x:row>
    <x:row r="110">
      <x:c r="A110" s="48" t="n">
        <x:v>45936</x:v>
      </x:c>
      <x:c r="B110" t="n">
        <x:v>6</x:v>
      </x:c>
      <x:c r="C110" t="str">
        <x:v>A4</x:v>
      </x:c>
      <x:c r="D110" t="str">
        <x:v>Edifício Santa Casa da Misericórdia</x:v>
      </x:c>
      <x:c r="E110" s="66" t="n">
        <x:v>5001.0428</x:v>
      </x:c>
      <x:c r="F110" s="66" t="n">
        <x:v>5053.5322</x:v>
      </x:c>
      <x:c r="G110" s="66" t="n">
        <x:v>58.6778</x:v>
      </x:c>
      <x:c r="H110" s="66" t="n">
        <x:v>5001.0462</x:v>
      </x:c>
      <x:c r="I110" s="66" t="n">
        <x:v>5053.5249</x:v>
      </x:c>
      <x:c r="J110" s="66" t="n">
        <x:v>58.6753</x:v>
      </x:c>
      <x:c r="K110" s="50" t="n">
        <x:v>0</x:v>
      </x:c>
      <x:c r="L110" s="50" t="n">
        <x:v>0.8</x:v>
      </x:c>
      <x:c r="M110" s="50" t="n">
        <x:v>-0.1</x:v>
      </x:c>
      <x:c r="N110" s="50" t="n">
        <x:v>3.4</x:v>
      </x:c>
      <x:c r="O110" s="50" t="n">
        <x:v>-7.3</x:v>
      </x:c>
      <x:c r="P110" s="50" t="n">
        <x:v>-2.5</x:v>
      </x:c>
      <x:c r="Q110" s="50" t="n">
        <x:f>IF(COUNT(N110:O110)&lt;2,"",SQRT(N110^2+O110^2))</x:f>
        <x:v>8.052949770115296</x:v>
      </x:c>
      <x:c r="R110" t="str">
        <x:f>IF(COUNT(H110:P110)=0,"Sem leitura",IF(ISNUMBER(SEARCH("Escavação",D110)),IF(OR(Q110&gt;=40,ABS(P110)&gt;=15),"Alarme",IF(OR(Q110&gt;=IF(OR(ISNUMBER(SEARCH("Alçado AB",D110)),ISNUMBER(SEARCH("Alçado CD",D110)),ISNUMBER(SEARCH("Alçado BF",D110)),ISNUMBER(SEARCH("Alçado PQ",D110))),20,30),ABS(P110)&gt;=10),"Alerta","Regular")),IF(OR(Q110&gt;=25,ABS(P110)&gt;=20),"Alarme",IF(OR(Q110&gt;=15,ABS(P110)&gt;=10),"Alerta","Regular"))))</x:f>
        <x:v>Regular</x:v>
      </x:c>
      <x:c r="S110" t="str">
        <x:v>RELATÓRIO ALVOS TOPOGRÁFICOS - Empreitada THE EDEN, Estoril_ R09_31-10-25(1).pdf</x:v>
      </x:c>
      <x:c r="T110" t="n">
        <x:v>15</x:v>
      </x:c>
    </x:row>
    <x:row r="111">
      <x:c r="A111" s="48" t="n">
        <x:v>45936</x:v>
      </x:c>
      <x:c r="B111" t="n">
        <x:v>6</x:v>
      </x:c>
      <x:c r="C111" t="str">
        <x:v>A5</x:v>
      </x:c>
      <x:c r="D111" t="str">
        <x:v>Edifício Santa Casa da Misericórdia</x:v>
      </x:c>
      <x:c r="E111" s="66" t="n">
        <x:v>5005.4018</x:v>
      </x:c>
      <x:c r="F111" s="66" t="n">
        <x:v>5054.5141</x:v>
      </x:c>
      <x:c r="G111" s="66" t="n">
        <x:v>60.1819</x:v>
      </x:c>
      <x:c r="H111" s="66"/>
      <x:c r="I111" s="66"/>
      <x:c r="J111" s="66"/>
      <x:c r="K111" s="50"/>
      <x:c r="L111" s="50"/>
      <x:c r="M111" s="50"/>
      <x:c r="N111" s="50"/>
      <x:c r="O111" s="50"/>
      <x:c r="P111" s="50"/>
      <x:c r="Q111" s="50" t="str">
        <x:f>IF(COUNT(N111:O111)&lt;2,"",SQRT(N111^2+O111^2))</x:f>
      </x:c>
      <x:c r="R111" t="str">
        <x:f>IF(COUNT(H111:P111)=0,"Sem leitura",IF(ISNUMBER(SEARCH("Escavação",D111)),IF(OR(Q111&gt;=40,ABS(P111)&gt;=15),"Alarme",IF(OR(Q111&gt;=IF(OR(ISNUMBER(SEARCH("Alçado AB",D111)),ISNUMBER(SEARCH("Alçado CD",D111)),ISNUMBER(SEARCH("Alçado BF",D111)),ISNUMBER(SEARCH("Alçado PQ",D111))),20,30),ABS(P111)&gt;=10),"Alerta","Regular")),IF(OR(Q111&gt;=25,ABS(P111)&gt;=20),"Alarme",IF(OR(Q111&gt;=15,ABS(P111)&gt;=10),"Alerta","Regular"))))</x:f>
        <x:v>Sem leitura</x:v>
      </x:c>
      <x:c r="S111" t="str">
        <x:v>RELATÓRIO ALVOS TOPOGRÁFICOS - Empreitada THE EDEN, Estoril_ R09_31-10-25(1).pdf</x:v>
      </x:c>
      <x:c r="T111" t="n">
        <x:v>15</x:v>
      </x:c>
    </x:row>
    <x:row r="112">
      <x:c r="A112" s="48" t="n">
        <x:v>45936</x:v>
      </x:c>
      <x:c r="B112" t="n">
        <x:v>6</x:v>
      </x:c>
      <x:c r="C112" t="str">
        <x:v>A6</x:v>
      </x:c>
      <x:c r="D112" t="str">
        <x:v>Edifício Santa Casa da Misericórdia</x:v>
      </x:c>
      <x:c r="E112" s="66" t="n">
        <x:v>5005.4051</x:v>
      </x:c>
      <x:c r="F112" s="66" t="n">
        <x:v>5054.5767</x:v>
      </x:c>
      <x:c r="G112" s="66" t="n">
        <x:v>58.647</x:v>
      </x:c>
      <x:c r="H112" s="66"/>
      <x:c r="I112" s="66"/>
      <x:c r="J112" s="66"/>
      <x:c r="K112" s="50"/>
      <x:c r="L112" s="50"/>
      <x:c r="M112" s="50"/>
      <x:c r="N112" s="50"/>
      <x:c r="O112" s="50"/>
      <x:c r="P112" s="50"/>
      <x:c r="Q112" s="50" t="str">
        <x:f>IF(COUNT(N112:O112)&lt;2,"",SQRT(N112^2+O112^2))</x:f>
      </x:c>
      <x:c r="R112" t="str">
        <x:f>IF(COUNT(H112:P112)=0,"Sem leitura",IF(ISNUMBER(SEARCH("Escavação",D112)),IF(OR(Q112&gt;=40,ABS(P112)&gt;=15),"Alarme",IF(OR(Q112&gt;=IF(OR(ISNUMBER(SEARCH("Alçado AB",D112)),ISNUMBER(SEARCH("Alçado CD",D112)),ISNUMBER(SEARCH("Alçado BF",D112)),ISNUMBER(SEARCH("Alçado PQ",D112))),20,30),ABS(P112)&gt;=10),"Alerta","Regular")),IF(OR(Q112&gt;=25,ABS(P112)&gt;=20),"Alarme",IF(OR(Q112&gt;=15,ABS(P112)&gt;=10),"Alerta","Regular"))))</x:f>
        <x:v>Sem leitura</x:v>
      </x:c>
      <x:c r="S112" t="str">
        <x:v>RELATÓRIO ALVOS TOPOGRÁFICOS - Empreitada THE EDEN, Estoril_ R09_31-10-25(1).pdf</x:v>
      </x:c>
      <x:c r="T112" t="n">
        <x:v>15</x:v>
      </x:c>
    </x:row>
    <x:row r="113">
      <x:c r="A113" s="48" t="n">
        <x:v>45936</x:v>
      </x:c>
      <x:c r="B113" t="n">
        <x:v>6</x:v>
      </x:c>
      <x:c r="C113" t="str">
        <x:v>A7</x:v>
      </x:c>
      <x:c r="D113" t="str">
        <x:v>Edifício Santa Casa da Misericórdia</x:v>
      </x:c>
      <x:c r="E113" s="66" t="n">
        <x:v>5005.8755</x:v>
      </x:c>
      <x:c r="F113" s="66" t="n">
        <x:v>5063.3174</x:v>
      </x:c>
      <x:c r="G113" s="66" t="n">
        <x:v>60.4811</x:v>
      </x:c>
      <x:c r="H113" s="66"/>
      <x:c r="I113" s="66"/>
      <x:c r="J113" s="66"/>
      <x:c r="K113" s="50"/>
      <x:c r="L113" s="50"/>
      <x:c r="M113" s="50"/>
      <x:c r="N113" s="50"/>
      <x:c r="O113" s="50"/>
      <x:c r="P113" s="50"/>
      <x:c r="Q113" s="50" t="str">
        <x:f>IF(COUNT(N113:O113)&lt;2,"",SQRT(N113^2+O113^2))</x:f>
      </x:c>
      <x:c r="R113" t="str">
        <x:f>IF(COUNT(H113:P113)=0,"Sem leitura",IF(ISNUMBER(SEARCH("Escavação",D113)),IF(OR(Q113&gt;=40,ABS(P113)&gt;=15),"Alarme",IF(OR(Q113&gt;=IF(OR(ISNUMBER(SEARCH("Alçado AB",D113)),ISNUMBER(SEARCH("Alçado CD",D113)),ISNUMBER(SEARCH("Alçado BF",D113)),ISNUMBER(SEARCH("Alçado PQ",D113))),20,30),ABS(P113)&gt;=10),"Alerta","Regular")),IF(OR(Q113&gt;=25,ABS(P113)&gt;=20),"Alarme",IF(OR(Q113&gt;=15,ABS(P113)&gt;=10),"Alerta","Regular"))))</x:f>
        <x:v>Sem leitura</x:v>
      </x:c>
      <x:c r="S113" t="str">
        <x:v>RELATÓRIO ALVOS TOPOGRÁFICOS - Empreitada THE EDEN, Estoril_ R09_31-10-25(1).pdf</x:v>
      </x:c>
      <x:c r="T113" t="n">
        <x:v>15</x:v>
      </x:c>
    </x:row>
    <x:row r="114">
      <x:c r="A114" s="48" t="n">
        <x:v>45936</x:v>
      </x:c>
      <x:c r="B114" t="n">
        <x:v>6</x:v>
      </x:c>
      <x:c r="C114" t="str">
        <x:v>A8</x:v>
      </x:c>
      <x:c r="D114" t="str">
        <x:v>Edifício Santa Casa da Misericórdia</x:v>
      </x:c>
      <x:c r="E114" s="66" t="n">
        <x:v>5005.8839</x:v>
      </x:c>
      <x:c r="F114" s="66" t="n">
        <x:v>5063.7008</x:v>
      </x:c>
      <x:c r="G114" s="66" t="n">
        <x:v>59.3293</x:v>
      </x:c>
      <x:c r="H114" s="66"/>
      <x:c r="I114" s="66"/>
      <x:c r="J114" s="66"/>
      <x:c r="K114" s="50"/>
      <x:c r="L114" s="50"/>
      <x:c r="M114" s="50"/>
      <x:c r="N114" s="50"/>
      <x:c r="O114" s="50"/>
      <x:c r="P114" s="50"/>
      <x:c r="Q114" s="50" t="str">
        <x:f>IF(COUNT(N114:O114)&lt;2,"",SQRT(N114^2+O114^2))</x:f>
      </x:c>
      <x:c r="R114" t="str">
        <x:f>IF(COUNT(H114:P114)=0,"Sem leitura",IF(ISNUMBER(SEARCH("Escavação",D114)),IF(OR(Q114&gt;=40,ABS(P114)&gt;=15),"Alarme",IF(OR(Q114&gt;=IF(OR(ISNUMBER(SEARCH("Alçado AB",D114)),ISNUMBER(SEARCH("Alçado CD",D114)),ISNUMBER(SEARCH("Alçado BF",D114)),ISNUMBER(SEARCH("Alçado PQ",D114))),20,30),ABS(P114)&gt;=10),"Alerta","Regular")),IF(OR(Q114&gt;=25,ABS(P114)&gt;=20),"Alarme",IF(OR(Q114&gt;=15,ABS(P114)&gt;=10),"Alerta","Regular"))))</x:f>
        <x:v>Sem leitura</x:v>
      </x:c>
      <x:c r="S114" t="str">
        <x:v>RELATÓRIO ALVOS TOPOGRÁFICOS - Empreitada THE EDEN, Estoril_ R09_31-10-25(1).pdf</x:v>
      </x:c>
      <x:c r="T114" t="n">
        <x:v>15</x:v>
      </x:c>
    </x:row>
    <x:row r="115">
      <x:c r="A115" s="48" t="n">
        <x:v>45936</x:v>
      </x:c>
      <x:c r="B115" t="n">
        <x:v>0</x:v>
      </x:c>
      <x:c r="C115" t="str">
        <x:v>AB1</x:v>
      </x:c>
      <x:c r="D115" t="str">
        <x:v>Escavação e Contenção Periférica - Alçado AB</x:v>
      </x:c>
      <x:c r="E115" s="66" t="n">
        <x:v>5019.724</x:v>
      </x:c>
      <x:c r="F115" s="66" t="n">
        <x:v>5017.4448</x:v>
      </x:c>
      <x:c r="G115" s="66" t="n">
        <x:v>48.2671</x:v>
      </x:c>
      <x:c r="H115" s="66" t="n">
        <x:v>5019.724</x:v>
      </x:c>
      <x:c r="I115" s="66" t="n">
        <x:v>5017.4448</x:v>
      </x:c>
      <x:c r="J115" s="66" t="n">
        <x:v>48.2671</x:v>
      </x:c>
      <x:c r="K115" s="50" t="n">
        <x:v>0</x:v>
      </x:c>
      <x:c r="L115" s="50" t="n">
        <x:v>0</x:v>
      </x:c>
      <x:c r="M115" s="50" t="n">
        <x:v>0</x:v>
      </x:c>
      <x:c r="N115" s="50" t="n">
        <x:v>0</x:v>
      </x:c>
      <x:c r="O115" s="50" t="n">
        <x:v>0</x:v>
      </x:c>
      <x:c r="P115" s="50" t="n">
        <x:v>0</x:v>
      </x:c>
      <x:c r="Q115" s="50" t="n">
        <x:f>IF(COUNT(N115:O115)&lt;2,"",SQRT(N115^2+O115^2))</x:f>
        <x:v>0</x:v>
      </x:c>
      <x:c r="R115" t="str">
        <x:f>IF(COUNT(H115:P115)=0,"Sem leitura",IF(ISNUMBER(SEARCH("Escavação",D115)),IF(OR(Q115&gt;=40,ABS(P115)&gt;=15),"Alarme",IF(OR(Q115&gt;=IF(OR(ISNUMBER(SEARCH("Alçado AB",D115)),ISNUMBER(SEARCH("Alçado CD",D115)),ISNUMBER(SEARCH("Alçado BF",D115)),ISNUMBER(SEARCH("Alçado PQ",D115))),20,30),ABS(P115)&gt;=10),"Alerta","Regular")),IF(OR(Q115&gt;=25,ABS(P115)&gt;=20),"Alarme",IF(OR(Q115&gt;=15,ABS(P115)&gt;=10),"Alerta","Regular"))))</x:f>
        <x:v>Regular</x:v>
      </x:c>
      <x:c r="S115" t="str">
        <x:v>RELATÓRIO ALVOS TOPOGRÁFICOS - Empreitada THE EDEN, Estoril_ R09_31-10-25(1).pdf</x:v>
      </x:c>
      <x:c r="T115" t="n">
        <x:v>38</x:v>
      </x:c>
    </x:row>
    <x:row r="116">
      <x:c r="A116" s="48" t="n">
        <x:v>45936</x:v>
      </x:c>
      <x:c r="B116" t="n">
        <x:v>1</x:v>
      </x:c>
      <x:c r="C116" t="str">
        <x:v>AB1</x:v>
      </x:c>
      <x:c r="D116" t="str">
        <x:v>Escavação e Contenção Periférica - Alçado AB</x:v>
      </x:c>
      <x:c r="E116" s="66" t="n">
        <x:v>5019.724</x:v>
      </x:c>
      <x:c r="F116" s="66" t="n">
        <x:v>5017.4448</x:v>
      </x:c>
      <x:c r="G116" s="66" t="n">
        <x:v>48.2671</x:v>
      </x:c>
      <x:c r="H116" s="66" t="n">
        <x:v>5019.724</x:v>
      </x:c>
      <x:c r="I116" s="66" t="n">
        <x:v>5017.4448</x:v>
      </x:c>
      <x:c r="J116" s="66" t="n">
        <x:v>48.2671</x:v>
      </x:c>
      <x:c r="K116" s="50" t="n">
        <x:v>0</x:v>
      </x:c>
      <x:c r="L116" s="50" t="n">
        <x:v>0</x:v>
      </x:c>
      <x:c r="M116" s="50" t="n">
        <x:v>0</x:v>
      </x:c>
      <x:c r="N116" s="50" t="n">
        <x:v>0</x:v>
      </x:c>
      <x:c r="O116" s="50" t="n">
        <x:v>0</x:v>
      </x:c>
      <x:c r="P116" s="50" t="n">
        <x:v>0</x:v>
      </x:c>
      <x:c r="Q116" s="50" t="n">
        <x:f>IF(COUNT(N116:O116)&lt;2,"",SQRT(N116^2+O116^2))</x:f>
        <x:v>0</x:v>
      </x:c>
      <x:c r="R116" t="str">
        <x:f>IF(COUNT(H116:P116)=0,"Sem leitura",IF(ISNUMBER(SEARCH("Escavação",D116)),IF(OR(Q116&gt;=40,ABS(P116)&gt;=15),"Alarme",IF(OR(Q116&gt;=IF(OR(ISNUMBER(SEARCH("Alçado AB",D116)),ISNUMBER(SEARCH("Alçado CD",D116)),ISNUMBER(SEARCH("Alçado BF",D116)),ISNUMBER(SEARCH("Alçado PQ",D116))),20,30),ABS(P116)&gt;=10),"Alerta","Regular")),IF(OR(Q116&gt;=25,ABS(P116)&gt;=20),"Alarme",IF(OR(Q116&gt;=15,ABS(P116)&gt;=10),"Alerta","Regular"))))</x:f>
        <x:v>Regular</x:v>
      </x:c>
      <x:c r="S116" t="str">
        <x:v>RELATÓRIO ALVOS TOPOGRÁFICOS - Empreitada THE EDEN, Estoril_ R09_31-10-25(1).pdf</x:v>
      </x:c>
      <x:c r="T116" t="n">
        <x:v>39</x:v>
      </x:c>
    </x:row>
    <x:row r="117">
      <x:c r="A117" s="48" t="n">
        <x:v>45936</x:v>
      </x:c>
      <x:c r="B117" t="n">
        <x:v>0</x:v>
      </x:c>
      <x:c r="C117" t="str">
        <x:v>BF1</x:v>
      </x:c>
      <x:c r="D117" t="str">
        <x:v>Escavação e Contenção Periférica - Alçado BF</x:v>
      </x:c>
      <x:c r="E117" s="66" t="n">
        <x:v>4986.2775</x:v>
      </x:c>
      <x:c r="F117" s="66" t="n">
        <x:v>5019.8639</x:v>
      </x:c>
      <x:c r="G117" s="66" t="n">
        <x:v>50.873</x:v>
      </x:c>
      <x:c r="H117" s="66" t="n">
        <x:v>4986.2775</x:v>
      </x:c>
      <x:c r="I117" s="66" t="n">
        <x:v>5019.8639</x:v>
      </x:c>
      <x:c r="J117" s="66" t="n">
        <x:v>50.873</x:v>
      </x:c>
      <x:c r="K117" s="50" t="n">
        <x:v>0</x:v>
      </x:c>
      <x:c r="L117" s="50" t="n">
        <x:v>0</x:v>
      </x:c>
      <x:c r="M117" s="50" t="n">
        <x:v>0</x:v>
      </x:c>
      <x:c r="N117" s="50" t="n">
        <x:v>0</x:v>
      </x:c>
      <x:c r="O117" s="50" t="n">
        <x:v>0</x:v>
      </x:c>
      <x:c r="P117" s="50" t="n">
        <x:v>0</x:v>
      </x:c>
      <x:c r="Q117" s="50" t="n">
        <x:f>IF(COUNT(N117:O117)&lt;2,"",SQRT(N117^2+O117^2))</x:f>
        <x:v>0</x:v>
      </x:c>
      <x:c r="R117" t="str">
        <x:f>IF(COUNT(H117:P117)=0,"Sem leitura",IF(ISNUMBER(SEARCH("Escavação",D117)),IF(OR(Q117&gt;=40,ABS(P117)&gt;=15),"Alarme",IF(OR(Q117&gt;=IF(OR(ISNUMBER(SEARCH("Alçado AB",D117)),ISNUMBER(SEARCH("Alçado CD",D117)),ISNUMBER(SEARCH("Alçado BF",D117)),ISNUMBER(SEARCH("Alçado PQ",D117))),20,30),ABS(P117)&gt;=10),"Alerta","Regular")),IF(OR(Q117&gt;=25,ABS(P117)&gt;=20),"Alarme",IF(OR(Q117&gt;=15,ABS(P117)&gt;=10),"Alerta","Regular"))))</x:f>
        <x:v>Regular</x:v>
      </x:c>
      <x:c r="S117" t="str">
        <x:v>RELATÓRIO ALVOS TOPOGRÁFICOS - Empreitada THE EDEN, Estoril_ R09_31-10-25(1).pdf</x:v>
      </x:c>
      <x:c r="T117" t="n">
        <x:v>38</x:v>
      </x:c>
    </x:row>
    <x:row r="118">
      <x:c r="A118" s="48" t="n">
        <x:v>45936</x:v>
      </x:c>
      <x:c r="B118" t="n">
        <x:v>1</x:v>
      </x:c>
      <x:c r="C118" t="str">
        <x:v>BF1</x:v>
      </x:c>
      <x:c r="D118" t="str">
        <x:v>Escavação e Contenção Periférica - Alçado BF</x:v>
      </x:c>
      <x:c r="E118" s="66" t="n">
        <x:v>4986.2775</x:v>
      </x:c>
      <x:c r="F118" s="66" t="n">
        <x:v>5019.8639</x:v>
      </x:c>
      <x:c r="G118" s="66" t="n">
        <x:v>50.873</x:v>
      </x:c>
      <x:c r="H118" s="66" t="n">
        <x:v>4986.2775</x:v>
      </x:c>
      <x:c r="I118" s="66" t="n">
        <x:v>5019.8639</x:v>
      </x:c>
      <x:c r="J118" s="66" t="n">
        <x:v>50.873</x:v>
      </x:c>
      <x:c r="K118" s="50" t="n">
        <x:v>0</x:v>
      </x:c>
      <x:c r="L118" s="50" t="n">
        <x:v>0</x:v>
      </x:c>
      <x:c r="M118" s="50" t="n">
        <x:v>0</x:v>
      </x:c>
      <x:c r="N118" s="50" t="n">
        <x:v>0</x:v>
      </x:c>
      <x:c r="O118" s="50" t="n">
        <x:v>0</x:v>
      </x:c>
      <x:c r="P118" s="50" t="n">
        <x:v>0</x:v>
      </x:c>
      <x:c r="Q118" s="50" t="n">
        <x:f>IF(COUNT(N118:O118)&lt;2,"",SQRT(N118^2+O118^2))</x:f>
        <x:v>0</x:v>
      </x:c>
      <x:c r="R118" t="str">
        <x:f>IF(COUNT(H118:P118)=0,"Sem leitura",IF(ISNUMBER(SEARCH("Escavação",D118)),IF(OR(Q118&gt;=40,ABS(P118)&gt;=15),"Alarme",IF(OR(Q118&gt;=IF(OR(ISNUMBER(SEARCH("Alçado AB",D118)),ISNUMBER(SEARCH("Alçado CD",D118)),ISNUMBER(SEARCH("Alçado BF",D118)),ISNUMBER(SEARCH("Alçado PQ",D118))),20,30),ABS(P118)&gt;=10),"Alerta","Regular")),IF(OR(Q118&gt;=25,ABS(P118)&gt;=20),"Alarme",IF(OR(Q118&gt;=15,ABS(P118)&gt;=10),"Alerta","Regular"))))</x:f>
        <x:v>Regular</x:v>
      </x:c>
      <x:c r="S118" t="str">
        <x:v>RELATÓRIO ALVOS TOPOGRÁFICOS - Empreitada THE EDEN, Estoril_ R09_31-10-25(1).pdf</x:v>
      </x:c>
      <x:c r="T118" t="n">
        <x:v>39</x:v>
      </x:c>
    </x:row>
    <x:row r="119">
      <x:c r="A119" s="48" t="n">
        <x:v>45936</x:v>
      </x:c>
      <x:c r="B119" t="n">
        <x:v>0</x:v>
      </x:c>
      <x:c r="C119" t="str">
        <x:v>BF2</x:v>
      </x:c>
      <x:c r="D119" t="str">
        <x:v>Escavação e Contenção Periférica - Alçado BF</x:v>
      </x:c>
      <x:c r="E119" s="66" t="n">
        <x:v>4977.5058</x:v>
      </x:c>
      <x:c r="F119" s="66" t="n">
        <x:v>5027.6043</x:v>
      </x:c>
      <x:c r="G119" s="66" t="n">
        <x:v>52.2084</x:v>
      </x:c>
      <x:c r="H119" s="66" t="n">
        <x:v>4977.5058</x:v>
      </x:c>
      <x:c r="I119" s="66" t="n">
        <x:v>5027.6043</x:v>
      </x:c>
      <x:c r="J119" s="66" t="n">
        <x:v>52.2084</x:v>
      </x:c>
      <x:c r="K119" s="50" t="n">
        <x:v>0</x:v>
      </x:c>
      <x:c r="L119" s="50" t="n">
        <x:v>0</x:v>
      </x:c>
      <x:c r="M119" s="50" t="n">
        <x:v>0</x:v>
      </x:c>
      <x:c r="N119" s="50" t="n">
        <x:v>0</x:v>
      </x:c>
      <x:c r="O119" s="50" t="n">
        <x:v>0</x:v>
      </x:c>
      <x:c r="P119" s="50" t="n">
        <x:v>0</x:v>
      </x:c>
      <x:c r="Q119" s="50" t="n">
        <x:f>IF(COUNT(N119:O119)&lt;2,"",SQRT(N119^2+O119^2))</x:f>
        <x:v>0</x:v>
      </x:c>
      <x:c r="R119" t="str">
        <x:f>IF(COUNT(H119:P119)=0,"Sem leitura",IF(ISNUMBER(SEARCH("Escavação",D119)),IF(OR(Q119&gt;=40,ABS(P119)&gt;=15),"Alarme",IF(OR(Q119&gt;=IF(OR(ISNUMBER(SEARCH("Alçado AB",D119)),ISNUMBER(SEARCH("Alçado CD",D119)),ISNUMBER(SEARCH("Alçado BF",D119)),ISNUMBER(SEARCH("Alçado PQ",D119))),20,30),ABS(P119)&gt;=10),"Alerta","Regular")),IF(OR(Q119&gt;=25,ABS(P119)&gt;=20),"Alarme",IF(OR(Q119&gt;=15,ABS(P119)&gt;=10),"Alerta","Regular"))))</x:f>
        <x:v>Regular</x:v>
      </x:c>
      <x:c r="S119" t="str">
        <x:v>RELATÓRIO ALVOS TOPOGRÁFICOS - Empreitada THE EDEN, Estoril_ R09_31-10-25(1).pdf</x:v>
      </x:c>
      <x:c r="T119" t="n">
        <x:v>38</x:v>
      </x:c>
    </x:row>
    <x:row r="120">
      <x:c r="A120" s="48" t="n">
        <x:v>45936</x:v>
      </x:c>
      <x:c r="B120" t="n">
        <x:v>1</x:v>
      </x:c>
      <x:c r="C120" t="str">
        <x:v>BF2</x:v>
      </x:c>
      <x:c r="D120" t="str">
        <x:v>Escavação e Contenção Periférica - Alçado BF</x:v>
      </x:c>
      <x:c r="E120" s="66" t="n">
        <x:v>4977.5058</x:v>
      </x:c>
      <x:c r="F120" s="66" t="n">
        <x:v>5027.6043</x:v>
      </x:c>
      <x:c r="G120" s="66" t="n">
        <x:v>52.2084</x:v>
      </x:c>
      <x:c r="H120" s="66" t="n">
        <x:v>4977.5058</x:v>
      </x:c>
      <x:c r="I120" s="66" t="n">
        <x:v>5027.6043</x:v>
      </x:c>
      <x:c r="J120" s="66" t="n">
        <x:v>52.2084</x:v>
      </x:c>
      <x:c r="K120" s="50" t="n">
        <x:v>0</x:v>
      </x:c>
      <x:c r="L120" s="50" t="n">
        <x:v>0</x:v>
      </x:c>
      <x:c r="M120" s="50" t="n">
        <x:v>0</x:v>
      </x:c>
      <x:c r="N120" s="50" t="n">
        <x:v>0</x:v>
      </x:c>
      <x:c r="O120" s="50" t="n">
        <x:v>0</x:v>
      </x:c>
      <x:c r="P120" s="50" t="n">
        <x:v>0</x:v>
      </x:c>
      <x:c r="Q120" s="50" t="n">
        <x:f>IF(COUNT(N120:O120)&lt;2,"",SQRT(N120^2+O120^2))</x:f>
        <x:v>0</x:v>
      </x:c>
      <x:c r="R120" t="str">
        <x:f>IF(COUNT(H120:P120)=0,"Sem leitura",IF(ISNUMBER(SEARCH("Escavação",D120)),IF(OR(Q120&gt;=40,ABS(P120)&gt;=15),"Alarme",IF(OR(Q120&gt;=IF(OR(ISNUMBER(SEARCH("Alçado AB",D120)),ISNUMBER(SEARCH("Alçado CD",D120)),ISNUMBER(SEARCH("Alçado BF",D120)),ISNUMBER(SEARCH("Alçado PQ",D120))),20,30),ABS(P120)&gt;=10),"Alerta","Regular")),IF(OR(Q120&gt;=25,ABS(P120)&gt;=20),"Alarme",IF(OR(Q120&gt;=15,ABS(P120)&gt;=10),"Alerta","Regular"))))</x:f>
        <x:v>Regular</x:v>
      </x:c>
      <x:c r="S120" t="str">
        <x:v>RELATÓRIO ALVOS TOPOGRÁFICOS - Empreitada THE EDEN, Estoril_ R09_31-10-25(1).pdf</x:v>
      </x:c>
      <x:c r="T120" t="n">
        <x:v>39</x:v>
      </x:c>
    </x:row>
    <x:row r="121">
      <x:c r="A121" s="48" t="n">
        <x:v>45936</x:v>
      </x:c>
      <x:c r="B121" t="n">
        <x:v>0</x:v>
      </x:c>
      <x:c r="C121" t="str">
        <x:v>CD1</x:v>
      </x:c>
      <x:c r="D121" t="str">
        <x:v>Escavação e Contenção Periférica - Alçado CD</x:v>
      </x:c>
      <x:c r="E121" s="66" t="n">
        <x:v>4982.382</x:v>
      </x:c>
      <x:c r="F121" s="66" t="n">
        <x:v>5027.9636</x:v>
      </x:c>
      <x:c r="G121" s="66" t="n">
        <x:v>48.2755</x:v>
      </x:c>
      <x:c r="H121" s="66" t="n">
        <x:v>4982.382</x:v>
      </x:c>
      <x:c r="I121" s="66" t="n">
        <x:v>5027.9636</x:v>
      </x:c>
      <x:c r="J121" s="66" t="n">
        <x:v>48.2755</x:v>
      </x:c>
      <x:c r="K121" s="50" t="n">
        <x:v>0</x:v>
      </x:c>
      <x:c r="L121" s="50" t="n">
        <x:v>0</x:v>
      </x:c>
      <x:c r="M121" s="50" t="n">
        <x:v>0</x:v>
      </x:c>
      <x:c r="N121" s="50" t="n">
        <x:v>0</x:v>
      </x:c>
      <x:c r="O121" s="50" t="n">
        <x:v>0</x:v>
      </x:c>
      <x:c r="P121" s="50" t="n">
        <x:v>0</x:v>
      </x:c>
      <x:c r="Q121" s="50" t="n">
        <x:f>IF(COUNT(N121:O121)&lt;2,"",SQRT(N121^2+O121^2))</x:f>
        <x:v>0</x:v>
      </x:c>
      <x:c r="R121" t="str">
        <x:f>IF(COUNT(H121:P121)=0,"Sem leitura",IF(ISNUMBER(SEARCH("Escavação",D121)),IF(OR(Q121&gt;=40,ABS(P121)&gt;=15),"Alarme",IF(OR(Q121&gt;=IF(OR(ISNUMBER(SEARCH("Alçado AB",D121)),ISNUMBER(SEARCH("Alçado CD",D121)),ISNUMBER(SEARCH("Alçado BF",D121)),ISNUMBER(SEARCH("Alçado PQ",D121))),20,30),ABS(P121)&gt;=10),"Alerta","Regular")),IF(OR(Q121&gt;=25,ABS(P121)&gt;=20),"Alarme",IF(OR(Q121&gt;=15,ABS(P121)&gt;=10),"Alerta","Regular"))))</x:f>
        <x:v>Regular</x:v>
      </x:c>
      <x:c r="S121" t="str">
        <x:v>RELATÓRIO ALVOS TOPOGRÁFICOS - Empreitada THE EDEN, Estoril_ R09_31-10-25(1).pdf</x:v>
      </x:c>
      <x:c r="T121" t="n">
        <x:v>38</x:v>
      </x:c>
    </x:row>
    <x:row r="122">
      <x:c r="A122" s="48" t="n">
        <x:v>45936</x:v>
      </x:c>
      <x:c r="B122" t="n">
        <x:v>1</x:v>
      </x:c>
      <x:c r="C122" t="str">
        <x:v>CD1</x:v>
      </x:c>
      <x:c r="D122" t="str">
        <x:v>Escavação e Contenção Periférica - Alçado CD</x:v>
      </x:c>
      <x:c r="E122" s="66" t="n">
        <x:v>4982.382</x:v>
      </x:c>
      <x:c r="F122" s="66" t="n">
        <x:v>5027.9636</x:v>
      </x:c>
      <x:c r="G122" s="66" t="n">
        <x:v>48.2755</x:v>
      </x:c>
      <x:c r="H122" s="66" t="n">
        <x:v>4982.382</x:v>
      </x:c>
      <x:c r="I122" s="66" t="n">
        <x:v>5027.9636</x:v>
      </x:c>
      <x:c r="J122" s="66" t="n">
        <x:v>48.2755</x:v>
      </x:c>
      <x:c r="K122" s="50" t="n">
        <x:v>0</x:v>
      </x:c>
      <x:c r="L122" s="50" t="n">
        <x:v>0</x:v>
      </x:c>
      <x:c r="M122" s="50" t="n">
        <x:v>0</x:v>
      </x:c>
      <x:c r="N122" s="50" t="n">
        <x:v>0</x:v>
      </x:c>
      <x:c r="O122" s="50" t="n">
        <x:v>0</x:v>
      </x:c>
      <x:c r="P122" s="50" t="n">
        <x:v>0</x:v>
      </x:c>
      <x:c r="Q122" s="50" t="n">
        <x:f>IF(COUNT(N122:O122)&lt;2,"",SQRT(N122^2+O122^2))</x:f>
        <x:v>0</x:v>
      </x:c>
      <x:c r="R122" t="str">
        <x:f>IF(COUNT(H122:P122)=0,"Sem leitura",IF(ISNUMBER(SEARCH("Escavação",D122)),IF(OR(Q122&gt;=40,ABS(P122)&gt;=15),"Alarme",IF(OR(Q122&gt;=IF(OR(ISNUMBER(SEARCH("Alçado AB",D122)),ISNUMBER(SEARCH("Alçado CD",D122)),ISNUMBER(SEARCH("Alçado BF",D122)),ISNUMBER(SEARCH("Alçado PQ",D122))),20,30),ABS(P122)&gt;=10),"Alerta","Regular")),IF(OR(Q122&gt;=25,ABS(P122)&gt;=20),"Alarme",IF(OR(Q122&gt;=15,ABS(P122)&gt;=10),"Alerta","Regular"))))</x:f>
        <x:v>Regular</x:v>
      </x:c>
      <x:c r="S122" t="str">
        <x:v>RELATÓRIO ALVOS TOPOGRÁFICOS - Empreitada THE EDEN, Estoril_ R09_31-10-25(1).pdf</x:v>
      </x:c>
      <x:c r="T122" t="n">
        <x:v>39</x:v>
      </x:c>
    </x:row>
    <x:row r="123">
      <x:c r="A123" s="48" t="n">
        <x:v>45936</x:v>
      </x:c>
      <x:c r="B123" t="n">
        <x:v>1</x:v>
      </x:c>
      <x:c r="C123" t="str">
        <x:v>FG1</x:v>
      </x:c>
      <x:c r="D123" t="str">
        <x:v>Escavação e Contenção Periférica - Alçado FG</x:v>
      </x:c>
      <x:c r="E123" s="66" t="n">
        <x:v>4974.3925</x:v>
      </x:c>
      <x:c r="F123" s="66" t="n">
        <x:v>5039.5326</x:v>
      </x:c>
      <x:c r="G123" s="66" t="n">
        <x:v>53.5568</x:v>
      </x:c>
      <x:c r="H123" s="66" t="n">
        <x:v>4974.3928</x:v>
      </x:c>
      <x:c r="I123" s="66" t="n">
        <x:v>5039.5335</x:v>
      </x:c>
      <x:c r="J123" s="66" t="n">
        <x:v>53.5568</x:v>
      </x:c>
      <x:c r="K123" s="50" t="n">
        <x:v>0.3</x:v>
      </x:c>
      <x:c r="L123" s="50" t="n">
        <x:v>0.9</x:v>
      </x:c>
      <x:c r="M123" s="50" t="n">
        <x:v>0</x:v>
      </x:c>
      <x:c r="N123" s="50" t="n">
        <x:v>0.3</x:v>
      </x:c>
      <x:c r="O123" s="50" t="n">
        <x:v>0.9</x:v>
      </x:c>
      <x:c r="P123" s="50" t="n">
        <x:v>0</x:v>
      </x:c>
      <x:c r="Q123" s="50" t="n">
        <x:f>IF(COUNT(N123:O123)&lt;2,"",SQRT(N123^2+O123^2))</x:f>
        <x:v>0.9486832980505138</x:v>
      </x:c>
      <x:c r="R123" t="str">
        <x:f>IF(COUNT(H123:P123)=0,"Sem leitura",IF(ISNUMBER(SEARCH("Escavação",D123)),IF(OR(Q123&gt;=40,ABS(P123)&gt;=15),"Alarme",IF(OR(Q123&gt;=IF(OR(ISNUMBER(SEARCH("Alçado AB",D123)),ISNUMBER(SEARCH("Alçado CD",D123)),ISNUMBER(SEARCH("Alçado BF",D123)),ISNUMBER(SEARCH("Alçado PQ",D123))),20,30),ABS(P123)&gt;=10),"Alerta","Regular")),IF(OR(Q123&gt;=25,ABS(P123)&gt;=20),"Alarme",IF(OR(Q123&gt;=15,ABS(P123)&gt;=10),"Alerta","Regular"))))</x:f>
        <x:v>Regular</x:v>
      </x:c>
      <x:c r="S123" t="str">
        <x:v>RELATÓRIO ALVOS TOPOGRÁFICOS - Empreitada THE EDEN, Estoril_ R09_31-10-25(1).pdf</x:v>
      </x:c>
      <x:c r="T123" t="n">
        <x:v>39</x:v>
      </x:c>
    </x:row>
    <x:row r="124">
      <x:c r="A124" s="48" t="n">
        <x:v>45936</x:v>
      </x:c>
      <x:c r="B124" t="n">
        <x:v>1</x:v>
      </x:c>
      <x:c r="C124" t="str">
        <x:v>GH1</x:v>
      </x:c>
      <x:c r="D124" t="str">
        <x:v>Escavação e Contenção Periférica - Alçado GH</x:v>
      </x:c>
      <x:c r="E124" s="66" t="n">
        <x:v>4981.8689</x:v>
      </x:c>
      <x:c r="F124" s="66" t="n">
        <x:v>5046.9902</x:v>
      </x:c>
      <x:c r="G124" s="66" t="n">
        <x:v>53.9665</x:v>
      </x:c>
      <x:c r="H124" s="66" t="n">
        <x:v>4981.8707</x:v>
      </x:c>
      <x:c r="I124" s="66" t="n">
        <x:v>5046.9912</x:v>
      </x:c>
      <x:c r="J124" s="66" t="n">
        <x:v>53.9664</x:v>
      </x:c>
      <x:c r="K124" s="50" t="n">
        <x:v>1.8</x:v>
      </x:c>
      <x:c r="L124" s="50" t="n">
        <x:v>1</x:v>
      </x:c>
      <x:c r="M124" s="50" t="n">
        <x:v>-0.1</x:v>
      </x:c>
      <x:c r="N124" s="50" t="n">
        <x:v>1.8</x:v>
      </x:c>
      <x:c r="O124" s="50" t="n">
        <x:v>1</x:v>
      </x:c>
      <x:c r="P124" s="50" t="n">
        <x:v>-0.1</x:v>
      </x:c>
      <x:c r="Q124" s="50" t="n">
        <x:f>IF(COUNT(N124:O124)&lt;2,"",SQRT(N124^2+O124^2))</x:f>
        <x:v>2.0591260281974</x:v>
      </x:c>
      <x:c r="R124" t="str">
        <x:f>IF(COUNT(H124:P124)=0,"Sem leitura",IF(ISNUMBER(SEARCH("Escavação",D124)),IF(OR(Q124&gt;=40,ABS(P124)&gt;=15),"Alarme",IF(OR(Q124&gt;=IF(OR(ISNUMBER(SEARCH("Alçado AB",D124)),ISNUMBER(SEARCH("Alçado CD",D124)),ISNUMBER(SEARCH("Alçado BF",D124)),ISNUMBER(SEARCH("Alçado PQ",D124))),20,30),ABS(P124)&gt;=10),"Alerta","Regular")),IF(OR(Q124&gt;=25,ABS(P124)&gt;=20),"Alarme",IF(OR(Q124&gt;=15,ABS(P124)&gt;=10),"Alerta","Regular"))))</x:f>
        <x:v>Regular</x:v>
      </x:c>
      <x:c r="S124" t="str">
        <x:v>RELATÓRIO ALVOS TOPOGRÁFICOS - Empreitada THE EDEN, Estoril_ R09_31-10-25(1).pdf</x:v>
      </x:c>
      <x:c r="T124" t="n">
        <x:v>39</x:v>
      </x:c>
    </x:row>
    <x:row r="125">
      <x:c r="A125" s="48" t="n">
        <x:v>45936</x:v>
      </x:c>
      <x:c r="B125" t="n">
        <x:v>1</x:v>
      </x:c>
      <x:c r="C125" t="str">
        <x:v>GH2</x:v>
      </x:c>
      <x:c r="D125" t="str">
        <x:v>Escavação e Contenção Periférica - Alçado GH</x:v>
      </x:c>
      <x:c r="E125" s="66" t="n">
        <x:v>4993.0258</x:v>
      </x:c>
      <x:c r="F125" s="66" t="n">
        <x:v>5045.3909</x:v>
      </x:c>
      <x:c r="G125" s="66" t="n">
        <x:v>53.9052</x:v>
      </x:c>
      <x:c r="H125" s="66" t="n">
        <x:v>4993.0265</x:v>
      </x:c>
      <x:c r="I125" s="66" t="n">
        <x:v>5045.392</x:v>
      </x:c>
      <x:c r="J125" s="66" t="n">
        <x:v>53.9052</x:v>
      </x:c>
      <x:c r="K125" s="50" t="n">
        <x:v>0.7</x:v>
      </x:c>
      <x:c r="L125" s="50" t="n">
        <x:v>1.1</x:v>
      </x:c>
      <x:c r="M125" s="50" t="n">
        <x:v>0</x:v>
      </x:c>
      <x:c r="N125" s="50" t="n">
        <x:v>0.7</x:v>
      </x:c>
      <x:c r="O125" s="50" t="n">
        <x:v>1.1</x:v>
      </x:c>
      <x:c r="P125" s="50" t="n">
        <x:v>0</x:v>
      </x:c>
      <x:c r="Q125" s="50" t="n">
        <x:f>IF(COUNT(N125:O125)&lt;2,"",SQRT(N125^2+O125^2))</x:f>
        <x:v>1.3038404810405297</x:v>
      </x:c>
      <x:c r="R125" t="str">
        <x:f>IF(COUNT(H125:P125)=0,"Sem leitura",IF(ISNUMBER(SEARCH("Escavação",D125)),IF(OR(Q125&gt;=40,ABS(P125)&gt;=15),"Alarme",IF(OR(Q125&gt;=IF(OR(ISNUMBER(SEARCH("Alçado AB",D125)),ISNUMBER(SEARCH("Alçado CD",D125)),ISNUMBER(SEARCH("Alçado BF",D125)),ISNUMBER(SEARCH("Alçado PQ",D125))),20,30),ABS(P125)&gt;=10),"Alerta","Regular")),IF(OR(Q125&gt;=25,ABS(P125)&gt;=20),"Alarme",IF(OR(Q125&gt;=15,ABS(P125)&gt;=10),"Alerta","Regular"))))</x:f>
        <x:v>Regular</x:v>
      </x:c>
      <x:c r="S125" t="str">
        <x:v>RELATÓRIO ALVOS TOPOGRÁFICOS - Empreitada THE EDEN, Estoril_ R09_31-10-25(1).pdf</x:v>
      </x:c>
      <x:c r="T125" t="n">
        <x:v>39</x:v>
      </x:c>
    </x:row>
    <x:row r="126">
      <x:c r="A126" s="48" t="n">
        <x:v>45936</x:v>
      </x:c>
      <x:c r="B126" t="n">
        <x:v>1</x:v>
      </x:c>
      <x:c r="C126" t="str">
        <x:v>GH3</x:v>
      </x:c>
      <x:c r="D126" t="str">
        <x:v>Escavação e Contenção Periférica - Alçado GH</x:v>
      </x:c>
      <x:c r="E126" s="66" t="n">
        <x:v>5002.4091</x:v>
      </x:c>
      <x:c r="F126" s="66" t="n">
        <x:v>5044.0244</x:v>
      </x:c>
      <x:c r="G126" s="66" t="n">
        <x:v>53.8892</x:v>
      </x:c>
      <x:c r="H126" s="66" t="n">
        <x:v>5002.4091</x:v>
      </x:c>
      <x:c r="I126" s="66" t="n">
        <x:v>5044.0241</x:v>
      </x:c>
      <x:c r="J126" s="66" t="n">
        <x:v>53.8889</x:v>
      </x:c>
      <x:c r="K126" s="50" t="n">
        <x:v>0</x:v>
      </x:c>
      <x:c r="L126" s="50" t="n">
        <x:v>-0.3</x:v>
      </x:c>
      <x:c r="M126" s="50" t="n">
        <x:v>-0.3</x:v>
      </x:c>
      <x:c r="N126" s="50" t="n">
        <x:v>0</x:v>
      </x:c>
      <x:c r="O126" s="50" t="n">
        <x:v>-0.3</x:v>
      </x:c>
      <x:c r="P126" s="50" t="n">
        <x:v>-0.3</x:v>
      </x:c>
      <x:c r="Q126" s="50" t="n">
        <x:f>IF(COUNT(N126:O126)&lt;2,"",SQRT(N126^2+O126^2))</x:f>
        <x:v>0.3</x:v>
      </x:c>
      <x:c r="R126" t="str">
        <x:f>IF(COUNT(H126:P126)=0,"Sem leitura",IF(ISNUMBER(SEARCH("Escavação",D126)),IF(OR(Q126&gt;=40,ABS(P126)&gt;=15),"Alarme",IF(OR(Q126&gt;=IF(OR(ISNUMBER(SEARCH("Alçado AB",D126)),ISNUMBER(SEARCH("Alçado CD",D126)),ISNUMBER(SEARCH("Alçado BF",D126)),ISNUMBER(SEARCH("Alçado PQ",D126))),20,30),ABS(P126)&gt;=10),"Alerta","Regular")),IF(OR(Q126&gt;=25,ABS(P126)&gt;=20),"Alarme",IF(OR(Q126&gt;=15,ABS(P126)&gt;=10),"Alerta","Regular"))))</x:f>
        <x:v>Regular</x:v>
      </x:c>
      <x:c r="S126" t="str">
        <x:v>RELATÓRIO ALVOS TOPOGRÁFICOS - Empreitada THE EDEN, Estoril_ R09_31-10-25(1).pdf</x:v>
      </x:c>
      <x:c r="T126" t="n">
        <x:v>39</x:v>
      </x:c>
    </x:row>
    <x:row r="127">
      <x:c r="A127" s="48" t="n">
        <x:v>45936</x:v>
      </x:c>
      <x:c r="B127" t="n">
        <x:v>0</x:v>
      </x:c>
      <x:c r="C127" t="str">
        <x:v>JK2</x:v>
      </x:c>
      <x:c r="D127" t="str">
        <x:v>Escavação e Contenção Periférica - Alçado JK</x:v>
      </x:c>
      <x:c r="E127" s="66" t="n">
        <x:v>5012.8994</x:v>
      </x:c>
      <x:c r="F127" s="66" t="n">
        <x:v>5060.6997</x:v>
      </x:c>
      <x:c r="G127" s="66" t="n">
        <x:v>52.4963</x:v>
      </x:c>
      <x:c r="H127" s="66" t="n">
        <x:v>5012.8994</x:v>
      </x:c>
      <x:c r="I127" s="66" t="n">
        <x:v>5060.6997</x:v>
      </x:c>
      <x:c r="J127" s="66" t="n">
        <x:v>52.4963</x:v>
      </x:c>
      <x:c r="K127" s="50" t="n">
        <x:v>0</x:v>
      </x:c>
      <x:c r="L127" s="50" t="n">
        <x:v>0</x:v>
      </x:c>
      <x:c r="M127" s="50" t="n">
        <x:v>0</x:v>
      </x:c>
      <x:c r="N127" s="50" t="n">
        <x:v>0</x:v>
      </x:c>
      <x:c r="O127" s="50" t="n">
        <x:v>0</x:v>
      </x:c>
      <x:c r="P127" s="50" t="n">
        <x:v>0</x:v>
      </x:c>
      <x:c r="Q127" s="50" t="n">
        <x:f>IF(COUNT(N127:O127)&lt;2,"",SQRT(N127^2+O127^2))</x:f>
        <x:v>0</x:v>
      </x:c>
      <x:c r="R127" t="str">
        <x:f>IF(COUNT(H127:P127)=0,"Sem leitura",IF(ISNUMBER(SEARCH("Escavação",D127)),IF(OR(Q127&gt;=40,ABS(P127)&gt;=15),"Alarme",IF(OR(Q127&gt;=IF(OR(ISNUMBER(SEARCH("Alçado AB",D127)),ISNUMBER(SEARCH("Alçado CD",D127)),ISNUMBER(SEARCH("Alçado BF",D127)),ISNUMBER(SEARCH("Alçado PQ",D127))),20,30),ABS(P127)&gt;=10),"Alerta","Regular")),IF(OR(Q127&gt;=25,ABS(P127)&gt;=20),"Alarme",IF(OR(Q127&gt;=15,ABS(P127)&gt;=10),"Alerta","Regular"))))</x:f>
        <x:v>Regular</x:v>
      </x:c>
      <x:c r="S127" t="str">
        <x:v>RELATÓRIO ALVOS TOPOGRÁFICOS - Empreitada THE EDEN, Estoril_ R09_31-10-25(1).pdf</x:v>
      </x:c>
      <x:c r="T127" t="n">
        <x:v>38</x:v>
      </x:c>
    </x:row>
    <x:row r="128">
      <x:c r="A128" s="48" t="n">
        <x:v>45936</x:v>
      </x:c>
      <x:c r="B128" t="n">
        <x:v>1</x:v>
      </x:c>
      <x:c r="C128" t="str">
        <x:v>JK2</x:v>
      </x:c>
      <x:c r="D128" t="str">
        <x:v>Escavação e Contenção Periférica - Alçado JK</x:v>
      </x:c>
      <x:c r="E128" s="66" t="n">
        <x:v>5012.8994</x:v>
      </x:c>
      <x:c r="F128" s="66" t="n">
        <x:v>5060.6997</x:v>
      </x:c>
      <x:c r="G128" s="66" t="n">
        <x:v>52.4963</x:v>
      </x:c>
      <x:c r="H128" s="66" t="n">
        <x:v>5012.8994</x:v>
      </x:c>
      <x:c r="I128" s="66" t="n">
        <x:v>5060.6997</x:v>
      </x:c>
      <x:c r="J128" s="66" t="n">
        <x:v>52.4963</x:v>
      </x:c>
      <x:c r="K128" s="50" t="n">
        <x:v>0</x:v>
      </x:c>
      <x:c r="L128" s="50" t="n">
        <x:v>0</x:v>
      </x:c>
      <x:c r="M128" s="50" t="n">
        <x:v>0</x:v>
      </x:c>
      <x:c r="N128" s="50" t="n">
        <x:v>0</x:v>
      </x:c>
      <x:c r="O128" s="50" t="n">
        <x:v>0</x:v>
      </x:c>
      <x:c r="P128" s="50" t="n">
        <x:v>0</x:v>
      </x:c>
      <x:c r="Q128" s="50" t="n">
        <x:f>IF(COUNT(N128:O128)&lt;2,"",SQRT(N128^2+O128^2))</x:f>
        <x:v>0</x:v>
      </x:c>
      <x:c r="R128" t="str">
        <x:f>IF(COUNT(H128:P128)=0,"Sem leitura",IF(ISNUMBER(SEARCH("Escavação",D128)),IF(OR(Q128&gt;=40,ABS(P128)&gt;=15),"Alarme",IF(OR(Q128&gt;=IF(OR(ISNUMBER(SEARCH("Alçado AB",D128)),ISNUMBER(SEARCH("Alçado CD",D128)),ISNUMBER(SEARCH("Alçado BF",D128)),ISNUMBER(SEARCH("Alçado PQ",D128))),20,30),ABS(P128)&gt;=10),"Alerta","Regular")),IF(OR(Q128&gt;=25,ABS(P128)&gt;=20),"Alarme",IF(OR(Q128&gt;=15,ABS(P128)&gt;=10),"Alerta","Regular"))))</x:f>
        <x:v>Regular</x:v>
      </x:c>
      <x:c r="S128" t="str">
        <x:v>RELATÓRIO ALVOS TOPOGRÁFICOS - Empreitada THE EDEN, Estoril_ R09_31-10-25(1).pdf</x:v>
      </x:c>
      <x:c r="T128" t="n">
        <x:v>39</x:v>
      </x:c>
    </x:row>
    <x:row r="129">
      <x:c r="A129" s="48" t="n">
        <x:v>45936</x:v>
      </x:c>
      <x:c r="B129" t="n">
        <x:v>0</x:v>
      </x:c>
      <x:c r="C129" t="str">
        <x:v>KL1</x:v>
      </x:c>
      <x:c r="D129" t="str">
        <x:v>Escavação e Contenção Periférica - Alçado KL</x:v>
      </x:c>
      <x:c r="E129" s="66" t="n">
        <x:v>5026.7077</x:v>
      </x:c>
      <x:c r="F129" s="66" t="n">
        <x:v>5072.3889</x:v>
      </x:c>
      <x:c r="G129" s="66" t="n">
        <x:v>53.7614</x:v>
      </x:c>
      <x:c r="H129" s="66" t="n">
        <x:v>5026.7077</x:v>
      </x:c>
      <x:c r="I129" s="66" t="n">
        <x:v>5072.3889</x:v>
      </x:c>
      <x:c r="J129" s="66" t="n">
        <x:v>53.7614</x:v>
      </x:c>
      <x:c r="K129" s="50" t="n">
        <x:v>0</x:v>
      </x:c>
      <x:c r="L129" s="50" t="n">
        <x:v>0</x:v>
      </x:c>
      <x:c r="M129" s="50" t="n">
        <x:v>0</x:v>
      </x:c>
      <x:c r="N129" s="50" t="n">
        <x:v>0</x:v>
      </x:c>
      <x:c r="O129" s="50" t="n">
        <x:v>0</x:v>
      </x:c>
      <x:c r="P129" s="50" t="n">
        <x:v>0</x:v>
      </x:c>
      <x:c r="Q129" s="50" t="n">
        <x:f>IF(COUNT(N129:O129)&lt;2,"",SQRT(N129^2+O129^2))</x:f>
        <x:v>0</x:v>
      </x:c>
      <x:c r="R129" t="str">
        <x:f>IF(COUNT(H129:P129)=0,"Sem leitura",IF(ISNUMBER(SEARCH("Escavação",D129)),IF(OR(Q129&gt;=40,ABS(P129)&gt;=15),"Alarme",IF(OR(Q129&gt;=IF(OR(ISNUMBER(SEARCH("Alçado AB",D129)),ISNUMBER(SEARCH("Alçado CD",D129)),ISNUMBER(SEARCH("Alçado BF",D129)),ISNUMBER(SEARCH("Alçado PQ",D129))),20,30),ABS(P129)&gt;=10),"Alerta","Regular")),IF(OR(Q129&gt;=25,ABS(P129)&gt;=20),"Alarme",IF(OR(Q129&gt;=15,ABS(P129)&gt;=10),"Alerta","Regular"))))</x:f>
        <x:v>Regular</x:v>
      </x:c>
      <x:c r="S129" t="str">
        <x:v>RELATÓRIO ALVOS TOPOGRÁFICOS - Empreitada THE EDEN, Estoril_ R09_31-10-25(1).pdf</x:v>
      </x:c>
      <x:c r="T129" t="n">
        <x:v>38</x:v>
      </x:c>
    </x:row>
    <x:row r="130">
      <x:c r="A130" s="48" t="n">
        <x:v>45936</x:v>
      </x:c>
      <x:c r="B130" t="n">
        <x:v>1</x:v>
      </x:c>
      <x:c r="C130" t="str">
        <x:v>KL1</x:v>
      </x:c>
      <x:c r="D130" t="str">
        <x:v>Escavação e Contenção Periférica - Alçado KL</x:v>
      </x:c>
      <x:c r="E130" s="66" t="n">
        <x:v>5026.7077</x:v>
      </x:c>
      <x:c r="F130" s="66" t="n">
        <x:v>5072.3889</x:v>
      </x:c>
      <x:c r="G130" s="66" t="n">
        <x:v>53.7614</x:v>
      </x:c>
      <x:c r="H130" s="66" t="n">
        <x:v>5026.7077</x:v>
      </x:c>
      <x:c r="I130" s="66" t="n">
        <x:v>5072.3889</x:v>
      </x:c>
      <x:c r="J130" s="66" t="n">
        <x:v>53.7614</x:v>
      </x:c>
      <x:c r="K130" s="50" t="n">
        <x:v>0</x:v>
      </x:c>
      <x:c r="L130" s="50" t="n">
        <x:v>0</x:v>
      </x:c>
      <x:c r="M130" s="50" t="n">
        <x:v>0</x:v>
      </x:c>
      <x:c r="N130" s="50" t="n">
        <x:v>0</x:v>
      </x:c>
      <x:c r="O130" s="50" t="n">
        <x:v>0</x:v>
      </x:c>
      <x:c r="P130" s="50" t="n">
        <x:v>0</x:v>
      </x:c>
      <x:c r="Q130" s="50" t="n">
        <x:f>IF(COUNT(N130:O130)&lt;2,"",SQRT(N130^2+O130^2))</x:f>
        <x:v>0</x:v>
      </x:c>
      <x:c r="R130" t="str">
        <x:f>IF(COUNT(H130:P130)=0,"Sem leitura",IF(ISNUMBER(SEARCH("Escavação",D130)),IF(OR(Q130&gt;=40,ABS(P130)&gt;=15),"Alarme",IF(OR(Q130&gt;=IF(OR(ISNUMBER(SEARCH("Alçado AB",D130)),ISNUMBER(SEARCH("Alçado CD",D130)),ISNUMBER(SEARCH("Alçado BF",D130)),ISNUMBER(SEARCH("Alçado PQ",D130))),20,30),ABS(P130)&gt;=10),"Alerta","Regular")),IF(OR(Q130&gt;=25,ABS(P130)&gt;=20),"Alarme",IF(OR(Q130&gt;=15,ABS(P130)&gt;=10),"Alerta","Regular"))))</x:f>
        <x:v>Regular</x:v>
      </x:c>
      <x:c r="S130" t="str">
        <x:v>RELATÓRIO ALVOS TOPOGRÁFICOS - Empreitada THE EDEN, Estoril_ R09_31-10-25(1).pdf</x:v>
      </x:c>
      <x:c r="T130" t="n">
        <x:v>39</x:v>
      </x:c>
    </x:row>
    <x:row r="131">
      <x:c r="A131" s="48" t="n">
        <x:v>45936</x:v>
      </x:c>
      <x:c r="B131" t="n">
        <x:v>1</x:v>
      </x:c>
      <x:c r="C131" t="str">
        <x:v>PQ1</x:v>
      </x:c>
      <x:c r="D131" t="str">
        <x:v>Escavação e Contenção Periférica - Alçado PQ</x:v>
      </x:c>
      <x:c r="E131" s="66" t="n">
        <x:v>5046.1883</x:v>
      </x:c>
      <x:c r="F131" s="66" t="n">
        <x:v>5033.5623</x:v>
      </x:c>
      <x:c r="G131" s="66" t="n">
        <x:v>48.9991</x:v>
      </x:c>
      <x:c r="H131" s="66" t="n">
        <x:v>5046.1884</x:v>
      </x:c>
      <x:c r="I131" s="66" t="n">
        <x:v>5033.5629</x:v>
      </x:c>
      <x:c r="J131" s="66" t="n">
        <x:v>48.9982</x:v>
      </x:c>
      <x:c r="K131" s="50" t="n">
        <x:v>0.1</x:v>
      </x:c>
      <x:c r="L131" s="50" t="n">
        <x:v>0.6</x:v>
      </x:c>
      <x:c r="M131" s="50" t="n">
        <x:v>-0.9</x:v>
      </x:c>
      <x:c r="N131" s="50" t="n">
        <x:v>0.1</x:v>
      </x:c>
      <x:c r="O131" s="50" t="n">
        <x:v>0.6</x:v>
      </x:c>
      <x:c r="P131" s="50" t="n">
        <x:v>-0.9</x:v>
      </x:c>
      <x:c r="Q131" s="50" t="n">
        <x:f>IF(COUNT(N131:O131)&lt;2,"",SQRT(N131^2+O131^2))</x:f>
        <x:v>0.6082762530298219</x:v>
      </x:c>
      <x:c r="R131" t="str">
        <x:f>IF(COUNT(H131:P131)=0,"Sem leitura",IF(ISNUMBER(SEARCH("Escavação",D131)),IF(OR(Q131&gt;=40,ABS(P131)&gt;=15),"Alarme",IF(OR(Q131&gt;=IF(OR(ISNUMBER(SEARCH("Alçado AB",D131)),ISNUMBER(SEARCH("Alçado CD",D131)),ISNUMBER(SEARCH("Alçado BF",D131)),ISNUMBER(SEARCH("Alçado PQ",D131))),20,30),ABS(P131)&gt;=10),"Alerta","Regular")),IF(OR(Q131&gt;=25,ABS(P131)&gt;=20),"Alarme",IF(OR(Q131&gt;=15,ABS(P131)&gt;=10),"Alerta","Regular"))))</x:f>
        <x:v>Regular</x:v>
      </x:c>
      <x:c r="S131" t="str">
        <x:v>RELATÓRIO ALVOS TOPOGRÁFICOS - Empreitada THE EDEN, Estoril_ R09_31-10-25(1).pdf</x:v>
      </x:c>
      <x:c r="T131" t="n">
        <x:v>39</x:v>
      </x:c>
    </x:row>
    <x:row r="132">
      <x:c r="A132" s="48" t="n">
        <x:v>45936</x:v>
      </x:c>
      <x:c r="B132" t="n">
        <x:v>6</x:v>
      </x:c>
      <x:c r="C132" t="str">
        <x:v>B1</x:v>
      </x:c>
      <x:c r="D132" t="str">
        <x:v>Restaurante Cimas</x:v>
      </x:c>
      <x:c r="E132" s="66" t="n">
        <x:v>5055.3705</x:v>
      </x:c>
      <x:c r="F132" s="66" t="n">
        <x:v>5037.6908</x:v>
      </x:c>
      <x:c r="G132" s="66" t="n">
        <x:v>55.8345</x:v>
      </x:c>
      <x:c r="H132" s="66" t="n">
        <x:v>5055.3689</x:v>
      </x:c>
      <x:c r="I132" s="66" t="n">
        <x:v>5037.6908</x:v>
      </x:c>
      <x:c r="J132" s="66" t="n">
        <x:v>55.8355</x:v>
      </x:c>
      <x:c r="K132" s="50" t="n">
        <x:v>0.7</x:v>
      </x:c>
      <x:c r="L132" s="50" t="n">
        <x:v>-1.2</x:v>
      </x:c>
      <x:c r="M132" s="50" t="n">
        <x:v>-0.9</x:v>
      </x:c>
      <x:c r="N132" s="50" t="n">
        <x:v>-1.6</x:v>
      </x:c>
      <x:c r="O132" s="50" t="n">
        <x:v>0</x:v>
      </x:c>
      <x:c r="P132" s="50" t="n">
        <x:v>1</x:v>
      </x:c>
      <x:c r="Q132" s="50" t="n">
        <x:f>IF(COUNT(N132:O132)&lt;2,"",SQRT(N132^2+O132^2))</x:f>
        <x:v>1.6</x:v>
      </x:c>
      <x:c r="R132" t="str">
        <x:f>IF(COUNT(H132:P132)=0,"Sem leitura",IF(ISNUMBER(SEARCH("Escavação",D132)),IF(OR(Q132&gt;=40,ABS(P132)&gt;=15),"Alarme",IF(OR(Q132&gt;=IF(OR(ISNUMBER(SEARCH("Alçado AB",D132)),ISNUMBER(SEARCH("Alçado CD",D132)),ISNUMBER(SEARCH("Alçado BF",D132)),ISNUMBER(SEARCH("Alçado PQ",D132))),20,30),ABS(P132)&gt;=10),"Alerta","Regular")),IF(OR(Q132&gt;=25,ABS(P132)&gt;=20),"Alarme",IF(OR(Q132&gt;=15,ABS(P132)&gt;=10),"Alerta","Regular"))))</x:f>
        <x:v>Regular</x:v>
      </x:c>
      <x:c r="S132" t="str">
        <x:v>RELATÓRIO ALVOS TOPOGRÁFICOS - Empreitada THE EDEN, Estoril_ R09_31-10-25(1).pdf</x:v>
      </x:c>
      <x:c r="T132" t="n">
        <x:v>15</x:v>
      </x:c>
    </x:row>
    <x:row r="133">
      <x:c r="A133" s="48" t="n">
        <x:v>45936</x:v>
      </x:c>
      <x:c r="B133" t="n">
        <x:v>6</x:v>
      </x:c>
      <x:c r="C133" t="str">
        <x:v>B2</x:v>
      </x:c>
      <x:c r="D133" t="str">
        <x:v>Restaurante Cimas</x:v>
      </x:c>
      <x:c r="E133" s="66" t="n">
        <x:v>5055.3611</x:v>
      </x:c>
      <x:c r="F133" s="66" t="n">
        <x:v>5037.652</x:v>
      </x:c>
      <x:c r="G133" s="66" t="n">
        <x:v>53.9202</x:v>
      </x:c>
      <x:c r="H133" s="66" t="n">
        <x:v>5055.3606</x:v>
      </x:c>
      <x:c r="I133" s="66" t="n">
        <x:v>5037.649</x:v>
      </x:c>
      <x:c r="J133" s="66" t="n">
        <x:v>53.9216</x:v>
      </x:c>
      <x:c r="K133" s="50" t="n">
        <x:v>0.7</x:v>
      </x:c>
      <x:c r="L133" s="50" t="n">
        <x:v>-1.4</x:v>
      </x:c>
      <x:c r="M133" s="50" t="n">
        <x:v>-0.9</x:v>
      </x:c>
      <x:c r="N133" s="50" t="n">
        <x:v>-0.5</x:v>
      </x:c>
      <x:c r="O133" s="50" t="n">
        <x:v>-3</x:v>
      </x:c>
      <x:c r="P133" s="50" t="n">
        <x:v>1.4</x:v>
      </x:c>
      <x:c r="Q133" s="50" t="n">
        <x:f>IF(COUNT(N133:O133)&lt;2,"",SQRT(N133^2+O133^2))</x:f>
        <x:v>3.0413812651491097</x:v>
      </x:c>
      <x:c r="R133" t="str">
        <x:f>IF(COUNT(H133:P133)=0,"Sem leitura",IF(ISNUMBER(SEARCH("Escavação",D133)),IF(OR(Q133&gt;=40,ABS(P133)&gt;=15),"Alarme",IF(OR(Q133&gt;=IF(OR(ISNUMBER(SEARCH("Alçado AB",D133)),ISNUMBER(SEARCH("Alçado CD",D133)),ISNUMBER(SEARCH("Alçado BF",D133)),ISNUMBER(SEARCH("Alçado PQ",D133))),20,30),ABS(P133)&gt;=10),"Alerta","Regular")),IF(OR(Q133&gt;=25,ABS(P133)&gt;=20),"Alarme",IF(OR(Q133&gt;=15,ABS(P133)&gt;=10),"Alerta","Regular"))))</x:f>
        <x:v>Regular</x:v>
      </x:c>
      <x:c r="S133" t="str">
        <x:v>RELATÓRIO ALVOS TOPOGRÁFICOS - Empreitada THE EDEN, Estoril_ R09_31-10-25(1).pdf</x:v>
      </x:c>
      <x:c r="T133" t="n">
        <x:v>15</x:v>
      </x:c>
    </x:row>
    <x:row r="134">
      <x:c r="A134" s="48" t="n">
        <x:v>45936</x:v>
      </x:c>
      <x:c r="B134" t="n">
        <x:v>6</x:v>
      </x:c>
      <x:c r="C134" t="str">
        <x:v>B3</x:v>
      </x:c>
      <x:c r="D134" t="str">
        <x:v>Restaurante Cimas</x:v>
      </x:c>
      <x:c r="E134" s="66" t="n">
        <x:v>5053.1267</x:v>
      </x:c>
      <x:c r="F134" s="66" t="n">
        <x:v>5028.5694</x:v>
      </x:c>
      <x:c r="G134" s="66" t="n">
        <x:v>55.8769</x:v>
      </x:c>
      <x:c r="H134" s="66" t="n">
        <x:v>5053.1251</x:v>
      </x:c>
      <x:c r="I134" s="66" t="n">
        <x:v>5028.5705</x:v>
      </x:c>
      <x:c r="J134" s="66" t="n">
        <x:v>55.8772</x:v>
      </x:c>
      <x:c r="K134" s="50" t="n">
        <x:v>0.6</x:v>
      </x:c>
      <x:c r="L134" s="50" t="n">
        <x:v>-1.7</x:v>
      </x:c>
      <x:c r="M134" s="50" t="n">
        <x:v>-1.1</x:v>
      </x:c>
      <x:c r="N134" s="50" t="n">
        <x:v>-1.6</x:v>
      </x:c>
      <x:c r="O134" s="50" t="n">
        <x:v>1.1</x:v>
      </x:c>
      <x:c r="P134" s="50" t="n">
        <x:v>0.3</x:v>
      </x:c>
      <x:c r="Q134" s="50" t="n">
        <x:f>IF(COUNT(N134:O134)&lt;2,"",SQRT(N134^2+O134^2))</x:f>
        <x:v>1.94164878389476</x:v>
      </x:c>
      <x:c r="R134" t="str">
        <x:f>IF(COUNT(H134:P134)=0,"Sem leitura",IF(ISNUMBER(SEARCH("Escavação",D134)),IF(OR(Q134&gt;=40,ABS(P134)&gt;=15),"Alarme",IF(OR(Q134&gt;=IF(OR(ISNUMBER(SEARCH("Alçado AB",D134)),ISNUMBER(SEARCH("Alçado CD",D134)),ISNUMBER(SEARCH("Alçado BF",D134)),ISNUMBER(SEARCH("Alçado PQ",D134))),20,30),ABS(P134)&gt;=10),"Alerta","Regular")),IF(OR(Q134&gt;=25,ABS(P134)&gt;=20),"Alarme",IF(OR(Q134&gt;=15,ABS(P134)&gt;=10),"Alerta","Regular"))))</x:f>
        <x:v>Regular</x:v>
      </x:c>
      <x:c r="S134" t="str">
        <x:v>RELATÓRIO ALVOS TOPOGRÁFICOS - Empreitada THE EDEN, Estoril_ R09_31-10-25(1).pdf</x:v>
      </x:c>
      <x:c r="T134" t="n">
        <x:v>15</x:v>
      </x:c>
    </x:row>
    <x:row r="135">
      <x:c r="A135" s="48" t="n">
        <x:v>45936</x:v>
      </x:c>
      <x:c r="B135" t="n">
        <x:v>6</x:v>
      </x:c>
      <x:c r="C135" t="str">
        <x:v>B4</x:v>
      </x:c>
      <x:c r="D135" t="str">
        <x:v>Restaurante Cimas</x:v>
      </x:c>
      <x:c r="E135" s="66" t="n">
        <x:v>5053.123</x:v>
      </x:c>
      <x:c r="F135" s="66" t="n">
        <x:v>5028.5786</x:v>
      </x:c>
      <x:c r="G135" s="66" t="n">
        <x:v>54.1591</x:v>
      </x:c>
      <x:c r="H135" s="66" t="n">
        <x:v>5053.1218</x:v>
      </x:c>
      <x:c r="I135" s="66" t="n">
        <x:v>5028.577</x:v>
      </x:c>
      <x:c r="J135" s="66" t="n">
        <x:v>54.1597</x:v>
      </x:c>
      <x:c r="K135" s="50" t="n">
        <x:v>0.7</x:v>
      </x:c>
      <x:c r="L135" s="50" t="n">
        <x:v>-2.9</x:v>
      </x:c>
      <x:c r="M135" s="50" t="n">
        <x:v>-0.8</x:v>
      </x:c>
      <x:c r="N135" s="50" t="n">
        <x:v>-1.2</x:v>
      </x:c>
      <x:c r="O135" s="50" t="n">
        <x:v>-1.6</x:v>
      </x:c>
      <x:c r="P135" s="50" t="n">
        <x:v>0.6</x:v>
      </x:c>
      <x:c r="Q135" s="50" t="n">
        <x:f>IF(COUNT(N135:O135)&lt;2,"",SQRT(N135^2+O135^2))</x:f>
        <x:v>2</x:v>
      </x:c>
      <x:c r="R135" t="str">
        <x:f>IF(COUNT(H135:P135)=0,"Sem leitura",IF(ISNUMBER(SEARCH("Escavação",D135)),IF(OR(Q135&gt;=40,ABS(P135)&gt;=15),"Alarme",IF(OR(Q135&gt;=IF(OR(ISNUMBER(SEARCH("Alçado AB",D135)),ISNUMBER(SEARCH("Alçado CD",D135)),ISNUMBER(SEARCH("Alçado BF",D135)),ISNUMBER(SEARCH("Alçado PQ",D135))),20,30),ABS(P135)&gt;=10),"Alerta","Regular")),IF(OR(Q135&gt;=25,ABS(P135)&gt;=20),"Alarme",IF(OR(Q135&gt;=15,ABS(P135)&gt;=10),"Alerta","Regular"))))</x:f>
        <x:v>Regular</x:v>
      </x:c>
      <x:c r="S135" t="str">
        <x:v>RELATÓRIO ALVOS TOPOGRÁFICOS - Empreitada THE EDEN, Estoril_ R09_31-10-25(1).pdf</x:v>
      </x:c>
      <x:c r="T135" t="n">
        <x:v>15</x:v>
      </x:c>
    </x:row>
    <x:row r="136">
      <x:c r="A136" s="48" t="n">
        <x:v>45944</x:v>
      </x:c>
      <x:c r="B136" t="n">
        <x:v>7</x:v>
      </x:c>
      <x:c r="C136" t="str">
        <x:v>C1</x:v>
      </x:c>
      <x:c r="D136" t="str">
        <x:v>Clínica Abreu Loureiro</x:v>
      </x:c>
      <x:c r="E136" s="66" t="n">
        <x:v>5051.1407</x:v>
      </x:c>
      <x:c r="F136" s="66" t="n">
        <x:v>5062.3237</x:v>
      </x:c>
      <x:c r="G136" s="66" t="n">
        <x:v>63.0014</x:v>
      </x:c>
      <x:c r="H136" s="66" t="n">
        <x:v>5051.1417</x:v>
      </x:c>
      <x:c r="I136" s="66" t="n">
        <x:v>5062.3239</x:v>
      </x:c>
      <x:c r="J136" s="66" t="n">
        <x:v>62.9994</x:v>
      </x:c>
      <x:c r="K136" s="50" t="n">
        <x:v>-0.5</x:v>
      </x:c>
      <x:c r="L136" s="50" t="n">
        <x:v>-1.1</x:v>
      </x:c>
      <x:c r="M136" s="50" t="n">
        <x:v>-1.4</x:v>
      </x:c>
      <x:c r="N136" s="50" t="n">
        <x:v>1</x:v>
      </x:c>
      <x:c r="O136" s="50" t="n">
        <x:v>0.2</x:v>
      </x:c>
      <x:c r="P136" s="50" t="n">
        <x:v>-2</x:v>
      </x:c>
      <x:c r="Q136" s="50" t="n">
        <x:f>IF(COUNT(N136:O136)&lt;2,"",SQRT(N136^2+O136^2))</x:f>
        <x:v>1.019803902718557</x:v>
      </x:c>
      <x:c r="R136" t="str">
        <x:f>IF(COUNT(H136:P136)=0,"Sem leitura",IF(ISNUMBER(SEARCH("Escavação",D136)),IF(OR(Q136&gt;=40,ABS(P136)&gt;=15),"Alarme",IF(OR(Q136&gt;=IF(OR(ISNUMBER(SEARCH("Alçado AB",D136)),ISNUMBER(SEARCH("Alçado CD",D136)),ISNUMBER(SEARCH("Alçado BF",D136)),ISNUMBER(SEARCH("Alçado PQ",D136))),20,30),ABS(P136)&gt;=10),"Alerta","Regular")),IF(OR(Q136&gt;=25,ABS(P136)&gt;=20),"Alarme",IF(OR(Q136&gt;=15,ABS(P136)&gt;=10),"Alerta","Regular"))))</x:f>
        <x:v>Regular</x:v>
      </x:c>
      <x:c r="S136" t="str">
        <x:v>RELATÓRIO ALVOS TOPOGRÁFICOS - Empreitada THE EDEN, Estoril_ R09_31-10-25(1).pdf</x:v>
      </x:c>
      <x:c r="T136" t="n">
        <x:v>16</x:v>
      </x:c>
    </x:row>
    <x:row r="137">
      <x:c r="A137" s="48" t="n">
        <x:v>45944</x:v>
      </x:c>
      <x:c r="B137" t="n">
        <x:v>7</x:v>
      </x:c>
      <x:c r="C137" t="str">
        <x:v>C2</x:v>
      </x:c>
      <x:c r="D137" t="str">
        <x:v>Clínica Abreu Loureiro</x:v>
      </x:c>
      <x:c r="E137" s="66" t="n">
        <x:v>5051.0086</x:v>
      </x:c>
      <x:c r="F137" s="66" t="n">
        <x:v>5062.4334</x:v>
      </x:c>
      <x:c r="G137" s="66" t="n">
        <x:v>56.898</x:v>
      </x:c>
      <x:c r="H137" s="66" t="n">
        <x:v>5051.009</x:v>
      </x:c>
      <x:c r="I137" s="66" t="n">
        <x:v>5062.4341</x:v>
      </x:c>
      <x:c r="J137" s="66" t="n">
        <x:v>56.8973</x:v>
      </x:c>
      <x:c r="K137" s="50" t="n">
        <x:v>0</x:v>
      </x:c>
      <x:c r="L137" s="50" t="n">
        <x:v>-0.3</x:v>
      </x:c>
      <x:c r="M137" s="50" t="n">
        <x:v>-1</x:v>
      </x:c>
      <x:c r="N137" s="50" t="n">
        <x:v>0.4</x:v>
      </x:c>
      <x:c r="O137" s="50" t="n">
        <x:v>0.7</x:v>
      </x:c>
      <x:c r="P137" s="50" t="n">
        <x:v>-0.7</x:v>
      </x:c>
      <x:c r="Q137" s="50" t="n">
        <x:f>IF(COUNT(N137:O137)&lt;2,"",SQRT(N137^2+O137^2))</x:f>
        <x:v>0.8062257748298549</x:v>
      </x:c>
      <x:c r="R137" t="str">
        <x:f>IF(COUNT(H137:P137)=0,"Sem leitura",IF(ISNUMBER(SEARCH("Escavação",D137)),IF(OR(Q137&gt;=40,ABS(P137)&gt;=15),"Alarme",IF(OR(Q137&gt;=IF(OR(ISNUMBER(SEARCH("Alçado AB",D137)),ISNUMBER(SEARCH("Alçado CD",D137)),ISNUMBER(SEARCH("Alçado BF",D137)),ISNUMBER(SEARCH("Alçado PQ",D137))),20,30),ABS(P137)&gt;=10),"Alerta","Regular")),IF(OR(Q137&gt;=25,ABS(P137)&gt;=20),"Alarme",IF(OR(Q137&gt;=15,ABS(P137)&gt;=10),"Alerta","Regular"))))</x:f>
        <x:v>Regular</x:v>
      </x:c>
      <x:c r="S137" t="str">
        <x:v>RELATÓRIO ALVOS TOPOGRÁFICOS - Empreitada THE EDEN, Estoril_ R09_31-10-25(1).pdf</x:v>
      </x:c>
      <x:c r="T137" t="n">
        <x:v>16</x:v>
      </x:c>
    </x:row>
    <x:row r="138">
      <x:c r="A138" s="48" t="n">
        <x:v>45944</x:v>
      </x:c>
      <x:c r="B138" t="n">
        <x:v>7</x:v>
      </x:c>
      <x:c r="C138" t="str">
        <x:v>C3</x:v>
      </x:c>
      <x:c r="D138" t="str">
        <x:v>Clínica Abreu Loureiro</x:v>
      </x:c>
      <x:c r="E138" s="66" t="n">
        <x:v>5058.5259</x:v>
      </x:c>
      <x:c r="F138" s="66" t="n">
        <x:v>5053.176</x:v>
      </x:c>
      <x:c r="G138" s="66" t="n">
        <x:v>63.5252</x:v>
      </x:c>
      <x:c r="H138" s="66" t="n">
        <x:v>5058.5263</x:v>
      </x:c>
      <x:c r="I138" s="66" t="n">
        <x:v>5053.1759</x:v>
      </x:c>
      <x:c r="J138" s="66" t="n">
        <x:v>63.5247</x:v>
      </x:c>
      <x:c r="K138" s="50" t="n">
        <x:v>-0.1</x:v>
      </x:c>
      <x:c r="L138" s="50" t="n">
        <x:v>-0.2</x:v>
      </x:c>
      <x:c r="M138" s="50" t="n">
        <x:v>0</x:v>
      </x:c>
      <x:c r="N138" s="50" t="n">
        <x:v>0.4</x:v>
      </x:c>
      <x:c r="O138" s="50" t="n">
        <x:v>-0.1</x:v>
      </x:c>
      <x:c r="P138" s="50" t="n">
        <x:v>-0.5</x:v>
      </x:c>
      <x:c r="Q138" s="50" t="n">
        <x:f>IF(COUNT(N138:O138)&lt;2,"",SQRT(N138^2+O138^2))</x:f>
        <x:v>0.4123105625617661</x:v>
      </x:c>
      <x:c r="R138" t="str">
        <x:f>IF(COUNT(H138:P138)=0,"Sem leitura",IF(ISNUMBER(SEARCH("Escavação",D138)),IF(OR(Q138&gt;=40,ABS(P138)&gt;=15),"Alarme",IF(OR(Q138&gt;=IF(OR(ISNUMBER(SEARCH("Alçado AB",D138)),ISNUMBER(SEARCH("Alçado CD",D138)),ISNUMBER(SEARCH("Alçado BF",D138)),ISNUMBER(SEARCH("Alçado PQ",D138))),20,30),ABS(P138)&gt;=10),"Alerta","Regular")),IF(OR(Q138&gt;=25,ABS(P138)&gt;=20),"Alarme",IF(OR(Q138&gt;=15,ABS(P138)&gt;=10),"Alerta","Regular"))))</x:f>
        <x:v>Regular</x:v>
      </x:c>
      <x:c r="S138" t="str">
        <x:v>RELATÓRIO ALVOS TOPOGRÁFICOS - Empreitada THE EDEN, Estoril_ R09_31-10-25(1).pdf</x:v>
      </x:c>
      <x:c r="T138" t="n">
        <x:v>16</x:v>
      </x:c>
    </x:row>
    <x:row r="139">
      <x:c r="A139" s="48" t="n">
        <x:v>45944</x:v>
      </x:c>
      <x:c r="B139" t="n">
        <x:v>7</x:v>
      </x:c>
      <x:c r="C139" t="str">
        <x:v>C4</x:v>
      </x:c>
      <x:c r="D139" t="str">
        <x:v>Clínica Abreu Loureiro</x:v>
      </x:c>
      <x:c r="E139" s="66" t="n">
        <x:v>5060.2733</x:v>
      </x:c>
      <x:c r="F139" s="66" t="n">
        <x:v>5059.0944</x:v>
      </x:c>
      <x:c r="G139" s="66" t="n">
        <x:v>58.7943</x:v>
      </x:c>
      <x:c r="H139" s="66" t="n">
        <x:v>5060.2725</x:v>
      </x:c>
      <x:c r="I139" s="66" t="n">
        <x:v>5059.0935</x:v>
      </x:c>
      <x:c r="J139" s="66" t="n">
        <x:v>58.792</x:v>
      </x:c>
      <x:c r="K139" s="50" t="n">
        <x:v>-0.9</x:v>
      </x:c>
      <x:c r="L139" s="50" t="n">
        <x:v>-0.3</x:v>
      </x:c>
      <x:c r="M139" s="50" t="n">
        <x:v>0.2</x:v>
      </x:c>
      <x:c r="N139" s="50" t="n">
        <x:v>-0.8</x:v>
      </x:c>
      <x:c r="O139" s="50" t="n">
        <x:v>-0.9</x:v>
      </x:c>
      <x:c r="P139" s="50" t="n">
        <x:v>-2.3</x:v>
      </x:c>
      <x:c r="Q139" s="50" t="n">
        <x:f>IF(COUNT(N139:O139)&lt;2,"",SQRT(N139^2+O139^2))</x:f>
        <x:v>1.2041594578792296</x:v>
      </x:c>
      <x:c r="R139" t="str">
        <x:f>IF(COUNT(H139:P139)=0,"Sem leitura",IF(ISNUMBER(SEARCH("Escavação",D139)),IF(OR(Q139&gt;=40,ABS(P139)&gt;=15),"Alarme",IF(OR(Q139&gt;=IF(OR(ISNUMBER(SEARCH("Alçado AB",D139)),ISNUMBER(SEARCH("Alçado CD",D139)),ISNUMBER(SEARCH("Alçado BF",D139)),ISNUMBER(SEARCH("Alçado PQ",D139))),20,30),ABS(P139)&gt;=10),"Alerta","Regular")),IF(OR(Q139&gt;=25,ABS(P139)&gt;=20),"Alarme",IF(OR(Q139&gt;=15,ABS(P139)&gt;=10),"Alerta","Regular"))))</x:f>
        <x:v>Regular</x:v>
      </x:c>
      <x:c r="S139" t="str">
        <x:v>RELATÓRIO ALVOS TOPOGRÁFICOS - Empreitada THE EDEN, Estoril_ R09_31-10-25(1).pdf</x:v>
      </x:c>
      <x:c r="T139" t="n">
        <x:v>16</x:v>
      </x:c>
    </x:row>
    <x:row r="140">
      <x:c r="A140" s="48" t="n">
        <x:v>45944</x:v>
      </x:c>
      <x:c r="B140" t="n">
        <x:v>7</x:v>
      </x:c>
      <x:c r="C140" t="str">
        <x:v>A1</x:v>
      </x:c>
      <x:c r="D140" t="str">
        <x:v>Edifício Santa Casa da Misericórdia</x:v>
      </x:c>
      <x:c r="E140" s="66" t="n">
        <x:v>4990.9657</x:v>
      </x:c>
      <x:c r="F140" s="66" t="n">
        <x:v>5053.745</x:v>
      </x:c>
      <x:c r="G140" s="66" t="n">
        <x:v>60.5536</x:v>
      </x:c>
      <x:c r="H140" s="66" t="n">
        <x:v>4990.9659</x:v>
      </x:c>
      <x:c r="I140" s="66" t="n">
        <x:v>5053.7368</x:v>
      </x:c>
      <x:c r="J140" s="66" t="n">
        <x:v>60.5517</x:v>
      </x:c>
      <x:c r="K140" s="50" t="n">
        <x:v>-0.1</x:v>
      </x:c>
      <x:c r="L140" s="50" t="n">
        <x:v>-2.8</x:v>
      </x:c>
      <x:c r="M140" s="50" t="n">
        <x:v>-1.6</x:v>
      </x:c>
      <x:c r="N140" s="50" t="n">
        <x:v>0.2</x:v>
      </x:c>
      <x:c r="O140" s="50" t="n">
        <x:v>-8.2</x:v>
      </x:c>
      <x:c r="P140" s="50" t="n">
        <x:v>-1.9</x:v>
      </x:c>
      <x:c r="Q140" s="50" t="n">
        <x:f>IF(COUNT(N140:O140)&lt;2,"",SQRT(N140^2+O140^2))</x:f>
        <x:v>8.202438661763951</x:v>
      </x:c>
      <x:c r="R140" t="str">
        <x:f>IF(COUNT(H140:P140)=0,"Sem leitura",IF(ISNUMBER(SEARCH("Escavação",D140)),IF(OR(Q140&gt;=40,ABS(P140)&gt;=15),"Alarme",IF(OR(Q140&gt;=IF(OR(ISNUMBER(SEARCH("Alçado AB",D140)),ISNUMBER(SEARCH("Alçado CD",D140)),ISNUMBER(SEARCH("Alçado BF",D140)),ISNUMBER(SEARCH("Alçado PQ",D140))),20,30),ABS(P140)&gt;=10),"Alerta","Regular")),IF(OR(Q140&gt;=25,ABS(P140)&gt;=20),"Alarme",IF(OR(Q140&gt;=15,ABS(P140)&gt;=10),"Alerta","Regular"))))</x:f>
        <x:v>Regular</x:v>
      </x:c>
      <x:c r="S140" t="str">
        <x:v>RELATÓRIO ALVOS TOPOGRÁFICOS - Empreitada THE EDEN, Estoril_ R09_31-10-25(1).pdf</x:v>
      </x:c>
      <x:c r="T140" t="n">
        <x:v>16</x:v>
      </x:c>
    </x:row>
    <x:row r="141">
      <x:c r="A141" s="48" t="n">
        <x:v>45944</x:v>
      </x:c>
      <x:c r="B141" t="n">
        <x:v>7</x:v>
      </x:c>
      <x:c r="C141" t="str">
        <x:v>A2</x:v>
      </x:c>
      <x:c r="D141" t="str">
        <x:v>Edifício Santa Casa da Misericórdia</x:v>
      </x:c>
      <x:c r="E141" s="66" t="n">
        <x:v>4990.9761</x:v>
      </x:c>
      <x:c r="F141" s="66" t="n">
        <x:v>5053.7455</x:v>
      </x:c>
      <x:c r="G141" s="66" t="n">
        <x:v>59.0952</x:v>
      </x:c>
      <x:c r="H141" s="66" t="n">
        <x:v>4990.9752</x:v>
      </x:c>
      <x:c r="I141" s="66" t="n">
        <x:v>5053.7383</x:v>
      </x:c>
      <x:c r="J141" s="66" t="n">
        <x:v>59.0958</x:v>
      </x:c>
      <x:c r="K141" s="50" t="n">
        <x:v>-0.1</x:v>
      </x:c>
      <x:c r="L141" s="50" t="n">
        <x:v>-3.5</x:v>
      </x:c>
      <x:c r="M141" s="50" t="n">
        <x:v>-1.5</x:v>
      </x:c>
      <x:c r="N141" s="50" t="n">
        <x:v>-0.9</x:v>
      </x:c>
      <x:c r="O141" s="50" t="n">
        <x:v>-7.2</x:v>
      </x:c>
      <x:c r="P141" s="50" t="n">
        <x:v>0.6</x:v>
      </x:c>
      <x:c r="Q141" s="50" t="n">
        <x:f>IF(COUNT(N141:O141)&lt;2,"",SQRT(N141^2+O141^2))</x:f>
        <x:v>7.256031973468695</x:v>
      </x:c>
      <x:c r="R141" t="str">
        <x:f>IF(COUNT(H141:P141)=0,"Sem leitura",IF(ISNUMBER(SEARCH("Escavação",D141)),IF(OR(Q141&gt;=40,ABS(P141)&gt;=15),"Alarme",IF(OR(Q141&gt;=IF(OR(ISNUMBER(SEARCH("Alçado AB",D141)),ISNUMBER(SEARCH("Alçado CD",D141)),ISNUMBER(SEARCH("Alçado BF",D141)),ISNUMBER(SEARCH("Alçado PQ",D141))),20,30),ABS(P141)&gt;=10),"Alerta","Regular")),IF(OR(Q141&gt;=25,ABS(P141)&gt;=20),"Alarme",IF(OR(Q141&gt;=15,ABS(P141)&gt;=10),"Alerta","Regular"))))</x:f>
        <x:v>Regular</x:v>
      </x:c>
      <x:c r="S141" t="str">
        <x:v>RELATÓRIO ALVOS TOPOGRÁFICOS - Empreitada THE EDEN, Estoril_ R09_31-10-25(1).pdf</x:v>
      </x:c>
      <x:c r="T141" t="n">
        <x:v>16</x:v>
      </x:c>
    </x:row>
    <x:row r="142">
      <x:c r="A142" s="48" t="n">
        <x:v>45944</x:v>
      </x:c>
      <x:c r="B142" t="n">
        <x:v>7</x:v>
      </x:c>
      <x:c r="C142" t="str">
        <x:v>A3</x:v>
      </x:c>
      <x:c r="D142" t="str">
        <x:v>Edifício Santa Casa da Misericórdia</x:v>
      </x:c>
      <x:c r="E142" s="66" t="n">
        <x:v>5001.0813</x:v>
      </x:c>
      <x:c r="F142" s="66" t="n">
        <x:v>5053.5292</x:v>
      </x:c>
      <x:c r="G142" s="66" t="n">
        <x:v>60.6219</x:v>
      </x:c>
      <x:c r="H142" s="66" t="n">
        <x:v>5001.0843</x:v>
      </x:c>
      <x:c r="I142" s="66" t="n">
        <x:v>5053.5167</x:v>
      </x:c>
      <x:c r="J142" s="66" t="n">
        <x:v>60.6185</x:v>
      </x:c>
      <x:c r="K142" s="50" t="n">
        <x:v>0.4</x:v>
      </x:c>
      <x:c r="L142" s="50" t="n">
        <x:v>-2.5</x:v>
      </x:c>
      <x:c r="M142" s="50" t="n">
        <x:v>-1</x:v>
      </x:c>
      <x:c r="N142" s="50" t="n">
        <x:v>3</x:v>
      </x:c>
      <x:c r="O142" s="50" t="n">
        <x:v>-12.5</x:v>
      </x:c>
      <x:c r="P142" s="50" t="n">
        <x:v>-3.4</x:v>
      </x:c>
      <x:c r="Q142" s="50" t="n">
        <x:f>IF(COUNT(N142:O142)&lt;2,"",SQRT(N142^2+O142^2))</x:f>
        <x:v>12.854960132182441</x:v>
      </x:c>
      <x:c r="R142" t="str">
        <x:f>IF(COUNT(H142:P142)=0,"Sem leitura",IF(ISNUMBER(SEARCH("Escavação",D142)),IF(OR(Q142&gt;=40,ABS(P142)&gt;=15),"Alarme",IF(OR(Q142&gt;=IF(OR(ISNUMBER(SEARCH("Alçado AB",D142)),ISNUMBER(SEARCH("Alçado CD",D142)),ISNUMBER(SEARCH("Alçado BF",D142)),ISNUMBER(SEARCH("Alçado PQ",D142))),20,30),ABS(P142)&gt;=10),"Alerta","Regular")),IF(OR(Q142&gt;=25,ABS(P142)&gt;=20),"Alarme",IF(OR(Q142&gt;=15,ABS(P142)&gt;=10),"Alerta","Regular"))))</x:f>
        <x:v>Regular</x:v>
      </x:c>
      <x:c r="S142" t="str">
        <x:v>RELATÓRIO ALVOS TOPOGRÁFICOS - Empreitada THE EDEN, Estoril_ R09_31-10-25(1).pdf</x:v>
      </x:c>
      <x:c r="T142" t="n">
        <x:v>16</x:v>
      </x:c>
    </x:row>
    <x:row r="143">
      <x:c r="A143" s="48" t="n">
        <x:v>45944</x:v>
      </x:c>
      <x:c r="B143" t="n">
        <x:v>7</x:v>
      </x:c>
      <x:c r="C143" t="str">
        <x:v>A4</x:v>
      </x:c>
      <x:c r="D143" t="str">
        <x:v>Edifício Santa Casa da Misericórdia</x:v>
      </x:c>
      <x:c r="E143" s="66" t="n">
        <x:v>5001.0428</x:v>
      </x:c>
      <x:c r="F143" s="66" t="n">
        <x:v>5053.5322</x:v>
      </x:c>
      <x:c r="G143" s="66" t="n">
        <x:v>58.6778</x:v>
      </x:c>
      <x:c r="H143" s="66" t="n">
        <x:v>5001.046</x:v>
      </x:c>
      <x:c r="I143" s="66" t="n">
        <x:v>5053.5207</x:v>
      </x:c>
      <x:c r="J143" s="66" t="n">
        <x:v>58.6733</x:v>
      </x:c>
      <x:c r="K143" s="50" t="n">
        <x:v>-0.2</x:v>
      </x:c>
      <x:c r="L143" s="50" t="n">
        <x:v>-4.2</x:v>
      </x:c>
      <x:c r="M143" s="50" t="n">
        <x:v>-2</x:v>
      </x:c>
      <x:c r="N143" s="50" t="n">
        <x:v>3.2</x:v>
      </x:c>
      <x:c r="O143" s="50" t="n">
        <x:v>-11.5</x:v>
      </x:c>
      <x:c r="P143" s="50" t="n">
        <x:v>-4.5</x:v>
      </x:c>
      <x:c r="Q143" s="50" t="n">
        <x:f>IF(COUNT(N143:O143)&lt;2,"",SQRT(N143^2+O143^2))</x:f>
        <x:v>11.936917525056458</x:v>
      </x:c>
      <x:c r="R143" t="str">
        <x:f>IF(COUNT(H143:P143)=0,"Sem leitura",IF(ISNUMBER(SEARCH("Escavação",D143)),IF(OR(Q143&gt;=40,ABS(P143)&gt;=15),"Alarme",IF(OR(Q143&gt;=IF(OR(ISNUMBER(SEARCH("Alçado AB",D143)),ISNUMBER(SEARCH("Alçado CD",D143)),ISNUMBER(SEARCH("Alçado BF",D143)),ISNUMBER(SEARCH("Alçado PQ",D143))),20,30),ABS(P143)&gt;=10),"Alerta","Regular")),IF(OR(Q143&gt;=25,ABS(P143)&gt;=20),"Alarme",IF(OR(Q143&gt;=15,ABS(P143)&gt;=10),"Alerta","Regular"))))</x:f>
        <x:v>Regular</x:v>
      </x:c>
      <x:c r="S143" t="str">
        <x:v>RELATÓRIO ALVOS TOPOGRÁFICOS - Empreitada THE EDEN, Estoril_ R09_31-10-25(1).pdf</x:v>
      </x:c>
      <x:c r="T143" t="n">
        <x:v>16</x:v>
      </x:c>
    </x:row>
    <x:row r="144">
      <x:c r="A144" s="48" t="n">
        <x:v>45944</x:v>
      </x:c>
      <x:c r="B144" t="n">
        <x:v>7</x:v>
      </x:c>
      <x:c r="C144" t="str">
        <x:v>A5</x:v>
      </x:c>
      <x:c r="D144" t="str">
        <x:v>Edifício Santa Casa da Misericórdia</x:v>
      </x:c>
      <x:c r="E144" s="66" t="n">
        <x:v>5005.4018</x:v>
      </x:c>
      <x:c r="F144" s="66" t="n">
        <x:v>5054.5141</x:v>
      </x:c>
      <x:c r="G144" s="66" t="n">
        <x:v>60.1819</x:v>
      </x:c>
      <x:c r="H144" s="66"/>
      <x:c r="I144" s="66"/>
      <x:c r="J144" s="66"/>
      <x:c r="K144" s="50"/>
      <x:c r="L144" s="50"/>
      <x:c r="M144" s="50"/>
      <x:c r="N144" s="50"/>
      <x:c r="O144" s="50"/>
      <x:c r="P144" s="50"/>
      <x:c r="Q144" s="50" t="str">
        <x:f>IF(COUNT(N144:O144)&lt;2,"",SQRT(N144^2+O144^2))</x:f>
      </x:c>
      <x:c r="R144" t="str">
        <x:f>IF(COUNT(H144:P144)=0,"Sem leitura",IF(ISNUMBER(SEARCH("Escavação",D144)),IF(OR(Q144&gt;=40,ABS(P144)&gt;=15),"Alarme",IF(OR(Q144&gt;=IF(OR(ISNUMBER(SEARCH("Alçado AB",D144)),ISNUMBER(SEARCH("Alçado CD",D144)),ISNUMBER(SEARCH("Alçado BF",D144)),ISNUMBER(SEARCH("Alçado PQ",D144))),20,30),ABS(P144)&gt;=10),"Alerta","Regular")),IF(OR(Q144&gt;=25,ABS(P144)&gt;=20),"Alarme",IF(OR(Q144&gt;=15,ABS(P144)&gt;=10),"Alerta","Regular"))))</x:f>
        <x:v>Sem leitura</x:v>
      </x:c>
      <x:c r="S144" t="str">
        <x:v>RELATÓRIO ALVOS TOPOGRÁFICOS - Empreitada THE EDEN, Estoril_ R09_31-10-25(1).pdf</x:v>
      </x:c>
      <x:c r="T144" t="n">
        <x:v>16</x:v>
      </x:c>
    </x:row>
    <x:row r="145">
      <x:c r="A145" s="48" t="n">
        <x:v>45944</x:v>
      </x:c>
      <x:c r="B145" t="n">
        <x:v>7</x:v>
      </x:c>
      <x:c r="C145" t="str">
        <x:v>A6</x:v>
      </x:c>
      <x:c r="D145" t="str">
        <x:v>Edifício Santa Casa da Misericórdia</x:v>
      </x:c>
      <x:c r="E145" s="66" t="n">
        <x:v>5005.4051</x:v>
      </x:c>
      <x:c r="F145" s="66" t="n">
        <x:v>5054.5767</x:v>
      </x:c>
      <x:c r="G145" s="66" t="n">
        <x:v>58.647</x:v>
      </x:c>
      <x:c r="H145" s="66"/>
      <x:c r="I145" s="66"/>
      <x:c r="J145" s="66"/>
      <x:c r="K145" s="50"/>
      <x:c r="L145" s="50"/>
      <x:c r="M145" s="50"/>
      <x:c r="N145" s="50"/>
      <x:c r="O145" s="50"/>
      <x:c r="P145" s="50"/>
      <x:c r="Q145" s="50" t="str">
        <x:f>IF(COUNT(N145:O145)&lt;2,"",SQRT(N145^2+O145^2))</x:f>
      </x:c>
      <x:c r="R145" t="str">
        <x:f>IF(COUNT(H145:P145)=0,"Sem leitura",IF(ISNUMBER(SEARCH("Escavação",D145)),IF(OR(Q145&gt;=40,ABS(P145)&gt;=15),"Alarme",IF(OR(Q145&gt;=IF(OR(ISNUMBER(SEARCH("Alçado AB",D145)),ISNUMBER(SEARCH("Alçado CD",D145)),ISNUMBER(SEARCH("Alçado BF",D145)),ISNUMBER(SEARCH("Alçado PQ",D145))),20,30),ABS(P145)&gt;=10),"Alerta","Regular")),IF(OR(Q145&gt;=25,ABS(P145)&gt;=20),"Alarme",IF(OR(Q145&gt;=15,ABS(P145)&gt;=10),"Alerta","Regular"))))</x:f>
        <x:v>Sem leitura</x:v>
      </x:c>
      <x:c r="S145" t="str">
        <x:v>RELATÓRIO ALVOS TOPOGRÁFICOS - Empreitada THE EDEN, Estoril_ R09_31-10-25(1).pdf</x:v>
      </x:c>
      <x:c r="T145" t="n">
        <x:v>16</x:v>
      </x:c>
    </x:row>
    <x:row r="146">
      <x:c r="A146" s="48" t="n">
        <x:v>45944</x:v>
      </x:c>
      <x:c r="B146" t="n">
        <x:v>7</x:v>
      </x:c>
      <x:c r="C146" t="str">
        <x:v>A7</x:v>
      </x:c>
      <x:c r="D146" t="str">
        <x:v>Edifício Santa Casa da Misericórdia</x:v>
      </x:c>
      <x:c r="E146" s="66" t="n">
        <x:v>5005.8755</x:v>
      </x:c>
      <x:c r="F146" s="66" t="n">
        <x:v>5063.3174</x:v>
      </x:c>
      <x:c r="G146" s="66" t="n">
        <x:v>60.4811</x:v>
      </x:c>
      <x:c r="H146" s="66"/>
      <x:c r="I146" s="66"/>
      <x:c r="J146" s="66"/>
      <x:c r="K146" s="50"/>
      <x:c r="L146" s="50"/>
      <x:c r="M146" s="50"/>
      <x:c r="N146" s="50"/>
      <x:c r="O146" s="50"/>
      <x:c r="P146" s="50"/>
      <x:c r="Q146" s="50" t="str">
        <x:f>IF(COUNT(N146:O146)&lt;2,"",SQRT(N146^2+O146^2))</x:f>
      </x:c>
      <x:c r="R146" t="str">
        <x:f>IF(COUNT(H146:P146)=0,"Sem leitura",IF(ISNUMBER(SEARCH("Escavação",D146)),IF(OR(Q146&gt;=40,ABS(P146)&gt;=15),"Alarme",IF(OR(Q146&gt;=IF(OR(ISNUMBER(SEARCH("Alçado AB",D146)),ISNUMBER(SEARCH("Alçado CD",D146)),ISNUMBER(SEARCH("Alçado BF",D146)),ISNUMBER(SEARCH("Alçado PQ",D146))),20,30),ABS(P146)&gt;=10),"Alerta","Regular")),IF(OR(Q146&gt;=25,ABS(P146)&gt;=20),"Alarme",IF(OR(Q146&gt;=15,ABS(P146)&gt;=10),"Alerta","Regular"))))</x:f>
        <x:v>Sem leitura</x:v>
      </x:c>
      <x:c r="S146" t="str">
        <x:v>RELATÓRIO ALVOS TOPOGRÁFICOS - Empreitada THE EDEN, Estoril_ R09_31-10-25(1).pdf</x:v>
      </x:c>
      <x:c r="T146" t="n">
        <x:v>16</x:v>
      </x:c>
    </x:row>
    <x:row r="147">
      <x:c r="A147" s="48" t="n">
        <x:v>45944</x:v>
      </x:c>
      <x:c r="B147" t="n">
        <x:v>7</x:v>
      </x:c>
      <x:c r="C147" t="str">
        <x:v>A8</x:v>
      </x:c>
      <x:c r="D147" t="str">
        <x:v>Edifício Santa Casa da Misericórdia</x:v>
      </x:c>
      <x:c r="E147" s="66" t="n">
        <x:v>5005.8839</x:v>
      </x:c>
      <x:c r="F147" s="66" t="n">
        <x:v>5063.7008</x:v>
      </x:c>
      <x:c r="G147" s="66" t="n">
        <x:v>59.3293</x:v>
      </x:c>
      <x:c r="H147" s="66"/>
      <x:c r="I147" s="66"/>
      <x:c r="J147" s="66"/>
      <x:c r="K147" s="50"/>
      <x:c r="L147" s="50"/>
      <x:c r="M147" s="50"/>
      <x:c r="N147" s="50"/>
      <x:c r="O147" s="50"/>
      <x:c r="P147" s="50"/>
      <x:c r="Q147" s="50" t="str">
        <x:f>IF(COUNT(N147:O147)&lt;2,"",SQRT(N147^2+O147^2))</x:f>
      </x:c>
      <x:c r="R147" t="str">
        <x:f>IF(COUNT(H147:P147)=0,"Sem leitura",IF(ISNUMBER(SEARCH("Escavação",D147)),IF(OR(Q147&gt;=40,ABS(P147)&gt;=15),"Alarme",IF(OR(Q147&gt;=IF(OR(ISNUMBER(SEARCH("Alçado AB",D147)),ISNUMBER(SEARCH("Alçado CD",D147)),ISNUMBER(SEARCH("Alçado BF",D147)),ISNUMBER(SEARCH("Alçado PQ",D147))),20,30),ABS(P147)&gt;=10),"Alerta","Regular")),IF(OR(Q147&gt;=25,ABS(P147)&gt;=20),"Alarme",IF(OR(Q147&gt;=15,ABS(P147)&gt;=10),"Alerta","Regular"))))</x:f>
        <x:v>Sem leitura</x:v>
      </x:c>
      <x:c r="S147" t="str">
        <x:v>RELATÓRIO ALVOS TOPOGRÁFICOS - Empreitada THE EDEN, Estoril_ R09_31-10-25(1).pdf</x:v>
      </x:c>
      <x:c r="T147" t="n">
        <x:v>16</x:v>
      </x:c>
    </x:row>
    <x:row r="148">
      <x:c r="A148" s="48" t="n">
        <x:v>45944</x:v>
      </x:c>
      <x:c r="B148" t="n">
        <x:v>2</x:v>
      </x:c>
      <x:c r="C148" t="str">
        <x:v>AB1</x:v>
      </x:c>
      <x:c r="D148" t="str">
        <x:v>Escavação e Contenção Periférica - Alçado AB</x:v>
      </x:c>
      <x:c r="E148" s="66" t="n">
        <x:v>5019.724</x:v>
      </x:c>
      <x:c r="F148" s="66" t="n">
        <x:v>5017.4448</x:v>
      </x:c>
      <x:c r="G148" s="66" t="n">
        <x:v>48.2671</x:v>
      </x:c>
      <x:c r="H148" s="66"/>
      <x:c r="I148" s="66"/>
      <x:c r="J148" s="66"/>
      <x:c r="K148" s="50"/>
      <x:c r="L148" s="50"/>
      <x:c r="M148" s="50"/>
      <x:c r="N148" s="50"/>
      <x:c r="O148" s="50"/>
      <x:c r="P148" s="50"/>
      <x:c r="Q148" s="50" t="str">
        <x:f>IF(COUNT(N148:O148)&lt;2,"",SQRT(N148^2+O148^2))</x:f>
      </x:c>
      <x:c r="R148" t="str">
        <x:f>IF(COUNT(H148:P148)=0,"Sem leitura",IF(ISNUMBER(SEARCH("Escavação",D148)),IF(OR(Q148&gt;=40,ABS(P148)&gt;=15),"Alarme",IF(OR(Q148&gt;=IF(OR(ISNUMBER(SEARCH("Alçado AB",D148)),ISNUMBER(SEARCH("Alçado CD",D148)),ISNUMBER(SEARCH("Alçado BF",D148)),ISNUMBER(SEARCH("Alçado PQ",D148))),20,30),ABS(P148)&gt;=10),"Alerta","Regular")),IF(OR(Q148&gt;=25,ABS(P148)&gt;=20),"Alarme",IF(OR(Q148&gt;=15,ABS(P148)&gt;=10),"Alerta","Regular"))))</x:f>
        <x:v>Sem leitura</x:v>
      </x:c>
      <x:c r="S148" t="str">
        <x:v>RELATÓRIO ALVOS TOPOGRÁFICOS - Empreitada THE EDEN, Estoril_ R09_31-10-25(1).pdf</x:v>
      </x:c>
      <x:c r="T148" t="n">
        <x:v>40</x:v>
      </x:c>
    </x:row>
    <x:row r="149">
      <x:c r="A149" s="48" t="n">
        <x:v>45944</x:v>
      </x:c>
      <x:c r="B149" t="n">
        <x:v>2</x:v>
      </x:c>
      <x:c r="C149" t="str">
        <x:v>BF1</x:v>
      </x:c>
      <x:c r="D149" t="str">
        <x:v>Escavação e Contenção Periférica - Alçado BF</x:v>
      </x:c>
      <x:c r="E149" s="66" t="n">
        <x:v>4986.2775</x:v>
      </x:c>
      <x:c r="F149" s="66" t="n">
        <x:v>5019.8639</x:v>
      </x:c>
      <x:c r="G149" s="66" t="n">
        <x:v>50.873</x:v>
      </x:c>
      <x:c r="H149" s="66" t="n">
        <x:v>4986.2788</x:v>
      </x:c>
      <x:c r="I149" s="66" t="n">
        <x:v>5019.8619</x:v>
      </x:c>
      <x:c r="J149" s="66" t="n">
        <x:v>50.8726</x:v>
      </x:c>
      <x:c r="K149" s="50" t="n">
        <x:v>1.3</x:v>
      </x:c>
      <x:c r="L149" s="50" t="n">
        <x:v>-2</x:v>
      </x:c>
      <x:c r="M149" s="50" t="n">
        <x:v>-0.4</x:v>
      </x:c>
      <x:c r="N149" s="50" t="n">
        <x:v>1.3</x:v>
      </x:c>
      <x:c r="O149" s="50" t="n">
        <x:v>-2</x:v>
      </x:c>
      <x:c r="P149" s="50" t="n">
        <x:v>-0.4</x:v>
      </x:c>
      <x:c r="Q149" s="50" t="n">
        <x:f>IF(COUNT(N149:O149)&lt;2,"",SQRT(N149^2+O149^2))</x:f>
        <x:v>2.3853720883753127</x:v>
      </x:c>
      <x:c r="R149" t="str">
        <x:f>IF(COUNT(H149:P149)=0,"Sem leitura",IF(ISNUMBER(SEARCH("Escavação",D149)),IF(OR(Q149&gt;=40,ABS(P149)&gt;=15),"Alarme",IF(OR(Q149&gt;=IF(OR(ISNUMBER(SEARCH("Alçado AB",D149)),ISNUMBER(SEARCH("Alçado CD",D149)),ISNUMBER(SEARCH("Alçado BF",D149)),ISNUMBER(SEARCH("Alçado PQ",D149))),20,30),ABS(P149)&gt;=10),"Alerta","Regular")),IF(OR(Q149&gt;=25,ABS(P149)&gt;=20),"Alarme",IF(OR(Q149&gt;=15,ABS(P149)&gt;=10),"Alerta","Regular"))))</x:f>
        <x:v>Regular</x:v>
      </x:c>
      <x:c r="S149" t="str">
        <x:v>RELATÓRIO ALVOS TOPOGRÁFICOS - Empreitada THE EDEN, Estoril_ R09_31-10-25(1).pdf</x:v>
      </x:c>
      <x:c r="T149" t="n">
        <x:v>40</x:v>
      </x:c>
    </x:row>
    <x:row r="150">
      <x:c r="A150" s="48" t="n">
        <x:v>45944</x:v>
      </x:c>
      <x:c r="B150" t="n">
        <x:v>2</x:v>
      </x:c>
      <x:c r="C150" t="str">
        <x:v>BF2</x:v>
      </x:c>
      <x:c r="D150" t="str">
        <x:v>Escavação e Contenção Periférica - Alçado BF</x:v>
      </x:c>
      <x:c r="E150" s="66" t="n">
        <x:v>4977.5058</x:v>
      </x:c>
      <x:c r="F150" s="66" t="n">
        <x:v>5027.6043</x:v>
      </x:c>
      <x:c r="G150" s="66" t="n">
        <x:v>52.2084</x:v>
      </x:c>
      <x:c r="H150" s="66" t="n">
        <x:v>4977.5062</x:v>
      </x:c>
      <x:c r="I150" s="66" t="n">
        <x:v>5027.6015</x:v>
      </x:c>
      <x:c r="J150" s="66" t="n">
        <x:v>52.2079</x:v>
      </x:c>
      <x:c r="K150" s="50" t="n">
        <x:v>0.4</x:v>
      </x:c>
      <x:c r="L150" s="50" t="n">
        <x:v>-2.8</x:v>
      </x:c>
      <x:c r="M150" s="50" t="n">
        <x:v>-0.5</x:v>
      </x:c>
      <x:c r="N150" s="50" t="n">
        <x:v>0.4</x:v>
      </x:c>
      <x:c r="O150" s="50" t="n">
        <x:v>-2.8</x:v>
      </x:c>
      <x:c r="P150" s="50" t="n">
        <x:v>-0.5</x:v>
      </x:c>
      <x:c r="Q150" s="50" t="n">
        <x:f>IF(COUNT(N150:O150)&lt;2,"",SQRT(N150^2+O150^2))</x:f>
        <x:v>2.82842712474619</x:v>
      </x:c>
      <x:c r="R150" t="str">
        <x:f>IF(COUNT(H150:P150)=0,"Sem leitura",IF(ISNUMBER(SEARCH("Escavação",D150)),IF(OR(Q150&gt;=40,ABS(P150)&gt;=15),"Alarme",IF(OR(Q150&gt;=IF(OR(ISNUMBER(SEARCH("Alçado AB",D150)),ISNUMBER(SEARCH("Alçado CD",D150)),ISNUMBER(SEARCH("Alçado BF",D150)),ISNUMBER(SEARCH("Alçado PQ",D150))),20,30),ABS(P150)&gt;=10),"Alerta","Regular")),IF(OR(Q150&gt;=25,ABS(P150)&gt;=20),"Alarme",IF(OR(Q150&gt;=15,ABS(P150)&gt;=10),"Alerta","Regular"))))</x:f>
        <x:v>Regular</x:v>
      </x:c>
      <x:c r="S150" t="str">
        <x:v>RELATÓRIO ALVOS TOPOGRÁFICOS - Empreitada THE EDEN, Estoril_ R09_31-10-25(1).pdf</x:v>
      </x:c>
      <x:c r="T150" t="n">
        <x:v>40</x:v>
      </x:c>
    </x:row>
    <x:row r="151">
      <x:c r="A151" s="48" t="n">
        <x:v>45944</x:v>
      </x:c>
      <x:c r="B151" t="n">
        <x:v>2</x:v>
      </x:c>
      <x:c r="C151" t="str">
        <x:v>CD1</x:v>
      </x:c>
      <x:c r="D151" t="str">
        <x:v>Escavação e Contenção Periférica - Alçado CD</x:v>
      </x:c>
      <x:c r="E151" s="66" t="n">
        <x:v>4982.382</x:v>
      </x:c>
      <x:c r="F151" s="66" t="n">
        <x:v>5027.9636</x:v>
      </x:c>
      <x:c r="G151" s="66" t="n">
        <x:v>48.2755</x:v>
      </x:c>
      <x:c r="H151" s="66" t="n">
        <x:v>4982.3832</x:v>
      </x:c>
      <x:c r="I151" s="66" t="n">
        <x:v>5027.961</x:v>
      </x:c>
      <x:c r="J151" s="66" t="n">
        <x:v>48.2757</x:v>
      </x:c>
      <x:c r="K151" s="50" t="n">
        <x:v>1.2</x:v>
      </x:c>
      <x:c r="L151" s="50" t="n">
        <x:v>-2.6</x:v>
      </x:c>
      <x:c r="M151" s="50" t="n">
        <x:v>0.2</x:v>
      </x:c>
      <x:c r="N151" s="50" t="n">
        <x:v>1.2</x:v>
      </x:c>
      <x:c r="O151" s="50" t="n">
        <x:v>-2.6</x:v>
      </x:c>
      <x:c r="P151" s="50" t="n">
        <x:v>0.2</x:v>
      </x:c>
      <x:c r="Q151" s="50" t="n">
        <x:f>IF(COUNT(N151:O151)&lt;2,"",SQRT(N151^2+O151^2))</x:f>
        <x:v>2.863564212655271</x:v>
      </x:c>
      <x:c r="R151" t="str">
        <x:f>IF(COUNT(H151:P151)=0,"Sem leitura",IF(ISNUMBER(SEARCH("Escavação",D151)),IF(OR(Q151&gt;=40,ABS(P151)&gt;=15),"Alarme",IF(OR(Q151&gt;=IF(OR(ISNUMBER(SEARCH("Alçado AB",D151)),ISNUMBER(SEARCH("Alçado CD",D151)),ISNUMBER(SEARCH("Alçado BF",D151)),ISNUMBER(SEARCH("Alçado PQ",D151))),20,30),ABS(P151)&gt;=10),"Alerta","Regular")),IF(OR(Q151&gt;=25,ABS(P151)&gt;=20),"Alarme",IF(OR(Q151&gt;=15,ABS(P151)&gt;=10),"Alerta","Regular"))))</x:f>
        <x:v>Regular</x:v>
      </x:c>
      <x:c r="S151" t="str">
        <x:v>RELATÓRIO ALVOS TOPOGRÁFICOS - Empreitada THE EDEN, Estoril_ R09_31-10-25(1).pdf</x:v>
      </x:c>
      <x:c r="T151" t="n">
        <x:v>40</x:v>
      </x:c>
    </x:row>
    <x:row r="152">
      <x:c r="A152" s="48" t="n">
        <x:v>45944</x:v>
      </x:c>
      <x:c r="B152" t="n">
        <x:v>2</x:v>
      </x:c>
      <x:c r="C152" t="str">
        <x:v>FG1</x:v>
      </x:c>
      <x:c r="D152" t="str">
        <x:v>Escavação e Contenção Periférica - Alçado FG</x:v>
      </x:c>
      <x:c r="E152" s="66" t="n">
        <x:v>4974.3925</x:v>
      </x:c>
      <x:c r="F152" s="66" t="n">
        <x:v>5039.5326</x:v>
      </x:c>
      <x:c r="G152" s="66" t="n">
        <x:v>53.5568</x:v>
      </x:c>
      <x:c r="H152" s="66" t="n">
        <x:v>4974.3927</x:v>
      </x:c>
      <x:c r="I152" s="66" t="n">
        <x:v>5039.5338</x:v>
      </x:c>
      <x:c r="J152" s="66" t="n">
        <x:v>53.5571</x:v>
      </x:c>
      <x:c r="K152" s="50" t="n">
        <x:v>-0.1</x:v>
      </x:c>
      <x:c r="L152" s="50" t="n">
        <x:v>0.3</x:v>
      </x:c>
      <x:c r="M152" s="50" t="n">
        <x:v>0.3</x:v>
      </x:c>
      <x:c r="N152" s="50" t="n">
        <x:v>0.2</x:v>
      </x:c>
      <x:c r="O152" s="50" t="n">
        <x:v>1.2</x:v>
      </x:c>
      <x:c r="P152" s="50" t="n">
        <x:v>0.3</x:v>
      </x:c>
      <x:c r="Q152" s="50" t="n">
        <x:f>IF(COUNT(N152:O152)&lt;2,"",SQRT(N152^2+O152^2))</x:f>
        <x:v>1.2165525060596438</x:v>
      </x:c>
      <x:c r="R152" t="str">
        <x:f>IF(COUNT(H152:P152)=0,"Sem leitura",IF(ISNUMBER(SEARCH("Escavação",D152)),IF(OR(Q152&gt;=40,ABS(P152)&gt;=15),"Alarme",IF(OR(Q152&gt;=IF(OR(ISNUMBER(SEARCH("Alçado AB",D152)),ISNUMBER(SEARCH("Alçado CD",D152)),ISNUMBER(SEARCH("Alçado BF",D152)),ISNUMBER(SEARCH("Alçado PQ",D152))),20,30),ABS(P152)&gt;=10),"Alerta","Regular")),IF(OR(Q152&gt;=25,ABS(P152)&gt;=20),"Alarme",IF(OR(Q152&gt;=15,ABS(P152)&gt;=10),"Alerta","Regular"))))</x:f>
        <x:v>Regular</x:v>
      </x:c>
      <x:c r="S152" t="str">
        <x:v>RELATÓRIO ALVOS TOPOGRÁFICOS - Empreitada THE EDEN, Estoril_ R09_31-10-25(1).pdf</x:v>
      </x:c>
      <x:c r="T152" t="n">
        <x:v>40</x:v>
      </x:c>
    </x:row>
    <x:row r="153">
      <x:c r="A153" s="48" t="n">
        <x:v>45944</x:v>
      </x:c>
      <x:c r="B153" t="n">
        <x:v>2</x:v>
      </x:c>
      <x:c r="C153" t="str">
        <x:v>GH1</x:v>
      </x:c>
      <x:c r="D153" t="str">
        <x:v>Escavação e Contenção Periférica - Alçado GH</x:v>
      </x:c>
      <x:c r="E153" s="66" t="n">
        <x:v>4981.8689</x:v>
      </x:c>
      <x:c r="F153" s="66" t="n">
        <x:v>5046.9902</x:v>
      </x:c>
      <x:c r="G153" s="66" t="n">
        <x:v>53.9665</x:v>
      </x:c>
      <x:c r="H153" s="66" t="n">
        <x:v>4981.871</x:v>
      </x:c>
      <x:c r="I153" s="66" t="n">
        <x:v>5046.9905</x:v>
      </x:c>
      <x:c r="J153" s="66" t="n">
        <x:v>53.966</x:v>
      </x:c>
      <x:c r="K153" s="50" t="n">
        <x:v>0.3</x:v>
      </x:c>
      <x:c r="L153" s="50" t="n">
        <x:v>-0.7</x:v>
      </x:c>
      <x:c r="M153" s="50" t="n">
        <x:v>-0.4</x:v>
      </x:c>
      <x:c r="N153" s="50" t="n">
        <x:v>2.1</x:v>
      </x:c>
      <x:c r="O153" s="50" t="n">
        <x:v>0.3</x:v>
      </x:c>
      <x:c r="P153" s="50" t="n">
        <x:v>-0.5</x:v>
      </x:c>
      <x:c r="Q153" s="50" t="n">
        <x:f>IF(COUNT(N153:O153)&lt;2,"",SQRT(N153^2+O153^2))</x:f>
        <x:v>2.1213203435596424</x:v>
      </x:c>
      <x:c r="R153" t="str">
        <x:f>IF(COUNT(H153:P153)=0,"Sem leitura",IF(ISNUMBER(SEARCH("Escavação",D153)),IF(OR(Q153&gt;=40,ABS(P153)&gt;=15),"Alarme",IF(OR(Q153&gt;=IF(OR(ISNUMBER(SEARCH("Alçado AB",D153)),ISNUMBER(SEARCH("Alçado CD",D153)),ISNUMBER(SEARCH("Alçado BF",D153)),ISNUMBER(SEARCH("Alçado PQ",D153))),20,30),ABS(P153)&gt;=10),"Alerta","Regular")),IF(OR(Q153&gt;=25,ABS(P153)&gt;=20),"Alarme",IF(OR(Q153&gt;=15,ABS(P153)&gt;=10),"Alerta","Regular"))))</x:f>
        <x:v>Regular</x:v>
      </x:c>
      <x:c r="S153" t="str">
        <x:v>RELATÓRIO ALVOS TOPOGRÁFICOS - Empreitada THE EDEN, Estoril_ R09_31-10-25(1).pdf</x:v>
      </x:c>
      <x:c r="T153" t="n">
        <x:v>40</x:v>
      </x:c>
    </x:row>
    <x:row r="154">
      <x:c r="A154" s="48" t="n">
        <x:v>45944</x:v>
      </x:c>
      <x:c r="B154" t="n">
        <x:v>2</x:v>
      </x:c>
      <x:c r="C154" t="str">
        <x:v>GH2</x:v>
      </x:c>
      <x:c r="D154" t="str">
        <x:v>Escavação e Contenção Periférica - Alçado GH</x:v>
      </x:c>
      <x:c r="E154" s="66" t="n">
        <x:v>4993.0258</x:v>
      </x:c>
      <x:c r="F154" s="66" t="n">
        <x:v>5045.3909</x:v>
      </x:c>
      <x:c r="G154" s="66" t="n">
        <x:v>53.9052</x:v>
      </x:c>
      <x:c r="H154" s="66" t="n">
        <x:v>4993.0275</x:v>
      </x:c>
      <x:c r="I154" s="66" t="n">
        <x:v>5045.3902</x:v>
      </x:c>
      <x:c r="J154" s="66" t="n">
        <x:v>53.9047</x:v>
      </x:c>
      <x:c r="K154" s="50" t="n">
        <x:v>1</x:v>
      </x:c>
      <x:c r="L154" s="50" t="n">
        <x:v>-1.8</x:v>
      </x:c>
      <x:c r="M154" s="50" t="n">
        <x:v>-0.5</x:v>
      </x:c>
      <x:c r="N154" s="50" t="n">
        <x:v>1.7</x:v>
      </x:c>
      <x:c r="O154" s="50" t="n">
        <x:v>-0.7</x:v>
      </x:c>
      <x:c r="P154" s="50" t="n">
        <x:v>-0.5</x:v>
      </x:c>
      <x:c r="Q154" s="50" t="n">
        <x:f>IF(COUNT(N154:O154)&lt;2,"",SQRT(N154^2+O154^2))</x:f>
        <x:v>1.8384776310850235</x:v>
      </x:c>
      <x:c r="R154" t="str">
        <x:f>IF(COUNT(H154:P154)=0,"Sem leitura",IF(ISNUMBER(SEARCH("Escavação",D154)),IF(OR(Q154&gt;=40,ABS(P154)&gt;=15),"Alarme",IF(OR(Q154&gt;=IF(OR(ISNUMBER(SEARCH("Alçado AB",D154)),ISNUMBER(SEARCH("Alçado CD",D154)),ISNUMBER(SEARCH("Alçado BF",D154)),ISNUMBER(SEARCH("Alçado PQ",D154))),20,30),ABS(P154)&gt;=10),"Alerta","Regular")),IF(OR(Q154&gt;=25,ABS(P154)&gt;=20),"Alarme",IF(OR(Q154&gt;=15,ABS(P154)&gt;=10),"Alerta","Regular"))))</x:f>
        <x:v>Regular</x:v>
      </x:c>
      <x:c r="S154" t="str">
        <x:v>RELATÓRIO ALVOS TOPOGRÁFICOS - Empreitada THE EDEN, Estoril_ R09_31-10-25(1).pdf</x:v>
      </x:c>
      <x:c r="T154" t="n">
        <x:v>40</x:v>
      </x:c>
    </x:row>
    <x:row r="155">
      <x:c r="A155" s="48" t="n">
        <x:v>45944</x:v>
      </x:c>
      <x:c r="B155" t="n">
        <x:v>2</x:v>
      </x:c>
      <x:c r="C155" t="str">
        <x:v>GH3</x:v>
      </x:c>
      <x:c r="D155" t="str">
        <x:v>Escavação e Contenção Periférica - Alçado GH</x:v>
      </x:c>
      <x:c r="E155" s="66" t="n">
        <x:v>5002.4091</x:v>
      </x:c>
      <x:c r="F155" s="66" t="n">
        <x:v>5044.0244</x:v>
      </x:c>
      <x:c r="G155" s="66" t="n">
        <x:v>53.8892</x:v>
      </x:c>
      <x:c r="H155" s="66" t="n">
        <x:v>5002.4093</x:v>
      </x:c>
      <x:c r="I155" s="66" t="n">
        <x:v>5044.0225</x:v>
      </x:c>
      <x:c r="J155" s="66" t="n">
        <x:v>53.8888</x:v>
      </x:c>
      <x:c r="K155" s="50" t="n">
        <x:v>0.2</x:v>
      </x:c>
      <x:c r="L155" s="50" t="n">
        <x:v>-1.6</x:v>
      </x:c>
      <x:c r="M155" s="50" t="n">
        <x:v>-0.1</x:v>
      </x:c>
      <x:c r="N155" s="50" t="n">
        <x:v>0.2</x:v>
      </x:c>
      <x:c r="O155" s="50" t="n">
        <x:v>-1.9</x:v>
      </x:c>
      <x:c r="P155" s="50" t="n">
        <x:v>-0.4</x:v>
      </x:c>
      <x:c r="Q155" s="50" t="n">
        <x:f>IF(COUNT(N155:O155)&lt;2,"",SQRT(N155^2+O155^2))</x:f>
        <x:v>1.91049731745428</x:v>
      </x:c>
      <x:c r="R155" t="str">
        <x:f>IF(COUNT(H155:P155)=0,"Sem leitura",IF(ISNUMBER(SEARCH("Escavação",D155)),IF(OR(Q155&gt;=40,ABS(P155)&gt;=15),"Alarme",IF(OR(Q155&gt;=IF(OR(ISNUMBER(SEARCH("Alçado AB",D155)),ISNUMBER(SEARCH("Alçado CD",D155)),ISNUMBER(SEARCH("Alçado BF",D155)),ISNUMBER(SEARCH("Alçado PQ",D155))),20,30),ABS(P155)&gt;=10),"Alerta","Regular")),IF(OR(Q155&gt;=25,ABS(P155)&gt;=20),"Alarme",IF(OR(Q155&gt;=15,ABS(P155)&gt;=10),"Alerta","Regular"))))</x:f>
        <x:v>Regular</x:v>
      </x:c>
      <x:c r="S155" t="str">
        <x:v>RELATÓRIO ALVOS TOPOGRÁFICOS - Empreitada THE EDEN, Estoril_ R09_31-10-25(1).pdf</x:v>
      </x:c>
      <x:c r="T155" t="n">
        <x:v>40</x:v>
      </x:c>
    </x:row>
    <x:row r="156">
      <x:c r="A156" s="48" t="n">
        <x:v>45944</x:v>
      </x:c>
      <x:c r="B156" t="n">
        <x:v>0</x:v>
      </x:c>
      <x:c r="C156" t="str">
        <x:v>JK1</x:v>
      </x:c>
      <x:c r="D156" t="str">
        <x:v>Escavação e Contenção Periférica - Alçado JK</x:v>
      </x:c>
      <x:c r="E156" s="66" t="n">
        <x:v>5010.7593</x:v>
      </x:c>
      <x:c r="F156" s="66" t="n">
        <x:v>5050.9464</x:v>
      </x:c>
      <x:c r="G156" s="66" t="n">
        <x:v>52.5174</x:v>
      </x:c>
      <x:c r="H156" s="66" t="n">
        <x:v>5010.7593</x:v>
      </x:c>
      <x:c r="I156" s="66" t="n">
        <x:v>5050.9464</x:v>
      </x:c>
      <x:c r="J156" s="66" t="n">
        <x:v>52.5174</x:v>
      </x:c>
      <x:c r="K156" s="50" t="n">
        <x:v>0</x:v>
      </x:c>
      <x:c r="L156" s="50" t="n">
        <x:v>0</x:v>
      </x:c>
      <x:c r="M156" s="50" t="n">
        <x:v>0</x:v>
      </x:c>
      <x:c r="N156" s="50" t="n">
        <x:v>0</x:v>
      </x:c>
      <x:c r="O156" s="50" t="n">
        <x:v>0</x:v>
      </x:c>
      <x:c r="P156" s="50" t="n">
        <x:v>0</x:v>
      </x:c>
      <x:c r="Q156" s="50" t="n">
        <x:f>IF(COUNT(N156:O156)&lt;2,"",SQRT(N156^2+O156^2))</x:f>
        <x:v>0</x:v>
      </x:c>
      <x:c r="R156" t="str">
        <x:f>IF(COUNT(H156:P156)=0,"Sem leitura",IF(ISNUMBER(SEARCH("Escavação",D156)),IF(OR(Q156&gt;=40,ABS(P156)&gt;=15),"Alarme",IF(OR(Q156&gt;=IF(OR(ISNUMBER(SEARCH("Alçado AB",D156)),ISNUMBER(SEARCH("Alçado CD",D156)),ISNUMBER(SEARCH("Alçado BF",D156)),ISNUMBER(SEARCH("Alçado PQ",D156))),20,30),ABS(P156)&gt;=10),"Alerta","Regular")),IF(OR(Q156&gt;=25,ABS(P156)&gt;=20),"Alarme",IF(OR(Q156&gt;=15,ABS(P156)&gt;=10),"Alerta","Regular"))))</x:f>
        <x:v>Regular</x:v>
      </x:c>
      <x:c r="S156" t="str">
        <x:v>RELATÓRIO ALVOS TOPOGRÁFICOS - Empreitada THE EDEN, Estoril_ R09_31-10-25(1).pdf</x:v>
      </x:c>
      <x:c r="T156" t="n">
        <x:v>38</x:v>
      </x:c>
    </x:row>
    <x:row r="157">
      <x:c r="A157" s="48" t="n">
        <x:v>45944</x:v>
      </x:c>
      <x:c r="B157" t="n">
        <x:v>2</x:v>
      </x:c>
      <x:c r="C157" t="str">
        <x:v>JK1</x:v>
      </x:c>
      <x:c r="D157" t="str">
        <x:v>Escavação e Contenção Periférica - Alçado JK</x:v>
      </x:c>
      <x:c r="E157" s="66" t="n">
        <x:v>5010.7593</x:v>
      </x:c>
      <x:c r="F157" s="66" t="n">
        <x:v>5050.9464</x:v>
      </x:c>
      <x:c r="G157" s="66" t="n">
        <x:v>52.5174</x:v>
      </x:c>
      <x:c r="H157" s="66" t="n">
        <x:v>5010.7593</x:v>
      </x:c>
      <x:c r="I157" s="66" t="n">
        <x:v>5050.9464</x:v>
      </x:c>
      <x:c r="J157" s="66" t="n">
        <x:v>52.5174</x:v>
      </x:c>
      <x:c r="K157" s="50" t="n">
        <x:v>0</x:v>
      </x:c>
      <x:c r="L157" s="50" t="n">
        <x:v>0</x:v>
      </x:c>
      <x:c r="M157" s="50" t="n">
        <x:v>0</x:v>
      </x:c>
      <x:c r="N157" s="50" t="n">
        <x:v>0</x:v>
      </x:c>
      <x:c r="O157" s="50" t="n">
        <x:v>0</x:v>
      </x:c>
      <x:c r="P157" s="50" t="n">
        <x:v>0</x:v>
      </x:c>
      <x:c r="Q157" s="50" t="n">
        <x:f>IF(COUNT(N157:O157)&lt;2,"",SQRT(N157^2+O157^2))</x:f>
        <x:v>0</x:v>
      </x:c>
      <x:c r="R157" t="str">
        <x:f>IF(COUNT(H157:P157)=0,"Sem leitura",IF(ISNUMBER(SEARCH("Escavação",D157)),IF(OR(Q157&gt;=40,ABS(P157)&gt;=15),"Alarme",IF(OR(Q157&gt;=IF(OR(ISNUMBER(SEARCH("Alçado AB",D157)),ISNUMBER(SEARCH("Alçado CD",D157)),ISNUMBER(SEARCH("Alçado BF",D157)),ISNUMBER(SEARCH("Alçado PQ",D157))),20,30),ABS(P157)&gt;=10),"Alerta","Regular")),IF(OR(Q157&gt;=25,ABS(P157)&gt;=20),"Alarme",IF(OR(Q157&gt;=15,ABS(P157)&gt;=10),"Alerta","Regular"))))</x:f>
        <x:v>Regular</x:v>
      </x:c>
      <x:c r="S157" t="str">
        <x:v>RELATÓRIO ALVOS TOPOGRÁFICOS - Empreitada THE EDEN, Estoril_ R09_31-10-25(1).pdf</x:v>
      </x:c>
      <x:c r="T157" t="n">
        <x:v>40</x:v>
      </x:c>
    </x:row>
    <x:row r="158">
      <x:c r="A158" s="48" t="n">
        <x:v>45944</x:v>
      </x:c>
      <x:c r="B158" t="n">
        <x:v>2</x:v>
      </x:c>
      <x:c r="C158" t="str">
        <x:v>JK2</x:v>
      </x:c>
      <x:c r="D158" t="str">
        <x:v>Escavação e Contenção Periférica - Alçado JK</x:v>
      </x:c>
      <x:c r="E158" s="66" t="n">
        <x:v>5012.8994</x:v>
      </x:c>
      <x:c r="F158" s="66" t="n">
        <x:v>5060.6997</x:v>
      </x:c>
      <x:c r="G158" s="66" t="n">
        <x:v>52.4963</x:v>
      </x:c>
      <x:c r="H158" s="66" t="n">
        <x:v>5012.8979</x:v>
      </x:c>
      <x:c r="I158" s="66" t="n">
        <x:v>5060.6999</x:v>
      </x:c>
      <x:c r="J158" s="66" t="n">
        <x:v>52.4963</x:v>
      </x:c>
      <x:c r="K158" s="50" t="n">
        <x:v>-1.5</x:v>
      </x:c>
      <x:c r="L158" s="50" t="n">
        <x:v>0.2</x:v>
      </x:c>
      <x:c r="M158" s="50" t="n">
        <x:v>0</x:v>
      </x:c>
      <x:c r="N158" s="50" t="n">
        <x:v>-1.5</x:v>
      </x:c>
      <x:c r="O158" s="50" t="n">
        <x:v>0.2</x:v>
      </x:c>
      <x:c r="P158" s="50" t="n">
        <x:v>0</x:v>
      </x:c>
      <x:c r="Q158" s="50" t="n">
        <x:f>IF(COUNT(N158:O158)&lt;2,"",SQRT(N158^2+O158^2))</x:f>
        <x:v>1.5132745950421556</x:v>
      </x:c>
      <x:c r="R158" t="str">
        <x:f>IF(COUNT(H158:P158)=0,"Sem leitura",IF(ISNUMBER(SEARCH("Escavação",D158)),IF(OR(Q158&gt;=40,ABS(P158)&gt;=15),"Alarme",IF(OR(Q158&gt;=IF(OR(ISNUMBER(SEARCH("Alçado AB",D158)),ISNUMBER(SEARCH("Alçado CD",D158)),ISNUMBER(SEARCH("Alçado BF",D158)),ISNUMBER(SEARCH("Alçado PQ",D158))),20,30),ABS(P158)&gt;=10),"Alerta","Regular")),IF(OR(Q158&gt;=25,ABS(P158)&gt;=20),"Alarme",IF(OR(Q158&gt;=15,ABS(P158)&gt;=10),"Alerta","Regular"))))</x:f>
        <x:v>Regular</x:v>
      </x:c>
      <x:c r="S158" t="str">
        <x:v>RELATÓRIO ALVOS TOPOGRÁFICOS - Empreitada THE EDEN, Estoril_ R09_31-10-25(1).pdf</x:v>
      </x:c>
      <x:c r="T158" t="n">
        <x:v>40</x:v>
      </x:c>
    </x:row>
    <x:row r="159">
      <x:c r="A159" s="48" t="n">
        <x:v>45944</x:v>
      </x:c>
      <x:c r="B159" t="n">
        <x:v>2</x:v>
      </x:c>
      <x:c r="C159" t="str">
        <x:v>KL1</x:v>
      </x:c>
      <x:c r="D159" t="str">
        <x:v>Escavação e Contenção Periférica - Alçado KL</x:v>
      </x:c>
      <x:c r="E159" s="66" t="n">
        <x:v>5026.7077</x:v>
      </x:c>
      <x:c r="F159" s="66" t="n">
        <x:v>5072.3889</x:v>
      </x:c>
      <x:c r="G159" s="66" t="n">
        <x:v>53.7614</x:v>
      </x:c>
      <x:c r="H159" s="66" t="n">
        <x:v>5026.7061</x:v>
      </x:c>
      <x:c r="I159" s="66" t="n">
        <x:v>5072.3889</x:v>
      </x:c>
      <x:c r="J159" s="66" t="n">
        <x:v>53.7615</x:v>
      </x:c>
      <x:c r="K159" s="50" t="n">
        <x:v>-1.6</x:v>
      </x:c>
      <x:c r="L159" s="50" t="n">
        <x:v>0</x:v>
      </x:c>
      <x:c r="M159" s="50" t="n">
        <x:v>0.1</x:v>
      </x:c>
      <x:c r="N159" s="50" t="n">
        <x:v>-1.6</x:v>
      </x:c>
      <x:c r="O159" s="50" t="n">
        <x:v>0</x:v>
      </x:c>
      <x:c r="P159" s="50" t="n">
        <x:v>0.1</x:v>
      </x:c>
      <x:c r="Q159" s="50" t="n">
        <x:f>IF(COUNT(N159:O159)&lt;2,"",SQRT(N159^2+O159^2))</x:f>
        <x:v>1.6</x:v>
      </x:c>
      <x:c r="R159" t="str">
        <x:f>IF(COUNT(H159:P159)=0,"Sem leitura",IF(ISNUMBER(SEARCH("Escavação",D159)),IF(OR(Q159&gt;=40,ABS(P159)&gt;=15),"Alarme",IF(OR(Q159&gt;=IF(OR(ISNUMBER(SEARCH("Alçado AB",D159)),ISNUMBER(SEARCH("Alçado CD",D159)),ISNUMBER(SEARCH("Alçado BF",D159)),ISNUMBER(SEARCH("Alçado PQ",D159))),20,30),ABS(P159)&gt;=10),"Alerta","Regular")),IF(OR(Q159&gt;=25,ABS(P159)&gt;=20),"Alarme",IF(OR(Q159&gt;=15,ABS(P159)&gt;=10),"Alerta","Regular"))))</x:f>
        <x:v>Regular</x:v>
      </x:c>
      <x:c r="S159" t="str">
        <x:v>RELATÓRIO ALVOS TOPOGRÁFICOS - Empreitada THE EDEN, Estoril_ R09_31-10-25(1).pdf</x:v>
      </x:c>
      <x:c r="T159" t="n">
        <x:v>40</x:v>
      </x:c>
    </x:row>
    <x:row r="160">
      <x:c r="A160" s="48" t="n">
        <x:v>45944</x:v>
      </x:c>
      <x:c r="B160" t="n">
        <x:v>2</x:v>
      </x:c>
      <x:c r="C160" t="str">
        <x:v>PQ1</x:v>
      </x:c>
      <x:c r="D160" t="str">
        <x:v>Escavação e Contenção Periférica - Alçado PQ</x:v>
      </x:c>
      <x:c r="E160" s="66" t="n">
        <x:v>5046.1883</x:v>
      </x:c>
      <x:c r="F160" s="66" t="n">
        <x:v>5033.5623</x:v>
      </x:c>
      <x:c r="G160" s="66" t="n">
        <x:v>48.9991</x:v>
      </x:c>
      <x:c r="H160" s="66" t="n">
        <x:v>5046.1828</x:v>
      </x:c>
      <x:c r="I160" s="66" t="n">
        <x:v>5033.5612</x:v>
      </x:c>
      <x:c r="J160" s="66" t="n">
        <x:v>48.9988</x:v>
      </x:c>
      <x:c r="K160" s="50" t="n">
        <x:v>-5.6</x:v>
      </x:c>
      <x:c r="L160" s="50" t="n">
        <x:v>-1.7</x:v>
      </x:c>
      <x:c r="M160" s="50" t="n">
        <x:v>0.6</x:v>
      </x:c>
      <x:c r="N160" s="50" t="n">
        <x:v>-5.5</x:v>
      </x:c>
      <x:c r="O160" s="50" t="n">
        <x:v>-1.1</x:v>
      </x:c>
      <x:c r="P160" s="50" t="n">
        <x:v>-0.3</x:v>
      </x:c>
      <x:c r="Q160" s="50" t="n">
        <x:f>IF(COUNT(N160:O160)&lt;2,"",SQRT(N160^2+O160^2))</x:f>
        <x:v>5.608921464952063</x:v>
      </x:c>
      <x:c r="R160" t="str">
        <x:f>IF(COUNT(H160:P160)=0,"Sem leitura",IF(ISNUMBER(SEARCH("Escavação",D160)),IF(OR(Q160&gt;=40,ABS(P160)&gt;=15),"Alarme",IF(OR(Q160&gt;=IF(OR(ISNUMBER(SEARCH("Alçado AB",D160)),ISNUMBER(SEARCH("Alçado CD",D160)),ISNUMBER(SEARCH("Alçado BF",D160)),ISNUMBER(SEARCH("Alçado PQ",D160))),20,30),ABS(P160)&gt;=10),"Alerta","Regular")),IF(OR(Q160&gt;=25,ABS(P160)&gt;=20),"Alarme",IF(OR(Q160&gt;=15,ABS(P160)&gt;=10),"Alerta","Regular"))))</x:f>
        <x:v>Regular</x:v>
      </x:c>
      <x:c r="S160" t="str">
        <x:v>RELATÓRIO ALVOS TOPOGRÁFICOS - Empreitada THE EDEN, Estoril_ R09_31-10-25(1).pdf</x:v>
      </x:c>
      <x:c r="T160" t="n">
        <x:v>40</x:v>
      </x:c>
    </x:row>
    <x:row r="161">
      <x:c r="A161" s="48" t="n">
        <x:v>45944</x:v>
      </x:c>
      <x:c r="B161" t="n">
        <x:v>7</x:v>
      </x:c>
      <x:c r="C161" t="str">
        <x:v>B1</x:v>
      </x:c>
      <x:c r="D161" t="str">
        <x:v>Restaurante Cimas</x:v>
      </x:c>
      <x:c r="E161" s="66" t="n">
        <x:v>5055.3705</x:v>
      </x:c>
      <x:c r="F161" s="66" t="n">
        <x:v>5037.6908</x:v>
      </x:c>
      <x:c r="G161" s="66" t="n">
        <x:v>55.8345</x:v>
      </x:c>
      <x:c r="H161" s="66" t="n">
        <x:v>5055.3684</x:v>
      </x:c>
      <x:c r="I161" s="66" t="n">
        <x:v>5037.6904</x:v>
      </x:c>
      <x:c r="J161" s="66" t="n">
        <x:v>55.8354</x:v>
      </x:c>
      <x:c r="K161" s="50" t="n">
        <x:v>-0.5</x:v>
      </x:c>
      <x:c r="L161" s="50" t="n">
        <x:v>-0.4</x:v>
      </x:c>
      <x:c r="M161" s="50" t="n">
        <x:v>-0.1</x:v>
      </x:c>
      <x:c r="N161" s="50" t="n">
        <x:v>-2.1</x:v>
      </x:c>
      <x:c r="O161" s="50" t="n">
        <x:v>-0.4</x:v>
      </x:c>
      <x:c r="P161" s="50" t="n">
        <x:v>0.9</x:v>
      </x:c>
      <x:c r="Q161" s="50" t="n">
        <x:f>IF(COUNT(N161:O161)&lt;2,"",SQRT(N161^2+O161^2))</x:f>
        <x:v>2.137755832643195</x:v>
      </x:c>
      <x:c r="R161" t="str">
        <x:f>IF(COUNT(H161:P161)=0,"Sem leitura",IF(ISNUMBER(SEARCH("Escavação",D161)),IF(OR(Q161&gt;=40,ABS(P161)&gt;=15),"Alarme",IF(OR(Q161&gt;=IF(OR(ISNUMBER(SEARCH("Alçado AB",D161)),ISNUMBER(SEARCH("Alçado CD",D161)),ISNUMBER(SEARCH("Alçado BF",D161)),ISNUMBER(SEARCH("Alçado PQ",D161))),20,30),ABS(P161)&gt;=10),"Alerta","Regular")),IF(OR(Q161&gt;=25,ABS(P161)&gt;=20),"Alarme",IF(OR(Q161&gt;=15,ABS(P161)&gt;=10),"Alerta","Regular"))))</x:f>
        <x:v>Regular</x:v>
      </x:c>
      <x:c r="S161" t="str">
        <x:v>RELATÓRIO ALVOS TOPOGRÁFICOS - Empreitada THE EDEN, Estoril_ R09_31-10-25(1).pdf</x:v>
      </x:c>
      <x:c r="T161" t="n">
        <x:v>16</x:v>
      </x:c>
    </x:row>
    <x:row r="162">
      <x:c r="A162" s="48" t="n">
        <x:v>45944</x:v>
      </x:c>
      <x:c r="B162" t="n">
        <x:v>7</x:v>
      </x:c>
      <x:c r="C162" t="str">
        <x:v>B2</x:v>
      </x:c>
      <x:c r="D162" t="str">
        <x:v>Restaurante Cimas</x:v>
      </x:c>
      <x:c r="E162" s="66" t="n">
        <x:v>5055.3611</x:v>
      </x:c>
      <x:c r="F162" s="66" t="n">
        <x:v>5037.652</x:v>
      </x:c>
      <x:c r="G162" s="66" t="n">
        <x:v>53.9202</x:v>
      </x:c>
      <x:c r="H162" s="66" t="n">
        <x:v>5055.36</x:v>
      </x:c>
      <x:c r="I162" s="66" t="n">
        <x:v>5037.6493</x:v>
      </x:c>
      <x:c r="J162" s="66" t="n">
        <x:v>53.9214</x:v>
      </x:c>
      <x:c r="K162" s="50" t="n">
        <x:v>-0.6</x:v>
      </x:c>
      <x:c r="L162" s="50" t="n">
        <x:v>0.3</x:v>
      </x:c>
      <x:c r="M162" s="50" t="n">
        <x:v>-0.2</x:v>
      </x:c>
      <x:c r="N162" s="50" t="n">
        <x:v>-1.1</x:v>
      </x:c>
      <x:c r="O162" s="50" t="n">
        <x:v>-2.7</x:v>
      </x:c>
      <x:c r="P162" s="50" t="n">
        <x:v>1.2</x:v>
      </x:c>
      <x:c r="Q162" s="50" t="n">
        <x:f>IF(COUNT(N162:O162)&lt;2,"",SQRT(N162^2+O162^2))</x:f>
        <x:v>2.9154759474226504</x:v>
      </x:c>
      <x:c r="R162" t="str">
        <x:f>IF(COUNT(H162:P162)=0,"Sem leitura",IF(ISNUMBER(SEARCH("Escavação",D162)),IF(OR(Q162&gt;=40,ABS(P162)&gt;=15),"Alarme",IF(OR(Q162&gt;=IF(OR(ISNUMBER(SEARCH("Alçado AB",D162)),ISNUMBER(SEARCH("Alçado CD",D162)),ISNUMBER(SEARCH("Alçado BF",D162)),ISNUMBER(SEARCH("Alçado PQ",D162))),20,30),ABS(P162)&gt;=10),"Alerta","Regular")),IF(OR(Q162&gt;=25,ABS(P162)&gt;=20),"Alarme",IF(OR(Q162&gt;=15,ABS(P162)&gt;=10),"Alerta","Regular"))))</x:f>
        <x:v>Regular</x:v>
      </x:c>
      <x:c r="S162" t="str">
        <x:v>RELATÓRIO ALVOS TOPOGRÁFICOS - Empreitada THE EDEN, Estoril_ R09_31-10-25(1).pdf</x:v>
      </x:c>
      <x:c r="T162" t="n">
        <x:v>16</x:v>
      </x:c>
    </x:row>
    <x:row r="163">
      <x:c r="A163" s="48" t="n">
        <x:v>45944</x:v>
      </x:c>
      <x:c r="B163" t="n">
        <x:v>7</x:v>
      </x:c>
      <x:c r="C163" t="str">
        <x:v>B3</x:v>
      </x:c>
      <x:c r="D163" t="str">
        <x:v>Restaurante Cimas</x:v>
      </x:c>
      <x:c r="E163" s="66" t="n">
        <x:v>5053.1267</x:v>
      </x:c>
      <x:c r="F163" s="66" t="n">
        <x:v>5028.5694</x:v>
      </x:c>
      <x:c r="G163" s="66" t="n">
        <x:v>55.8769</x:v>
      </x:c>
      <x:c r="H163" s="66" t="n">
        <x:v>5053.1246</x:v>
      </x:c>
      <x:c r="I163" s="66" t="n">
        <x:v>5028.5695</x:v>
      </x:c>
      <x:c r="J163" s="66" t="n">
        <x:v>55.8777</x:v>
      </x:c>
      <x:c r="K163" s="50" t="n">
        <x:v>-0.5</x:v>
      </x:c>
      <x:c r="L163" s="50" t="n">
        <x:v>-1</x:v>
      </x:c>
      <x:c r="M163" s="50" t="n">
        <x:v>0.5</x:v>
      </x:c>
      <x:c r="N163" s="50" t="n">
        <x:v>-2.1</x:v>
      </x:c>
      <x:c r="O163" s="50" t="n">
        <x:v>0.1</x:v>
      </x:c>
      <x:c r="P163" s="50" t="n">
        <x:v>0.8</x:v>
      </x:c>
      <x:c r="Q163" s="50" t="n">
        <x:f>IF(COUNT(N163:O163)&lt;2,"",SQRT(N163^2+O163^2))</x:f>
        <x:v>2.1023796041628637</x:v>
      </x:c>
      <x:c r="R163" t="str">
        <x:f>IF(COUNT(H163:P163)=0,"Sem leitura",IF(ISNUMBER(SEARCH("Escavação",D163)),IF(OR(Q163&gt;=40,ABS(P163)&gt;=15),"Alarme",IF(OR(Q163&gt;=IF(OR(ISNUMBER(SEARCH("Alçado AB",D163)),ISNUMBER(SEARCH("Alçado CD",D163)),ISNUMBER(SEARCH("Alçado BF",D163)),ISNUMBER(SEARCH("Alçado PQ",D163))),20,30),ABS(P163)&gt;=10),"Alerta","Regular")),IF(OR(Q163&gt;=25,ABS(P163)&gt;=20),"Alarme",IF(OR(Q163&gt;=15,ABS(P163)&gt;=10),"Alerta","Regular"))))</x:f>
        <x:v>Regular</x:v>
      </x:c>
      <x:c r="S163" t="str">
        <x:v>RELATÓRIO ALVOS TOPOGRÁFICOS - Empreitada THE EDEN, Estoril_ R09_31-10-25(1).pdf</x:v>
      </x:c>
      <x:c r="T163" t="n">
        <x:v>16</x:v>
      </x:c>
    </x:row>
    <x:row r="164">
      <x:c r="A164" s="48" t="n">
        <x:v>45944</x:v>
      </x:c>
      <x:c r="B164" t="n">
        <x:v>7</x:v>
      </x:c>
      <x:c r="C164" t="str">
        <x:v>B4</x:v>
      </x:c>
      <x:c r="D164" t="str">
        <x:v>Restaurante Cimas</x:v>
      </x:c>
      <x:c r="E164" s="66" t="n">
        <x:v>5053.123</x:v>
      </x:c>
      <x:c r="F164" s="66" t="n">
        <x:v>5028.5786</x:v>
      </x:c>
      <x:c r="G164" s="66" t="n">
        <x:v>54.1591</x:v>
      </x:c>
      <x:c r="H164" s="66" t="n">
        <x:v>5053.1214</x:v>
      </x:c>
      <x:c r="I164" s="66" t="n">
        <x:v>5028.5765</x:v>
      </x:c>
      <x:c r="J164" s="66" t="n">
        <x:v>54.1598</x:v>
      </x:c>
      <x:c r="K164" s="50" t="n">
        <x:v>-0.4</x:v>
      </x:c>
      <x:c r="L164" s="50" t="n">
        <x:v>-0.5</x:v>
      </x:c>
      <x:c r="M164" s="50" t="n">
        <x:v>0.1</x:v>
      </x:c>
      <x:c r="N164" s="50" t="n">
        <x:v>-1.6</x:v>
      </x:c>
      <x:c r="O164" s="50" t="n">
        <x:v>-2.1</x:v>
      </x:c>
      <x:c r="P164" s="50" t="n">
        <x:v>0.7</x:v>
      </x:c>
      <x:c r="Q164" s="50" t="n">
        <x:f>IF(COUNT(N164:O164)&lt;2,"",SQRT(N164^2+O164^2))</x:f>
        <x:v>2.6400757564888173</x:v>
      </x:c>
      <x:c r="R164" t="str">
        <x:f>IF(COUNT(H164:P164)=0,"Sem leitura",IF(ISNUMBER(SEARCH("Escavação",D164)),IF(OR(Q164&gt;=40,ABS(P164)&gt;=15),"Alarme",IF(OR(Q164&gt;=IF(OR(ISNUMBER(SEARCH("Alçado AB",D164)),ISNUMBER(SEARCH("Alçado CD",D164)),ISNUMBER(SEARCH("Alçado BF",D164)),ISNUMBER(SEARCH("Alçado PQ",D164))),20,30),ABS(P164)&gt;=10),"Alerta","Regular")),IF(OR(Q164&gt;=25,ABS(P164)&gt;=20),"Alarme",IF(OR(Q164&gt;=15,ABS(P164)&gt;=10),"Alerta","Regular"))))</x:f>
        <x:v>Regular</x:v>
      </x:c>
      <x:c r="S164" t="str">
        <x:v>RELATÓRIO ALVOS TOPOGRÁFICOS - Empreitada THE EDEN, Estoril_ R09_31-10-25(1).pdf</x:v>
      </x:c>
      <x:c r="T164" t="n">
        <x:v>16</x:v>
      </x:c>
    </x:row>
    <x:row r="165">
      <x:c r="A165" s="48" t="n">
        <x:v>45950</x:v>
      </x:c>
      <x:c r="B165" t="n">
        <x:v>8</x:v>
      </x:c>
      <x:c r="C165" t="str">
        <x:v>C1</x:v>
      </x:c>
      <x:c r="D165" t="str">
        <x:v>Clínica Abreu Loureiro</x:v>
      </x:c>
      <x:c r="E165" s="66" t="n">
        <x:v>5051.1407</x:v>
      </x:c>
      <x:c r="F165" s="66" t="n">
        <x:v>5062.3237</x:v>
      </x:c>
      <x:c r="G165" s="66" t="n">
        <x:v>63.0014</x:v>
      </x:c>
      <x:c r="H165" s="66" t="n">
        <x:v>5051.1413</x:v>
      </x:c>
      <x:c r="I165" s="66" t="n">
        <x:v>5062.3239</x:v>
      </x:c>
      <x:c r="J165" s="66" t="n">
        <x:v>62.9993</x:v>
      </x:c>
      <x:c r="K165" s="50" t="n">
        <x:v>-0.4</x:v>
      </x:c>
      <x:c r="L165" s="50" t="n">
        <x:v>0</x:v>
      </x:c>
      <x:c r="M165" s="50" t="n">
        <x:v>-0.1</x:v>
      </x:c>
      <x:c r="N165" s="50" t="n">
        <x:v>0.6</x:v>
      </x:c>
      <x:c r="O165" s="50" t="n">
        <x:v>0.2</x:v>
      </x:c>
      <x:c r="P165" s="50" t="n">
        <x:v>-2.1</x:v>
      </x:c>
      <x:c r="Q165" s="50" t="n">
        <x:f>IF(COUNT(N165:O165)&lt;2,"",SQRT(N165^2+O165^2))</x:f>
        <x:v>0.6324555320336759</x:v>
      </x:c>
      <x:c r="R165" t="str">
        <x:f>IF(COUNT(H165:P165)=0,"Sem leitura",IF(ISNUMBER(SEARCH("Escavação",D165)),IF(OR(Q165&gt;=40,ABS(P165)&gt;=15),"Alarme",IF(OR(Q165&gt;=IF(OR(ISNUMBER(SEARCH("Alçado AB",D165)),ISNUMBER(SEARCH("Alçado CD",D165)),ISNUMBER(SEARCH("Alçado BF",D165)),ISNUMBER(SEARCH("Alçado PQ",D165))),20,30),ABS(P165)&gt;=10),"Alerta","Regular")),IF(OR(Q165&gt;=25,ABS(P165)&gt;=20),"Alarme",IF(OR(Q165&gt;=15,ABS(P165)&gt;=10),"Alerta","Regular"))))</x:f>
        <x:v>Regular</x:v>
      </x:c>
      <x:c r="S165" t="str">
        <x:v>RELATÓRIO ALVOS TOPOGRÁFICOS - Empreitada THE EDEN, Estoril_ R09_31-10-25(1).pdf</x:v>
      </x:c>
      <x:c r="T165" t="n">
        <x:v>17</x:v>
      </x:c>
    </x:row>
    <x:row r="166">
      <x:c r="A166" s="48" t="n">
        <x:v>45950</x:v>
      </x:c>
      <x:c r="B166" t="n">
        <x:v>8</x:v>
      </x:c>
      <x:c r="C166" t="str">
        <x:v>C2</x:v>
      </x:c>
      <x:c r="D166" t="str">
        <x:v>Clínica Abreu Loureiro</x:v>
      </x:c>
      <x:c r="E166" s="66" t="n">
        <x:v>5051.0086</x:v>
      </x:c>
      <x:c r="F166" s="66" t="n">
        <x:v>5062.4334</x:v>
      </x:c>
      <x:c r="G166" s="66" t="n">
        <x:v>56.898</x:v>
      </x:c>
      <x:c r="H166" s="66" t="n">
        <x:v>5051.0085</x:v>
      </x:c>
      <x:c r="I166" s="66" t="n">
        <x:v>5062.4334</x:v>
      </x:c>
      <x:c r="J166" s="66" t="n">
        <x:v>56.8975</x:v>
      </x:c>
      <x:c r="K166" s="50" t="n">
        <x:v>-0.5</x:v>
      </x:c>
      <x:c r="L166" s="50" t="n">
        <x:v>-0.7</x:v>
      </x:c>
      <x:c r="M166" s="50" t="n">
        <x:v>0.2</x:v>
      </x:c>
      <x:c r="N166" s="50" t="n">
        <x:v>-0.1</x:v>
      </x:c>
      <x:c r="O166" s="50" t="n">
        <x:v>0</x:v>
      </x:c>
      <x:c r="P166" s="50" t="n">
        <x:v>-0.5</x:v>
      </x:c>
      <x:c r="Q166" s="50" t="n">
        <x:f>IF(COUNT(N166:O166)&lt;2,"",SQRT(N166^2+O166^2))</x:f>
        <x:v>0.1</x:v>
      </x:c>
      <x:c r="R166" t="str">
        <x:f>IF(COUNT(H166:P166)=0,"Sem leitura",IF(ISNUMBER(SEARCH("Escavação",D166)),IF(OR(Q166&gt;=40,ABS(P166)&gt;=15),"Alarme",IF(OR(Q166&gt;=IF(OR(ISNUMBER(SEARCH("Alçado AB",D166)),ISNUMBER(SEARCH("Alçado CD",D166)),ISNUMBER(SEARCH("Alçado BF",D166)),ISNUMBER(SEARCH("Alçado PQ",D166))),20,30),ABS(P166)&gt;=10),"Alerta","Regular")),IF(OR(Q166&gt;=25,ABS(P166)&gt;=20),"Alarme",IF(OR(Q166&gt;=15,ABS(P166)&gt;=10),"Alerta","Regular"))))</x:f>
        <x:v>Regular</x:v>
      </x:c>
      <x:c r="S166" t="str">
        <x:v>RELATÓRIO ALVOS TOPOGRÁFICOS - Empreitada THE EDEN, Estoril_ R09_31-10-25(1).pdf</x:v>
      </x:c>
      <x:c r="T166" t="n">
        <x:v>17</x:v>
      </x:c>
    </x:row>
    <x:row r="167">
      <x:c r="A167" s="48" t="n">
        <x:v>45950</x:v>
      </x:c>
      <x:c r="B167" t="n">
        <x:v>8</x:v>
      </x:c>
      <x:c r="C167" t="str">
        <x:v>C3</x:v>
      </x:c>
      <x:c r="D167" t="str">
        <x:v>Clínica Abreu Loureiro</x:v>
      </x:c>
      <x:c r="E167" s="66" t="n">
        <x:v>5058.5259</x:v>
      </x:c>
      <x:c r="F167" s="66" t="n">
        <x:v>5053.176</x:v>
      </x:c>
      <x:c r="G167" s="66" t="n">
        <x:v>63.5252</x:v>
      </x:c>
      <x:c r="H167" s="66" t="n">
        <x:v>5058.5246</x:v>
      </x:c>
      <x:c r="I167" s="66" t="n">
        <x:v>5053.1754</x:v>
      </x:c>
      <x:c r="J167" s="66" t="n">
        <x:v>63.5249</x:v>
      </x:c>
      <x:c r="K167" s="50" t="n">
        <x:v>-1.7</x:v>
      </x:c>
      <x:c r="L167" s="50" t="n">
        <x:v>-0.5</x:v>
      </x:c>
      <x:c r="M167" s="50" t="n">
        <x:v>0.2</x:v>
      </x:c>
      <x:c r="N167" s="50" t="n">
        <x:v>-1.3</x:v>
      </x:c>
      <x:c r="O167" s="50" t="n">
        <x:v>-0.6</x:v>
      </x:c>
      <x:c r="P167" s="50" t="n">
        <x:v>-0.3</x:v>
      </x:c>
      <x:c r="Q167" s="50" t="n">
        <x:f>IF(COUNT(N167:O167)&lt;2,"",SQRT(N167^2+O167^2))</x:f>
        <x:v>1.4317821063276355</x:v>
      </x:c>
      <x:c r="R167" t="str">
        <x:f>IF(COUNT(H167:P167)=0,"Sem leitura",IF(ISNUMBER(SEARCH("Escavação",D167)),IF(OR(Q167&gt;=40,ABS(P167)&gt;=15),"Alarme",IF(OR(Q167&gt;=IF(OR(ISNUMBER(SEARCH("Alçado AB",D167)),ISNUMBER(SEARCH("Alçado CD",D167)),ISNUMBER(SEARCH("Alçado BF",D167)),ISNUMBER(SEARCH("Alçado PQ",D167))),20,30),ABS(P167)&gt;=10),"Alerta","Regular")),IF(OR(Q167&gt;=25,ABS(P167)&gt;=20),"Alarme",IF(OR(Q167&gt;=15,ABS(P167)&gt;=10),"Alerta","Regular"))))</x:f>
        <x:v>Regular</x:v>
      </x:c>
      <x:c r="S167" t="str">
        <x:v>RELATÓRIO ALVOS TOPOGRÁFICOS - Empreitada THE EDEN, Estoril_ R09_31-10-25(1).pdf</x:v>
      </x:c>
      <x:c r="T167" t="n">
        <x:v>17</x:v>
      </x:c>
    </x:row>
    <x:row r="168">
      <x:c r="A168" s="48" t="n">
        <x:v>45950</x:v>
      </x:c>
      <x:c r="B168" t="n">
        <x:v>8</x:v>
      </x:c>
      <x:c r="C168" t="str">
        <x:v>C4</x:v>
      </x:c>
      <x:c r="D168" t="str">
        <x:v>Clínica Abreu Loureiro</x:v>
      </x:c>
      <x:c r="E168" s="66" t="n">
        <x:v>5060.2733</x:v>
      </x:c>
      <x:c r="F168" s="66" t="n">
        <x:v>5059.0944</x:v>
      </x:c>
      <x:c r="G168" s="66" t="n">
        <x:v>58.7943</x:v>
      </x:c>
      <x:c r="H168" s="66" t="n">
        <x:v>5060.2725</x:v>
      </x:c>
      <x:c r="I168" s="66" t="n">
        <x:v>5059.0925</x:v>
      </x:c>
      <x:c r="J168" s="66" t="n">
        <x:v>58.7919</x:v>
      </x:c>
      <x:c r="K168" s="50" t="n">
        <x:v>0</x:v>
      </x:c>
      <x:c r="L168" s="50" t="n">
        <x:v>-1</x:v>
      </x:c>
      <x:c r="M168" s="50" t="n">
        <x:v>-0.1</x:v>
      </x:c>
      <x:c r="N168" s="50" t="n">
        <x:v>-0.8</x:v>
      </x:c>
      <x:c r="O168" s="50" t="n">
        <x:v>-1.9</x:v>
      </x:c>
      <x:c r="P168" s="50" t="n">
        <x:v>-2.4</x:v>
      </x:c>
      <x:c r="Q168" s="50" t="n">
        <x:f>IF(COUNT(N168:O168)&lt;2,"",SQRT(N168^2+O168^2))</x:f>
        <x:v>2.0615528128088303</x:v>
      </x:c>
      <x:c r="R168" t="str">
        <x:f>IF(COUNT(H168:P168)=0,"Sem leitura",IF(ISNUMBER(SEARCH("Escavação",D168)),IF(OR(Q168&gt;=40,ABS(P168)&gt;=15),"Alarme",IF(OR(Q168&gt;=IF(OR(ISNUMBER(SEARCH("Alçado AB",D168)),ISNUMBER(SEARCH("Alçado CD",D168)),ISNUMBER(SEARCH("Alçado BF",D168)),ISNUMBER(SEARCH("Alçado PQ",D168))),20,30),ABS(P168)&gt;=10),"Alerta","Regular")),IF(OR(Q168&gt;=25,ABS(P168)&gt;=20),"Alarme",IF(OR(Q168&gt;=15,ABS(P168)&gt;=10),"Alerta","Regular"))))</x:f>
        <x:v>Regular</x:v>
      </x:c>
      <x:c r="S168" t="str">
        <x:v>RELATÓRIO ALVOS TOPOGRÁFICOS - Empreitada THE EDEN, Estoril_ R09_31-10-25(1).pdf</x:v>
      </x:c>
      <x:c r="T168" t="n">
        <x:v>17</x:v>
      </x:c>
    </x:row>
    <x:row r="169">
      <x:c r="A169" s="48" t="n">
        <x:v>45950</x:v>
      </x:c>
      <x:c r="B169" t="n">
        <x:v>8</x:v>
      </x:c>
      <x:c r="C169" t="str">
        <x:v>A1</x:v>
      </x:c>
      <x:c r="D169" t="str">
        <x:v>Edifício Santa Casa da Misericórdia</x:v>
      </x:c>
      <x:c r="E169" s="66" t="n">
        <x:v>4990.9657</x:v>
      </x:c>
      <x:c r="F169" s="66" t="n">
        <x:v>5053.745</x:v>
      </x:c>
      <x:c r="G169" s="66" t="n">
        <x:v>60.5536</x:v>
      </x:c>
      <x:c r="H169" s="66" t="n">
        <x:v>4990.966</x:v>
      </x:c>
      <x:c r="I169" s="66" t="n">
        <x:v>5053.7362</x:v>
      </x:c>
      <x:c r="J169" s="66" t="n">
        <x:v>60.5517</x:v>
      </x:c>
      <x:c r="K169" s="50" t="n">
        <x:v>0.1</x:v>
      </x:c>
      <x:c r="L169" s="50" t="n">
        <x:v>-0.6</x:v>
      </x:c>
      <x:c r="M169" s="50" t="n">
        <x:v>0</x:v>
      </x:c>
      <x:c r="N169" s="50" t="n">
        <x:v>0.3</x:v>
      </x:c>
      <x:c r="O169" s="50" t="n">
        <x:v>-8.8</x:v>
      </x:c>
      <x:c r="P169" s="50" t="n">
        <x:v>-1.9</x:v>
      </x:c>
      <x:c r="Q169" s="50" t="n">
        <x:f>IF(COUNT(N169:O169)&lt;2,"",SQRT(N169^2+O169^2))</x:f>
        <x:v>8.805112151472008</x:v>
      </x:c>
      <x:c r="R169" t="str">
        <x:f>IF(COUNT(H169:P169)=0,"Sem leitura",IF(ISNUMBER(SEARCH("Escavação",D169)),IF(OR(Q169&gt;=40,ABS(P169)&gt;=15),"Alarme",IF(OR(Q169&gt;=IF(OR(ISNUMBER(SEARCH("Alçado AB",D169)),ISNUMBER(SEARCH("Alçado CD",D169)),ISNUMBER(SEARCH("Alçado BF",D169)),ISNUMBER(SEARCH("Alçado PQ",D169))),20,30),ABS(P169)&gt;=10),"Alerta","Regular")),IF(OR(Q169&gt;=25,ABS(P169)&gt;=20),"Alarme",IF(OR(Q169&gt;=15,ABS(P169)&gt;=10),"Alerta","Regular"))))</x:f>
        <x:v>Regular</x:v>
      </x:c>
      <x:c r="S169" t="str">
        <x:v>RELATÓRIO ALVOS TOPOGRÁFICOS - Empreitada THE EDEN, Estoril_ R09_31-10-25(1).pdf</x:v>
      </x:c>
      <x:c r="T169" t="n">
        <x:v>17</x:v>
      </x:c>
    </x:row>
    <x:row r="170">
      <x:c r="A170" s="48" t="n">
        <x:v>45950</x:v>
      </x:c>
      <x:c r="B170" t="n">
        <x:v>8</x:v>
      </x:c>
      <x:c r="C170" t="str">
        <x:v>A2</x:v>
      </x:c>
      <x:c r="D170" t="str">
        <x:v>Edifício Santa Casa da Misericórdia</x:v>
      </x:c>
      <x:c r="E170" s="66" t="n">
        <x:v>4990.9761</x:v>
      </x:c>
      <x:c r="F170" s="66" t="n">
        <x:v>5053.7455</x:v>
      </x:c>
      <x:c r="G170" s="66" t="n">
        <x:v>59.0952</x:v>
      </x:c>
      <x:c r="H170" s="66" t="n">
        <x:v>4990.976</x:v>
      </x:c>
      <x:c r="I170" s="66" t="n">
        <x:v>5053.7365</x:v>
      </x:c>
      <x:c r="J170" s="66" t="n">
        <x:v>59.0946</x:v>
      </x:c>
      <x:c r="K170" s="50" t="n">
        <x:v>0.8</x:v>
      </x:c>
      <x:c r="L170" s="50" t="n">
        <x:v>-1.8</x:v>
      </x:c>
      <x:c r="M170" s="50" t="n">
        <x:v>-1.2</x:v>
      </x:c>
      <x:c r="N170" s="50" t="n">
        <x:v>-0.1</x:v>
      </x:c>
      <x:c r="O170" s="50" t="n">
        <x:v>-9</x:v>
      </x:c>
      <x:c r="P170" s="50" t="n">
        <x:v>-0.6</x:v>
      </x:c>
      <x:c r="Q170" s="50" t="n">
        <x:f>IF(COUNT(N170:O170)&lt;2,"",SQRT(N170^2+O170^2))</x:f>
        <x:v>9.000555538409838</x:v>
      </x:c>
      <x:c r="R170" t="str">
        <x:f>IF(COUNT(H170:P170)=0,"Sem leitura",IF(ISNUMBER(SEARCH("Escavação",D170)),IF(OR(Q170&gt;=40,ABS(P170)&gt;=15),"Alarme",IF(OR(Q170&gt;=IF(OR(ISNUMBER(SEARCH("Alçado AB",D170)),ISNUMBER(SEARCH("Alçado CD",D170)),ISNUMBER(SEARCH("Alçado BF",D170)),ISNUMBER(SEARCH("Alçado PQ",D170))),20,30),ABS(P170)&gt;=10),"Alerta","Regular")),IF(OR(Q170&gt;=25,ABS(P170)&gt;=20),"Alarme",IF(OR(Q170&gt;=15,ABS(P170)&gt;=10),"Alerta","Regular"))))</x:f>
        <x:v>Regular</x:v>
      </x:c>
      <x:c r="S170" t="str">
        <x:v>RELATÓRIO ALVOS TOPOGRÁFICOS - Empreitada THE EDEN, Estoril_ R09_31-10-25(1).pdf</x:v>
      </x:c>
      <x:c r="T170" t="n">
        <x:v>17</x:v>
      </x:c>
    </x:row>
    <x:row r="171">
      <x:c r="A171" s="48" t="n">
        <x:v>45950</x:v>
      </x:c>
      <x:c r="B171" t="n">
        <x:v>8</x:v>
      </x:c>
      <x:c r="C171" t="str">
        <x:v>A3</x:v>
      </x:c>
      <x:c r="D171" t="str">
        <x:v>Edifício Santa Casa da Misericórdia</x:v>
      </x:c>
      <x:c r="E171" s="66" t="n">
        <x:v>5001.0813</x:v>
      </x:c>
      <x:c r="F171" s="66" t="n">
        <x:v>5053.5292</x:v>
      </x:c>
      <x:c r="G171" s="66" t="n">
        <x:v>60.6219</x:v>
      </x:c>
      <x:c r="H171" s="66" t="n">
        <x:v>5001.0852</x:v>
      </x:c>
      <x:c r="I171" s="66" t="n">
        <x:v>5053.514</x:v>
      </x:c>
      <x:c r="J171" s="66" t="n">
        <x:v>60.6176</x:v>
      </x:c>
      <x:c r="K171" s="50" t="n">
        <x:v>0.9</x:v>
      </x:c>
      <x:c r="L171" s="50" t="n">
        <x:v>-2.7</x:v>
      </x:c>
      <x:c r="M171" s="50" t="n">
        <x:v>-0.9</x:v>
      </x:c>
      <x:c r="N171" s="50" t="n">
        <x:v>3.9</x:v>
      </x:c>
      <x:c r="O171" s="50" t="n">
        <x:v>-15.2</x:v>
      </x:c>
      <x:c r="P171" s="50" t="n">
        <x:v>-4.3</x:v>
      </x:c>
      <x:c r="Q171" s="50" t="n">
        <x:f>IF(COUNT(N171:O171)&lt;2,"",SQRT(N171^2+O171^2))</x:f>
        <x:v>15.692354826475215</x:v>
      </x:c>
      <x:c r="R171" t="str">
        <x:f>IF(COUNT(H171:P171)=0,"Sem leitura",IF(ISNUMBER(SEARCH("Escavação",D171)),IF(OR(Q171&gt;=40,ABS(P171)&gt;=15),"Alarme",IF(OR(Q171&gt;=IF(OR(ISNUMBER(SEARCH("Alçado AB",D171)),ISNUMBER(SEARCH("Alçado CD",D171)),ISNUMBER(SEARCH("Alçado BF",D171)),ISNUMBER(SEARCH("Alçado PQ",D171))),20,30),ABS(P171)&gt;=10),"Alerta","Regular")),IF(OR(Q171&gt;=25,ABS(P171)&gt;=20),"Alarme",IF(OR(Q171&gt;=15,ABS(P171)&gt;=10),"Alerta","Regular"))))</x:f>
        <x:v>Alerta</x:v>
      </x:c>
      <x:c r="S171" t="str">
        <x:v>RELATÓRIO ALVOS TOPOGRÁFICOS - Empreitada THE EDEN, Estoril_ R09_31-10-25(1).pdf</x:v>
      </x:c>
      <x:c r="T171" t="n">
        <x:v>17</x:v>
      </x:c>
    </x:row>
    <x:row r="172">
      <x:c r="A172" s="48" t="n">
        <x:v>45950</x:v>
      </x:c>
      <x:c r="B172" t="n">
        <x:v>8</x:v>
      </x:c>
      <x:c r="C172" t="str">
        <x:v>A4</x:v>
      </x:c>
      <x:c r="D172" t="str">
        <x:v>Edifício Santa Casa da Misericórdia</x:v>
      </x:c>
      <x:c r="E172" s="66" t="n">
        <x:v>5001.0428</x:v>
      </x:c>
      <x:c r="F172" s="66" t="n">
        <x:v>5053.5322</x:v>
      </x:c>
      <x:c r="G172" s="66" t="n">
        <x:v>58.6778</x:v>
      </x:c>
      <x:c r="H172" s="66" t="n">
        <x:v>5001.0471</x:v>
      </x:c>
      <x:c r="I172" s="66" t="n">
        <x:v>5053.5189</x:v>
      </x:c>
      <x:c r="J172" s="66" t="n">
        <x:v>58.6725</x:v>
      </x:c>
      <x:c r="K172" s="50" t="n">
        <x:v>1.1</x:v>
      </x:c>
      <x:c r="L172" s="50" t="n">
        <x:v>-1.8</x:v>
      </x:c>
      <x:c r="M172" s="50" t="n">
        <x:v>-0.8</x:v>
      </x:c>
      <x:c r="N172" s="50" t="n">
        <x:v>4.3</x:v>
      </x:c>
      <x:c r="O172" s="50" t="n">
        <x:v>-13.3</x:v>
      </x:c>
      <x:c r="P172" s="50" t="n">
        <x:v>-5.3</x:v>
      </x:c>
      <x:c r="Q172" s="50" t="n">
        <x:f>IF(COUNT(N172:O172)&lt;2,"",SQRT(N172^2+O172^2))</x:f>
        <x:v>13.97783960417346</x:v>
      </x:c>
      <x:c r="R172" t="str">
        <x:f>IF(COUNT(H172:P172)=0,"Sem leitura",IF(ISNUMBER(SEARCH("Escavação",D172)),IF(OR(Q172&gt;=40,ABS(P172)&gt;=15),"Alarme",IF(OR(Q172&gt;=IF(OR(ISNUMBER(SEARCH("Alçado AB",D172)),ISNUMBER(SEARCH("Alçado CD",D172)),ISNUMBER(SEARCH("Alçado BF",D172)),ISNUMBER(SEARCH("Alçado PQ",D172))),20,30),ABS(P172)&gt;=10),"Alerta","Regular")),IF(OR(Q172&gt;=25,ABS(P172)&gt;=20),"Alarme",IF(OR(Q172&gt;=15,ABS(P172)&gt;=10),"Alerta","Regular"))))</x:f>
        <x:v>Regular</x:v>
      </x:c>
      <x:c r="S172" t="str">
        <x:v>RELATÓRIO ALVOS TOPOGRÁFICOS - Empreitada THE EDEN, Estoril_ R09_31-10-25(1).pdf</x:v>
      </x:c>
      <x:c r="T172" t="n">
        <x:v>17</x:v>
      </x:c>
    </x:row>
    <x:row r="173">
      <x:c r="A173" s="48" t="n">
        <x:v>45950</x:v>
      </x:c>
      <x:c r="B173" t="n">
        <x:v>8</x:v>
      </x:c>
      <x:c r="C173" t="str">
        <x:v>A5</x:v>
      </x:c>
      <x:c r="D173" t="str">
        <x:v>Edifício Santa Casa da Misericórdia</x:v>
      </x:c>
      <x:c r="E173" s="66" t="n">
        <x:v>5005.4018</x:v>
      </x:c>
      <x:c r="F173" s="66" t="n">
        <x:v>5054.5141</x:v>
      </x:c>
      <x:c r="G173" s="66" t="n">
        <x:v>60.1819</x:v>
      </x:c>
      <x:c r="H173" s="66" t="n">
        <x:v>0</x:v>
      </x:c>
      <x:c r="I173" s="66" t="n">
        <x:v>0</x:v>
      </x:c>
      <x:c r="J173" s="66" t="n">
        <x:v>0</x:v>
      </x:c>
      <x:c r="K173" s="50" t="n">
        <x:v>0</x:v>
      </x:c>
      <x:c r="L173" s="50" t="n">
        <x:v>0</x:v>
      </x:c>
      <x:c r="M173" s="50" t="n">
        <x:v>0</x:v>
      </x:c>
      <x:c r="N173" s="50" t="n">
        <x:v>0</x:v>
      </x:c>
      <x:c r="O173" s="50" t="n">
        <x:v>0</x:v>
      </x:c>
      <x:c r="P173" s="50" t="n">
        <x:v>0</x:v>
      </x:c>
      <x:c r="Q173" s="50" t="n">
        <x:f>IF(COUNT(N173:O173)&lt;2,"",SQRT(N173^2+O173^2))</x:f>
        <x:v>0</x:v>
      </x:c>
      <x:c r="R173" t="str">
        <x:f>IF(COUNT(H173:P173)=0,"Sem leitura",IF(ISNUMBER(SEARCH("Escavação",D173)),IF(OR(Q173&gt;=40,ABS(P173)&gt;=15),"Alarme",IF(OR(Q173&gt;=IF(OR(ISNUMBER(SEARCH("Alçado AB",D173)),ISNUMBER(SEARCH("Alçado CD",D173)),ISNUMBER(SEARCH("Alçado BF",D173)),ISNUMBER(SEARCH("Alçado PQ",D173))),20,30),ABS(P173)&gt;=10),"Alerta","Regular")),IF(OR(Q173&gt;=25,ABS(P173)&gt;=20),"Alarme",IF(OR(Q173&gt;=15,ABS(P173)&gt;=10),"Alerta","Regular"))))</x:f>
        <x:v>Regular</x:v>
      </x:c>
      <x:c r="S173" t="str">
        <x:v>RELATÓRIO ALVOS TOPOGRÁFICOS - Empreitada THE EDEN, Estoril_ R09_31-10-25(1).pdf</x:v>
      </x:c>
      <x:c r="T173" t="n">
        <x:v>17</x:v>
      </x:c>
    </x:row>
    <x:row r="174">
      <x:c r="A174" s="48" t="n">
        <x:v>45950</x:v>
      </x:c>
      <x:c r="B174" t="n">
        <x:v>0</x:v>
      </x:c>
      <x:c r="C174" t="str">
        <x:v>A5b</x:v>
      </x:c>
      <x:c r="D174" t="str">
        <x:v>Edifício Santa Casa da Misericórdia</x:v>
      </x:c>
      <x:c r="E174" s="66" t="n">
        <x:v>5005.4054</x:v>
      </x:c>
      <x:c r="F174" s="66" t="n">
        <x:v>5054.1601</x:v>
      </x:c>
      <x:c r="G174" s="66" t="n">
        <x:v>59.5727</x:v>
      </x:c>
      <x:c r="H174" s="66" t="n">
        <x:v>5005.4054</x:v>
      </x:c>
      <x:c r="I174" s="66" t="n">
        <x:v>5054.1601</x:v>
      </x:c>
      <x:c r="J174" s="66" t="n">
        <x:v>59.5727</x:v>
      </x:c>
      <x:c r="K174" s="50" t="n">
        <x:v>0</x:v>
      </x:c>
      <x:c r="L174" s="50" t="n">
        <x:v>0</x:v>
      </x:c>
      <x:c r="M174" s="50" t="n">
        <x:v>0</x:v>
      </x:c>
      <x:c r="N174" s="50" t="n">
        <x:v>0</x:v>
      </x:c>
      <x:c r="O174" s="50" t="n">
        <x:v>0</x:v>
      </x:c>
      <x:c r="P174" s="50" t="n">
        <x:v>0</x:v>
      </x:c>
      <x:c r="Q174" s="50" t="n">
        <x:f>IF(COUNT(N174:O174)&lt;2,"",SQRT(N174^2+O174^2))</x:f>
        <x:v>0</x:v>
      </x:c>
      <x:c r="R174" t="str">
        <x:f>IF(COUNT(H174:P174)=0,"Sem leitura",IF(ISNUMBER(SEARCH("Escavação",D174)),IF(OR(Q174&gt;=40,ABS(P174)&gt;=15),"Alarme",IF(OR(Q174&gt;=IF(OR(ISNUMBER(SEARCH("Alçado AB",D174)),ISNUMBER(SEARCH("Alçado CD",D174)),ISNUMBER(SEARCH("Alçado BF",D174)),ISNUMBER(SEARCH("Alçado PQ",D174))),20,30),ABS(P174)&gt;=10),"Alerta","Regular")),IF(OR(Q174&gt;=25,ABS(P174)&gt;=20),"Alarme",IF(OR(Q174&gt;=15,ABS(P174)&gt;=10),"Alerta","Regular"))))</x:f>
        <x:v>Regular</x:v>
      </x:c>
      <x:c r="S174" t="str">
        <x:v>RELATÓRIO ALVOS TOPOGRÁFICOS - Empreitada THE EDEN, Estoril_ R09_31-10-25(1).pdf</x:v>
      </x:c>
      <x:c r="T174" t="n">
        <x:v>9</x:v>
      </x:c>
    </x:row>
    <x:row r="175">
      <x:c r="A175" s="48" t="n">
        <x:v>45950</x:v>
      </x:c>
      <x:c r="B175" t="n">
        <x:v>8</x:v>
      </x:c>
      <x:c r="C175" t="str">
        <x:v>A5b</x:v>
      </x:c>
      <x:c r="D175" t="str">
        <x:v>Edifício Santa Casa da Misericórdia</x:v>
      </x:c>
      <x:c r="E175" s="66" t="n">
        <x:v>5005.4054</x:v>
      </x:c>
      <x:c r="F175" s="66" t="n">
        <x:v>5054.1601</x:v>
      </x:c>
      <x:c r="G175" s="66" t="n">
        <x:v>59.5727</x:v>
      </x:c>
      <x:c r="H175" s="66" t="n">
        <x:v>5005.4054</x:v>
      </x:c>
      <x:c r="I175" s="66" t="n">
        <x:v>5054.1601</x:v>
      </x:c>
      <x:c r="J175" s="66" t="n">
        <x:v>59.5727</x:v>
      </x:c>
      <x:c r="K175" s="50" t="n">
        <x:v>0</x:v>
      </x:c>
      <x:c r="L175" s="50" t="n">
        <x:v>0</x:v>
      </x:c>
      <x:c r="M175" s="50" t="n">
        <x:v>0</x:v>
      </x:c>
      <x:c r="N175" s="50" t="n">
        <x:v>0</x:v>
      </x:c>
      <x:c r="O175" s="50" t="n">
        <x:v>0</x:v>
      </x:c>
      <x:c r="P175" s="50" t="n">
        <x:v>0</x:v>
      </x:c>
      <x:c r="Q175" s="50" t="n">
        <x:f>IF(COUNT(N175:O175)&lt;2,"",SQRT(N175^2+O175^2))</x:f>
        <x:v>0</x:v>
      </x:c>
      <x:c r="R175" t="str">
        <x:f>IF(COUNT(H175:P175)=0,"Sem leitura",IF(ISNUMBER(SEARCH("Escavação",D175)),IF(OR(Q175&gt;=40,ABS(P175)&gt;=15),"Alarme",IF(OR(Q175&gt;=IF(OR(ISNUMBER(SEARCH("Alçado AB",D175)),ISNUMBER(SEARCH("Alçado CD",D175)),ISNUMBER(SEARCH("Alçado BF",D175)),ISNUMBER(SEARCH("Alçado PQ",D175))),20,30),ABS(P175)&gt;=10),"Alerta","Regular")),IF(OR(Q175&gt;=25,ABS(P175)&gt;=20),"Alarme",IF(OR(Q175&gt;=15,ABS(P175)&gt;=10),"Alerta","Regular"))))</x:f>
        <x:v>Regular</x:v>
      </x:c>
      <x:c r="S175" t="str">
        <x:v>RELATÓRIO ALVOS TOPOGRÁFICOS - Empreitada THE EDEN, Estoril_ R09_31-10-25(1).pdf</x:v>
      </x:c>
      <x:c r="T175" t="n">
        <x:v>17</x:v>
      </x:c>
    </x:row>
    <x:row r="176">
      <x:c r="A176" s="48" t="n">
        <x:v>45950</x:v>
      </x:c>
      <x:c r="B176" t="n">
        <x:v>8</x:v>
      </x:c>
      <x:c r="C176" t="str">
        <x:v>A6</x:v>
      </x:c>
      <x:c r="D176" t="str">
        <x:v>Edifício Santa Casa da Misericórdia</x:v>
      </x:c>
      <x:c r="E176" s="66" t="n">
        <x:v>5005.4051</x:v>
      </x:c>
      <x:c r="F176" s="66" t="n">
        <x:v>5054.5767</x:v>
      </x:c>
      <x:c r="G176" s="66" t="n">
        <x:v>58.647</x:v>
      </x:c>
      <x:c r="H176" s="66" t="n">
        <x:v>0</x:v>
      </x:c>
      <x:c r="I176" s="66" t="n">
        <x:v>0</x:v>
      </x:c>
      <x:c r="J176" s="66" t="n">
        <x:v>0</x:v>
      </x:c>
      <x:c r="K176" s="50" t="n">
        <x:v>0</x:v>
      </x:c>
      <x:c r="L176" s="50" t="n">
        <x:v>0</x:v>
      </x:c>
      <x:c r="M176" s="50" t="n">
        <x:v>0</x:v>
      </x:c>
      <x:c r="N176" s="50" t="n">
        <x:v>0</x:v>
      </x:c>
      <x:c r="O176" s="50" t="n">
        <x:v>0</x:v>
      </x:c>
      <x:c r="P176" s="50" t="n">
        <x:v>0</x:v>
      </x:c>
      <x:c r="Q176" s="50" t="n">
        <x:f>IF(COUNT(N176:O176)&lt;2,"",SQRT(N176^2+O176^2))</x:f>
        <x:v>0</x:v>
      </x:c>
      <x:c r="R176" t="str">
        <x:f>IF(COUNT(H176:P176)=0,"Sem leitura",IF(ISNUMBER(SEARCH("Escavação",D176)),IF(OR(Q176&gt;=40,ABS(P176)&gt;=15),"Alarme",IF(OR(Q176&gt;=IF(OR(ISNUMBER(SEARCH("Alçado AB",D176)),ISNUMBER(SEARCH("Alçado CD",D176)),ISNUMBER(SEARCH("Alçado BF",D176)),ISNUMBER(SEARCH("Alçado PQ",D176))),20,30),ABS(P176)&gt;=10),"Alerta","Regular")),IF(OR(Q176&gt;=25,ABS(P176)&gt;=20),"Alarme",IF(OR(Q176&gt;=15,ABS(P176)&gt;=10),"Alerta","Regular"))))</x:f>
        <x:v>Regular</x:v>
      </x:c>
      <x:c r="S176" t="str">
        <x:v>RELATÓRIO ALVOS TOPOGRÁFICOS - Empreitada THE EDEN, Estoril_ R09_31-10-25(1).pdf</x:v>
      </x:c>
      <x:c r="T176" t="n">
        <x:v>17</x:v>
      </x:c>
    </x:row>
    <x:row r="177">
      <x:c r="A177" s="48" t="n">
        <x:v>45950</x:v>
      </x:c>
      <x:c r="B177" t="n">
        <x:v>0</x:v>
      </x:c>
      <x:c r="C177" t="str">
        <x:v>A6b</x:v>
      </x:c>
      <x:c r="D177" t="str">
        <x:v>Edifício Santa Casa da Misericórdia</x:v>
      </x:c>
      <x:c r="E177" s="66" t="n">
        <x:v>5005.4238</x:v>
      </x:c>
      <x:c r="F177" s="66" t="n">
        <x:v>5054.4836</x:v>
      </x:c>
      <x:c r="G177" s="66" t="n">
        <x:v>58.3573</x:v>
      </x:c>
      <x:c r="H177" s="66" t="n">
        <x:v>5005.4238</x:v>
      </x:c>
      <x:c r="I177" s="66" t="n">
        <x:v>5054.4836</x:v>
      </x:c>
      <x:c r="J177" s="66" t="n">
        <x:v>58.3573</x:v>
      </x:c>
      <x:c r="K177" s="50" t="n">
        <x:v>0</x:v>
      </x:c>
      <x:c r="L177" s="50" t="n">
        <x:v>0</x:v>
      </x:c>
      <x:c r="M177" s="50" t="n">
        <x:v>0</x:v>
      </x:c>
      <x:c r="N177" s="50" t="n">
        <x:v>0</x:v>
      </x:c>
      <x:c r="O177" s="50" t="n">
        <x:v>0</x:v>
      </x:c>
      <x:c r="P177" s="50" t="n">
        <x:v>0</x:v>
      </x:c>
      <x:c r="Q177" s="50" t="n">
        <x:f>IF(COUNT(N177:O177)&lt;2,"",SQRT(N177^2+O177^2))</x:f>
        <x:v>0</x:v>
      </x:c>
      <x:c r="R177" t="str">
        <x:f>IF(COUNT(H177:P177)=0,"Sem leitura",IF(ISNUMBER(SEARCH("Escavação",D177)),IF(OR(Q177&gt;=40,ABS(P177)&gt;=15),"Alarme",IF(OR(Q177&gt;=IF(OR(ISNUMBER(SEARCH("Alçado AB",D177)),ISNUMBER(SEARCH("Alçado CD",D177)),ISNUMBER(SEARCH("Alçado BF",D177)),ISNUMBER(SEARCH("Alçado PQ",D177))),20,30),ABS(P177)&gt;=10),"Alerta","Regular")),IF(OR(Q177&gt;=25,ABS(P177)&gt;=20),"Alarme",IF(OR(Q177&gt;=15,ABS(P177)&gt;=10),"Alerta","Regular"))))</x:f>
        <x:v>Regular</x:v>
      </x:c>
      <x:c r="S177" t="str">
        <x:v>RELATÓRIO ALVOS TOPOGRÁFICOS - Empreitada THE EDEN, Estoril_ R09_31-10-25(1).pdf</x:v>
      </x:c>
      <x:c r="T177" t="n">
        <x:v>9</x:v>
      </x:c>
    </x:row>
    <x:row r="178">
      <x:c r="A178" s="48" t="n">
        <x:v>45950</x:v>
      </x:c>
      <x:c r="B178" t="n">
        <x:v>8</x:v>
      </x:c>
      <x:c r="C178" t="str">
        <x:v>A6b</x:v>
      </x:c>
      <x:c r="D178" t="str">
        <x:v>Edifício Santa Casa da Misericórdia</x:v>
      </x:c>
      <x:c r="E178" s="66" t="n">
        <x:v>5005.4238</x:v>
      </x:c>
      <x:c r="F178" s="66" t="n">
        <x:v>5054.4836</x:v>
      </x:c>
      <x:c r="G178" s="66" t="n">
        <x:v>58.3573</x:v>
      </x:c>
      <x:c r="H178" s="66" t="n">
        <x:v>5005.4238</x:v>
      </x:c>
      <x:c r="I178" s="66" t="n">
        <x:v>5054.4836</x:v>
      </x:c>
      <x:c r="J178" s="66" t="n">
        <x:v>58.3573</x:v>
      </x:c>
      <x:c r="K178" s="50" t="n">
        <x:v>0</x:v>
      </x:c>
      <x:c r="L178" s="50" t="n">
        <x:v>0</x:v>
      </x:c>
      <x:c r="M178" s="50" t="n">
        <x:v>0</x:v>
      </x:c>
      <x:c r="N178" s="50" t="n">
        <x:v>0</x:v>
      </x:c>
      <x:c r="O178" s="50" t="n">
        <x:v>0</x:v>
      </x:c>
      <x:c r="P178" s="50" t="n">
        <x:v>0</x:v>
      </x:c>
      <x:c r="Q178" s="50" t="n">
        <x:f>IF(COUNT(N178:O178)&lt;2,"",SQRT(N178^2+O178^2))</x:f>
        <x:v>0</x:v>
      </x:c>
      <x:c r="R178" t="str">
        <x:f>IF(COUNT(H178:P178)=0,"Sem leitura",IF(ISNUMBER(SEARCH("Escavação",D178)),IF(OR(Q178&gt;=40,ABS(P178)&gt;=15),"Alarme",IF(OR(Q178&gt;=IF(OR(ISNUMBER(SEARCH("Alçado AB",D178)),ISNUMBER(SEARCH("Alçado CD",D178)),ISNUMBER(SEARCH("Alçado BF",D178)),ISNUMBER(SEARCH("Alçado PQ",D178))),20,30),ABS(P178)&gt;=10),"Alerta","Regular")),IF(OR(Q178&gt;=25,ABS(P178)&gt;=20),"Alarme",IF(OR(Q178&gt;=15,ABS(P178)&gt;=10),"Alerta","Regular"))))</x:f>
        <x:v>Regular</x:v>
      </x:c>
      <x:c r="S178" t="str">
        <x:v>RELATÓRIO ALVOS TOPOGRÁFICOS - Empreitada THE EDEN, Estoril_ R09_31-10-25(1).pdf</x:v>
      </x:c>
      <x:c r="T178" t="n">
        <x:v>17</x:v>
      </x:c>
    </x:row>
    <x:row r="179">
      <x:c r="A179" s="48" t="n">
        <x:v>45950</x:v>
      </x:c>
      <x:c r="B179" t="n">
        <x:v>8</x:v>
      </x:c>
      <x:c r="C179" t="str">
        <x:v>A7</x:v>
      </x:c>
      <x:c r="D179" t="str">
        <x:v>Edifício Santa Casa da Misericórdia</x:v>
      </x:c>
      <x:c r="E179" s="66" t="n">
        <x:v>5005.8755</x:v>
      </x:c>
      <x:c r="F179" s="66" t="n">
        <x:v>5063.3174</x:v>
      </x:c>
      <x:c r="G179" s="66" t="n">
        <x:v>60.4811</x:v>
      </x:c>
      <x:c r="H179" s="66" t="n">
        <x:v>0</x:v>
      </x:c>
      <x:c r="I179" s="66" t="n">
        <x:v>0</x:v>
      </x:c>
      <x:c r="J179" s="66" t="n">
        <x:v>0</x:v>
      </x:c>
      <x:c r="K179" s="50" t="n">
        <x:v>0</x:v>
      </x:c>
      <x:c r="L179" s="50" t="n">
        <x:v>0</x:v>
      </x:c>
      <x:c r="M179" s="50" t="n">
        <x:v>0</x:v>
      </x:c>
      <x:c r="N179" s="50" t="n">
        <x:v>0</x:v>
      </x:c>
      <x:c r="O179" s="50" t="n">
        <x:v>0</x:v>
      </x:c>
      <x:c r="P179" s="50" t="n">
        <x:v>0</x:v>
      </x:c>
      <x:c r="Q179" s="50" t="n">
        <x:f>IF(COUNT(N179:O179)&lt;2,"",SQRT(N179^2+O179^2))</x:f>
        <x:v>0</x:v>
      </x:c>
      <x:c r="R179" t="str">
        <x:f>IF(COUNT(H179:P179)=0,"Sem leitura",IF(ISNUMBER(SEARCH("Escavação",D179)),IF(OR(Q179&gt;=40,ABS(P179)&gt;=15),"Alarme",IF(OR(Q179&gt;=IF(OR(ISNUMBER(SEARCH("Alçado AB",D179)),ISNUMBER(SEARCH("Alçado CD",D179)),ISNUMBER(SEARCH("Alçado BF",D179)),ISNUMBER(SEARCH("Alçado PQ",D179))),20,30),ABS(P179)&gt;=10),"Alerta","Regular")),IF(OR(Q179&gt;=25,ABS(P179)&gt;=20),"Alarme",IF(OR(Q179&gt;=15,ABS(P179)&gt;=10),"Alerta","Regular"))))</x:f>
        <x:v>Regular</x:v>
      </x:c>
      <x:c r="S179" t="str">
        <x:v>RELATÓRIO ALVOS TOPOGRÁFICOS - Empreitada THE EDEN, Estoril_ R09_31-10-25(1).pdf</x:v>
      </x:c>
      <x:c r="T179" t="n">
        <x:v>17</x:v>
      </x:c>
    </x:row>
    <x:row r="180">
      <x:c r="A180" s="48" t="n">
        <x:v>45950</x:v>
      </x:c>
      <x:c r="B180" t="n">
        <x:v>0</x:v>
      </x:c>
      <x:c r="C180" t="str">
        <x:v>A7b</x:v>
      </x:c>
      <x:c r="D180" t="str">
        <x:v>Edifício Santa Casa da Misericórdia</x:v>
      </x:c>
      <x:c r="E180" s="66" t="n">
        <x:v>5005.9258</x:v>
      </x:c>
      <x:c r="F180" s="66" t="n">
        <x:v>5064.1066</x:v>
      </x:c>
      <x:c r="G180" s="66" t="n">
        <x:v>60.5445</x:v>
      </x:c>
      <x:c r="H180" s="66" t="n">
        <x:v>5005.9258</x:v>
      </x:c>
      <x:c r="I180" s="66" t="n">
        <x:v>5064.1066</x:v>
      </x:c>
      <x:c r="J180" s="66" t="n">
        <x:v>60.5445</x:v>
      </x:c>
      <x:c r="K180" s="50" t="n">
        <x:v>0</x:v>
      </x:c>
      <x:c r="L180" s="50" t="n">
        <x:v>0</x:v>
      </x:c>
      <x:c r="M180" s="50" t="n">
        <x:v>0</x:v>
      </x:c>
      <x:c r="N180" s="50" t="n">
        <x:v>0</x:v>
      </x:c>
      <x:c r="O180" s="50" t="n">
        <x:v>0</x:v>
      </x:c>
      <x:c r="P180" s="50" t="n">
        <x:v>0</x:v>
      </x:c>
      <x:c r="Q180" s="50" t="n">
        <x:f>IF(COUNT(N180:O180)&lt;2,"",SQRT(N180^2+O180^2))</x:f>
        <x:v>0</x:v>
      </x:c>
      <x:c r="R180" t="str">
        <x:f>IF(COUNT(H180:P180)=0,"Sem leitura",IF(ISNUMBER(SEARCH("Escavação",D180)),IF(OR(Q180&gt;=40,ABS(P180)&gt;=15),"Alarme",IF(OR(Q180&gt;=IF(OR(ISNUMBER(SEARCH("Alçado AB",D180)),ISNUMBER(SEARCH("Alçado CD",D180)),ISNUMBER(SEARCH("Alçado BF",D180)),ISNUMBER(SEARCH("Alçado PQ",D180))),20,30),ABS(P180)&gt;=10),"Alerta","Regular")),IF(OR(Q180&gt;=25,ABS(P180)&gt;=20),"Alarme",IF(OR(Q180&gt;=15,ABS(P180)&gt;=10),"Alerta","Regular"))))</x:f>
        <x:v>Regular</x:v>
      </x:c>
      <x:c r="S180" t="str">
        <x:v>RELATÓRIO ALVOS TOPOGRÁFICOS - Empreitada THE EDEN, Estoril_ R09_31-10-25(1).pdf</x:v>
      </x:c>
      <x:c r="T180" t="n">
        <x:v>9</x:v>
      </x:c>
    </x:row>
    <x:row r="181">
      <x:c r="A181" s="48" t="n">
        <x:v>45950</x:v>
      </x:c>
      <x:c r="B181" t="n">
        <x:v>8</x:v>
      </x:c>
      <x:c r="C181" t="str">
        <x:v>A7b</x:v>
      </x:c>
      <x:c r="D181" t="str">
        <x:v>Edifício Santa Casa da Misericórdia</x:v>
      </x:c>
      <x:c r="E181" s="66" t="n">
        <x:v>5005.9258</x:v>
      </x:c>
      <x:c r="F181" s="66" t="n">
        <x:v>5064.1066</x:v>
      </x:c>
      <x:c r="G181" s="66" t="n">
        <x:v>60.5445</x:v>
      </x:c>
      <x:c r="H181" s="66" t="n">
        <x:v>5005.9258</x:v>
      </x:c>
      <x:c r="I181" s="66" t="n">
        <x:v>5064.1066</x:v>
      </x:c>
      <x:c r="J181" s="66" t="n">
        <x:v>60.5445</x:v>
      </x:c>
      <x:c r="K181" s="50" t="n">
        <x:v>0</x:v>
      </x:c>
      <x:c r="L181" s="50" t="n">
        <x:v>0</x:v>
      </x:c>
      <x:c r="M181" s="50" t="n">
        <x:v>0</x:v>
      </x:c>
      <x:c r="N181" s="50" t="n">
        <x:v>0</x:v>
      </x:c>
      <x:c r="O181" s="50" t="n">
        <x:v>0</x:v>
      </x:c>
      <x:c r="P181" s="50" t="n">
        <x:v>0</x:v>
      </x:c>
      <x:c r="Q181" s="50" t="n">
        <x:f>IF(COUNT(N181:O181)&lt;2,"",SQRT(N181^2+O181^2))</x:f>
        <x:v>0</x:v>
      </x:c>
      <x:c r="R181" t="str">
        <x:f>IF(COUNT(H181:P181)=0,"Sem leitura",IF(ISNUMBER(SEARCH("Escavação",D181)),IF(OR(Q181&gt;=40,ABS(P181)&gt;=15),"Alarme",IF(OR(Q181&gt;=IF(OR(ISNUMBER(SEARCH("Alçado AB",D181)),ISNUMBER(SEARCH("Alçado CD",D181)),ISNUMBER(SEARCH("Alçado BF",D181)),ISNUMBER(SEARCH("Alçado PQ",D181))),20,30),ABS(P181)&gt;=10),"Alerta","Regular")),IF(OR(Q181&gt;=25,ABS(P181)&gt;=20),"Alarme",IF(OR(Q181&gt;=15,ABS(P181)&gt;=10),"Alerta","Regular"))))</x:f>
        <x:v>Regular</x:v>
      </x:c>
      <x:c r="S181" t="str">
        <x:v>RELATÓRIO ALVOS TOPOGRÁFICOS - Empreitada THE EDEN, Estoril_ R09_31-10-25(1).pdf</x:v>
      </x:c>
      <x:c r="T181" t="n">
        <x:v>17</x:v>
      </x:c>
    </x:row>
    <x:row r="182">
      <x:c r="A182" s="48" t="n">
        <x:v>45950</x:v>
      </x:c>
      <x:c r="B182" t="n">
        <x:v>8</x:v>
      </x:c>
      <x:c r="C182" t="str">
        <x:v>A8</x:v>
      </x:c>
      <x:c r="D182" t="str">
        <x:v>Edifício Santa Casa da Misericórdia</x:v>
      </x:c>
      <x:c r="E182" s="66" t="n">
        <x:v>5005.8839</x:v>
      </x:c>
      <x:c r="F182" s="66" t="n">
        <x:v>5063.7008</x:v>
      </x:c>
      <x:c r="G182" s="66" t="n">
        <x:v>59.3293</x:v>
      </x:c>
      <x:c r="H182" s="66" t="n">
        <x:v>0</x:v>
      </x:c>
      <x:c r="I182" s="66" t="n">
        <x:v>0</x:v>
      </x:c>
      <x:c r="J182" s="66" t="n">
        <x:v>0</x:v>
      </x:c>
      <x:c r="K182" s="50" t="n">
        <x:v>0</x:v>
      </x:c>
      <x:c r="L182" s="50" t="n">
        <x:v>0</x:v>
      </x:c>
      <x:c r="M182" s="50" t="n">
        <x:v>0</x:v>
      </x:c>
      <x:c r="N182" s="50" t="n">
        <x:v>0</x:v>
      </x:c>
      <x:c r="O182" s="50" t="n">
        <x:v>0</x:v>
      </x:c>
      <x:c r="P182" s="50" t="n">
        <x:v>0</x:v>
      </x:c>
      <x:c r="Q182" s="50" t="n">
        <x:f>IF(COUNT(N182:O182)&lt;2,"",SQRT(N182^2+O182^2))</x:f>
        <x:v>0</x:v>
      </x:c>
      <x:c r="R182" t="str">
        <x:f>IF(COUNT(H182:P182)=0,"Sem leitura",IF(ISNUMBER(SEARCH("Escavação",D182)),IF(OR(Q182&gt;=40,ABS(P182)&gt;=15),"Alarme",IF(OR(Q182&gt;=IF(OR(ISNUMBER(SEARCH("Alçado AB",D182)),ISNUMBER(SEARCH("Alçado CD",D182)),ISNUMBER(SEARCH("Alçado BF",D182)),ISNUMBER(SEARCH("Alçado PQ",D182))),20,30),ABS(P182)&gt;=10),"Alerta","Regular")),IF(OR(Q182&gt;=25,ABS(P182)&gt;=20),"Alarme",IF(OR(Q182&gt;=15,ABS(P182)&gt;=10),"Alerta","Regular"))))</x:f>
        <x:v>Regular</x:v>
      </x:c>
      <x:c r="S182" t="str">
        <x:v>RELATÓRIO ALVOS TOPOGRÁFICOS - Empreitada THE EDEN, Estoril_ R09_31-10-25(1).pdf</x:v>
      </x:c>
      <x:c r="T182" t="n">
        <x:v>17</x:v>
      </x:c>
    </x:row>
    <x:row r="183">
      <x:c r="A183" s="48" t="n">
        <x:v>45950</x:v>
      </x:c>
      <x:c r="B183" t="n">
        <x:v>0</x:v>
      </x:c>
      <x:c r="C183" t="str">
        <x:v>A8b</x:v>
      </x:c>
      <x:c r="D183" t="str">
        <x:v>Edifício Santa Casa da Misericórdia</x:v>
      </x:c>
      <x:c r="E183" s="66" t="n">
        <x:v>5005.8735</x:v>
      </x:c>
      <x:c r="F183" s="66" t="n">
        <x:v>5063.2723</x:v>
      </x:c>
      <x:c r="G183" s="66" t="n">
        <x:v>58.7325</x:v>
      </x:c>
      <x:c r="H183" s="66" t="n">
        <x:v>5005.8735</x:v>
      </x:c>
      <x:c r="I183" s="66" t="n">
        <x:v>5063.2723</x:v>
      </x:c>
      <x:c r="J183" s="66" t="n">
        <x:v>58.7325</x:v>
      </x:c>
      <x:c r="K183" s="50" t="n">
        <x:v>0</x:v>
      </x:c>
      <x:c r="L183" s="50" t="n">
        <x:v>0</x:v>
      </x:c>
      <x:c r="M183" s="50" t="n">
        <x:v>0</x:v>
      </x:c>
      <x:c r="N183" s="50" t="n">
        <x:v>0</x:v>
      </x:c>
      <x:c r="O183" s="50" t="n">
        <x:v>0</x:v>
      </x:c>
      <x:c r="P183" s="50" t="n">
        <x:v>0</x:v>
      </x:c>
      <x:c r="Q183" s="50" t="n">
        <x:f>IF(COUNT(N183:O183)&lt;2,"",SQRT(N183^2+O183^2))</x:f>
        <x:v>0</x:v>
      </x:c>
      <x:c r="R183" t="str">
        <x:f>IF(COUNT(H183:P183)=0,"Sem leitura",IF(ISNUMBER(SEARCH("Escavação",D183)),IF(OR(Q183&gt;=40,ABS(P183)&gt;=15),"Alarme",IF(OR(Q183&gt;=IF(OR(ISNUMBER(SEARCH("Alçado AB",D183)),ISNUMBER(SEARCH("Alçado CD",D183)),ISNUMBER(SEARCH("Alçado BF",D183)),ISNUMBER(SEARCH("Alçado PQ",D183))),20,30),ABS(P183)&gt;=10),"Alerta","Regular")),IF(OR(Q183&gt;=25,ABS(P183)&gt;=20),"Alarme",IF(OR(Q183&gt;=15,ABS(P183)&gt;=10),"Alerta","Regular"))))</x:f>
        <x:v>Regular</x:v>
      </x:c>
      <x:c r="S183" t="str">
        <x:v>RELATÓRIO ALVOS TOPOGRÁFICOS - Empreitada THE EDEN, Estoril_ R09_31-10-25(1).pdf</x:v>
      </x:c>
      <x:c r="T183" t="n">
        <x:v>9</x:v>
      </x:c>
    </x:row>
    <x:row r="184">
      <x:c r="A184" s="48" t="n">
        <x:v>45950</x:v>
      </x:c>
      <x:c r="B184" t="n">
        <x:v>8</x:v>
      </x:c>
      <x:c r="C184" t="str">
        <x:v>A8b</x:v>
      </x:c>
      <x:c r="D184" t="str">
        <x:v>Edifício Santa Casa da Misericórdia</x:v>
      </x:c>
      <x:c r="E184" s="66" t="n">
        <x:v>5005.8735</x:v>
      </x:c>
      <x:c r="F184" s="66" t="n">
        <x:v>5063.2723</x:v>
      </x:c>
      <x:c r="G184" s="66" t="n">
        <x:v>58.7325</x:v>
      </x:c>
      <x:c r="H184" s="66" t="n">
        <x:v>5005.8735</x:v>
      </x:c>
      <x:c r="I184" s="66" t="n">
        <x:v>5063.2723</x:v>
      </x:c>
      <x:c r="J184" s="66" t="n">
        <x:v>58.7325</x:v>
      </x:c>
      <x:c r="K184" s="50" t="n">
        <x:v>0</x:v>
      </x:c>
      <x:c r="L184" s="50" t="n">
        <x:v>0</x:v>
      </x:c>
      <x:c r="M184" s="50" t="n">
        <x:v>0</x:v>
      </x:c>
      <x:c r="N184" s="50" t="n">
        <x:v>0</x:v>
      </x:c>
      <x:c r="O184" s="50" t="n">
        <x:v>0</x:v>
      </x:c>
      <x:c r="P184" s="50" t="n">
        <x:v>0</x:v>
      </x:c>
      <x:c r="Q184" s="50" t="n">
        <x:f>IF(COUNT(N184:O184)&lt;2,"",SQRT(N184^2+O184^2))</x:f>
        <x:v>0</x:v>
      </x:c>
      <x:c r="R184" t="str">
        <x:f>IF(COUNT(H184:P184)=0,"Sem leitura",IF(ISNUMBER(SEARCH("Escavação",D184)),IF(OR(Q184&gt;=40,ABS(P184)&gt;=15),"Alarme",IF(OR(Q184&gt;=IF(OR(ISNUMBER(SEARCH("Alçado AB",D184)),ISNUMBER(SEARCH("Alçado CD",D184)),ISNUMBER(SEARCH("Alçado BF",D184)),ISNUMBER(SEARCH("Alçado PQ",D184))),20,30),ABS(P184)&gt;=10),"Alerta","Regular")),IF(OR(Q184&gt;=25,ABS(P184)&gt;=20),"Alarme",IF(OR(Q184&gt;=15,ABS(P184)&gt;=10),"Alerta","Regular"))))</x:f>
        <x:v>Regular</x:v>
      </x:c>
      <x:c r="S184" t="str">
        <x:v>RELATÓRIO ALVOS TOPOGRÁFICOS - Empreitada THE EDEN, Estoril_ R09_31-10-25(1).pdf</x:v>
      </x:c>
      <x:c r="T184" t="n">
        <x:v>17</x:v>
      </x:c>
    </x:row>
    <x:row r="185">
      <x:c r="A185" s="48" t="n">
        <x:v>45950</x:v>
      </x:c>
      <x:c r="B185" t="n">
        <x:v>3</x:v>
      </x:c>
      <x:c r="C185" t="str">
        <x:v>AB1</x:v>
      </x:c>
      <x:c r="D185" t="str">
        <x:v>Escavação e Contenção Periférica - Alçado AB</x:v>
      </x:c>
      <x:c r="E185" s="66" t="n">
        <x:v>5019.724</x:v>
      </x:c>
      <x:c r="F185" s="66" t="n">
        <x:v>5017.4448</x:v>
      </x:c>
      <x:c r="G185" s="66" t="n">
        <x:v>48.2671</x:v>
      </x:c>
      <x:c r="H185" s="66"/>
      <x:c r="I185" s="66"/>
      <x:c r="J185" s="66"/>
      <x:c r="K185" s="50"/>
      <x:c r="L185" s="50"/>
      <x:c r="M185" s="50"/>
      <x:c r="N185" s="50"/>
      <x:c r="O185" s="50"/>
      <x:c r="P185" s="50"/>
      <x:c r="Q185" s="50" t="str">
        <x:f>IF(COUNT(N185:O185)&lt;2,"",SQRT(N185^2+O185^2))</x:f>
      </x:c>
      <x:c r="R185" t="str">
        <x:f>IF(COUNT(H185:P185)=0,"Sem leitura",IF(ISNUMBER(SEARCH("Escavação",D185)),IF(OR(Q185&gt;=40,ABS(P185)&gt;=15),"Alarme",IF(OR(Q185&gt;=IF(OR(ISNUMBER(SEARCH("Alçado AB",D185)),ISNUMBER(SEARCH("Alçado CD",D185)),ISNUMBER(SEARCH("Alçado BF",D185)),ISNUMBER(SEARCH("Alçado PQ",D185))),20,30),ABS(P185)&gt;=10),"Alerta","Regular")),IF(OR(Q185&gt;=25,ABS(P185)&gt;=20),"Alarme",IF(OR(Q185&gt;=15,ABS(P185)&gt;=10),"Alerta","Regular"))))</x:f>
        <x:v>Sem leitura</x:v>
      </x:c>
      <x:c r="S185" t="str">
        <x:v>RELATÓRIO ALVOS TOPOGRÁFICOS - Empreitada THE EDEN, Estoril_ R09_31-10-25(1).pdf</x:v>
      </x:c>
      <x:c r="T185" t="n">
        <x:v>41</x:v>
      </x:c>
    </x:row>
    <x:row r="186">
      <x:c r="A186" s="48" t="n">
        <x:v>45950</x:v>
      </x:c>
      <x:c r="B186" t="n">
        <x:v>3</x:v>
      </x:c>
      <x:c r="C186" t="str">
        <x:v>BF1</x:v>
      </x:c>
      <x:c r="D186" t="str">
        <x:v>Escavação e Contenção Periférica - Alçado BF</x:v>
      </x:c>
      <x:c r="E186" s="66" t="n">
        <x:v>4986.2775</x:v>
      </x:c>
      <x:c r="F186" s="66" t="n">
        <x:v>5019.8639</x:v>
      </x:c>
      <x:c r="G186" s="66" t="n">
        <x:v>50.873</x:v>
      </x:c>
      <x:c r="H186" s="66" t="n">
        <x:v>4986.2789</x:v>
      </x:c>
      <x:c r="I186" s="66" t="n">
        <x:v>5019.8624</x:v>
      </x:c>
      <x:c r="J186" s="66" t="n">
        <x:v>50.8728</x:v>
      </x:c>
      <x:c r="K186" s="50" t="n">
        <x:v>0.1</x:v>
      </x:c>
      <x:c r="L186" s="50" t="n">
        <x:v>0.5</x:v>
      </x:c>
      <x:c r="M186" s="50" t="n">
        <x:v>0.2</x:v>
      </x:c>
      <x:c r="N186" s="50" t="n">
        <x:v>1.4</x:v>
      </x:c>
      <x:c r="O186" s="50" t="n">
        <x:v>-1.5</x:v>
      </x:c>
      <x:c r="P186" s="50" t="n">
        <x:v>-0.2</x:v>
      </x:c>
      <x:c r="Q186" s="50" t="n">
        <x:f>IF(COUNT(N186:O186)&lt;2,"",SQRT(N186^2+O186^2))</x:f>
        <x:v>2.0518284528683193</x:v>
      </x:c>
      <x:c r="R186" t="str">
        <x:f>IF(COUNT(H186:P186)=0,"Sem leitura",IF(ISNUMBER(SEARCH("Escavação",D186)),IF(OR(Q186&gt;=40,ABS(P186)&gt;=15),"Alarme",IF(OR(Q186&gt;=IF(OR(ISNUMBER(SEARCH("Alçado AB",D186)),ISNUMBER(SEARCH("Alçado CD",D186)),ISNUMBER(SEARCH("Alçado BF",D186)),ISNUMBER(SEARCH("Alçado PQ",D186))),20,30),ABS(P186)&gt;=10),"Alerta","Regular")),IF(OR(Q186&gt;=25,ABS(P186)&gt;=20),"Alarme",IF(OR(Q186&gt;=15,ABS(P186)&gt;=10),"Alerta","Regular"))))</x:f>
        <x:v>Regular</x:v>
      </x:c>
      <x:c r="S186" t="str">
        <x:v>RELATÓRIO ALVOS TOPOGRÁFICOS - Empreitada THE EDEN, Estoril_ R09_31-10-25(1).pdf</x:v>
      </x:c>
      <x:c r="T186" t="n">
        <x:v>41</x:v>
      </x:c>
    </x:row>
    <x:row r="187">
      <x:c r="A187" s="48" t="n">
        <x:v>45950</x:v>
      </x:c>
      <x:c r="B187" t="n">
        <x:v>3</x:v>
      </x:c>
      <x:c r="C187" t="str">
        <x:v>BF2</x:v>
      </x:c>
      <x:c r="D187" t="str">
        <x:v>Escavação e Contenção Periférica - Alçado BF</x:v>
      </x:c>
      <x:c r="E187" s="66" t="n">
        <x:v>4977.5058</x:v>
      </x:c>
      <x:c r="F187" s="66" t="n">
        <x:v>5027.6043</x:v>
      </x:c>
      <x:c r="G187" s="66" t="n">
        <x:v>52.2084</x:v>
      </x:c>
      <x:c r="H187" s="66" t="n">
        <x:v>4977.5063</x:v>
      </x:c>
      <x:c r="I187" s="66" t="n">
        <x:v>5027.6016</x:v>
      </x:c>
      <x:c r="J187" s="66" t="n">
        <x:v>52.2083</x:v>
      </x:c>
      <x:c r="K187" s="50" t="n">
        <x:v>0.1</x:v>
      </x:c>
      <x:c r="L187" s="50" t="n">
        <x:v>0.1</x:v>
      </x:c>
      <x:c r="M187" s="50" t="n">
        <x:v>0.4</x:v>
      </x:c>
      <x:c r="N187" s="50" t="n">
        <x:v>0.5</x:v>
      </x:c>
      <x:c r="O187" s="50" t="n">
        <x:v>-2.7</x:v>
      </x:c>
      <x:c r="P187" s="50" t="n">
        <x:v>-0.1</x:v>
      </x:c>
      <x:c r="Q187" s="50" t="n">
        <x:f>IF(COUNT(N187:O187)&lt;2,"",SQRT(N187^2+O187^2))</x:f>
        <x:v>2.7459060435491964</x:v>
      </x:c>
      <x:c r="R187" t="str">
        <x:f>IF(COUNT(H187:P187)=0,"Sem leitura",IF(ISNUMBER(SEARCH("Escavação",D187)),IF(OR(Q187&gt;=40,ABS(P187)&gt;=15),"Alarme",IF(OR(Q187&gt;=IF(OR(ISNUMBER(SEARCH("Alçado AB",D187)),ISNUMBER(SEARCH("Alçado CD",D187)),ISNUMBER(SEARCH("Alçado BF",D187)),ISNUMBER(SEARCH("Alçado PQ",D187))),20,30),ABS(P187)&gt;=10),"Alerta","Regular")),IF(OR(Q187&gt;=25,ABS(P187)&gt;=20),"Alarme",IF(OR(Q187&gt;=15,ABS(P187)&gt;=10),"Alerta","Regular"))))</x:f>
        <x:v>Regular</x:v>
      </x:c>
      <x:c r="S187" t="str">
        <x:v>RELATÓRIO ALVOS TOPOGRÁFICOS - Empreitada THE EDEN, Estoril_ R09_31-10-25(1).pdf</x:v>
      </x:c>
      <x:c r="T187" t="n">
        <x:v>41</x:v>
      </x:c>
    </x:row>
    <x:row r="188">
      <x:c r="A188" s="48" t="n">
        <x:v>45950</x:v>
      </x:c>
      <x:c r="B188" t="n">
        <x:v>3</x:v>
      </x:c>
      <x:c r="C188" t="str">
        <x:v>CD1</x:v>
      </x:c>
      <x:c r="D188" t="str">
        <x:v>Escavação e Contenção Periférica - Alçado CD</x:v>
      </x:c>
      <x:c r="E188" s="66" t="n">
        <x:v>4982.382</x:v>
      </x:c>
      <x:c r="F188" s="66" t="n">
        <x:v>5027.9636</x:v>
      </x:c>
      <x:c r="G188" s="66" t="n">
        <x:v>48.2755</x:v>
      </x:c>
      <x:c r="H188" s="66" t="n">
        <x:v>4982.3855</x:v>
      </x:c>
      <x:c r="I188" s="66" t="n">
        <x:v>5027.9624</x:v>
      </x:c>
      <x:c r="J188" s="66" t="n">
        <x:v>48.2763</x:v>
      </x:c>
      <x:c r="K188" s="50" t="n">
        <x:v>2.3</x:v>
      </x:c>
      <x:c r="L188" s="50" t="n">
        <x:v>1.4</x:v>
      </x:c>
      <x:c r="M188" s="50" t="n">
        <x:v>0.6</x:v>
      </x:c>
      <x:c r="N188" s="50" t="n">
        <x:v>3.5</x:v>
      </x:c>
      <x:c r="O188" s="50" t="n">
        <x:v>-1.2</x:v>
      </x:c>
      <x:c r="P188" s="50" t="n">
        <x:v>0.8</x:v>
      </x:c>
      <x:c r="Q188" s="50" t="n">
        <x:f>IF(COUNT(N188:O188)&lt;2,"",SQRT(N188^2+O188^2))</x:f>
        <x:v>3.6999999999999997</x:v>
      </x:c>
      <x:c r="R188" t="str">
        <x:f>IF(COUNT(H188:P188)=0,"Sem leitura",IF(ISNUMBER(SEARCH("Escavação",D188)),IF(OR(Q188&gt;=40,ABS(P188)&gt;=15),"Alarme",IF(OR(Q188&gt;=IF(OR(ISNUMBER(SEARCH("Alçado AB",D188)),ISNUMBER(SEARCH("Alçado CD",D188)),ISNUMBER(SEARCH("Alçado BF",D188)),ISNUMBER(SEARCH("Alçado PQ",D188))),20,30),ABS(P188)&gt;=10),"Alerta","Regular")),IF(OR(Q188&gt;=25,ABS(P188)&gt;=20),"Alarme",IF(OR(Q188&gt;=15,ABS(P188)&gt;=10),"Alerta","Regular"))))</x:f>
        <x:v>Regular</x:v>
      </x:c>
      <x:c r="S188" t="str">
        <x:v>RELATÓRIO ALVOS TOPOGRÁFICOS - Empreitada THE EDEN, Estoril_ R09_31-10-25(1).pdf</x:v>
      </x:c>
      <x:c r="T188" t="n">
        <x:v>41</x:v>
      </x:c>
    </x:row>
    <x:row r="189">
      <x:c r="A189" s="48" t="n">
        <x:v>45950</x:v>
      </x:c>
      <x:c r="B189" t="n">
        <x:v>3</x:v>
      </x:c>
      <x:c r="C189" t="str">
        <x:v>FG1</x:v>
      </x:c>
      <x:c r="D189" t="str">
        <x:v>Escavação e Contenção Periférica - Alçado FG</x:v>
      </x:c>
      <x:c r="E189" s="66" t="n">
        <x:v>4974.3925</x:v>
      </x:c>
      <x:c r="F189" s="66" t="n">
        <x:v>5039.5326</x:v>
      </x:c>
      <x:c r="G189" s="66" t="n">
        <x:v>53.5568</x:v>
      </x:c>
      <x:c r="H189" s="66" t="n">
        <x:v>4974.393</x:v>
      </x:c>
      <x:c r="I189" s="66" t="n">
        <x:v>5039.5336</x:v>
      </x:c>
      <x:c r="J189" s="66" t="n">
        <x:v>53.5572</x:v>
      </x:c>
      <x:c r="K189" s="50" t="n">
        <x:v>0.3</x:v>
      </x:c>
      <x:c r="L189" s="50" t="n">
        <x:v>-0.2</x:v>
      </x:c>
      <x:c r="M189" s="50" t="n">
        <x:v>0.1</x:v>
      </x:c>
      <x:c r="N189" s="50" t="n">
        <x:v>0.5</x:v>
      </x:c>
      <x:c r="O189" s="50" t="n">
        <x:v>1</x:v>
      </x:c>
      <x:c r="P189" s="50" t="n">
        <x:v>0.4</x:v>
      </x:c>
      <x:c r="Q189" s="50" t="n">
        <x:f>IF(COUNT(N189:O189)&lt;2,"",SQRT(N189^2+O189^2))</x:f>
        <x:v>1.118033988749895</x:v>
      </x:c>
      <x:c r="R189" t="str">
        <x:f>IF(COUNT(H189:P189)=0,"Sem leitura",IF(ISNUMBER(SEARCH("Escavação",D189)),IF(OR(Q189&gt;=40,ABS(P189)&gt;=15),"Alarme",IF(OR(Q189&gt;=IF(OR(ISNUMBER(SEARCH("Alçado AB",D189)),ISNUMBER(SEARCH("Alçado CD",D189)),ISNUMBER(SEARCH("Alçado BF",D189)),ISNUMBER(SEARCH("Alçado PQ",D189))),20,30),ABS(P189)&gt;=10),"Alerta","Regular")),IF(OR(Q189&gt;=25,ABS(P189)&gt;=20),"Alarme",IF(OR(Q189&gt;=15,ABS(P189)&gt;=10),"Alerta","Regular"))))</x:f>
        <x:v>Regular</x:v>
      </x:c>
      <x:c r="S189" t="str">
        <x:v>RELATÓRIO ALVOS TOPOGRÁFICOS - Empreitada THE EDEN, Estoril_ R09_31-10-25(1).pdf</x:v>
      </x:c>
      <x:c r="T189" t="n">
        <x:v>41</x:v>
      </x:c>
    </x:row>
    <x:row r="190">
      <x:c r="A190" s="48" t="n">
        <x:v>45950</x:v>
      </x:c>
      <x:c r="B190" t="n">
        <x:v>0</x:v>
      </x:c>
      <x:c r="C190" t="str">
        <x:v>FG2</x:v>
      </x:c>
      <x:c r="D190" t="str">
        <x:v>Escavação e Contenção Periférica - Alçado FG</x:v>
      </x:c>
      <x:c r="E190" s="66" t="n">
        <x:v>4976.0573</x:v>
      </x:c>
      <x:c r="F190" s="66" t="n">
        <x:v>5040.5966</x:v>
      </x:c>
      <x:c r="G190" s="66" t="n">
        <x:v>48.2148</x:v>
      </x:c>
      <x:c r="H190" s="66" t="n">
        <x:v>4976.0573</x:v>
      </x:c>
      <x:c r="I190" s="66" t="n">
        <x:v>5040.5966</x:v>
      </x:c>
      <x:c r="J190" s="66" t="n">
        <x:v>48.2148</x:v>
      </x:c>
      <x:c r="K190" s="50" t="n">
        <x:v>0</x:v>
      </x:c>
      <x:c r="L190" s="50" t="n">
        <x:v>0</x:v>
      </x:c>
      <x:c r="M190" s="50" t="n">
        <x:v>0</x:v>
      </x:c>
      <x:c r="N190" s="50" t="n">
        <x:v>0</x:v>
      </x:c>
      <x:c r="O190" s="50" t="n">
        <x:v>0</x:v>
      </x:c>
      <x:c r="P190" s="50" t="n">
        <x:v>0</x:v>
      </x:c>
      <x:c r="Q190" s="50" t="n">
        <x:f>IF(COUNT(N190:O190)&lt;2,"",SQRT(N190^2+O190^2))</x:f>
        <x:v>0</x:v>
      </x:c>
      <x:c r="R190" t="str">
        <x:f>IF(COUNT(H190:P190)=0,"Sem leitura",IF(ISNUMBER(SEARCH("Escavação",D190)),IF(OR(Q190&gt;=40,ABS(P190)&gt;=15),"Alarme",IF(OR(Q190&gt;=IF(OR(ISNUMBER(SEARCH("Alçado AB",D190)),ISNUMBER(SEARCH("Alçado CD",D190)),ISNUMBER(SEARCH("Alçado BF",D190)),ISNUMBER(SEARCH("Alçado PQ",D190))),20,30),ABS(P190)&gt;=10),"Alerta","Regular")),IF(OR(Q190&gt;=25,ABS(P190)&gt;=20),"Alarme",IF(OR(Q190&gt;=15,ABS(P190)&gt;=10),"Alerta","Regular"))))</x:f>
        <x:v>Regular</x:v>
      </x:c>
      <x:c r="S190" t="str">
        <x:v>RELATÓRIO ALVOS TOPOGRÁFICOS - Empreitada THE EDEN, Estoril_ R09_31-10-25(1).pdf</x:v>
      </x:c>
      <x:c r="T190" t="n">
        <x:v>38</x:v>
      </x:c>
    </x:row>
    <x:row r="191">
      <x:c r="A191" s="48" t="n">
        <x:v>45950</x:v>
      </x:c>
      <x:c r="B191" t="n">
        <x:v>3</x:v>
      </x:c>
      <x:c r="C191" t="str">
        <x:v>FG2</x:v>
      </x:c>
      <x:c r="D191" t="str">
        <x:v>Escavação e Contenção Periférica - Alçado FG</x:v>
      </x:c>
      <x:c r="E191" s="66" t="n">
        <x:v>4976.0573</x:v>
      </x:c>
      <x:c r="F191" s="66" t="n">
        <x:v>5040.5966</x:v>
      </x:c>
      <x:c r="G191" s="66" t="n">
        <x:v>48.2148</x:v>
      </x:c>
      <x:c r="H191" s="66" t="n">
        <x:v>4976.0573</x:v>
      </x:c>
      <x:c r="I191" s="66" t="n">
        <x:v>5040.5966</x:v>
      </x:c>
      <x:c r="J191" s="66" t="n">
        <x:v>48.2148</x:v>
      </x:c>
      <x:c r="K191" s="50" t="n">
        <x:v>0</x:v>
      </x:c>
      <x:c r="L191" s="50" t="n">
        <x:v>0</x:v>
      </x:c>
      <x:c r="M191" s="50" t="n">
        <x:v>0</x:v>
      </x:c>
      <x:c r="N191" s="50" t="n">
        <x:v>0</x:v>
      </x:c>
      <x:c r="O191" s="50" t="n">
        <x:v>0</x:v>
      </x:c>
      <x:c r="P191" s="50" t="n">
        <x:v>0</x:v>
      </x:c>
      <x:c r="Q191" s="50" t="n">
        <x:f>IF(COUNT(N191:O191)&lt;2,"",SQRT(N191^2+O191^2))</x:f>
        <x:v>0</x:v>
      </x:c>
      <x:c r="R191" t="str">
        <x:f>IF(COUNT(H191:P191)=0,"Sem leitura",IF(ISNUMBER(SEARCH("Escavação",D191)),IF(OR(Q191&gt;=40,ABS(P191)&gt;=15),"Alarme",IF(OR(Q191&gt;=IF(OR(ISNUMBER(SEARCH("Alçado AB",D191)),ISNUMBER(SEARCH("Alçado CD",D191)),ISNUMBER(SEARCH("Alçado BF",D191)),ISNUMBER(SEARCH("Alçado PQ",D191))),20,30),ABS(P191)&gt;=10),"Alerta","Regular")),IF(OR(Q191&gt;=25,ABS(P191)&gt;=20),"Alarme",IF(OR(Q191&gt;=15,ABS(P191)&gt;=10),"Alerta","Regular"))))</x:f>
        <x:v>Regular</x:v>
      </x:c>
      <x:c r="S191" t="str">
        <x:v>RELATÓRIO ALVOS TOPOGRÁFICOS - Empreitada THE EDEN, Estoril_ R09_31-10-25(1).pdf</x:v>
      </x:c>
      <x:c r="T191" t="n">
        <x:v>41</x:v>
      </x:c>
    </x:row>
    <x:row r="192">
      <x:c r="A192" s="48" t="n">
        <x:v>45950</x:v>
      </x:c>
      <x:c r="B192" t="n">
        <x:v>3</x:v>
      </x:c>
      <x:c r="C192" t="str">
        <x:v>GH1</x:v>
      </x:c>
      <x:c r="D192" t="str">
        <x:v>Escavação e Contenção Periférica - Alçado GH</x:v>
      </x:c>
      <x:c r="E192" s="66" t="n">
        <x:v>4981.8689</x:v>
      </x:c>
      <x:c r="F192" s="66" t="n">
        <x:v>5046.9902</x:v>
      </x:c>
      <x:c r="G192" s="66" t="n">
        <x:v>53.9665</x:v>
      </x:c>
      <x:c r="H192" s="66" t="n">
        <x:v>4981.8722</x:v>
      </x:c>
      <x:c r="I192" s="66" t="n">
        <x:v>5046.9891</x:v>
      </x:c>
      <x:c r="J192" s="66" t="n">
        <x:v>53.9666</x:v>
      </x:c>
      <x:c r="K192" s="50" t="n">
        <x:v>1.2</x:v>
      </x:c>
      <x:c r="L192" s="50" t="n">
        <x:v>-1.4</x:v>
      </x:c>
      <x:c r="M192" s="50" t="n">
        <x:v>0.6</x:v>
      </x:c>
      <x:c r="N192" s="50" t="n">
        <x:v>3.3</x:v>
      </x:c>
      <x:c r="O192" s="50" t="n">
        <x:v>-1.1</x:v>
      </x:c>
      <x:c r="P192" s="50" t="n">
        <x:v>0.1</x:v>
      </x:c>
      <x:c r="Q192" s="50" t="n">
        <x:f>IF(COUNT(N192:O192)&lt;2,"",SQRT(N192^2+O192^2))</x:f>
        <x:v>3.478505426185217</x:v>
      </x:c>
      <x:c r="R192" t="str">
        <x:f>IF(COUNT(H192:P192)=0,"Sem leitura",IF(ISNUMBER(SEARCH("Escavação",D192)),IF(OR(Q192&gt;=40,ABS(P192)&gt;=15),"Alarme",IF(OR(Q192&gt;=IF(OR(ISNUMBER(SEARCH("Alçado AB",D192)),ISNUMBER(SEARCH("Alçado CD",D192)),ISNUMBER(SEARCH("Alçado BF",D192)),ISNUMBER(SEARCH("Alçado PQ",D192))),20,30),ABS(P192)&gt;=10),"Alerta","Regular")),IF(OR(Q192&gt;=25,ABS(P192)&gt;=20),"Alarme",IF(OR(Q192&gt;=15,ABS(P192)&gt;=10),"Alerta","Regular"))))</x:f>
        <x:v>Regular</x:v>
      </x:c>
      <x:c r="S192" t="str">
        <x:v>RELATÓRIO ALVOS TOPOGRÁFICOS - Empreitada THE EDEN, Estoril_ R09_31-10-25(1).pdf</x:v>
      </x:c>
      <x:c r="T192" t="n">
        <x:v>41</x:v>
      </x:c>
    </x:row>
    <x:row r="193">
      <x:c r="A193" s="48" t="n">
        <x:v>45950</x:v>
      </x:c>
      <x:c r="B193" t="n">
        <x:v>3</x:v>
      </x:c>
      <x:c r="C193" t="str">
        <x:v>GH2</x:v>
      </x:c>
      <x:c r="D193" t="str">
        <x:v>Escavação e Contenção Periférica - Alçado GH</x:v>
      </x:c>
      <x:c r="E193" s="66" t="n">
        <x:v>4993.0258</x:v>
      </x:c>
      <x:c r="F193" s="66" t="n">
        <x:v>5045.3909</x:v>
      </x:c>
      <x:c r="G193" s="66" t="n">
        <x:v>53.9052</x:v>
      </x:c>
      <x:c r="H193" s="66" t="n">
        <x:v>4993.0283</x:v>
      </x:c>
      <x:c r="I193" s="66" t="n">
        <x:v>5045.3881</x:v>
      </x:c>
      <x:c r="J193" s="66" t="n">
        <x:v>53.9046</x:v>
      </x:c>
      <x:c r="K193" s="50" t="n">
        <x:v>0.8</x:v>
      </x:c>
      <x:c r="L193" s="50" t="n">
        <x:v>-2.1</x:v>
      </x:c>
      <x:c r="M193" s="50" t="n">
        <x:v>-0.1</x:v>
      </x:c>
      <x:c r="N193" s="50" t="n">
        <x:v>2.5</x:v>
      </x:c>
      <x:c r="O193" s="50" t="n">
        <x:v>-2.8</x:v>
      </x:c>
      <x:c r="P193" s="50" t="n">
        <x:v>-0.6</x:v>
      </x:c>
      <x:c r="Q193" s="50" t="n">
        <x:f>IF(COUNT(N193:O193)&lt;2,"",SQRT(N193^2+O193^2))</x:f>
        <x:v>3.753664875824692</x:v>
      </x:c>
      <x:c r="R193" t="str">
        <x:f>IF(COUNT(H193:P193)=0,"Sem leitura",IF(ISNUMBER(SEARCH("Escavação",D193)),IF(OR(Q193&gt;=40,ABS(P193)&gt;=15),"Alarme",IF(OR(Q193&gt;=IF(OR(ISNUMBER(SEARCH("Alçado AB",D193)),ISNUMBER(SEARCH("Alçado CD",D193)),ISNUMBER(SEARCH("Alçado BF",D193)),ISNUMBER(SEARCH("Alçado PQ",D193))),20,30),ABS(P193)&gt;=10),"Alerta","Regular")),IF(OR(Q193&gt;=25,ABS(P193)&gt;=20),"Alarme",IF(OR(Q193&gt;=15,ABS(P193)&gt;=10),"Alerta","Regular"))))</x:f>
        <x:v>Regular</x:v>
      </x:c>
      <x:c r="S193" t="str">
        <x:v>RELATÓRIO ALVOS TOPOGRÁFICOS - Empreitada THE EDEN, Estoril_ R09_31-10-25(1).pdf</x:v>
      </x:c>
      <x:c r="T193" t="n">
        <x:v>41</x:v>
      </x:c>
    </x:row>
    <x:row r="194">
      <x:c r="A194" s="48" t="n">
        <x:v>45950</x:v>
      </x:c>
      <x:c r="B194" t="n">
        <x:v>3</x:v>
      </x:c>
      <x:c r="C194" t="str">
        <x:v>GH3</x:v>
      </x:c>
      <x:c r="D194" t="str">
        <x:v>Escavação e Contenção Periférica - Alçado GH</x:v>
      </x:c>
      <x:c r="E194" s="66" t="n">
        <x:v>5002.4091</x:v>
      </x:c>
      <x:c r="F194" s="66" t="n">
        <x:v>5044.0244</x:v>
      </x:c>
      <x:c r="G194" s="66" t="n">
        <x:v>53.8892</x:v>
      </x:c>
      <x:c r="H194" s="66" t="n">
        <x:v>5002.4106</x:v>
      </x:c>
      <x:c r="I194" s="66" t="n">
        <x:v>5044.0195</x:v>
      </x:c>
      <x:c r="J194" s="66" t="n">
        <x:v>53.8896</x:v>
      </x:c>
      <x:c r="K194" s="50" t="n">
        <x:v>1.3</x:v>
      </x:c>
      <x:c r="L194" s="50" t="n">
        <x:v>-3</x:v>
      </x:c>
      <x:c r="M194" s="50" t="n">
        <x:v>0.8</x:v>
      </x:c>
      <x:c r="N194" s="50" t="n">
        <x:v>1.5</x:v>
      </x:c>
      <x:c r="O194" s="50" t="n">
        <x:v>-4.9</x:v>
      </x:c>
      <x:c r="P194" s="50" t="n">
        <x:v>0.4</x:v>
      </x:c>
      <x:c r="Q194" s="50" t="n">
        <x:f>IF(COUNT(N194:O194)&lt;2,"",SQRT(N194^2+O194^2))</x:f>
        <x:v>5.1244511901275835</x:v>
      </x:c>
      <x:c r="R194" t="str">
        <x:f>IF(COUNT(H194:P194)=0,"Sem leitura",IF(ISNUMBER(SEARCH("Escavação",D194)),IF(OR(Q194&gt;=40,ABS(P194)&gt;=15),"Alarme",IF(OR(Q194&gt;=IF(OR(ISNUMBER(SEARCH("Alçado AB",D194)),ISNUMBER(SEARCH("Alçado CD",D194)),ISNUMBER(SEARCH("Alçado BF",D194)),ISNUMBER(SEARCH("Alçado PQ",D194))),20,30),ABS(P194)&gt;=10),"Alerta","Regular")),IF(OR(Q194&gt;=25,ABS(P194)&gt;=20),"Alarme",IF(OR(Q194&gt;=15,ABS(P194)&gt;=10),"Alerta","Regular"))))</x:f>
        <x:v>Regular</x:v>
      </x:c>
      <x:c r="S194" t="str">
        <x:v>RELATÓRIO ALVOS TOPOGRÁFICOS - Empreitada THE EDEN, Estoril_ R09_31-10-25(1).pdf</x:v>
      </x:c>
      <x:c r="T194" t="n">
        <x:v>41</x:v>
      </x:c>
    </x:row>
    <x:row r="195">
      <x:c r="A195" s="48" t="n">
        <x:v>45950</x:v>
      </x:c>
      <x:c r="B195" t="n">
        <x:v>0</x:v>
      </x:c>
      <x:c r="C195" t="str">
        <x:v>GH4</x:v>
      </x:c>
      <x:c r="D195" t="str">
        <x:v>Escavação e Contenção Periférica - Alçado GH</x:v>
      </x:c>
      <x:c r="E195" s="66" t="n">
        <x:v>4987.9622</x:v>
      </x:c>
      <x:c r="F195" s="66" t="n">
        <x:v>5045.3176</x:v>
      </x:c>
      <x:c r="G195" s="66" t="n">
        <x:v>47.6376</x:v>
      </x:c>
      <x:c r="H195" s="66" t="n">
        <x:v>4987.9622</x:v>
      </x:c>
      <x:c r="I195" s="66" t="n">
        <x:v>5045.3176</x:v>
      </x:c>
      <x:c r="J195" s="66" t="n">
        <x:v>47.6376</x:v>
      </x:c>
      <x:c r="K195" s="50" t="n">
        <x:v>0</x:v>
      </x:c>
      <x:c r="L195" s="50" t="n">
        <x:v>0</x:v>
      </x:c>
      <x:c r="M195" s="50" t="n">
        <x:v>0</x:v>
      </x:c>
      <x:c r="N195" s="50" t="n">
        <x:v>0</x:v>
      </x:c>
      <x:c r="O195" s="50" t="n">
        <x:v>0</x:v>
      </x:c>
      <x:c r="P195" s="50" t="n">
        <x:v>0</x:v>
      </x:c>
      <x:c r="Q195" s="50" t="n">
        <x:f>IF(COUNT(N195:O195)&lt;2,"",SQRT(N195^2+O195^2))</x:f>
        <x:v>0</x:v>
      </x:c>
      <x:c r="R195" t="str">
        <x:f>IF(COUNT(H195:P195)=0,"Sem leitura",IF(ISNUMBER(SEARCH("Escavação",D195)),IF(OR(Q195&gt;=40,ABS(P195)&gt;=15),"Alarme",IF(OR(Q195&gt;=IF(OR(ISNUMBER(SEARCH("Alçado AB",D195)),ISNUMBER(SEARCH("Alçado CD",D195)),ISNUMBER(SEARCH("Alçado BF",D195)),ISNUMBER(SEARCH("Alçado PQ",D195))),20,30),ABS(P195)&gt;=10),"Alerta","Regular")),IF(OR(Q195&gt;=25,ABS(P195)&gt;=20),"Alarme",IF(OR(Q195&gt;=15,ABS(P195)&gt;=10),"Alerta","Regular"))))</x:f>
        <x:v>Regular</x:v>
      </x:c>
      <x:c r="S195" t="str">
        <x:v>RELATÓRIO ALVOS TOPOGRÁFICOS - Empreitada THE EDEN, Estoril_ R09_31-10-25(1).pdf</x:v>
      </x:c>
      <x:c r="T195" t="n">
        <x:v>38</x:v>
      </x:c>
    </x:row>
    <x:row r="196">
      <x:c r="A196" s="48" t="n">
        <x:v>45950</x:v>
      </x:c>
      <x:c r="B196" t="n">
        <x:v>3</x:v>
      </x:c>
      <x:c r="C196" t="str">
        <x:v>GH4</x:v>
      </x:c>
      <x:c r="D196" t="str">
        <x:v>Escavação e Contenção Periférica - Alçado GH</x:v>
      </x:c>
      <x:c r="E196" s="66" t="n">
        <x:v>4987.9622</x:v>
      </x:c>
      <x:c r="F196" s="66" t="n">
        <x:v>5045.3176</x:v>
      </x:c>
      <x:c r="G196" s="66" t="n">
        <x:v>47.6376</x:v>
      </x:c>
      <x:c r="H196" s="66" t="n">
        <x:v>4987.9622</x:v>
      </x:c>
      <x:c r="I196" s="66" t="n">
        <x:v>5045.3176</x:v>
      </x:c>
      <x:c r="J196" s="66" t="n">
        <x:v>47.6376</x:v>
      </x:c>
      <x:c r="K196" s="50" t="n">
        <x:v>0</x:v>
      </x:c>
      <x:c r="L196" s="50" t="n">
        <x:v>0</x:v>
      </x:c>
      <x:c r="M196" s="50" t="n">
        <x:v>0</x:v>
      </x:c>
      <x:c r="N196" s="50" t="n">
        <x:v>0</x:v>
      </x:c>
      <x:c r="O196" s="50" t="n">
        <x:v>0</x:v>
      </x:c>
      <x:c r="P196" s="50" t="n">
        <x:v>0</x:v>
      </x:c>
      <x:c r="Q196" s="50" t="n">
        <x:f>IF(COUNT(N196:O196)&lt;2,"",SQRT(N196^2+O196^2))</x:f>
        <x:v>0</x:v>
      </x:c>
      <x:c r="R196" t="str">
        <x:f>IF(COUNT(H196:P196)=0,"Sem leitura",IF(ISNUMBER(SEARCH("Escavação",D196)),IF(OR(Q196&gt;=40,ABS(P196)&gt;=15),"Alarme",IF(OR(Q196&gt;=IF(OR(ISNUMBER(SEARCH("Alçado AB",D196)),ISNUMBER(SEARCH("Alçado CD",D196)),ISNUMBER(SEARCH("Alçado BF",D196)),ISNUMBER(SEARCH("Alçado PQ",D196))),20,30),ABS(P196)&gt;=10),"Alerta","Regular")),IF(OR(Q196&gt;=25,ABS(P196)&gt;=20),"Alarme",IF(OR(Q196&gt;=15,ABS(P196)&gt;=10),"Alerta","Regular"))))</x:f>
        <x:v>Regular</x:v>
      </x:c>
      <x:c r="S196" t="str">
        <x:v>RELATÓRIO ALVOS TOPOGRÁFICOS - Empreitada THE EDEN, Estoril_ R09_31-10-25(1).pdf</x:v>
      </x:c>
      <x:c r="T196" t="n">
        <x:v>41</x:v>
      </x:c>
    </x:row>
    <x:row r="197">
      <x:c r="A197" s="48" t="n">
        <x:v>45950</x:v>
      </x:c>
      <x:c r="B197" t="n">
        <x:v>0</x:v>
      </x:c>
      <x:c r="C197" t="str">
        <x:v>GH5</x:v>
      </x:c>
      <x:c r="D197" t="str">
        <x:v>Escavação e Contenção Periférica - Alçado GH</x:v>
      </x:c>
      <x:c r="E197" s="66" t="n">
        <x:v>5002.5305</x:v>
      </x:c>
      <x:c r="F197" s="66" t="n">
        <x:v>5043.4611</x:v>
      </x:c>
      <x:c r="G197" s="66" t="n">
        <x:v>47.5371</x:v>
      </x:c>
      <x:c r="H197" s="66" t="n">
        <x:v>5002.5305</x:v>
      </x:c>
      <x:c r="I197" s="66" t="n">
        <x:v>5043.4611</x:v>
      </x:c>
      <x:c r="J197" s="66" t="n">
        <x:v>47.5371</x:v>
      </x:c>
      <x:c r="K197" s="50" t="n">
        <x:v>0</x:v>
      </x:c>
      <x:c r="L197" s="50" t="n">
        <x:v>0</x:v>
      </x:c>
      <x:c r="M197" s="50" t="n">
        <x:v>0</x:v>
      </x:c>
      <x:c r="N197" s="50" t="n">
        <x:v>0</x:v>
      </x:c>
      <x:c r="O197" s="50" t="n">
        <x:v>0</x:v>
      </x:c>
      <x:c r="P197" s="50" t="n">
        <x:v>0</x:v>
      </x:c>
      <x:c r="Q197" s="50" t="n">
        <x:f>IF(COUNT(N197:O197)&lt;2,"",SQRT(N197^2+O197^2))</x:f>
        <x:v>0</x:v>
      </x:c>
      <x:c r="R197" t="str">
        <x:f>IF(COUNT(H197:P197)=0,"Sem leitura",IF(ISNUMBER(SEARCH("Escavação",D197)),IF(OR(Q197&gt;=40,ABS(P197)&gt;=15),"Alarme",IF(OR(Q197&gt;=IF(OR(ISNUMBER(SEARCH("Alçado AB",D197)),ISNUMBER(SEARCH("Alçado CD",D197)),ISNUMBER(SEARCH("Alçado BF",D197)),ISNUMBER(SEARCH("Alçado PQ",D197))),20,30),ABS(P197)&gt;=10),"Alerta","Regular")),IF(OR(Q197&gt;=25,ABS(P197)&gt;=20),"Alarme",IF(OR(Q197&gt;=15,ABS(P197)&gt;=10),"Alerta","Regular"))))</x:f>
        <x:v>Regular</x:v>
      </x:c>
      <x:c r="S197" t="str">
        <x:v>RELATÓRIO ALVOS TOPOGRÁFICOS - Empreitada THE EDEN, Estoril_ R09_31-10-25(1).pdf</x:v>
      </x:c>
      <x:c r="T197" t="n">
        <x:v>38</x:v>
      </x:c>
    </x:row>
    <x:row r="198">
      <x:c r="A198" s="48" t="n">
        <x:v>45950</x:v>
      </x:c>
      <x:c r="B198" t="n">
        <x:v>3</x:v>
      </x:c>
      <x:c r="C198" t="str">
        <x:v>GH5</x:v>
      </x:c>
      <x:c r="D198" t="str">
        <x:v>Escavação e Contenção Periférica - Alçado GH</x:v>
      </x:c>
      <x:c r="E198" s="66" t="n">
        <x:v>5002.5305</x:v>
      </x:c>
      <x:c r="F198" s="66" t="n">
        <x:v>5043.4611</x:v>
      </x:c>
      <x:c r="G198" s="66" t="n">
        <x:v>47.5371</x:v>
      </x:c>
      <x:c r="H198" s="66" t="n">
        <x:v>5002.5305</x:v>
      </x:c>
      <x:c r="I198" s="66" t="n">
        <x:v>5043.4611</x:v>
      </x:c>
      <x:c r="J198" s="66" t="n">
        <x:v>47.5371</x:v>
      </x:c>
      <x:c r="K198" s="50" t="n">
        <x:v>0</x:v>
      </x:c>
      <x:c r="L198" s="50" t="n">
        <x:v>0</x:v>
      </x:c>
      <x:c r="M198" s="50" t="n">
        <x:v>0</x:v>
      </x:c>
      <x:c r="N198" s="50" t="n">
        <x:v>0</x:v>
      </x:c>
      <x:c r="O198" s="50" t="n">
        <x:v>0</x:v>
      </x:c>
      <x:c r="P198" s="50" t="n">
        <x:v>0</x:v>
      </x:c>
      <x:c r="Q198" s="50" t="n">
        <x:f>IF(COUNT(N198:O198)&lt;2,"",SQRT(N198^2+O198^2))</x:f>
        <x:v>0</x:v>
      </x:c>
      <x:c r="R198" t="str">
        <x:f>IF(COUNT(H198:P198)=0,"Sem leitura",IF(ISNUMBER(SEARCH("Escavação",D198)),IF(OR(Q198&gt;=40,ABS(P198)&gt;=15),"Alarme",IF(OR(Q198&gt;=IF(OR(ISNUMBER(SEARCH("Alçado AB",D198)),ISNUMBER(SEARCH("Alçado CD",D198)),ISNUMBER(SEARCH("Alçado BF",D198)),ISNUMBER(SEARCH("Alçado PQ",D198))),20,30),ABS(P198)&gt;=10),"Alerta","Regular")),IF(OR(Q198&gt;=25,ABS(P198)&gt;=20),"Alarme",IF(OR(Q198&gt;=15,ABS(P198)&gt;=10),"Alerta","Regular"))))</x:f>
        <x:v>Regular</x:v>
      </x:c>
      <x:c r="S198" t="str">
        <x:v>RELATÓRIO ALVOS TOPOGRÁFICOS - Empreitada THE EDEN, Estoril_ R09_31-10-25(1).pdf</x:v>
      </x:c>
      <x:c r="T198" t="n">
        <x:v>41</x:v>
      </x:c>
    </x:row>
    <x:row r="199">
      <x:c r="A199" s="48" t="n">
        <x:v>45950</x:v>
      </x:c>
      <x:c r="B199" t="n">
        <x:v>3</x:v>
      </x:c>
      <x:c r="C199" t="str">
        <x:v>JK1</x:v>
      </x:c>
      <x:c r="D199" t="str">
        <x:v>Escavação e Contenção Periférica - Alçado JK</x:v>
      </x:c>
      <x:c r="E199" s="66" t="n">
        <x:v>5010.7593</x:v>
      </x:c>
      <x:c r="F199" s="66" t="n">
        <x:v>5050.9464</x:v>
      </x:c>
      <x:c r="G199" s="66" t="n">
        <x:v>52.5174</x:v>
      </x:c>
      <x:c r="H199" s="66" t="n">
        <x:v>5010.7595</x:v>
      </x:c>
      <x:c r="I199" s="66" t="n">
        <x:v>5050.9435</x:v>
      </x:c>
      <x:c r="J199" s="66" t="n">
        <x:v>52.5182</x:v>
      </x:c>
      <x:c r="K199" s="50" t="n">
        <x:v>0.2</x:v>
      </x:c>
      <x:c r="L199" s="50" t="n">
        <x:v>-2.9</x:v>
      </x:c>
      <x:c r="M199" s="50" t="n">
        <x:v>0.8</x:v>
      </x:c>
      <x:c r="N199" s="50" t="n">
        <x:v>0.2</x:v>
      </x:c>
      <x:c r="O199" s="50" t="n">
        <x:v>-2.9</x:v>
      </x:c>
      <x:c r="P199" s="50" t="n">
        <x:v>0.8</x:v>
      </x:c>
      <x:c r="Q199" s="50" t="n">
        <x:f>IF(COUNT(N199:O199)&lt;2,"",SQRT(N199^2+O199^2))</x:f>
        <x:v>2.9068883707497264</x:v>
      </x:c>
      <x:c r="R199" t="str">
        <x:f>IF(COUNT(H199:P199)=0,"Sem leitura",IF(ISNUMBER(SEARCH("Escavação",D199)),IF(OR(Q199&gt;=40,ABS(P199)&gt;=15),"Alarme",IF(OR(Q199&gt;=IF(OR(ISNUMBER(SEARCH("Alçado AB",D199)),ISNUMBER(SEARCH("Alçado CD",D199)),ISNUMBER(SEARCH("Alçado BF",D199)),ISNUMBER(SEARCH("Alçado PQ",D199))),20,30),ABS(P199)&gt;=10),"Alerta","Regular")),IF(OR(Q199&gt;=25,ABS(P199)&gt;=20),"Alarme",IF(OR(Q199&gt;=15,ABS(P199)&gt;=10),"Alerta","Regular"))))</x:f>
        <x:v>Regular</x:v>
      </x:c>
      <x:c r="S199" t="str">
        <x:v>RELATÓRIO ALVOS TOPOGRÁFICOS - Empreitada THE EDEN, Estoril_ R09_31-10-25(1).pdf</x:v>
      </x:c>
      <x:c r="T199" t="n">
        <x:v>41</x:v>
      </x:c>
    </x:row>
    <x:row r="200">
      <x:c r="A200" s="48" t="n">
        <x:v>45950</x:v>
      </x:c>
      <x:c r="B200" t="n">
        <x:v>3</x:v>
      </x:c>
      <x:c r="C200" t="str">
        <x:v>JK2</x:v>
      </x:c>
      <x:c r="D200" t="str">
        <x:v>Escavação e Contenção Periférica - Alçado JK</x:v>
      </x:c>
      <x:c r="E200" s="66" t="n">
        <x:v>5012.8994</x:v>
      </x:c>
      <x:c r="F200" s="66" t="n">
        <x:v>5060.6997</x:v>
      </x:c>
      <x:c r="G200" s="66" t="n">
        <x:v>52.4963</x:v>
      </x:c>
      <x:c r="H200" s="66" t="n">
        <x:v>5012.8984</x:v>
      </x:c>
      <x:c r="I200" s="66" t="n">
        <x:v>5060.6992</x:v>
      </x:c>
      <x:c r="J200" s="66" t="n">
        <x:v>52.4967</x:v>
      </x:c>
      <x:c r="K200" s="50" t="n">
        <x:v>0.5</x:v>
      </x:c>
      <x:c r="L200" s="50" t="n">
        <x:v>-0.7</x:v>
      </x:c>
      <x:c r="M200" s="50" t="n">
        <x:v>0.4</x:v>
      </x:c>
      <x:c r="N200" s="50" t="n">
        <x:v>-1</x:v>
      </x:c>
      <x:c r="O200" s="50" t="n">
        <x:v>-0.5</x:v>
      </x:c>
      <x:c r="P200" s="50" t="n">
        <x:v>0.4</x:v>
      </x:c>
      <x:c r="Q200" s="50" t="n">
        <x:f>IF(COUNT(N200:O200)&lt;2,"",SQRT(N200^2+O200^2))</x:f>
        <x:v>1.118033988749895</x:v>
      </x:c>
      <x:c r="R200" t="str">
        <x:f>IF(COUNT(H200:P200)=0,"Sem leitura",IF(ISNUMBER(SEARCH("Escavação",D200)),IF(OR(Q200&gt;=40,ABS(P200)&gt;=15),"Alarme",IF(OR(Q200&gt;=IF(OR(ISNUMBER(SEARCH("Alçado AB",D200)),ISNUMBER(SEARCH("Alçado CD",D200)),ISNUMBER(SEARCH("Alçado BF",D200)),ISNUMBER(SEARCH("Alçado PQ",D200))),20,30),ABS(P200)&gt;=10),"Alerta","Regular")),IF(OR(Q200&gt;=25,ABS(P200)&gt;=20),"Alarme",IF(OR(Q200&gt;=15,ABS(P200)&gt;=10),"Alerta","Regular"))))</x:f>
        <x:v>Regular</x:v>
      </x:c>
      <x:c r="S200" t="str">
        <x:v>RELATÓRIO ALVOS TOPOGRÁFICOS - Empreitada THE EDEN, Estoril_ R09_31-10-25(1).pdf</x:v>
      </x:c>
      <x:c r="T200" t="n">
        <x:v>41</x:v>
      </x:c>
    </x:row>
    <x:row r="201">
      <x:c r="A201" s="48" t="n">
        <x:v>45950</x:v>
      </x:c>
      <x:c r="B201" t="n">
        <x:v>3</x:v>
      </x:c>
      <x:c r="C201" t="str">
        <x:v>KL1</x:v>
      </x:c>
      <x:c r="D201" t="str">
        <x:v>Escavação e Contenção Periférica - Alçado KL</x:v>
      </x:c>
      <x:c r="E201" s="66" t="n">
        <x:v>5026.7077</x:v>
      </x:c>
      <x:c r="F201" s="66" t="n">
        <x:v>5072.3889</x:v>
      </x:c>
      <x:c r="G201" s="66" t="n">
        <x:v>53.7614</x:v>
      </x:c>
      <x:c r="H201" s="66" t="n">
        <x:v>5026.7074</x:v>
      </x:c>
      <x:c r="I201" s="66" t="n">
        <x:v>5072.3867</x:v>
      </x:c>
      <x:c r="J201" s="66" t="n">
        <x:v>53.7617</x:v>
      </x:c>
      <x:c r="K201" s="50" t="n">
        <x:v>1.3</x:v>
      </x:c>
      <x:c r="L201" s="50" t="n">
        <x:v>-2.2</x:v>
      </x:c>
      <x:c r="M201" s="50" t="n">
        <x:v>0.2</x:v>
      </x:c>
      <x:c r="N201" s="50" t="n">
        <x:v>-0.3</x:v>
      </x:c>
      <x:c r="O201" s="50" t="n">
        <x:v>-2.2</x:v>
      </x:c>
      <x:c r="P201" s="50" t="n">
        <x:v>0.3</x:v>
      </x:c>
      <x:c r="Q201" s="50" t="n">
        <x:f>IF(COUNT(N201:O201)&lt;2,"",SQRT(N201^2+O201^2))</x:f>
        <x:v>2.220360331117452</x:v>
      </x:c>
      <x:c r="R201" t="str">
        <x:f>IF(COUNT(H201:P201)=0,"Sem leitura",IF(ISNUMBER(SEARCH("Escavação",D201)),IF(OR(Q201&gt;=40,ABS(P201)&gt;=15),"Alarme",IF(OR(Q201&gt;=IF(OR(ISNUMBER(SEARCH("Alçado AB",D201)),ISNUMBER(SEARCH("Alçado CD",D201)),ISNUMBER(SEARCH("Alçado BF",D201)),ISNUMBER(SEARCH("Alçado PQ",D201))),20,30),ABS(P201)&gt;=10),"Alerta","Regular")),IF(OR(Q201&gt;=25,ABS(P201)&gt;=20),"Alarme",IF(OR(Q201&gt;=15,ABS(P201)&gt;=10),"Alerta","Regular"))))</x:f>
        <x:v>Regular</x:v>
      </x:c>
      <x:c r="S201" t="str">
        <x:v>RELATÓRIO ALVOS TOPOGRÁFICOS - Empreitada THE EDEN, Estoril_ R09_31-10-25(1).pdf</x:v>
      </x:c>
      <x:c r="T201" t="n">
        <x:v>41</x:v>
      </x:c>
    </x:row>
    <x:row r="202">
      <x:c r="A202" s="48" t="n">
        <x:v>45950</x:v>
      </x:c>
      <x:c r="B202" t="n">
        <x:v>0</x:v>
      </x:c>
      <x:c r="C202" t="str">
        <x:v>KL2</x:v>
      </x:c>
      <x:c r="D202" t="str">
        <x:v>Escavação e Contenção Periférica - Alçado KL</x:v>
      </x:c>
      <x:c r="E202" s="66" t="n">
        <x:v>5027.4714</x:v>
      </x:c>
      <x:c r="F202" s="66" t="n">
        <x:v>5072.2405</x:v>
      </x:c>
      <x:c r="G202" s="66" t="n">
        <x:v>51.1437</x:v>
      </x:c>
      <x:c r="H202" s="66" t="n">
        <x:v>5027.4714</x:v>
      </x:c>
      <x:c r="I202" s="66" t="n">
        <x:v>5072.2405</x:v>
      </x:c>
      <x:c r="J202" s="66" t="n">
        <x:v>51.1437</x:v>
      </x:c>
      <x:c r="K202" s="50" t="n">
        <x:v>0</x:v>
      </x:c>
      <x:c r="L202" s="50" t="n">
        <x:v>0</x:v>
      </x:c>
      <x:c r="M202" s="50" t="n">
        <x:v>0</x:v>
      </x:c>
      <x:c r="N202" s="50" t="n">
        <x:v>0</x:v>
      </x:c>
      <x:c r="O202" s="50" t="n">
        <x:v>0</x:v>
      </x:c>
      <x:c r="P202" s="50" t="n">
        <x:v>0</x:v>
      </x:c>
      <x:c r="Q202" s="50" t="n">
        <x:f>IF(COUNT(N202:O202)&lt;2,"",SQRT(N202^2+O202^2))</x:f>
        <x:v>0</x:v>
      </x:c>
      <x:c r="R202" t="str">
        <x:f>IF(COUNT(H202:P202)=0,"Sem leitura",IF(ISNUMBER(SEARCH("Escavação",D202)),IF(OR(Q202&gt;=40,ABS(P202)&gt;=15),"Alarme",IF(OR(Q202&gt;=IF(OR(ISNUMBER(SEARCH("Alçado AB",D202)),ISNUMBER(SEARCH("Alçado CD",D202)),ISNUMBER(SEARCH("Alçado BF",D202)),ISNUMBER(SEARCH("Alçado PQ",D202))),20,30),ABS(P202)&gt;=10),"Alerta","Regular")),IF(OR(Q202&gt;=25,ABS(P202)&gt;=20),"Alarme",IF(OR(Q202&gt;=15,ABS(P202)&gt;=10),"Alerta","Regular"))))</x:f>
        <x:v>Regular</x:v>
      </x:c>
      <x:c r="S202" t="str">
        <x:v>RELATÓRIO ALVOS TOPOGRÁFICOS - Empreitada THE EDEN, Estoril_ R09_31-10-25(1).pdf</x:v>
      </x:c>
      <x:c r="T202" t="n">
        <x:v>38</x:v>
      </x:c>
    </x:row>
    <x:row r="203">
      <x:c r="A203" s="48" t="n">
        <x:v>45950</x:v>
      </x:c>
      <x:c r="B203" t="n">
        <x:v>3</x:v>
      </x:c>
      <x:c r="C203" t="str">
        <x:v>KL2</x:v>
      </x:c>
      <x:c r="D203" t="str">
        <x:v>Escavação e Contenção Periférica - Alçado KL</x:v>
      </x:c>
      <x:c r="E203" s="66" t="n">
        <x:v>5027.4714</x:v>
      </x:c>
      <x:c r="F203" s="66" t="n">
        <x:v>5072.2405</x:v>
      </x:c>
      <x:c r="G203" s="66" t="n">
        <x:v>51.1437</x:v>
      </x:c>
      <x:c r="H203" s="66" t="n">
        <x:v>5027.4714</x:v>
      </x:c>
      <x:c r="I203" s="66" t="n">
        <x:v>5072.2405</x:v>
      </x:c>
      <x:c r="J203" s="66" t="n">
        <x:v>51.1437</x:v>
      </x:c>
      <x:c r="K203" s="50" t="n">
        <x:v>0</x:v>
      </x:c>
      <x:c r="L203" s="50" t="n">
        <x:v>0</x:v>
      </x:c>
      <x:c r="M203" s="50" t="n">
        <x:v>0</x:v>
      </x:c>
      <x:c r="N203" s="50" t="n">
        <x:v>0</x:v>
      </x:c>
      <x:c r="O203" s="50" t="n">
        <x:v>0</x:v>
      </x:c>
      <x:c r="P203" s="50" t="n">
        <x:v>0</x:v>
      </x:c>
      <x:c r="Q203" s="50" t="n">
        <x:f>IF(COUNT(N203:O203)&lt;2,"",SQRT(N203^2+O203^2))</x:f>
        <x:v>0</x:v>
      </x:c>
      <x:c r="R203" t="str">
        <x:f>IF(COUNT(H203:P203)=0,"Sem leitura",IF(ISNUMBER(SEARCH("Escavação",D203)),IF(OR(Q203&gt;=40,ABS(P203)&gt;=15),"Alarme",IF(OR(Q203&gt;=IF(OR(ISNUMBER(SEARCH("Alçado AB",D203)),ISNUMBER(SEARCH("Alçado CD",D203)),ISNUMBER(SEARCH("Alçado BF",D203)),ISNUMBER(SEARCH("Alçado PQ",D203))),20,30),ABS(P203)&gt;=10),"Alerta","Regular")),IF(OR(Q203&gt;=25,ABS(P203)&gt;=20),"Alarme",IF(OR(Q203&gt;=15,ABS(P203)&gt;=10),"Alerta","Regular"))))</x:f>
        <x:v>Regular</x:v>
      </x:c>
      <x:c r="S203" t="str">
        <x:v>RELATÓRIO ALVOS TOPOGRÁFICOS - Empreitada THE EDEN, Estoril_ R09_31-10-25(1).pdf</x:v>
      </x:c>
      <x:c r="T203" t="n">
        <x:v>41</x:v>
      </x:c>
    </x:row>
    <x:row r="204">
      <x:c r="A204" s="48" t="n">
        <x:v>45950</x:v>
      </x:c>
      <x:c r="B204" t="n">
        <x:v>0</x:v>
      </x:c>
      <x:c r="C204" t="str">
        <x:v>OP1</x:v>
      </x:c>
      <x:c r="D204" t="str">
        <x:v>Escavação e Contenção Periférica - Alçado OP</x:v>
      </x:c>
      <x:c r="E204" s="66" t="n">
        <x:v>5041.9629</x:v>
      </x:c>
      <x:c r="F204" s="66" t="n">
        <x:v>5043.329</x:v>
      </x:c>
      <x:c r="G204" s="66" t="n">
        <x:v>52.0655</x:v>
      </x:c>
      <x:c r="H204" s="66" t="n">
        <x:v>5041.9629</x:v>
      </x:c>
      <x:c r="I204" s="66" t="n">
        <x:v>5043.329</x:v>
      </x:c>
      <x:c r="J204" s="66" t="n">
        <x:v>52.0655</x:v>
      </x:c>
      <x:c r="K204" s="50" t="n">
        <x:v>0</x:v>
      </x:c>
      <x:c r="L204" s="50" t="n">
        <x:v>0</x:v>
      </x:c>
      <x:c r="M204" s="50" t="n">
        <x:v>0</x:v>
      </x:c>
      <x:c r="N204" s="50" t="n">
        <x:v>0</x:v>
      </x:c>
      <x:c r="O204" s="50" t="n">
        <x:v>0</x:v>
      </x:c>
      <x:c r="P204" s="50" t="n">
        <x:v>0</x:v>
      </x:c>
      <x:c r="Q204" s="50" t="n">
        <x:f>IF(COUNT(N204:O204)&lt;2,"",SQRT(N204^2+O204^2))</x:f>
        <x:v>0</x:v>
      </x:c>
      <x:c r="R204" t="str">
        <x:f>IF(COUNT(H204:P204)=0,"Sem leitura",IF(ISNUMBER(SEARCH("Escavação",D204)),IF(OR(Q204&gt;=40,ABS(P204)&gt;=15),"Alarme",IF(OR(Q204&gt;=IF(OR(ISNUMBER(SEARCH("Alçado AB",D204)),ISNUMBER(SEARCH("Alçado CD",D204)),ISNUMBER(SEARCH("Alçado BF",D204)),ISNUMBER(SEARCH("Alçado PQ",D204))),20,30),ABS(P204)&gt;=10),"Alerta","Regular")),IF(OR(Q204&gt;=25,ABS(P204)&gt;=20),"Alarme",IF(OR(Q204&gt;=15,ABS(P204)&gt;=10),"Alerta","Regular"))))</x:f>
        <x:v>Regular</x:v>
      </x:c>
      <x:c r="S204" t="str">
        <x:v>RELATÓRIO ALVOS TOPOGRÁFICOS - Empreitada THE EDEN, Estoril_ R09_31-10-25(1).pdf</x:v>
      </x:c>
      <x:c r="T204" t="n">
        <x:v>38</x:v>
      </x:c>
    </x:row>
    <x:row r="205">
      <x:c r="A205" s="48" t="n">
        <x:v>45950</x:v>
      </x:c>
      <x:c r="B205" t="n">
        <x:v>3</x:v>
      </x:c>
      <x:c r="C205" t="str">
        <x:v>OP1</x:v>
      </x:c>
      <x:c r="D205" t="str">
        <x:v>Escavação e Contenção Periférica - Alçado OP</x:v>
      </x:c>
      <x:c r="E205" s="66" t="n">
        <x:v>5041.9629</x:v>
      </x:c>
      <x:c r="F205" s="66" t="n">
        <x:v>5043.329</x:v>
      </x:c>
      <x:c r="G205" s="66" t="n">
        <x:v>52.0655</x:v>
      </x:c>
      <x:c r="H205" s="66" t="n">
        <x:v>5041.9629</x:v>
      </x:c>
      <x:c r="I205" s="66" t="n">
        <x:v>5043.329</x:v>
      </x:c>
      <x:c r="J205" s="66" t="n">
        <x:v>52.0655</x:v>
      </x:c>
      <x:c r="K205" s="50" t="n">
        <x:v>0</x:v>
      </x:c>
      <x:c r="L205" s="50" t="n">
        <x:v>0</x:v>
      </x:c>
      <x:c r="M205" s="50" t="n">
        <x:v>0</x:v>
      </x:c>
      <x:c r="N205" s="50" t="n">
        <x:v>0</x:v>
      </x:c>
      <x:c r="O205" s="50" t="n">
        <x:v>0</x:v>
      </x:c>
      <x:c r="P205" s="50" t="n">
        <x:v>0</x:v>
      </x:c>
      <x:c r="Q205" s="50" t="n">
        <x:f>IF(COUNT(N205:O205)&lt;2,"",SQRT(N205^2+O205^2))</x:f>
        <x:v>0</x:v>
      </x:c>
      <x:c r="R205" t="str">
        <x:f>IF(COUNT(H205:P205)=0,"Sem leitura",IF(ISNUMBER(SEARCH("Escavação",D205)),IF(OR(Q205&gt;=40,ABS(P205)&gt;=15),"Alarme",IF(OR(Q205&gt;=IF(OR(ISNUMBER(SEARCH("Alçado AB",D205)),ISNUMBER(SEARCH("Alçado CD",D205)),ISNUMBER(SEARCH("Alçado BF",D205)),ISNUMBER(SEARCH("Alçado PQ",D205))),20,30),ABS(P205)&gt;=10),"Alerta","Regular")),IF(OR(Q205&gt;=25,ABS(P205)&gt;=20),"Alarme",IF(OR(Q205&gt;=15,ABS(P205)&gt;=10),"Alerta","Regular"))))</x:f>
        <x:v>Regular</x:v>
      </x:c>
      <x:c r="S205" t="str">
        <x:v>RELATÓRIO ALVOS TOPOGRÁFICOS - Empreitada THE EDEN, Estoril_ R09_31-10-25(1).pdf</x:v>
      </x:c>
      <x:c r="T205" t="n">
        <x:v>41</x:v>
      </x:c>
    </x:row>
    <x:row r="206">
      <x:c r="A206" s="48" t="n">
        <x:v>45950</x:v>
      </x:c>
      <x:c r="B206" t="n">
        <x:v>3</x:v>
      </x:c>
      <x:c r="C206" t="str">
        <x:v>PQ1</x:v>
      </x:c>
      <x:c r="D206" t="str">
        <x:v>Escavação e Contenção Periférica - Alçado PQ</x:v>
      </x:c>
      <x:c r="E206" s="66" t="n">
        <x:v>5046.1883</x:v>
      </x:c>
      <x:c r="F206" s="66" t="n">
        <x:v>5033.5623</x:v>
      </x:c>
      <x:c r="G206" s="66" t="n">
        <x:v>48.9991</x:v>
      </x:c>
      <x:c r="H206" s="66" t="n">
        <x:v>5046.1814</x:v>
      </x:c>
      <x:c r="I206" s="66" t="n">
        <x:v>5033.5613</x:v>
      </x:c>
      <x:c r="J206" s="66" t="n">
        <x:v>48.9991</x:v>
      </x:c>
      <x:c r="K206" s="50" t="n">
        <x:v>-1.4</x:v>
      </x:c>
      <x:c r="L206" s="50" t="n">
        <x:v>0.1</x:v>
      </x:c>
      <x:c r="M206" s="50" t="n">
        <x:v>0.3</x:v>
      </x:c>
      <x:c r="N206" s="50" t="n">
        <x:v>-6.9</x:v>
      </x:c>
      <x:c r="O206" s="50" t="n">
        <x:v>-1</x:v>
      </x:c>
      <x:c r="P206" s="50" t="n">
        <x:v>0</x:v>
      </x:c>
      <x:c r="Q206" s="50" t="n">
        <x:f>IF(COUNT(N206:O206)&lt;2,"",SQRT(N206^2+O206^2))</x:f>
        <x:v>6.972087205421344</x:v>
      </x:c>
      <x:c r="R206" t="str">
        <x:f>IF(COUNT(H206:P206)=0,"Sem leitura",IF(ISNUMBER(SEARCH("Escavação",D206)),IF(OR(Q206&gt;=40,ABS(P206)&gt;=15),"Alarme",IF(OR(Q206&gt;=IF(OR(ISNUMBER(SEARCH("Alçado AB",D206)),ISNUMBER(SEARCH("Alçado CD",D206)),ISNUMBER(SEARCH("Alçado BF",D206)),ISNUMBER(SEARCH("Alçado PQ",D206))),20,30),ABS(P206)&gt;=10),"Alerta","Regular")),IF(OR(Q206&gt;=25,ABS(P206)&gt;=20),"Alarme",IF(OR(Q206&gt;=15,ABS(P206)&gt;=10),"Alerta","Regular"))))</x:f>
        <x:v>Regular</x:v>
      </x:c>
      <x:c r="S206" t="str">
        <x:v>RELATÓRIO ALVOS TOPOGRÁFICOS - Empreitada THE EDEN, Estoril_ R09_31-10-25(1).pdf</x:v>
      </x:c>
      <x:c r="T206" t="n">
        <x:v>41</x:v>
      </x:c>
    </x:row>
    <x:row r="207">
      <x:c r="A207" s="48" t="n">
        <x:v>45950</x:v>
      </x:c>
      <x:c r="B207" t="n">
        <x:v>8</x:v>
      </x:c>
      <x:c r="C207" t="str">
        <x:v>B1</x:v>
      </x:c>
      <x:c r="D207" t="str">
        <x:v>Restaurante Cimas</x:v>
      </x:c>
      <x:c r="E207" s="66" t="n">
        <x:v>5055.3705</x:v>
      </x:c>
      <x:c r="F207" s="66" t="n">
        <x:v>5037.6908</x:v>
      </x:c>
      <x:c r="G207" s="66" t="n">
        <x:v>55.8345</x:v>
      </x:c>
      <x:c r="H207" s="66" t="n">
        <x:v>5055.3682</x:v>
      </x:c>
      <x:c r="I207" s="66" t="n">
        <x:v>5037.6896</x:v>
      </x:c>
      <x:c r="J207" s="66" t="n">
        <x:v>55.8353</x:v>
      </x:c>
      <x:c r="K207" s="50" t="n">
        <x:v>-0.2</x:v>
      </x:c>
      <x:c r="L207" s="50" t="n">
        <x:v>-0.8</x:v>
      </x:c>
      <x:c r="M207" s="50" t="n">
        <x:v>-0.1</x:v>
      </x:c>
      <x:c r="N207" s="50" t="n">
        <x:v>-2.3</x:v>
      </x:c>
      <x:c r="O207" s="50" t="n">
        <x:v>-1.2</x:v>
      </x:c>
      <x:c r="P207" s="50" t="n">
        <x:v>0.8</x:v>
      </x:c>
      <x:c r="Q207" s="50" t="n">
        <x:f>IF(COUNT(N207:O207)&lt;2,"",SQRT(N207^2+O207^2))</x:f>
        <x:v>2.5942243542145693</x:v>
      </x:c>
      <x:c r="R207" t="str">
        <x:f>IF(COUNT(H207:P207)=0,"Sem leitura",IF(ISNUMBER(SEARCH("Escavação",D207)),IF(OR(Q207&gt;=40,ABS(P207)&gt;=15),"Alarme",IF(OR(Q207&gt;=IF(OR(ISNUMBER(SEARCH("Alçado AB",D207)),ISNUMBER(SEARCH("Alçado CD",D207)),ISNUMBER(SEARCH("Alçado BF",D207)),ISNUMBER(SEARCH("Alçado PQ",D207))),20,30),ABS(P207)&gt;=10),"Alerta","Regular")),IF(OR(Q207&gt;=25,ABS(P207)&gt;=20),"Alarme",IF(OR(Q207&gt;=15,ABS(P207)&gt;=10),"Alerta","Regular"))))</x:f>
        <x:v>Regular</x:v>
      </x:c>
      <x:c r="S207" t="str">
        <x:v>RELATÓRIO ALVOS TOPOGRÁFICOS - Empreitada THE EDEN, Estoril_ R09_31-10-25(1).pdf</x:v>
      </x:c>
      <x:c r="T207" t="n">
        <x:v>17</x:v>
      </x:c>
    </x:row>
    <x:row r="208">
      <x:c r="A208" s="48" t="n">
        <x:v>45950</x:v>
      </x:c>
      <x:c r="B208" t="n">
        <x:v>8</x:v>
      </x:c>
      <x:c r="C208" t="str">
        <x:v>B2</x:v>
      </x:c>
      <x:c r="D208" t="str">
        <x:v>Restaurante Cimas</x:v>
      </x:c>
      <x:c r="E208" s="66" t="n">
        <x:v>5055.3611</x:v>
      </x:c>
      <x:c r="F208" s="66" t="n">
        <x:v>5037.652</x:v>
      </x:c>
      <x:c r="G208" s="66" t="n">
        <x:v>53.9202</x:v>
      </x:c>
      <x:c r="H208" s="66" t="n">
        <x:v>5055.3599</x:v>
      </x:c>
      <x:c r="I208" s="66" t="n">
        <x:v>5037.6482</x:v>
      </x:c>
      <x:c r="J208" s="66" t="n">
        <x:v>53.9216</x:v>
      </x:c>
      <x:c r="K208" s="50" t="n">
        <x:v>-0.1</x:v>
      </x:c>
      <x:c r="L208" s="50" t="n">
        <x:v>-1.1</x:v>
      </x:c>
      <x:c r="M208" s="50" t="n">
        <x:v>0.2</x:v>
      </x:c>
      <x:c r="N208" s="50" t="n">
        <x:v>-1.2</x:v>
      </x:c>
      <x:c r="O208" s="50" t="n">
        <x:v>-3.8</x:v>
      </x:c>
      <x:c r="P208" s="50" t="n">
        <x:v>1.4</x:v>
      </x:c>
      <x:c r="Q208" s="50" t="n">
        <x:f>IF(COUNT(N208:O208)&lt;2,"",SQRT(N208^2+O208^2))</x:f>
        <x:v>3.9849717690342548</x:v>
      </x:c>
      <x:c r="R208" t="str">
        <x:f>IF(COUNT(H208:P208)=0,"Sem leitura",IF(ISNUMBER(SEARCH("Escavação",D208)),IF(OR(Q208&gt;=40,ABS(P208)&gt;=15),"Alarme",IF(OR(Q208&gt;=IF(OR(ISNUMBER(SEARCH("Alçado AB",D208)),ISNUMBER(SEARCH("Alçado CD",D208)),ISNUMBER(SEARCH("Alçado BF",D208)),ISNUMBER(SEARCH("Alçado PQ",D208))),20,30),ABS(P208)&gt;=10),"Alerta","Regular")),IF(OR(Q208&gt;=25,ABS(P208)&gt;=20),"Alarme",IF(OR(Q208&gt;=15,ABS(P208)&gt;=10),"Alerta","Regular"))))</x:f>
        <x:v>Regular</x:v>
      </x:c>
      <x:c r="S208" t="str">
        <x:v>RELATÓRIO ALVOS TOPOGRÁFICOS - Empreitada THE EDEN, Estoril_ R09_31-10-25(1).pdf</x:v>
      </x:c>
      <x:c r="T208" t="n">
        <x:v>17</x:v>
      </x:c>
    </x:row>
    <x:row r="209">
      <x:c r="A209" s="48" t="n">
        <x:v>45950</x:v>
      </x:c>
      <x:c r="B209" t="n">
        <x:v>8</x:v>
      </x:c>
      <x:c r="C209" t="str">
        <x:v>B3</x:v>
      </x:c>
      <x:c r="D209" t="str">
        <x:v>Restaurante Cimas</x:v>
      </x:c>
      <x:c r="E209" s="66" t="n">
        <x:v>5053.1267</x:v>
      </x:c>
      <x:c r="F209" s="66" t="n">
        <x:v>5028.5694</x:v>
      </x:c>
      <x:c r="G209" s="66" t="n">
        <x:v>55.8769</x:v>
      </x:c>
      <x:c r="H209" s="66" t="n">
        <x:v>5053.1242</x:v>
      </x:c>
      <x:c r="I209" s="66" t="n">
        <x:v>5028.5696</x:v>
      </x:c>
      <x:c r="J209" s="66" t="n">
        <x:v>55.8775</x:v>
      </x:c>
      <x:c r="K209" s="50" t="n">
        <x:v>-0.4</x:v>
      </x:c>
      <x:c r="L209" s="50" t="n">
        <x:v>0.1</x:v>
      </x:c>
      <x:c r="M209" s="50" t="n">
        <x:v>-0.2</x:v>
      </x:c>
      <x:c r="N209" s="50" t="n">
        <x:v>-2.5</x:v>
      </x:c>
      <x:c r="O209" s="50" t="n">
        <x:v>0.2</x:v>
      </x:c>
      <x:c r="P209" s="50" t="n">
        <x:v>0.6</x:v>
      </x:c>
      <x:c r="Q209" s="50" t="n">
        <x:f>IF(COUNT(N209:O209)&lt;2,"",SQRT(N209^2+O209^2))</x:f>
        <x:v>2.5079872407968904</x:v>
      </x:c>
      <x:c r="R209" t="str">
        <x:f>IF(COUNT(H209:P209)=0,"Sem leitura",IF(ISNUMBER(SEARCH("Escavação",D209)),IF(OR(Q209&gt;=40,ABS(P209)&gt;=15),"Alarme",IF(OR(Q209&gt;=IF(OR(ISNUMBER(SEARCH("Alçado AB",D209)),ISNUMBER(SEARCH("Alçado CD",D209)),ISNUMBER(SEARCH("Alçado BF",D209)),ISNUMBER(SEARCH("Alçado PQ",D209))),20,30),ABS(P209)&gt;=10),"Alerta","Regular")),IF(OR(Q209&gt;=25,ABS(P209)&gt;=20),"Alarme",IF(OR(Q209&gt;=15,ABS(P209)&gt;=10),"Alerta","Regular"))))</x:f>
        <x:v>Regular</x:v>
      </x:c>
      <x:c r="S209" t="str">
        <x:v>RELATÓRIO ALVOS TOPOGRÁFICOS - Empreitada THE EDEN, Estoril_ R09_31-10-25(1).pdf</x:v>
      </x:c>
      <x:c r="T209" t="n">
        <x:v>17</x:v>
      </x:c>
    </x:row>
    <x:row r="210">
      <x:c r="A210" s="48" t="n">
        <x:v>45950</x:v>
      </x:c>
      <x:c r="B210" t="n">
        <x:v>8</x:v>
      </x:c>
      <x:c r="C210" t="str">
        <x:v>B4</x:v>
      </x:c>
      <x:c r="D210" t="str">
        <x:v>Restaurante Cimas</x:v>
      </x:c>
      <x:c r="E210" s="66" t="n">
        <x:v>5053.123</x:v>
      </x:c>
      <x:c r="F210" s="66" t="n">
        <x:v>5028.5786</x:v>
      </x:c>
      <x:c r="G210" s="66" t="n">
        <x:v>54.1591</x:v>
      </x:c>
      <x:c r="H210" s="66" t="n">
        <x:v>5053.1212</x:v>
      </x:c>
      <x:c r="I210" s="66" t="n">
        <x:v>5028.5759</x:v>
      </x:c>
      <x:c r="J210" s="66" t="n">
        <x:v>54.1598</x:v>
      </x:c>
      <x:c r="K210" s="50" t="n">
        <x:v>-0.2</x:v>
      </x:c>
      <x:c r="L210" s="50" t="n">
        <x:v>-0.6</x:v>
      </x:c>
      <x:c r="M210" s="50" t="n">
        <x:v>0</x:v>
      </x:c>
      <x:c r="N210" s="50" t="n">
        <x:v>-1.8</x:v>
      </x:c>
      <x:c r="O210" s="50" t="n">
        <x:v>-2.7</x:v>
      </x:c>
      <x:c r="P210" s="50" t="n">
        <x:v>0.7</x:v>
      </x:c>
      <x:c r="Q210" s="50" t="n">
        <x:f>IF(COUNT(N210:O210)&lt;2,"",SQRT(N210^2+O210^2))</x:f>
        <x:v>3.2449961479175906</x:v>
      </x:c>
      <x:c r="R210" t="str">
        <x:f>IF(COUNT(H210:P210)=0,"Sem leitura",IF(ISNUMBER(SEARCH("Escavação",D210)),IF(OR(Q210&gt;=40,ABS(P210)&gt;=15),"Alarme",IF(OR(Q210&gt;=IF(OR(ISNUMBER(SEARCH("Alçado AB",D210)),ISNUMBER(SEARCH("Alçado CD",D210)),ISNUMBER(SEARCH("Alçado BF",D210)),ISNUMBER(SEARCH("Alçado PQ",D210))),20,30),ABS(P210)&gt;=10),"Alerta","Regular")),IF(OR(Q210&gt;=25,ABS(P210)&gt;=20),"Alarme",IF(OR(Q210&gt;=15,ABS(P210)&gt;=10),"Alerta","Regular"))))</x:f>
        <x:v>Regular</x:v>
      </x:c>
      <x:c r="S210" t="str">
        <x:v>RELATÓRIO ALVOS TOPOGRÁFICOS - Empreitada THE EDEN, Estoril_ R09_31-10-25(1).pdf</x:v>
      </x:c>
      <x:c r="T210" t="n">
        <x:v>17</x:v>
      </x:c>
    </x:row>
    <x:row r="211">
      <x:c r="A211" s="48" t="n">
        <x:v>45961</x:v>
      </x:c>
      <x:c r="B211" t="n">
        <x:v>9</x:v>
      </x:c>
      <x:c r="C211" t="str">
        <x:v>C1</x:v>
      </x:c>
      <x:c r="D211" t="str">
        <x:v>Clínica Abreu Loureiro</x:v>
      </x:c>
      <x:c r="E211" s="66" t="n">
        <x:v>5051.1407</x:v>
      </x:c>
      <x:c r="F211" s="66" t="n">
        <x:v>5062.3237</x:v>
      </x:c>
      <x:c r="G211" s="66" t="n">
        <x:v>63.0014</x:v>
      </x:c>
      <x:c r="H211" s="66" t="n">
        <x:v>5051.1397</x:v>
      </x:c>
      <x:c r="I211" s="66" t="n">
        <x:v>5062.3214</x:v>
      </x:c>
      <x:c r="J211" s="66" t="n">
        <x:v>62.9992</x:v>
      </x:c>
      <x:c r="K211" s="50" t="n">
        <x:v>-1.6</x:v>
      </x:c>
      <x:c r="L211" s="50" t="n">
        <x:v>-2.5</x:v>
      </x:c>
      <x:c r="M211" s="50" t="n">
        <x:v>-0.1</x:v>
      </x:c>
      <x:c r="N211" s="50" t="n">
        <x:v>-1</x:v>
      </x:c>
      <x:c r="O211" s="50" t="n">
        <x:v>-2.3</x:v>
      </x:c>
      <x:c r="P211" s="50" t="n">
        <x:v>-2.2</x:v>
      </x:c>
      <x:c r="Q211" s="50" t="n">
        <x:f>IF(COUNT(N211:O211)&lt;2,"",SQRT(N211^2+O211^2))</x:f>
        <x:v>2.5079872407968904</x:v>
      </x:c>
      <x:c r="R211" t="str">
        <x:f>IF(COUNT(H211:P211)=0,"Sem leitura",IF(ISNUMBER(SEARCH("Escavação",D211)),IF(OR(Q211&gt;=40,ABS(P211)&gt;=15),"Alarme",IF(OR(Q211&gt;=IF(OR(ISNUMBER(SEARCH("Alçado AB",D211)),ISNUMBER(SEARCH("Alçado CD",D211)),ISNUMBER(SEARCH("Alçado BF",D211)),ISNUMBER(SEARCH("Alçado PQ",D211))),20,30),ABS(P211)&gt;=10),"Alerta","Regular")),IF(OR(Q211&gt;=25,ABS(P211)&gt;=20),"Alarme",IF(OR(Q211&gt;=15,ABS(P211)&gt;=10),"Alerta","Regular"))))</x:f>
        <x:v>Regular</x:v>
      </x:c>
      <x:c r="S211" t="str">
        <x:v>RELATÓRIO ALVOS TOPOGRÁFICOS - Empreitada THE EDEN, Estoril_ R09_31-10-25(1).pdf</x:v>
      </x:c>
      <x:c r="T211" t="n">
        <x:v>18</x:v>
      </x:c>
    </x:row>
    <x:row r="212">
      <x:c r="A212" s="48" t="n">
        <x:v>45961</x:v>
      </x:c>
      <x:c r="B212" t="n">
        <x:v>9</x:v>
      </x:c>
      <x:c r="C212" t="str">
        <x:v>C2</x:v>
      </x:c>
      <x:c r="D212" t="str">
        <x:v>Clínica Abreu Loureiro</x:v>
      </x:c>
      <x:c r="E212" s="66" t="n">
        <x:v>5051.0086</x:v>
      </x:c>
      <x:c r="F212" s="66" t="n">
        <x:v>5062.4334</x:v>
      </x:c>
      <x:c r="G212" s="66" t="n">
        <x:v>56.898</x:v>
      </x:c>
      <x:c r="H212" s="66" t="n">
        <x:v>5051.0069</x:v>
      </x:c>
      <x:c r="I212" s="66" t="n">
        <x:v>5062.4316</x:v>
      </x:c>
      <x:c r="J212" s="66" t="n">
        <x:v>56.8975</x:v>
      </x:c>
      <x:c r="K212" s="50" t="n">
        <x:v>-1.6</x:v>
      </x:c>
      <x:c r="L212" s="50" t="n">
        <x:v>-1.8</x:v>
      </x:c>
      <x:c r="M212" s="50" t="n">
        <x:v>0</x:v>
      </x:c>
      <x:c r="N212" s="50" t="n">
        <x:v>-1.7</x:v>
      </x:c>
      <x:c r="O212" s="50" t="n">
        <x:v>-1.8</x:v>
      </x:c>
      <x:c r="P212" s="50" t="n">
        <x:v>-0.5</x:v>
      </x:c>
      <x:c r="Q212" s="50" t="n">
        <x:f>IF(COUNT(N212:O212)&lt;2,"",SQRT(N212^2+O212^2))</x:f>
        <x:v>2.4758836806279896</x:v>
      </x:c>
      <x:c r="R212" t="str">
        <x:f>IF(COUNT(H212:P212)=0,"Sem leitura",IF(ISNUMBER(SEARCH("Escavação",D212)),IF(OR(Q212&gt;=40,ABS(P212)&gt;=15),"Alarme",IF(OR(Q212&gt;=IF(OR(ISNUMBER(SEARCH("Alçado AB",D212)),ISNUMBER(SEARCH("Alçado CD",D212)),ISNUMBER(SEARCH("Alçado BF",D212)),ISNUMBER(SEARCH("Alçado PQ",D212))),20,30),ABS(P212)&gt;=10),"Alerta","Regular")),IF(OR(Q212&gt;=25,ABS(P212)&gt;=20),"Alarme",IF(OR(Q212&gt;=15,ABS(P212)&gt;=10),"Alerta","Regular"))))</x:f>
        <x:v>Regular</x:v>
      </x:c>
      <x:c r="S212" t="str">
        <x:v>RELATÓRIO ALVOS TOPOGRÁFICOS - Empreitada THE EDEN, Estoril_ R09_31-10-25(1).pdf</x:v>
      </x:c>
      <x:c r="T212" t="n">
        <x:v>18</x:v>
      </x:c>
    </x:row>
    <x:row r="213">
      <x:c r="A213" s="48" t="n">
        <x:v>45961</x:v>
      </x:c>
      <x:c r="B213" t="n">
        <x:v>9</x:v>
      </x:c>
      <x:c r="C213" t="str">
        <x:v>C3</x:v>
      </x:c>
      <x:c r="D213" t="str">
        <x:v>Clínica Abreu Loureiro</x:v>
      </x:c>
      <x:c r="E213" s="66" t="n">
        <x:v>5058.5259</x:v>
      </x:c>
      <x:c r="F213" s="66" t="n">
        <x:v>5053.176</x:v>
      </x:c>
      <x:c r="G213" s="66" t="n">
        <x:v>63.5252</x:v>
      </x:c>
      <x:c r="H213" s="66" t="n">
        <x:v>5058.5238</x:v>
      </x:c>
      <x:c r="I213" s="66" t="n">
        <x:v>5053.1749</x:v>
      </x:c>
      <x:c r="J213" s="66" t="n">
        <x:v>63.5247</x:v>
      </x:c>
      <x:c r="K213" s="50" t="n">
        <x:v>-0.8</x:v>
      </x:c>
      <x:c r="L213" s="50" t="n">
        <x:v>-0.5</x:v>
      </x:c>
      <x:c r="M213" s="50" t="n">
        <x:v>-0.2</x:v>
      </x:c>
      <x:c r="N213" s="50" t="n">
        <x:v>-2.1</x:v>
      </x:c>
      <x:c r="O213" s="50" t="n">
        <x:v>-1.1</x:v>
      </x:c>
      <x:c r="P213" s="50" t="n">
        <x:v>-0.5</x:v>
      </x:c>
      <x:c r="Q213" s="50" t="n">
        <x:f>IF(COUNT(N213:O213)&lt;2,"",SQRT(N213^2+O213^2))</x:f>
        <x:v>2.3706539182259396</x:v>
      </x:c>
      <x:c r="R213" t="str">
        <x:f>IF(COUNT(H213:P213)=0,"Sem leitura",IF(ISNUMBER(SEARCH("Escavação",D213)),IF(OR(Q213&gt;=40,ABS(P213)&gt;=15),"Alarme",IF(OR(Q213&gt;=IF(OR(ISNUMBER(SEARCH("Alçado AB",D213)),ISNUMBER(SEARCH("Alçado CD",D213)),ISNUMBER(SEARCH("Alçado BF",D213)),ISNUMBER(SEARCH("Alçado PQ",D213))),20,30),ABS(P213)&gt;=10),"Alerta","Regular")),IF(OR(Q213&gt;=25,ABS(P213)&gt;=20),"Alarme",IF(OR(Q213&gt;=15,ABS(P213)&gt;=10),"Alerta","Regular"))))</x:f>
        <x:v>Regular</x:v>
      </x:c>
      <x:c r="S213" t="str">
        <x:v>RELATÓRIO ALVOS TOPOGRÁFICOS - Empreitada THE EDEN, Estoril_ R09_31-10-25(1).pdf</x:v>
      </x:c>
      <x:c r="T213" t="n">
        <x:v>18</x:v>
      </x:c>
    </x:row>
    <x:row r="214">
      <x:c r="A214" s="48" t="n">
        <x:v>45961</x:v>
      </x:c>
      <x:c r="B214" t="n">
        <x:v>9</x:v>
      </x:c>
      <x:c r="C214" t="str">
        <x:v>C4</x:v>
      </x:c>
      <x:c r="D214" t="str">
        <x:v>Clínica Abreu Loureiro</x:v>
      </x:c>
      <x:c r="E214" s="66" t="n">
        <x:v>5060.2733</x:v>
      </x:c>
      <x:c r="F214" s="66" t="n">
        <x:v>5059.0944</x:v>
      </x:c>
      <x:c r="G214" s="66" t="n">
        <x:v>58.7943</x:v>
      </x:c>
      <x:c r="H214" s="66" t="n">
        <x:v>5060.2694</x:v>
      </x:c>
      <x:c r="I214" s="66" t="n">
        <x:v>5059.0937</x:v>
      </x:c>
      <x:c r="J214" s="66" t="n">
        <x:v>58.7912</x:v>
      </x:c>
      <x:c r="K214" s="50" t="n">
        <x:v>-3.1</x:v>
      </x:c>
      <x:c r="L214" s="50" t="n">
        <x:v>1.2</x:v>
      </x:c>
      <x:c r="M214" s="50" t="n">
        <x:v>-0.7</x:v>
      </x:c>
      <x:c r="N214" s="50" t="n">
        <x:v>-3.9</x:v>
      </x:c>
      <x:c r="O214" s="50" t="n">
        <x:v>-0.7</x:v>
      </x:c>
      <x:c r="P214" s="50" t="n">
        <x:v>-3.1</x:v>
      </x:c>
      <x:c r="Q214" s="50" t="n">
        <x:f>IF(COUNT(N214:O214)&lt;2,"",SQRT(N214^2+O214^2))</x:f>
        <x:v>3.96232255123179</x:v>
      </x:c>
      <x:c r="R214" t="str">
        <x:f>IF(COUNT(H214:P214)=0,"Sem leitura",IF(ISNUMBER(SEARCH("Escavação",D214)),IF(OR(Q214&gt;=40,ABS(P214)&gt;=15),"Alarme",IF(OR(Q214&gt;=IF(OR(ISNUMBER(SEARCH("Alçado AB",D214)),ISNUMBER(SEARCH("Alçado CD",D214)),ISNUMBER(SEARCH("Alçado BF",D214)),ISNUMBER(SEARCH("Alçado PQ",D214))),20,30),ABS(P214)&gt;=10),"Alerta","Regular")),IF(OR(Q214&gt;=25,ABS(P214)&gt;=20),"Alarme",IF(OR(Q214&gt;=15,ABS(P214)&gt;=10),"Alerta","Regular"))))</x:f>
        <x:v>Regular</x:v>
      </x:c>
      <x:c r="S214" t="str">
        <x:v>RELATÓRIO ALVOS TOPOGRÁFICOS - Empreitada THE EDEN, Estoril_ R09_31-10-25(1).pdf</x:v>
      </x:c>
      <x:c r="T214" t="n">
        <x:v>18</x:v>
      </x:c>
    </x:row>
    <x:row r="215">
      <x:c r="A215" s="48" t="n">
        <x:v>45961</x:v>
      </x:c>
      <x:c r="B215" t="n">
        <x:v>9</x:v>
      </x:c>
      <x:c r="C215" t="str">
        <x:v>A1</x:v>
      </x:c>
      <x:c r="D215" t="str">
        <x:v>Edifício Santa Casa da Misericórdia</x:v>
      </x:c>
      <x:c r="E215" s="66" t="n">
        <x:v>4990.9657</x:v>
      </x:c>
      <x:c r="F215" s="66" t="n">
        <x:v>5053.745</x:v>
      </x:c>
      <x:c r="G215" s="66" t="n">
        <x:v>60.5536</x:v>
      </x:c>
      <x:c r="H215" s="66" t="n">
        <x:v>4990.9685</x:v>
      </x:c>
      <x:c r="I215" s="66" t="n">
        <x:v>5053.7311</x:v>
      </x:c>
      <x:c r="J215" s="66" t="n">
        <x:v>60.5513</x:v>
      </x:c>
      <x:c r="K215" s="50" t="n">
        <x:v>2.5</x:v>
      </x:c>
      <x:c r="L215" s="50" t="n">
        <x:v>-5.1</x:v>
      </x:c>
      <x:c r="M215" s="50" t="n">
        <x:v>-0.4</x:v>
      </x:c>
      <x:c r="N215" s="50" t="n">
        <x:v>2.8</x:v>
      </x:c>
      <x:c r="O215" s="50" t="n">
        <x:v>-13.9</x:v>
      </x:c>
      <x:c r="P215" s="50" t="n">
        <x:v>-2.3</x:v>
      </x:c>
      <x:c r="Q215" s="50" t="n">
        <x:f>IF(COUNT(N215:O215)&lt;2,"",SQRT(N215^2+O215^2))</x:f>
        <x:v>14.179210133149168</x:v>
      </x:c>
      <x:c r="R215" t="str">
        <x:f>IF(COUNT(H215:P215)=0,"Sem leitura",IF(ISNUMBER(SEARCH("Escavação",D215)),IF(OR(Q215&gt;=40,ABS(P215)&gt;=15),"Alarme",IF(OR(Q215&gt;=IF(OR(ISNUMBER(SEARCH("Alçado AB",D215)),ISNUMBER(SEARCH("Alçado CD",D215)),ISNUMBER(SEARCH("Alçado BF",D215)),ISNUMBER(SEARCH("Alçado PQ",D215))),20,30),ABS(P215)&gt;=10),"Alerta","Regular")),IF(OR(Q215&gt;=25,ABS(P215)&gt;=20),"Alarme",IF(OR(Q215&gt;=15,ABS(P215)&gt;=10),"Alerta","Regular"))))</x:f>
        <x:v>Regular</x:v>
      </x:c>
      <x:c r="S215" t="str">
        <x:v>RELATÓRIO ALVOS TOPOGRÁFICOS - Empreitada THE EDEN, Estoril_ R09_31-10-25(1).pdf</x:v>
      </x:c>
      <x:c r="T215" t="n">
        <x:v>18</x:v>
      </x:c>
    </x:row>
    <x:row r="216">
      <x:c r="A216" s="48" t="n">
        <x:v>45961</x:v>
      </x:c>
      <x:c r="B216" t="n">
        <x:v>9</x:v>
      </x:c>
      <x:c r="C216" t="str">
        <x:v>A2</x:v>
      </x:c>
      <x:c r="D216" t="str">
        <x:v>Edifício Santa Casa da Misericórdia</x:v>
      </x:c>
      <x:c r="E216" s="66" t="n">
        <x:v>4990.9761</x:v>
      </x:c>
      <x:c r="F216" s="66" t="n">
        <x:v>5053.7455</x:v>
      </x:c>
      <x:c r="G216" s="66" t="n">
        <x:v>59.0952</x:v>
      </x:c>
      <x:c r="H216" s="66" t="n">
        <x:v>4990.9776</x:v>
      </x:c>
      <x:c r="I216" s="66" t="n">
        <x:v>5053.732</x:v>
      </x:c>
      <x:c r="J216" s="66" t="n">
        <x:v>59.0943</x:v>
      </x:c>
      <x:c r="K216" s="50" t="n">
        <x:v>1.6</x:v>
      </x:c>
      <x:c r="L216" s="50" t="n">
        <x:v>-4.5</x:v>
      </x:c>
      <x:c r="M216" s="50" t="n">
        <x:v>-0.3</x:v>
      </x:c>
      <x:c r="N216" s="50" t="n">
        <x:v>1.5</x:v>
      </x:c>
      <x:c r="O216" s="50" t="n">
        <x:v>-13.5</x:v>
      </x:c>
      <x:c r="P216" s="50" t="n">
        <x:v>-0.9</x:v>
      </x:c>
      <x:c r="Q216" s="50" t="n">
        <x:f>IF(COUNT(N216:O216)&lt;2,"",SQRT(N216^2+O216^2))</x:f>
        <x:v>13.583077707206124</x:v>
      </x:c>
      <x:c r="R216" t="str">
        <x:f>IF(COUNT(H216:P216)=0,"Sem leitura",IF(ISNUMBER(SEARCH("Escavação",D216)),IF(OR(Q216&gt;=40,ABS(P216)&gt;=15),"Alarme",IF(OR(Q216&gt;=IF(OR(ISNUMBER(SEARCH("Alçado AB",D216)),ISNUMBER(SEARCH("Alçado CD",D216)),ISNUMBER(SEARCH("Alçado BF",D216)),ISNUMBER(SEARCH("Alçado PQ",D216))),20,30),ABS(P216)&gt;=10),"Alerta","Regular")),IF(OR(Q216&gt;=25,ABS(P216)&gt;=20),"Alarme",IF(OR(Q216&gt;=15,ABS(P216)&gt;=10),"Alerta","Regular"))))</x:f>
        <x:v>Regular</x:v>
      </x:c>
      <x:c r="S216" t="str">
        <x:v>RELATÓRIO ALVOS TOPOGRÁFICOS - Empreitada THE EDEN, Estoril_ R09_31-10-25(1).pdf</x:v>
      </x:c>
      <x:c r="T216" t="n">
        <x:v>18</x:v>
      </x:c>
    </x:row>
    <x:row r="217">
      <x:c r="A217" s="48" t="n">
        <x:v>45961</x:v>
      </x:c>
      <x:c r="B217" t="n">
        <x:v>9</x:v>
      </x:c>
      <x:c r="C217" t="str">
        <x:v>A3</x:v>
      </x:c>
      <x:c r="D217" t="str">
        <x:v>Edifício Santa Casa da Misericórdia</x:v>
      </x:c>
      <x:c r="E217" s="66" t="n">
        <x:v>5001.0813</x:v>
      </x:c>
      <x:c r="F217" s="66" t="n">
        <x:v>5053.5292</x:v>
      </x:c>
      <x:c r="G217" s="66" t="n">
        <x:v>60.6219</x:v>
      </x:c>
      <x:c r="H217" s="66" t="n">
        <x:v>5001.0858</x:v>
      </x:c>
      <x:c r="I217" s="66" t="n">
        <x:v>5053.5115</x:v>
      </x:c>
      <x:c r="J217" s="66" t="n">
        <x:v>60.6166</x:v>
      </x:c>
      <x:c r="K217" s="50" t="n">
        <x:v>0.6</x:v>
      </x:c>
      <x:c r="L217" s="50" t="n">
        <x:v>-2.5</x:v>
      </x:c>
      <x:c r="M217" s="50" t="n">
        <x:v>-1</x:v>
      </x:c>
      <x:c r="N217" s="50" t="n">
        <x:v>4.5</x:v>
      </x:c>
      <x:c r="O217" s="50" t="n">
        <x:v>-17.7</x:v>
      </x:c>
      <x:c r="P217" s="50" t="n">
        <x:v>-5.3</x:v>
      </x:c>
      <x:c r="Q217" s="50" t="n">
        <x:f>IF(COUNT(N217:O217)&lt;2,"",SQRT(N217^2+O217^2))</x:f>
        <x:v>18.26307750626931</x:v>
      </x:c>
      <x:c r="R217" t="str">
        <x:f>IF(COUNT(H217:P217)=0,"Sem leitura",IF(ISNUMBER(SEARCH("Escavação",D217)),IF(OR(Q217&gt;=40,ABS(P217)&gt;=15),"Alarme",IF(OR(Q217&gt;=IF(OR(ISNUMBER(SEARCH("Alçado AB",D217)),ISNUMBER(SEARCH("Alçado CD",D217)),ISNUMBER(SEARCH("Alçado BF",D217)),ISNUMBER(SEARCH("Alçado PQ",D217))),20,30),ABS(P217)&gt;=10),"Alerta","Regular")),IF(OR(Q217&gt;=25,ABS(P217)&gt;=20),"Alarme",IF(OR(Q217&gt;=15,ABS(P217)&gt;=10),"Alerta","Regular"))))</x:f>
        <x:v>Alerta</x:v>
      </x:c>
      <x:c r="S217" t="str">
        <x:v>RELATÓRIO ALVOS TOPOGRÁFICOS - Empreitada THE EDEN, Estoril_ R09_31-10-25(1).pdf</x:v>
      </x:c>
      <x:c r="T217" t="n">
        <x:v>18</x:v>
      </x:c>
    </x:row>
    <x:row r="218">
      <x:c r="A218" s="48" t="n">
        <x:v>45961</x:v>
      </x:c>
      <x:c r="B218" t="n">
        <x:v>9</x:v>
      </x:c>
      <x:c r="C218" t="str">
        <x:v>A4</x:v>
      </x:c>
      <x:c r="D218" t="str">
        <x:v>Edifício Santa Casa da Misericórdia</x:v>
      </x:c>
      <x:c r="E218" s="66" t="n">
        <x:v>5001.0428</x:v>
      </x:c>
      <x:c r="F218" s="66" t="n">
        <x:v>5053.5322</x:v>
      </x:c>
      <x:c r="G218" s="66" t="n">
        <x:v>58.6778</x:v>
      </x:c>
      <x:c r="H218" s="66" t="n">
        <x:v>5001.0478</x:v>
      </x:c>
      <x:c r="I218" s="66" t="n">
        <x:v>5053.516</x:v>
      </x:c>
      <x:c r="J218" s="66" t="n">
        <x:v>58.6718</x:v>
      </x:c>
      <x:c r="K218" s="50" t="n">
        <x:v>0.7</x:v>
      </x:c>
      <x:c r="L218" s="50" t="n">
        <x:v>-2.9</x:v>
      </x:c>
      <x:c r="M218" s="50" t="n">
        <x:v>-0.7</x:v>
      </x:c>
      <x:c r="N218" s="50" t="n">
        <x:v>5</x:v>
      </x:c>
      <x:c r="O218" s="50" t="n">
        <x:v>-16.2</x:v>
      </x:c>
      <x:c r="P218" s="50" t="n">
        <x:v>-6</x:v>
      </x:c>
      <x:c r="Q218" s="50" t="n">
        <x:f>IF(COUNT(N218:O218)&lt;2,"",SQRT(N218^2+O218^2))</x:f>
        <x:v>16.95405556201819</x:v>
      </x:c>
      <x:c r="R218" t="str">
        <x:f>IF(COUNT(H218:P218)=0,"Sem leitura",IF(ISNUMBER(SEARCH("Escavação",D218)),IF(OR(Q218&gt;=40,ABS(P218)&gt;=15),"Alarme",IF(OR(Q218&gt;=IF(OR(ISNUMBER(SEARCH("Alçado AB",D218)),ISNUMBER(SEARCH("Alçado CD",D218)),ISNUMBER(SEARCH("Alçado BF",D218)),ISNUMBER(SEARCH("Alçado PQ",D218))),20,30),ABS(P218)&gt;=10),"Alerta","Regular")),IF(OR(Q218&gt;=25,ABS(P218)&gt;=20),"Alarme",IF(OR(Q218&gt;=15,ABS(P218)&gt;=10),"Alerta","Regular"))))</x:f>
        <x:v>Alerta</x:v>
      </x:c>
      <x:c r="S218" t="str">
        <x:v>RELATÓRIO ALVOS TOPOGRÁFICOS - Empreitada THE EDEN, Estoril_ R09_31-10-25(1).pdf</x:v>
      </x:c>
      <x:c r="T218" t="n">
        <x:v>18</x:v>
      </x:c>
    </x:row>
    <x:row r="219">
      <x:c r="A219" s="48" t="n">
        <x:v>45961</x:v>
      </x:c>
      <x:c r="B219" t="n">
        <x:v>9</x:v>
      </x:c>
      <x:c r="C219" t="str">
        <x:v>A5</x:v>
      </x:c>
      <x:c r="D219" t="str">
        <x:v>Edifício Santa Casa da Misericórdia</x:v>
      </x:c>
      <x:c r="E219" s="66" t="n">
        <x:v>5005.4018</x:v>
      </x:c>
      <x:c r="F219" s="66" t="n">
        <x:v>5054.5141</x:v>
      </x:c>
      <x:c r="G219" s="66" t="n">
        <x:v>60.1819</x:v>
      </x:c>
      <x:c r="H219" s="66"/>
      <x:c r="I219" s="66"/>
      <x:c r="J219" s="66"/>
      <x:c r="K219" s="50"/>
      <x:c r="L219" s="50"/>
      <x:c r="M219" s="50"/>
      <x:c r="N219" s="50"/>
      <x:c r="O219" s="50"/>
      <x:c r="P219" s="50"/>
      <x:c r="Q219" s="50" t="str">
        <x:f>IF(COUNT(N219:O219)&lt;2,"",SQRT(N219^2+O219^2))</x:f>
      </x:c>
      <x:c r="R219" t="str">
        <x:f>IF(COUNT(H219:P219)=0,"Sem leitura",IF(ISNUMBER(SEARCH("Escavação",D219)),IF(OR(Q219&gt;=40,ABS(P219)&gt;=15),"Alarme",IF(OR(Q219&gt;=IF(OR(ISNUMBER(SEARCH("Alçado AB",D219)),ISNUMBER(SEARCH("Alçado CD",D219)),ISNUMBER(SEARCH("Alçado BF",D219)),ISNUMBER(SEARCH("Alçado PQ",D219))),20,30),ABS(P219)&gt;=10),"Alerta","Regular")),IF(OR(Q219&gt;=25,ABS(P219)&gt;=20),"Alarme",IF(OR(Q219&gt;=15,ABS(P219)&gt;=10),"Alerta","Regular"))))</x:f>
        <x:v>Sem leitura</x:v>
      </x:c>
      <x:c r="S219" t="str">
        <x:v>RELATÓRIO ALVOS TOPOGRÁFICOS - Empreitada THE EDEN, Estoril_ R09_31-10-25(1).pdf</x:v>
      </x:c>
      <x:c r="T219" t="n">
        <x:v>18</x:v>
      </x:c>
    </x:row>
    <x:row r="220">
      <x:c r="A220" s="48" t="n">
        <x:v>45961</x:v>
      </x:c>
      <x:c r="B220" t="n">
        <x:v>9</x:v>
      </x:c>
      <x:c r="C220" t="str">
        <x:v>A5b</x:v>
      </x:c>
      <x:c r="D220" t="str">
        <x:v>Edifício Santa Casa da Misericórdia</x:v>
      </x:c>
      <x:c r="E220" s="66" t="n">
        <x:v>5005.4054</x:v>
      </x:c>
      <x:c r="F220" s="66" t="n">
        <x:v>5054.1601</x:v>
      </x:c>
      <x:c r="G220" s="66" t="n">
        <x:v>59.5727</x:v>
      </x:c>
      <x:c r="H220" s="66" t="n">
        <x:v>5005.4085</x:v>
      </x:c>
      <x:c r="I220" s="66" t="n">
        <x:v>5054.1577</x:v>
      </x:c>
      <x:c r="J220" s="66" t="n">
        <x:v>59.5718</x:v>
      </x:c>
      <x:c r="K220" s="50" t="n">
        <x:v>3.1</x:v>
      </x:c>
      <x:c r="L220" s="50" t="n">
        <x:v>-2.4</x:v>
      </x:c>
      <x:c r="M220" s="50" t="n">
        <x:v>-0.9</x:v>
      </x:c>
      <x:c r="N220" s="50" t="n">
        <x:v>3.1</x:v>
      </x:c>
      <x:c r="O220" s="50" t="n">
        <x:v>-2.4</x:v>
      </x:c>
      <x:c r="P220" s="50" t="n">
        <x:v>-0.9</x:v>
      </x:c>
      <x:c r="Q220" s="50" t="n">
        <x:f>IF(COUNT(N220:O220)&lt;2,"",SQRT(N220^2+O220^2))</x:f>
        <x:v>3.920459156782532</x:v>
      </x:c>
      <x:c r="R220" t="str">
        <x:f>IF(COUNT(H220:P220)=0,"Sem leitura",IF(ISNUMBER(SEARCH("Escavação",D220)),IF(OR(Q220&gt;=40,ABS(P220)&gt;=15),"Alarme",IF(OR(Q220&gt;=IF(OR(ISNUMBER(SEARCH("Alçado AB",D220)),ISNUMBER(SEARCH("Alçado CD",D220)),ISNUMBER(SEARCH("Alçado BF",D220)),ISNUMBER(SEARCH("Alçado PQ",D220))),20,30),ABS(P220)&gt;=10),"Alerta","Regular")),IF(OR(Q220&gt;=25,ABS(P220)&gt;=20),"Alarme",IF(OR(Q220&gt;=15,ABS(P220)&gt;=10),"Alerta","Regular"))))</x:f>
        <x:v>Regular</x:v>
      </x:c>
      <x:c r="S220" t="str">
        <x:v>RELATÓRIO ALVOS TOPOGRÁFICOS - Empreitada THE EDEN, Estoril_ R09_31-10-25(1).pdf</x:v>
      </x:c>
      <x:c r="T220" t="n">
        <x:v>18</x:v>
      </x:c>
    </x:row>
    <x:row r="221">
      <x:c r="A221" s="48" t="n">
        <x:v>45961</x:v>
      </x:c>
      <x:c r="B221" t="n">
        <x:v>9</x:v>
      </x:c>
      <x:c r="C221" t="str">
        <x:v>A6</x:v>
      </x:c>
      <x:c r="D221" t="str">
        <x:v>Edifício Santa Casa da Misericórdia</x:v>
      </x:c>
      <x:c r="E221" s="66" t="n">
        <x:v>5005.4051</x:v>
      </x:c>
      <x:c r="F221" s="66" t="n">
        <x:v>5054.5767</x:v>
      </x:c>
      <x:c r="G221" s="66" t="n">
        <x:v>58.647</x:v>
      </x:c>
      <x:c r="H221" s="66"/>
      <x:c r="I221" s="66"/>
      <x:c r="J221" s="66"/>
      <x:c r="K221" s="50"/>
      <x:c r="L221" s="50"/>
      <x:c r="M221" s="50"/>
      <x:c r="N221" s="50"/>
      <x:c r="O221" s="50"/>
      <x:c r="P221" s="50"/>
      <x:c r="Q221" s="50" t="str">
        <x:f>IF(COUNT(N221:O221)&lt;2,"",SQRT(N221^2+O221^2))</x:f>
      </x:c>
      <x:c r="R221" t="str">
        <x:f>IF(COUNT(H221:P221)=0,"Sem leitura",IF(ISNUMBER(SEARCH("Escavação",D221)),IF(OR(Q221&gt;=40,ABS(P221)&gt;=15),"Alarme",IF(OR(Q221&gt;=IF(OR(ISNUMBER(SEARCH("Alçado AB",D221)),ISNUMBER(SEARCH("Alçado CD",D221)),ISNUMBER(SEARCH("Alçado BF",D221)),ISNUMBER(SEARCH("Alçado PQ",D221))),20,30),ABS(P221)&gt;=10),"Alerta","Regular")),IF(OR(Q221&gt;=25,ABS(P221)&gt;=20),"Alarme",IF(OR(Q221&gt;=15,ABS(P221)&gt;=10),"Alerta","Regular"))))</x:f>
        <x:v>Sem leitura</x:v>
      </x:c>
      <x:c r="S221" t="str">
        <x:v>RELATÓRIO ALVOS TOPOGRÁFICOS - Empreitada THE EDEN, Estoril_ R09_31-10-25(1).pdf</x:v>
      </x:c>
      <x:c r="T221" t="n">
        <x:v>18</x:v>
      </x:c>
    </x:row>
    <x:row r="222">
      <x:c r="A222" s="48" t="n">
        <x:v>45961</x:v>
      </x:c>
      <x:c r="B222" t="n">
        <x:v>9</x:v>
      </x:c>
      <x:c r="C222" t="str">
        <x:v>A6b</x:v>
      </x:c>
      <x:c r="D222" t="str">
        <x:v>Edifício Santa Casa da Misericórdia</x:v>
      </x:c>
      <x:c r="E222" s="66" t="n">
        <x:v>5005.4238</x:v>
      </x:c>
      <x:c r="F222" s="66" t="n">
        <x:v>5054.4836</x:v>
      </x:c>
      <x:c r="G222" s="66" t="n">
        <x:v>58.3573</x:v>
      </x:c>
      <x:c r="H222" s="66" t="n">
        <x:v>5005.4278</x:v>
      </x:c>
      <x:c r="I222" s="66" t="n">
        <x:v>5054.4811</x:v>
      </x:c>
      <x:c r="J222" s="66" t="n">
        <x:v>58.3569</x:v>
      </x:c>
      <x:c r="K222" s="50" t="n">
        <x:v>4</x:v>
      </x:c>
      <x:c r="L222" s="50" t="n">
        <x:v>-2.5</x:v>
      </x:c>
      <x:c r="M222" s="50" t="n">
        <x:v>-0.4</x:v>
      </x:c>
      <x:c r="N222" s="50" t="n">
        <x:v>4</x:v>
      </x:c>
      <x:c r="O222" s="50" t="n">
        <x:v>-2.5</x:v>
      </x:c>
      <x:c r="P222" s="50" t="n">
        <x:v>-0.4</x:v>
      </x:c>
      <x:c r="Q222" s="50" t="n">
        <x:f>IF(COUNT(N222:O222)&lt;2,"",SQRT(N222^2+O222^2))</x:f>
        <x:v>4.716990566028302</x:v>
      </x:c>
      <x:c r="R222" t="str">
        <x:f>IF(COUNT(H222:P222)=0,"Sem leitura",IF(ISNUMBER(SEARCH("Escavação",D222)),IF(OR(Q222&gt;=40,ABS(P222)&gt;=15),"Alarme",IF(OR(Q222&gt;=IF(OR(ISNUMBER(SEARCH("Alçado AB",D222)),ISNUMBER(SEARCH("Alçado CD",D222)),ISNUMBER(SEARCH("Alçado BF",D222)),ISNUMBER(SEARCH("Alçado PQ",D222))),20,30),ABS(P222)&gt;=10),"Alerta","Regular")),IF(OR(Q222&gt;=25,ABS(P222)&gt;=20),"Alarme",IF(OR(Q222&gt;=15,ABS(P222)&gt;=10),"Alerta","Regular"))))</x:f>
        <x:v>Regular</x:v>
      </x:c>
      <x:c r="S222" t="str">
        <x:v>RELATÓRIO ALVOS TOPOGRÁFICOS - Empreitada THE EDEN, Estoril_ R09_31-10-25(1).pdf</x:v>
      </x:c>
      <x:c r="T222" t="n">
        <x:v>18</x:v>
      </x:c>
    </x:row>
    <x:row r="223">
      <x:c r="A223" s="48" t="n">
        <x:v>45961</x:v>
      </x:c>
      <x:c r="B223" t="n">
        <x:v>9</x:v>
      </x:c>
      <x:c r="C223" t="str">
        <x:v>A7</x:v>
      </x:c>
      <x:c r="D223" t="str">
        <x:v>Edifício Santa Casa da Misericórdia</x:v>
      </x:c>
      <x:c r="E223" s="66" t="n">
        <x:v>5005.8755</x:v>
      </x:c>
      <x:c r="F223" s="66" t="n">
        <x:v>5063.3174</x:v>
      </x:c>
      <x:c r="G223" s="66" t="n">
        <x:v>60.4811</x:v>
      </x:c>
      <x:c r="H223" s="66"/>
      <x:c r="I223" s="66"/>
      <x:c r="J223" s="66"/>
      <x:c r="K223" s="50"/>
      <x:c r="L223" s="50"/>
      <x:c r="M223" s="50"/>
      <x:c r="N223" s="50"/>
      <x:c r="O223" s="50"/>
      <x:c r="P223" s="50"/>
      <x:c r="Q223" s="50" t="str">
        <x:f>IF(COUNT(N223:O223)&lt;2,"",SQRT(N223^2+O223^2))</x:f>
      </x:c>
      <x:c r="R223" t="str">
        <x:f>IF(COUNT(H223:P223)=0,"Sem leitura",IF(ISNUMBER(SEARCH("Escavação",D223)),IF(OR(Q223&gt;=40,ABS(P223)&gt;=15),"Alarme",IF(OR(Q223&gt;=IF(OR(ISNUMBER(SEARCH("Alçado AB",D223)),ISNUMBER(SEARCH("Alçado CD",D223)),ISNUMBER(SEARCH("Alçado BF",D223)),ISNUMBER(SEARCH("Alçado PQ",D223))),20,30),ABS(P223)&gt;=10),"Alerta","Regular")),IF(OR(Q223&gt;=25,ABS(P223)&gt;=20),"Alarme",IF(OR(Q223&gt;=15,ABS(P223)&gt;=10),"Alerta","Regular"))))</x:f>
        <x:v>Sem leitura</x:v>
      </x:c>
      <x:c r="S223" t="str">
        <x:v>RELATÓRIO ALVOS TOPOGRÁFICOS - Empreitada THE EDEN, Estoril_ R09_31-10-25(1).pdf</x:v>
      </x:c>
      <x:c r="T223" t="n">
        <x:v>18</x:v>
      </x:c>
    </x:row>
    <x:row r="224">
      <x:c r="A224" s="48" t="n">
        <x:v>45961</x:v>
      </x:c>
      <x:c r="B224" t="n">
        <x:v>9</x:v>
      </x:c>
      <x:c r="C224" t="str">
        <x:v>A7b</x:v>
      </x:c>
      <x:c r="D224" t="str">
        <x:v>Edifício Santa Casa da Misericórdia</x:v>
      </x:c>
      <x:c r="E224" s="66" t="n">
        <x:v>5005.9258</x:v>
      </x:c>
      <x:c r="F224" s="66" t="n">
        <x:v>5064.1066</x:v>
      </x:c>
      <x:c r="G224" s="66" t="n">
        <x:v>60.5445</x:v>
      </x:c>
      <x:c r="H224" s="66" t="n">
        <x:v>5005.928</x:v>
      </x:c>
      <x:c r="I224" s="66" t="n">
        <x:v>5064.1045</x:v>
      </x:c>
      <x:c r="J224" s="66" t="n">
        <x:v>60.543</x:v>
      </x:c>
      <x:c r="K224" s="50" t="n">
        <x:v>2.2</x:v>
      </x:c>
      <x:c r="L224" s="50" t="n">
        <x:v>-2.1</x:v>
      </x:c>
      <x:c r="M224" s="50" t="n">
        <x:v>-1.5</x:v>
      </x:c>
      <x:c r="N224" s="50" t="n">
        <x:v>2.2</x:v>
      </x:c>
      <x:c r="O224" s="50" t="n">
        <x:v>-2.1</x:v>
      </x:c>
      <x:c r="P224" s="50" t="n">
        <x:v>-1.5</x:v>
      </x:c>
      <x:c r="Q224" s="50" t="n">
        <x:f>IF(COUNT(N224:O224)&lt;2,"",SQRT(N224^2+O224^2))</x:f>
        <x:v>3.0413812651491097</x:v>
      </x:c>
      <x:c r="R224" t="str">
        <x:f>IF(COUNT(H224:P224)=0,"Sem leitura",IF(ISNUMBER(SEARCH("Escavação",D224)),IF(OR(Q224&gt;=40,ABS(P224)&gt;=15),"Alarme",IF(OR(Q224&gt;=IF(OR(ISNUMBER(SEARCH("Alçado AB",D224)),ISNUMBER(SEARCH("Alçado CD",D224)),ISNUMBER(SEARCH("Alçado BF",D224)),ISNUMBER(SEARCH("Alçado PQ",D224))),20,30),ABS(P224)&gt;=10),"Alerta","Regular")),IF(OR(Q224&gt;=25,ABS(P224)&gt;=20),"Alarme",IF(OR(Q224&gt;=15,ABS(P224)&gt;=10),"Alerta","Regular"))))</x:f>
        <x:v>Regular</x:v>
      </x:c>
      <x:c r="S224" t="str">
        <x:v>RELATÓRIO ALVOS TOPOGRÁFICOS - Empreitada THE EDEN, Estoril_ R09_31-10-25(1).pdf</x:v>
      </x:c>
      <x:c r="T224" t="n">
        <x:v>18</x:v>
      </x:c>
    </x:row>
    <x:row r="225">
      <x:c r="A225" s="48" t="n">
        <x:v>45961</x:v>
      </x:c>
      <x:c r="B225" t="n">
        <x:v>9</x:v>
      </x:c>
      <x:c r="C225" t="str">
        <x:v>A8</x:v>
      </x:c>
      <x:c r="D225" t="str">
        <x:v>Edifício Santa Casa da Misericórdia</x:v>
      </x:c>
      <x:c r="E225" s="66" t="n">
        <x:v>5005.8839</x:v>
      </x:c>
      <x:c r="F225" s="66" t="n">
        <x:v>5063.7008</x:v>
      </x:c>
      <x:c r="G225" s="66" t="n">
        <x:v>59.3293</x:v>
      </x:c>
      <x:c r="H225" s="66"/>
      <x:c r="I225" s="66"/>
      <x:c r="J225" s="66"/>
      <x:c r="K225" s="50"/>
      <x:c r="L225" s="50"/>
      <x:c r="M225" s="50"/>
      <x:c r="N225" s="50"/>
      <x:c r="O225" s="50"/>
      <x:c r="P225" s="50"/>
      <x:c r="Q225" s="50" t="str">
        <x:f>IF(COUNT(N225:O225)&lt;2,"",SQRT(N225^2+O225^2))</x:f>
      </x:c>
      <x:c r="R225" t="str">
        <x:f>IF(COUNT(H225:P225)=0,"Sem leitura",IF(ISNUMBER(SEARCH("Escavação",D225)),IF(OR(Q225&gt;=40,ABS(P225)&gt;=15),"Alarme",IF(OR(Q225&gt;=IF(OR(ISNUMBER(SEARCH("Alçado AB",D225)),ISNUMBER(SEARCH("Alçado CD",D225)),ISNUMBER(SEARCH("Alçado BF",D225)),ISNUMBER(SEARCH("Alçado PQ",D225))),20,30),ABS(P225)&gt;=10),"Alerta","Regular")),IF(OR(Q225&gt;=25,ABS(P225)&gt;=20),"Alarme",IF(OR(Q225&gt;=15,ABS(P225)&gt;=10),"Alerta","Regular"))))</x:f>
        <x:v>Sem leitura</x:v>
      </x:c>
      <x:c r="S225" t="str">
        <x:v>RELATÓRIO ALVOS TOPOGRÁFICOS - Empreitada THE EDEN, Estoril_ R09_31-10-25(1).pdf</x:v>
      </x:c>
      <x:c r="T225" t="n">
        <x:v>18</x:v>
      </x:c>
    </x:row>
    <x:row r="226">
      <x:c r="A226" s="48" t="n">
        <x:v>45961</x:v>
      </x:c>
      <x:c r="B226" t="n">
        <x:v>9</x:v>
      </x:c>
      <x:c r="C226" t="str">
        <x:v>A8b</x:v>
      </x:c>
      <x:c r="D226" t="str">
        <x:v>Edifício Santa Casa da Misericórdia</x:v>
      </x:c>
      <x:c r="E226" s="66" t="n">
        <x:v>5005.8735</x:v>
      </x:c>
      <x:c r="F226" s="66" t="n">
        <x:v>5063.2723</x:v>
      </x:c>
      <x:c r="G226" s="66" t="n">
        <x:v>58.7325</x:v>
      </x:c>
      <x:c r="H226" s="66" t="n">
        <x:v>5005.8749</x:v>
      </x:c>
      <x:c r="I226" s="66" t="n">
        <x:v>5063.2701</x:v>
      </x:c>
      <x:c r="J226" s="66" t="n">
        <x:v>58.7316</x:v>
      </x:c>
      <x:c r="K226" s="50" t="n">
        <x:v>1.4</x:v>
      </x:c>
      <x:c r="L226" s="50" t="n">
        <x:v>-2.2</x:v>
      </x:c>
      <x:c r="M226" s="50" t="n">
        <x:v>-0.9</x:v>
      </x:c>
      <x:c r="N226" s="50" t="n">
        <x:v>1.4</x:v>
      </x:c>
      <x:c r="O226" s="50" t="n">
        <x:v>-2.2</x:v>
      </x:c>
      <x:c r="P226" s="50" t="n">
        <x:v>-0.9</x:v>
      </x:c>
      <x:c r="Q226" s="50" t="n">
        <x:f>IF(COUNT(N226:O226)&lt;2,"",SQRT(N226^2+O226^2))</x:f>
        <x:v>2.6076809620810595</x:v>
      </x:c>
      <x:c r="R226" t="str">
        <x:f>IF(COUNT(H226:P226)=0,"Sem leitura",IF(ISNUMBER(SEARCH("Escavação",D226)),IF(OR(Q226&gt;=40,ABS(P226)&gt;=15),"Alarme",IF(OR(Q226&gt;=IF(OR(ISNUMBER(SEARCH("Alçado AB",D226)),ISNUMBER(SEARCH("Alçado CD",D226)),ISNUMBER(SEARCH("Alçado BF",D226)),ISNUMBER(SEARCH("Alçado PQ",D226))),20,30),ABS(P226)&gt;=10),"Alerta","Regular")),IF(OR(Q226&gt;=25,ABS(P226)&gt;=20),"Alarme",IF(OR(Q226&gt;=15,ABS(P226)&gt;=10),"Alerta","Regular"))))</x:f>
        <x:v>Regular</x:v>
      </x:c>
      <x:c r="S226" t="str">
        <x:v>RELATÓRIO ALVOS TOPOGRÁFICOS - Empreitada THE EDEN, Estoril_ R09_31-10-25(1).pdf</x:v>
      </x:c>
      <x:c r="T226" t="n">
        <x:v>18</x:v>
      </x:c>
    </x:row>
    <x:row r="227">
      <x:c r="A227" s="48" t="n">
        <x:v>45961</x:v>
      </x:c>
      <x:c r="B227" t="n">
        <x:v>4</x:v>
      </x:c>
      <x:c r="C227" t="str">
        <x:v>AB1</x:v>
      </x:c>
      <x:c r="D227" t="str">
        <x:v>Escavação e Contenção Periférica - Alçado AB</x:v>
      </x:c>
      <x:c r="E227" s="66" t="n">
        <x:v>5019.724</x:v>
      </x:c>
      <x:c r="F227" s="66" t="n">
        <x:v>5017.4448</x:v>
      </x:c>
      <x:c r="G227" s="66" t="n">
        <x:v>48.2671</x:v>
      </x:c>
      <x:c r="H227" s="66"/>
      <x:c r="I227" s="66"/>
      <x:c r="J227" s="66"/>
      <x:c r="K227" s="50"/>
      <x:c r="L227" s="50"/>
      <x:c r="M227" s="50"/>
      <x:c r="N227" s="50"/>
      <x:c r="O227" s="50"/>
      <x:c r="P227" s="50"/>
      <x:c r="Q227" s="50" t="str">
        <x:f>IF(COUNT(N227:O227)&lt;2,"",SQRT(N227^2+O227^2))</x:f>
      </x:c>
      <x:c r="R227" t="str">
        <x:f>IF(COUNT(H227:P227)=0,"Sem leitura",IF(ISNUMBER(SEARCH("Escavação",D227)),IF(OR(Q227&gt;=40,ABS(P227)&gt;=15),"Alarme",IF(OR(Q227&gt;=IF(OR(ISNUMBER(SEARCH("Alçado AB",D227)),ISNUMBER(SEARCH("Alçado CD",D227)),ISNUMBER(SEARCH("Alçado BF",D227)),ISNUMBER(SEARCH("Alçado PQ",D227))),20,30),ABS(P227)&gt;=10),"Alerta","Regular")),IF(OR(Q227&gt;=25,ABS(P227)&gt;=20),"Alarme",IF(OR(Q227&gt;=15,ABS(P227)&gt;=10),"Alerta","Regular"))))</x:f>
        <x:v>Sem leitura</x:v>
      </x:c>
      <x:c r="S227" t="str">
        <x:v>RELATÓRIO ALVOS TOPOGRÁFICOS - Empreitada THE EDEN, Estoril_ R09_31-10-25(1).pdf</x:v>
      </x:c>
      <x:c r="T227" t="n">
        <x:v>42</x:v>
      </x:c>
    </x:row>
    <x:row r="228">
      <x:c r="A228" s="48" t="n">
        <x:v>45961</x:v>
      </x:c>
      <x:c r="B228" t="n">
        <x:v>4</x:v>
      </x:c>
      <x:c r="C228" t="str">
        <x:v>BF1</x:v>
      </x:c>
      <x:c r="D228" t="str">
        <x:v>Escavação e Contenção Periférica - Alçado BF</x:v>
      </x:c>
      <x:c r="E228" s="66" t="n">
        <x:v>4986.2775</x:v>
      </x:c>
      <x:c r="F228" s="66" t="n">
        <x:v>5019.8639</x:v>
      </x:c>
      <x:c r="G228" s="66" t="n">
        <x:v>50.873</x:v>
      </x:c>
      <x:c r="H228" s="66" t="n">
        <x:v>4986.2794</x:v>
      </x:c>
      <x:c r="I228" s="66" t="n">
        <x:v>5019.8622</x:v>
      </x:c>
      <x:c r="J228" s="66" t="n">
        <x:v>50.8729</x:v>
      </x:c>
      <x:c r="K228" s="50" t="n">
        <x:v>0.5</x:v>
      </x:c>
      <x:c r="L228" s="50" t="n">
        <x:v>-0.2</x:v>
      </x:c>
      <x:c r="M228" s="50" t="n">
        <x:v>0.1</x:v>
      </x:c>
      <x:c r="N228" s="50" t="n">
        <x:v>1.9</x:v>
      </x:c>
      <x:c r="O228" s="50" t="n">
        <x:v>-1.7</x:v>
      </x:c>
      <x:c r="P228" s="50" t="n">
        <x:v>-0.1</x:v>
      </x:c>
      <x:c r="Q228" s="50" t="n">
        <x:f>IF(COUNT(N228:O228)&lt;2,"",SQRT(N228^2+O228^2))</x:f>
        <x:v>2.5495097567963922</x:v>
      </x:c>
      <x:c r="R228" t="str">
        <x:f>IF(COUNT(H228:P228)=0,"Sem leitura",IF(ISNUMBER(SEARCH("Escavação",D228)),IF(OR(Q228&gt;=40,ABS(P228)&gt;=15),"Alarme",IF(OR(Q228&gt;=IF(OR(ISNUMBER(SEARCH("Alçado AB",D228)),ISNUMBER(SEARCH("Alçado CD",D228)),ISNUMBER(SEARCH("Alçado BF",D228)),ISNUMBER(SEARCH("Alçado PQ",D228))),20,30),ABS(P228)&gt;=10),"Alerta","Regular")),IF(OR(Q228&gt;=25,ABS(P228)&gt;=20),"Alarme",IF(OR(Q228&gt;=15,ABS(P228)&gt;=10),"Alerta","Regular"))))</x:f>
        <x:v>Regular</x:v>
      </x:c>
      <x:c r="S228" t="str">
        <x:v>RELATÓRIO ALVOS TOPOGRÁFICOS - Empreitada THE EDEN, Estoril_ R09_31-10-25(1).pdf</x:v>
      </x:c>
      <x:c r="T228" t="n">
        <x:v>42</x:v>
      </x:c>
    </x:row>
    <x:row r="229">
      <x:c r="A229" s="48" t="n">
        <x:v>45961</x:v>
      </x:c>
      <x:c r="B229" t="n">
        <x:v>4</x:v>
      </x:c>
      <x:c r="C229" t="str">
        <x:v>BF2</x:v>
      </x:c>
      <x:c r="D229" t="str">
        <x:v>Escavação e Contenção Periférica - Alçado BF</x:v>
      </x:c>
      <x:c r="E229" s="66" t="n">
        <x:v>4977.5058</x:v>
      </x:c>
      <x:c r="F229" s="66" t="n">
        <x:v>5027.6043</x:v>
      </x:c>
      <x:c r="G229" s="66" t="n">
        <x:v>52.2084</x:v>
      </x:c>
      <x:c r="H229" s="66" t="n">
        <x:v>4977.5063</x:v>
      </x:c>
      <x:c r="I229" s="66" t="n">
        <x:v>5027.6016</x:v>
      </x:c>
      <x:c r="J229" s="66" t="n">
        <x:v>52.2082</x:v>
      </x:c>
      <x:c r="K229" s="50" t="n">
        <x:v>0</x:v>
      </x:c>
      <x:c r="L229" s="50" t="n">
        <x:v>0</x:v>
      </x:c>
      <x:c r="M229" s="50" t="n">
        <x:v>-0.1</x:v>
      </x:c>
      <x:c r="N229" s="50" t="n">
        <x:v>0.5</x:v>
      </x:c>
      <x:c r="O229" s="50" t="n">
        <x:v>-2.7</x:v>
      </x:c>
      <x:c r="P229" s="50" t="n">
        <x:v>-0.2</x:v>
      </x:c>
      <x:c r="Q229" s="50" t="n">
        <x:f>IF(COUNT(N229:O229)&lt;2,"",SQRT(N229^2+O229^2))</x:f>
        <x:v>2.7459060435491964</x:v>
      </x:c>
      <x:c r="R229" t="str">
        <x:f>IF(COUNT(H229:P229)=0,"Sem leitura",IF(ISNUMBER(SEARCH("Escavação",D229)),IF(OR(Q229&gt;=40,ABS(P229)&gt;=15),"Alarme",IF(OR(Q229&gt;=IF(OR(ISNUMBER(SEARCH("Alçado AB",D229)),ISNUMBER(SEARCH("Alçado CD",D229)),ISNUMBER(SEARCH("Alçado BF",D229)),ISNUMBER(SEARCH("Alçado PQ",D229))),20,30),ABS(P229)&gt;=10),"Alerta","Regular")),IF(OR(Q229&gt;=25,ABS(P229)&gt;=20),"Alarme",IF(OR(Q229&gt;=15,ABS(P229)&gt;=10),"Alerta","Regular"))))</x:f>
        <x:v>Regular</x:v>
      </x:c>
      <x:c r="S229" t="str">
        <x:v>RELATÓRIO ALVOS TOPOGRÁFICOS - Empreitada THE EDEN, Estoril_ R09_31-10-25(1).pdf</x:v>
      </x:c>
      <x:c r="T229" t="n">
        <x:v>42</x:v>
      </x:c>
    </x:row>
    <x:row r="230">
      <x:c r="A230" s="48" t="n">
        <x:v>45961</x:v>
      </x:c>
      <x:c r="B230" t="n">
        <x:v>4</x:v>
      </x:c>
      <x:c r="C230" t="str">
        <x:v>CD1</x:v>
      </x:c>
      <x:c r="D230" t="str">
        <x:v>Escavação e Contenção Periférica - Alçado CD</x:v>
      </x:c>
      <x:c r="E230" s="66" t="n">
        <x:v>4982.382</x:v>
      </x:c>
      <x:c r="F230" s="66" t="n">
        <x:v>5027.9636</x:v>
      </x:c>
      <x:c r="G230" s="66" t="n">
        <x:v>48.2755</x:v>
      </x:c>
      <x:c r="H230" s="66" t="n">
        <x:v>4982.3848</x:v>
      </x:c>
      <x:c r="I230" s="66" t="n">
        <x:v>5027.962</x:v>
      </x:c>
      <x:c r="J230" s="66" t="n">
        <x:v>48.2765</x:v>
      </x:c>
      <x:c r="K230" s="50" t="n">
        <x:v>-0.7</x:v>
      </x:c>
      <x:c r="L230" s="50" t="n">
        <x:v>-0.4</x:v>
      </x:c>
      <x:c r="M230" s="50" t="n">
        <x:v>0.2</x:v>
      </x:c>
      <x:c r="N230" s="50" t="n">
        <x:v>2.8</x:v>
      </x:c>
      <x:c r="O230" s="50" t="n">
        <x:v>-1.6</x:v>
      </x:c>
      <x:c r="P230" s="50" t="n">
        <x:v>1</x:v>
      </x:c>
      <x:c r="Q230" s="50" t="n">
        <x:f>IF(COUNT(N230:O230)&lt;2,"",SQRT(N230^2+O230^2))</x:f>
        <x:v>3.2249030993194197</x:v>
      </x:c>
      <x:c r="R230" t="str">
        <x:f>IF(COUNT(H230:P230)=0,"Sem leitura",IF(ISNUMBER(SEARCH("Escavação",D230)),IF(OR(Q230&gt;=40,ABS(P230)&gt;=15),"Alarme",IF(OR(Q230&gt;=IF(OR(ISNUMBER(SEARCH("Alçado AB",D230)),ISNUMBER(SEARCH("Alçado CD",D230)),ISNUMBER(SEARCH("Alçado BF",D230)),ISNUMBER(SEARCH("Alçado PQ",D230))),20,30),ABS(P230)&gt;=10),"Alerta","Regular")),IF(OR(Q230&gt;=25,ABS(P230)&gt;=20),"Alarme",IF(OR(Q230&gt;=15,ABS(P230)&gt;=10),"Alerta","Regular"))))</x:f>
        <x:v>Regular</x:v>
      </x:c>
      <x:c r="S230" t="str">
        <x:v>RELATÓRIO ALVOS TOPOGRÁFICOS - Empreitada THE EDEN, Estoril_ R09_31-10-25(1).pdf</x:v>
      </x:c>
      <x:c r="T230" t="n">
        <x:v>42</x:v>
      </x:c>
    </x:row>
    <x:row r="231">
      <x:c r="A231" s="48" t="n">
        <x:v>45961</x:v>
      </x:c>
      <x:c r="B231" t="n">
        <x:v>4</x:v>
      </x:c>
      <x:c r="C231" t="str">
        <x:v>FG1</x:v>
      </x:c>
      <x:c r="D231" t="str">
        <x:v>Escavação e Contenção Periférica - Alçado FG</x:v>
      </x:c>
      <x:c r="E231" s="66" t="n">
        <x:v>4974.3925</x:v>
      </x:c>
      <x:c r="F231" s="66" t="n">
        <x:v>5039.5326</x:v>
      </x:c>
      <x:c r="G231" s="66" t="n">
        <x:v>53.5568</x:v>
      </x:c>
      <x:c r="H231" s="66" t="n">
        <x:v>4974.3942</x:v>
      </x:c>
      <x:c r="I231" s="66" t="n">
        <x:v>5039.5324</x:v>
      </x:c>
      <x:c r="J231" s="66" t="n">
        <x:v>53.5575</x:v>
      </x:c>
      <x:c r="K231" s="50" t="n">
        <x:v>1.2</x:v>
      </x:c>
      <x:c r="L231" s="50" t="n">
        <x:v>-1.2</x:v>
      </x:c>
      <x:c r="M231" s="50" t="n">
        <x:v>0.3</x:v>
      </x:c>
      <x:c r="N231" s="50" t="n">
        <x:v>1.7</x:v>
      </x:c>
      <x:c r="O231" s="50" t="n">
        <x:v>-0.2</x:v>
      </x:c>
      <x:c r="P231" s="50" t="n">
        <x:v>0.7</x:v>
      </x:c>
      <x:c r="Q231" s="50" t="n">
        <x:f>IF(COUNT(N231:O231)&lt;2,"",SQRT(N231^2+O231^2))</x:f>
        <x:v>1.7117242768623688</x:v>
      </x:c>
      <x:c r="R231" t="str">
        <x:f>IF(COUNT(H231:P231)=0,"Sem leitura",IF(ISNUMBER(SEARCH("Escavação",D231)),IF(OR(Q231&gt;=40,ABS(P231)&gt;=15),"Alarme",IF(OR(Q231&gt;=IF(OR(ISNUMBER(SEARCH("Alçado AB",D231)),ISNUMBER(SEARCH("Alçado CD",D231)),ISNUMBER(SEARCH("Alçado BF",D231)),ISNUMBER(SEARCH("Alçado PQ",D231))),20,30),ABS(P231)&gt;=10),"Alerta","Regular")),IF(OR(Q231&gt;=25,ABS(P231)&gt;=20),"Alarme",IF(OR(Q231&gt;=15,ABS(P231)&gt;=10),"Alerta","Regular"))))</x:f>
        <x:v>Regular</x:v>
      </x:c>
      <x:c r="S231" t="str">
        <x:v>RELATÓRIO ALVOS TOPOGRÁFICOS - Empreitada THE EDEN, Estoril_ R09_31-10-25(1).pdf</x:v>
      </x:c>
      <x:c r="T231" t="n">
        <x:v>42</x:v>
      </x:c>
    </x:row>
    <x:row r="232">
      <x:c r="A232" s="48" t="n">
        <x:v>45961</x:v>
      </x:c>
      <x:c r="B232" t="n">
        <x:v>4</x:v>
      </x:c>
      <x:c r="C232" t="str">
        <x:v>FG2</x:v>
      </x:c>
      <x:c r="D232" t="str">
        <x:v>Escavação e Contenção Periférica - Alçado FG</x:v>
      </x:c>
      <x:c r="E232" s="66" t="n">
        <x:v>4976.0573</x:v>
      </x:c>
      <x:c r="F232" s="66" t="n">
        <x:v>5040.5966</x:v>
      </x:c>
      <x:c r="G232" s="66" t="n">
        <x:v>48.2148</x:v>
      </x:c>
      <x:c r="H232" s="66" t="n">
        <x:v>4976.0573</x:v>
      </x:c>
      <x:c r="I232" s="66" t="n">
        <x:v>5040.5952</x:v>
      </x:c>
      <x:c r="J232" s="66" t="n">
        <x:v>48.2149</x:v>
      </x:c>
      <x:c r="K232" s="50" t="n">
        <x:v>0</x:v>
      </x:c>
      <x:c r="L232" s="50" t="n">
        <x:v>-1.4</x:v>
      </x:c>
      <x:c r="M232" s="50" t="n">
        <x:v>0.1</x:v>
      </x:c>
      <x:c r="N232" s="50" t="n">
        <x:v>0</x:v>
      </x:c>
      <x:c r="O232" s="50" t="n">
        <x:v>-1.4</x:v>
      </x:c>
      <x:c r="P232" s="50" t="n">
        <x:v>0.1</x:v>
      </x:c>
      <x:c r="Q232" s="50" t="n">
        <x:f>IF(COUNT(N232:O232)&lt;2,"",SQRT(N232^2+O232^2))</x:f>
        <x:v>1.4</x:v>
      </x:c>
      <x:c r="R232" t="str">
        <x:f>IF(COUNT(H232:P232)=0,"Sem leitura",IF(ISNUMBER(SEARCH("Escavação",D232)),IF(OR(Q232&gt;=40,ABS(P232)&gt;=15),"Alarme",IF(OR(Q232&gt;=IF(OR(ISNUMBER(SEARCH("Alçado AB",D232)),ISNUMBER(SEARCH("Alçado CD",D232)),ISNUMBER(SEARCH("Alçado BF",D232)),ISNUMBER(SEARCH("Alçado PQ",D232))),20,30),ABS(P232)&gt;=10),"Alerta","Regular")),IF(OR(Q232&gt;=25,ABS(P232)&gt;=20),"Alarme",IF(OR(Q232&gt;=15,ABS(P232)&gt;=10),"Alerta","Regular"))))</x:f>
        <x:v>Regular</x:v>
      </x:c>
      <x:c r="S232" t="str">
        <x:v>RELATÓRIO ALVOS TOPOGRÁFICOS - Empreitada THE EDEN, Estoril_ R09_31-10-25(1).pdf</x:v>
      </x:c>
      <x:c r="T232" t="n">
        <x:v>42</x:v>
      </x:c>
    </x:row>
    <x:row r="233">
      <x:c r="A233" s="48" t="n">
        <x:v>45961</x:v>
      </x:c>
      <x:c r="B233" t="n">
        <x:v>4</x:v>
      </x:c>
      <x:c r="C233" t="str">
        <x:v>GH1</x:v>
      </x:c>
      <x:c r="D233" t="str">
        <x:v>Escavação e Contenção Periférica - Alçado GH</x:v>
      </x:c>
      <x:c r="E233" s="66" t="n">
        <x:v>4981.8689</x:v>
      </x:c>
      <x:c r="F233" s="66" t="n">
        <x:v>5046.9902</x:v>
      </x:c>
      <x:c r="G233" s="66" t="n">
        <x:v>53.9665</x:v>
      </x:c>
      <x:c r="H233" s="66" t="n">
        <x:v>4981.8766</x:v>
      </x:c>
      <x:c r="I233" s="66" t="n">
        <x:v>5046.9833</x:v>
      </x:c>
      <x:c r="J233" s="66" t="n">
        <x:v>53.967</x:v>
      </x:c>
      <x:c r="K233" s="50" t="n">
        <x:v>4.4</x:v>
      </x:c>
      <x:c r="L233" s="50" t="n">
        <x:v>-5.8</x:v>
      </x:c>
      <x:c r="M233" s="50" t="n">
        <x:v>0.4</x:v>
      </x:c>
      <x:c r="N233" s="50" t="n">
        <x:v>7.7</x:v>
      </x:c>
      <x:c r="O233" s="50" t="n">
        <x:v>-6.9</x:v>
      </x:c>
      <x:c r="P233" s="50" t="n">
        <x:v>0.5</x:v>
      </x:c>
      <x:c r="Q233" s="50" t="n">
        <x:f>IF(COUNT(N233:O233)&lt;2,"",SQRT(N233^2+O233^2))</x:f>
        <x:v>10.339245620450265</x:v>
      </x:c>
      <x:c r="R233" t="str">
        <x:f>IF(COUNT(H233:P233)=0,"Sem leitura",IF(ISNUMBER(SEARCH("Escavação",D233)),IF(OR(Q233&gt;=40,ABS(P233)&gt;=15),"Alarme",IF(OR(Q233&gt;=IF(OR(ISNUMBER(SEARCH("Alçado AB",D233)),ISNUMBER(SEARCH("Alçado CD",D233)),ISNUMBER(SEARCH("Alçado BF",D233)),ISNUMBER(SEARCH("Alçado PQ",D233))),20,30),ABS(P233)&gt;=10),"Alerta","Regular")),IF(OR(Q233&gt;=25,ABS(P233)&gt;=20),"Alarme",IF(OR(Q233&gt;=15,ABS(P233)&gt;=10),"Alerta","Regular"))))</x:f>
        <x:v>Regular</x:v>
      </x:c>
      <x:c r="S233" t="str">
        <x:v>RELATÓRIO ALVOS TOPOGRÁFICOS - Empreitada THE EDEN, Estoril_ R09_31-10-25(1).pdf</x:v>
      </x:c>
      <x:c r="T233" t="n">
        <x:v>42</x:v>
      </x:c>
    </x:row>
    <x:row r="234">
      <x:c r="A234" s="48" t="n">
        <x:v>45961</x:v>
      </x:c>
      <x:c r="B234" t="n">
        <x:v>4</x:v>
      </x:c>
      <x:c r="C234" t="str">
        <x:v>GH2</x:v>
      </x:c>
      <x:c r="D234" t="str">
        <x:v>Escavação e Contenção Periférica - Alçado GH</x:v>
      </x:c>
      <x:c r="E234" s="66" t="n">
        <x:v>4993.0258</x:v>
      </x:c>
      <x:c r="F234" s="66" t="n">
        <x:v>5045.3909</x:v>
      </x:c>
      <x:c r="G234" s="66" t="n">
        <x:v>53.9052</x:v>
      </x:c>
      <x:c r="H234" s="66" t="n">
        <x:v>4993.0305</x:v>
      </x:c>
      <x:c r="I234" s="66" t="n">
        <x:v>5045.3848</x:v>
      </x:c>
      <x:c r="J234" s="66" t="n">
        <x:v>53.9044</x:v>
      </x:c>
      <x:c r="K234" s="50" t="n">
        <x:v>2.2</x:v>
      </x:c>
      <x:c r="L234" s="50" t="n">
        <x:v>-3.3</x:v>
      </x:c>
      <x:c r="M234" s="50" t="n">
        <x:v>-0.2</x:v>
      </x:c>
      <x:c r="N234" s="50" t="n">
        <x:v>4.7</x:v>
      </x:c>
      <x:c r="O234" s="50" t="n">
        <x:v>-6.1</x:v>
      </x:c>
      <x:c r="P234" s="50" t="n">
        <x:v>-0.8</x:v>
      </x:c>
      <x:c r="Q234" s="50" t="n">
        <x:f>IF(COUNT(N234:O234)&lt;2,"",SQRT(N234^2+O234^2))</x:f>
        <x:v>7.700649323271382</x:v>
      </x:c>
      <x:c r="R234" t="str">
        <x:f>IF(COUNT(H234:P234)=0,"Sem leitura",IF(ISNUMBER(SEARCH("Escavação",D234)),IF(OR(Q234&gt;=40,ABS(P234)&gt;=15),"Alarme",IF(OR(Q234&gt;=IF(OR(ISNUMBER(SEARCH("Alçado AB",D234)),ISNUMBER(SEARCH("Alçado CD",D234)),ISNUMBER(SEARCH("Alçado BF",D234)),ISNUMBER(SEARCH("Alçado PQ",D234))),20,30),ABS(P234)&gt;=10),"Alerta","Regular")),IF(OR(Q234&gt;=25,ABS(P234)&gt;=20),"Alarme",IF(OR(Q234&gt;=15,ABS(P234)&gt;=10),"Alerta","Regular"))))</x:f>
        <x:v>Regular</x:v>
      </x:c>
      <x:c r="S234" t="str">
        <x:v>RELATÓRIO ALVOS TOPOGRÁFICOS - Empreitada THE EDEN, Estoril_ R09_31-10-25(1).pdf</x:v>
      </x:c>
      <x:c r="T234" t="n">
        <x:v>42</x:v>
      </x:c>
    </x:row>
    <x:row r="235">
      <x:c r="A235" s="48" t="n">
        <x:v>45961</x:v>
      </x:c>
      <x:c r="B235" t="n">
        <x:v>4</x:v>
      </x:c>
      <x:c r="C235" t="str">
        <x:v>GH3</x:v>
      </x:c>
      <x:c r="D235" t="str">
        <x:v>Escavação e Contenção Periférica - Alçado GH</x:v>
      </x:c>
      <x:c r="E235" s="66" t="n">
        <x:v>5002.4091</x:v>
      </x:c>
      <x:c r="F235" s="66" t="n">
        <x:v>5044.0244</x:v>
      </x:c>
      <x:c r="G235" s="66" t="n">
        <x:v>53.8892</x:v>
      </x:c>
      <x:c r="H235" s="66" t="n">
        <x:v>5002.4123</x:v>
      </x:c>
      <x:c r="I235" s="66" t="n">
        <x:v>5044.0146</x:v>
      </x:c>
      <x:c r="J235" s="66" t="n">
        <x:v>53.89</x:v>
      </x:c>
      <x:c r="K235" s="50" t="n">
        <x:v>1.7</x:v>
      </x:c>
      <x:c r="L235" s="50" t="n">
        <x:v>-4.9</x:v>
      </x:c>
      <x:c r="M235" s="50" t="n">
        <x:v>0.4</x:v>
      </x:c>
      <x:c r="N235" s="50" t="n">
        <x:v>3.2</x:v>
      </x:c>
      <x:c r="O235" s="50" t="n">
        <x:v>-9.8</x:v>
      </x:c>
      <x:c r="P235" s="50" t="n">
        <x:v>0.8</x:v>
      </x:c>
      <x:c r="Q235" s="50" t="n">
        <x:f>IF(COUNT(N235:O235)&lt;2,"",SQRT(N235^2+O235^2))</x:f>
        <x:v>10.3092191750879</x:v>
      </x:c>
      <x:c r="R235" t="str">
        <x:f>IF(COUNT(H235:P235)=0,"Sem leitura",IF(ISNUMBER(SEARCH("Escavação",D235)),IF(OR(Q235&gt;=40,ABS(P235)&gt;=15),"Alarme",IF(OR(Q235&gt;=IF(OR(ISNUMBER(SEARCH("Alçado AB",D235)),ISNUMBER(SEARCH("Alçado CD",D235)),ISNUMBER(SEARCH("Alçado BF",D235)),ISNUMBER(SEARCH("Alçado PQ",D235))),20,30),ABS(P235)&gt;=10),"Alerta","Regular")),IF(OR(Q235&gt;=25,ABS(P235)&gt;=20),"Alarme",IF(OR(Q235&gt;=15,ABS(P235)&gt;=10),"Alerta","Regular"))))</x:f>
        <x:v>Regular</x:v>
      </x:c>
      <x:c r="S235" t="str">
        <x:v>RELATÓRIO ALVOS TOPOGRÁFICOS - Empreitada THE EDEN, Estoril_ R09_31-10-25(1).pdf</x:v>
      </x:c>
      <x:c r="T235" t="n">
        <x:v>42</x:v>
      </x:c>
    </x:row>
    <x:row r="236">
      <x:c r="A236" s="48" t="n">
        <x:v>45961</x:v>
      </x:c>
      <x:c r="B236" t="n">
        <x:v>4</x:v>
      </x:c>
      <x:c r="C236" t="str">
        <x:v>GH4</x:v>
      </x:c>
      <x:c r="D236" t="str">
        <x:v>Escavação e Contenção Periférica - Alçado GH</x:v>
      </x:c>
      <x:c r="E236" s="66" t="n">
        <x:v>4987.9622</x:v>
      </x:c>
      <x:c r="F236" s="66" t="n">
        <x:v>5045.3176</x:v>
      </x:c>
      <x:c r="G236" s="66" t="n">
        <x:v>47.6376</x:v>
      </x:c>
      <x:c r="H236" s="66" t="n">
        <x:v>4987.9647</x:v>
      </x:c>
      <x:c r="I236" s="66" t="n">
        <x:v>5045.3136</x:v>
      </x:c>
      <x:c r="J236" s="66" t="n">
        <x:v>47.6379</x:v>
      </x:c>
      <x:c r="K236" s="50" t="n">
        <x:v>2.5</x:v>
      </x:c>
      <x:c r="L236" s="50" t="n">
        <x:v>-4</x:v>
      </x:c>
      <x:c r="M236" s="50" t="n">
        <x:v>0.3</x:v>
      </x:c>
      <x:c r="N236" s="50" t="n">
        <x:v>2.5</x:v>
      </x:c>
      <x:c r="O236" s="50" t="n">
        <x:v>-4</x:v>
      </x:c>
      <x:c r="P236" s="50" t="n">
        <x:v>0.3</x:v>
      </x:c>
      <x:c r="Q236" s="50" t="n">
        <x:f>IF(COUNT(N236:O236)&lt;2,"",SQRT(N236^2+O236^2))</x:f>
        <x:v>4.716990566028302</x:v>
      </x:c>
      <x:c r="R236" t="str">
        <x:f>IF(COUNT(H236:P236)=0,"Sem leitura",IF(ISNUMBER(SEARCH("Escavação",D236)),IF(OR(Q236&gt;=40,ABS(P236)&gt;=15),"Alarme",IF(OR(Q236&gt;=IF(OR(ISNUMBER(SEARCH("Alçado AB",D236)),ISNUMBER(SEARCH("Alçado CD",D236)),ISNUMBER(SEARCH("Alçado BF",D236)),ISNUMBER(SEARCH("Alçado PQ",D236))),20,30),ABS(P236)&gt;=10),"Alerta","Regular")),IF(OR(Q236&gt;=25,ABS(P236)&gt;=20),"Alarme",IF(OR(Q236&gt;=15,ABS(P236)&gt;=10),"Alerta","Regular"))))</x:f>
        <x:v>Regular</x:v>
      </x:c>
      <x:c r="S236" t="str">
        <x:v>RELATÓRIO ALVOS TOPOGRÁFICOS - Empreitada THE EDEN, Estoril_ R09_31-10-25(1).pdf</x:v>
      </x:c>
      <x:c r="T236" t="n">
        <x:v>42</x:v>
      </x:c>
    </x:row>
    <x:row r="237">
      <x:c r="A237" s="48" t="n">
        <x:v>45961</x:v>
      </x:c>
      <x:c r="B237" t="n">
        <x:v>4</x:v>
      </x:c>
      <x:c r="C237" t="str">
        <x:v>GH5</x:v>
      </x:c>
      <x:c r="D237" t="str">
        <x:v>Escavação e Contenção Periférica - Alçado GH</x:v>
      </x:c>
      <x:c r="E237" s="66" t="n">
        <x:v>5002.5305</x:v>
      </x:c>
      <x:c r="F237" s="66" t="n">
        <x:v>5043.4611</x:v>
      </x:c>
      <x:c r="G237" s="66" t="n">
        <x:v>47.5371</x:v>
      </x:c>
      <x:c r="H237" s="66" t="n">
        <x:v>5002.5328</x:v>
      </x:c>
      <x:c r="I237" s="66" t="n">
        <x:v>5043.4572</x:v>
      </x:c>
      <x:c r="J237" s="66" t="n">
        <x:v>47.5373</x:v>
      </x:c>
      <x:c r="K237" s="50" t="n">
        <x:v>2.3</x:v>
      </x:c>
      <x:c r="L237" s="50" t="n">
        <x:v>-3.9</x:v>
      </x:c>
      <x:c r="M237" s="50" t="n">
        <x:v>0.2</x:v>
      </x:c>
      <x:c r="N237" s="50" t="n">
        <x:v>2.3</x:v>
      </x:c>
      <x:c r="O237" s="50" t="n">
        <x:v>-3.9</x:v>
      </x:c>
      <x:c r="P237" s="50" t="n">
        <x:v>0.2</x:v>
      </x:c>
      <x:c r="Q237" s="50" t="n">
        <x:f>IF(COUNT(N237:O237)&lt;2,"",SQRT(N237^2+O237^2))</x:f>
        <x:v>4.527692569068709</x:v>
      </x:c>
      <x:c r="R237" t="str">
        <x:f>IF(COUNT(H237:P237)=0,"Sem leitura",IF(ISNUMBER(SEARCH("Escavação",D237)),IF(OR(Q237&gt;=40,ABS(P237)&gt;=15),"Alarme",IF(OR(Q237&gt;=IF(OR(ISNUMBER(SEARCH("Alçado AB",D237)),ISNUMBER(SEARCH("Alçado CD",D237)),ISNUMBER(SEARCH("Alçado BF",D237)),ISNUMBER(SEARCH("Alçado PQ",D237))),20,30),ABS(P237)&gt;=10),"Alerta","Regular")),IF(OR(Q237&gt;=25,ABS(P237)&gt;=20),"Alarme",IF(OR(Q237&gt;=15,ABS(P237)&gt;=10),"Alerta","Regular"))))</x:f>
        <x:v>Regular</x:v>
      </x:c>
      <x:c r="S237" t="str">
        <x:v>RELATÓRIO ALVOS TOPOGRÁFICOS - Empreitada THE EDEN, Estoril_ R09_31-10-25(1).pdf</x:v>
      </x:c>
      <x:c r="T237" t="n">
        <x:v>42</x:v>
      </x:c>
    </x:row>
    <x:row r="238">
      <x:c r="A238" s="48" t="n">
        <x:v>45961</x:v>
      </x:c>
      <x:c r="B238" t="n">
        <x:v>4</x:v>
      </x:c>
      <x:c r="C238" t="str">
        <x:v>JK1</x:v>
      </x:c>
      <x:c r="D238" t="str">
        <x:v>Escavação e Contenção Periférica - Alçado JK</x:v>
      </x:c>
      <x:c r="E238" s="66" t="n">
        <x:v>5010.7593</x:v>
      </x:c>
      <x:c r="F238" s="66" t="n">
        <x:v>5050.9464</x:v>
      </x:c>
      <x:c r="G238" s="66" t="n">
        <x:v>52.5174</x:v>
      </x:c>
      <x:c r="H238" s="66" t="n">
        <x:v>5010.7583</x:v>
      </x:c>
      <x:c r="I238" s="66" t="n">
        <x:v>5050.9401</x:v>
      </x:c>
      <x:c r="J238" s="66" t="n">
        <x:v>52.5189</x:v>
      </x:c>
      <x:c r="K238" s="50" t="n">
        <x:v>-1.2</x:v>
      </x:c>
      <x:c r="L238" s="50" t="n">
        <x:v>-3.4</x:v>
      </x:c>
      <x:c r="M238" s="50" t="n">
        <x:v>0.7</x:v>
      </x:c>
      <x:c r="N238" s="50" t="n">
        <x:v>-1</x:v>
      </x:c>
      <x:c r="O238" s="50" t="n">
        <x:v>-6.3</x:v>
      </x:c>
      <x:c r="P238" s="50" t="n">
        <x:v>1.5</x:v>
      </x:c>
      <x:c r="Q238" s="50" t="n">
        <x:f>IF(COUNT(N238:O238)&lt;2,"",SQRT(N238^2+O238^2))</x:f>
        <x:v>6.378871373526825</x:v>
      </x:c>
      <x:c r="R238" t="str">
        <x:f>IF(COUNT(H238:P238)=0,"Sem leitura",IF(ISNUMBER(SEARCH("Escavação",D238)),IF(OR(Q238&gt;=40,ABS(P238)&gt;=15),"Alarme",IF(OR(Q238&gt;=IF(OR(ISNUMBER(SEARCH("Alçado AB",D238)),ISNUMBER(SEARCH("Alçado CD",D238)),ISNUMBER(SEARCH("Alçado BF",D238)),ISNUMBER(SEARCH("Alçado PQ",D238))),20,30),ABS(P238)&gt;=10),"Alerta","Regular")),IF(OR(Q238&gt;=25,ABS(P238)&gt;=20),"Alarme",IF(OR(Q238&gt;=15,ABS(P238)&gt;=10),"Alerta","Regular"))))</x:f>
        <x:v>Regular</x:v>
      </x:c>
      <x:c r="S238" t="str">
        <x:v>RELATÓRIO ALVOS TOPOGRÁFICOS - Empreitada THE EDEN, Estoril_ R09_31-10-25(1).pdf</x:v>
      </x:c>
      <x:c r="T238" t="n">
        <x:v>42</x:v>
      </x:c>
    </x:row>
    <x:row r="239">
      <x:c r="A239" s="48" t="n">
        <x:v>45961</x:v>
      </x:c>
      <x:c r="B239" t="n">
        <x:v>4</x:v>
      </x:c>
      <x:c r="C239" t="str">
        <x:v>JK2</x:v>
      </x:c>
      <x:c r="D239" t="str">
        <x:v>Escavação e Contenção Periférica - Alçado JK</x:v>
      </x:c>
      <x:c r="E239" s="66" t="n">
        <x:v>5012.8994</x:v>
      </x:c>
      <x:c r="F239" s="66" t="n">
        <x:v>5060.6997</x:v>
      </x:c>
      <x:c r="G239" s="66" t="n">
        <x:v>52.4963</x:v>
      </x:c>
      <x:c r="H239" s="66" t="n">
        <x:v>5012.8992</x:v>
      </x:c>
      <x:c r="I239" s="66" t="n">
        <x:v>5060.6934</x:v>
      </x:c>
      <x:c r="J239" s="66" t="n">
        <x:v>52.4972</x:v>
      </x:c>
      <x:c r="K239" s="50" t="n">
        <x:v>0.8</x:v>
      </x:c>
      <x:c r="L239" s="50" t="n">
        <x:v>-5.8</x:v>
      </x:c>
      <x:c r="M239" s="50" t="n">
        <x:v>0.5</x:v>
      </x:c>
      <x:c r="N239" s="50" t="n">
        <x:v>-0.2</x:v>
      </x:c>
      <x:c r="O239" s="50" t="n">
        <x:v>-6.3</x:v>
      </x:c>
      <x:c r="P239" s="50" t="n">
        <x:v>0.9</x:v>
      </x:c>
      <x:c r="Q239" s="50" t="n">
        <x:f>IF(COUNT(N239:O239)&lt;2,"",SQRT(N239^2+O239^2))</x:f>
        <x:v>6.30317380372777</x:v>
      </x:c>
      <x:c r="R239" t="str">
        <x:f>IF(COUNT(H239:P239)=0,"Sem leitura",IF(ISNUMBER(SEARCH("Escavação",D239)),IF(OR(Q239&gt;=40,ABS(P239)&gt;=15),"Alarme",IF(OR(Q239&gt;=IF(OR(ISNUMBER(SEARCH("Alçado AB",D239)),ISNUMBER(SEARCH("Alçado CD",D239)),ISNUMBER(SEARCH("Alçado BF",D239)),ISNUMBER(SEARCH("Alçado PQ",D239))),20,30),ABS(P239)&gt;=10),"Alerta","Regular")),IF(OR(Q239&gt;=25,ABS(P239)&gt;=20),"Alarme",IF(OR(Q239&gt;=15,ABS(P239)&gt;=10),"Alerta","Regular"))))</x:f>
        <x:v>Regular</x:v>
      </x:c>
      <x:c r="S239" t="str">
        <x:v>RELATÓRIO ALVOS TOPOGRÁFICOS - Empreitada THE EDEN, Estoril_ R09_31-10-25(1).pdf</x:v>
      </x:c>
      <x:c r="T239" t="n">
        <x:v>42</x:v>
      </x:c>
    </x:row>
    <x:row r="240">
      <x:c r="A240" s="48" t="n">
        <x:v>45961</x:v>
      </x:c>
      <x:c r="B240" t="n">
        <x:v>4</x:v>
      </x:c>
      <x:c r="C240" t="str">
        <x:v>KL1</x:v>
      </x:c>
      <x:c r="D240" t="str">
        <x:v>Escavação e Contenção Periférica - Alçado KL</x:v>
      </x:c>
      <x:c r="E240" s="66" t="n">
        <x:v>5026.7077</x:v>
      </x:c>
      <x:c r="F240" s="66" t="n">
        <x:v>5072.3889</x:v>
      </x:c>
      <x:c r="G240" s="66" t="n">
        <x:v>53.7614</x:v>
      </x:c>
      <x:c r="H240" s="66" t="n">
        <x:v>5026.7058</x:v>
      </x:c>
      <x:c r="I240" s="66" t="n">
        <x:v>5072.3838</x:v>
      </x:c>
      <x:c r="J240" s="66" t="n">
        <x:v>53.7617</x:v>
      </x:c>
      <x:c r="K240" s="50" t="n">
        <x:v>-1.6</x:v>
      </x:c>
      <x:c r="L240" s="50" t="n">
        <x:v>-2.9</x:v>
      </x:c>
      <x:c r="M240" s="50" t="n">
        <x:v>0</x:v>
      </x:c>
      <x:c r="N240" s="50" t="n">
        <x:v>-1.9</x:v>
      </x:c>
      <x:c r="O240" s="50" t="n">
        <x:v>-5.1</x:v>
      </x:c>
      <x:c r="P240" s="50" t="n">
        <x:v>0.3</x:v>
      </x:c>
      <x:c r="Q240" s="50" t="n">
        <x:f>IF(COUNT(N240:O240)&lt;2,"",SQRT(N240^2+O240^2))</x:f>
        <x:v>5.442425929675111</x:v>
      </x:c>
      <x:c r="R240" t="str">
        <x:f>IF(COUNT(H240:P240)=0,"Sem leitura",IF(ISNUMBER(SEARCH("Escavação",D240)),IF(OR(Q240&gt;=40,ABS(P240)&gt;=15),"Alarme",IF(OR(Q240&gt;=IF(OR(ISNUMBER(SEARCH("Alçado AB",D240)),ISNUMBER(SEARCH("Alçado CD",D240)),ISNUMBER(SEARCH("Alçado BF",D240)),ISNUMBER(SEARCH("Alçado PQ",D240))),20,30),ABS(P240)&gt;=10),"Alerta","Regular")),IF(OR(Q240&gt;=25,ABS(P240)&gt;=20),"Alarme",IF(OR(Q240&gt;=15,ABS(P240)&gt;=10),"Alerta","Regular"))))</x:f>
        <x:v>Regular</x:v>
      </x:c>
      <x:c r="S240" t="str">
        <x:v>RELATÓRIO ALVOS TOPOGRÁFICOS - Empreitada THE EDEN, Estoril_ R09_31-10-25(1).pdf</x:v>
      </x:c>
      <x:c r="T240" t="n">
        <x:v>42</x:v>
      </x:c>
    </x:row>
    <x:row r="241">
      <x:c r="A241" s="48" t="n">
        <x:v>45961</x:v>
      </x:c>
      <x:c r="B241" t="n">
        <x:v>4</x:v>
      </x:c>
      <x:c r="C241" t="str">
        <x:v>KL2</x:v>
      </x:c>
      <x:c r="D241" t="str">
        <x:v>Escavação e Contenção Periférica - Alçado KL</x:v>
      </x:c>
      <x:c r="E241" s="66" t="n">
        <x:v>5027.4714</x:v>
      </x:c>
      <x:c r="F241" s="66" t="n">
        <x:v>5072.2405</x:v>
      </x:c>
      <x:c r="G241" s="66" t="n">
        <x:v>51.1437</x:v>
      </x:c>
      <x:c r="H241" s="66" t="n">
        <x:v>5027.4703</x:v>
      </x:c>
      <x:c r="I241" s="66" t="n">
        <x:v>5072.2367</x:v>
      </x:c>
      <x:c r="J241" s="66" t="n">
        <x:v>51.144</x:v>
      </x:c>
      <x:c r="K241" s="50" t="n">
        <x:v>-1.1</x:v>
      </x:c>
      <x:c r="L241" s="50" t="n">
        <x:v>-3.8</x:v>
      </x:c>
      <x:c r="M241" s="50" t="n">
        <x:v>0.3</x:v>
      </x:c>
      <x:c r="N241" s="50" t="n">
        <x:v>-1.1</x:v>
      </x:c>
      <x:c r="O241" s="50" t="n">
        <x:v>-3.8</x:v>
      </x:c>
      <x:c r="P241" s="50" t="n">
        <x:v>0.3</x:v>
      </x:c>
      <x:c r="Q241" s="50" t="n">
        <x:f>IF(COUNT(N241:O241)&lt;2,"",SQRT(N241^2+O241^2))</x:f>
        <x:v>3.9560080889704965</x:v>
      </x:c>
      <x:c r="R241" t="str">
        <x:f>IF(COUNT(H241:P241)=0,"Sem leitura",IF(ISNUMBER(SEARCH("Escavação",D241)),IF(OR(Q241&gt;=40,ABS(P241)&gt;=15),"Alarme",IF(OR(Q241&gt;=IF(OR(ISNUMBER(SEARCH("Alçado AB",D241)),ISNUMBER(SEARCH("Alçado CD",D241)),ISNUMBER(SEARCH("Alçado BF",D241)),ISNUMBER(SEARCH("Alçado PQ",D241))),20,30),ABS(P241)&gt;=10),"Alerta","Regular")),IF(OR(Q241&gt;=25,ABS(P241)&gt;=20),"Alarme",IF(OR(Q241&gt;=15,ABS(P241)&gt;=10),"Alerta","Regular"))))</x:f>
        <x:v>Regular</x:v>
      </x:c>
      <x:c r="S241" t="str">
        <x:v>RELATÓRIO ALVOS TOPOGRÁFICOS - Empreitada THE EDEN, Estoril_ R09_31-10-25(1).pdf</x:v>
      </x:c>
      <x:c r="T241" t="n">
        <x:v>42</x:v>
      </x:c>
    </x:row>
    <x:row r="242">
      <x:c r="A242" s="48" t="n">
        <x:v>45961</x:v>
      </x:c>
      <x:c r="B242" t="n">
        <x:v>4</x:v>
      </x:c>
      <x:c r="C242" t="str">
        <x:v>OP1</x:v>
      </x:c>
      <x:c r="D242" t="str">
        <x:v>Escavação e Contenção Periférica - Alçado OP</x:v>
      </x:c>
      <x:c r="E242" s="66" t="n">
        <x:v>5041.9629</x:v>
      </x:c>
      <x:c r="F242" s="66" t="n">
        <x:v>5043.329</x:v>
      </x:c>
      <x:c r="G242" s="66" t="n">
        <x:v>52.0655</x:v>
      </x:c>
      <x:c r="H242" s="66" t="n">
        <x:v>5041.9619</x:v>
      </x:c>
      <x:c r="I242" s="66" t="n">
        <x:v>5043.3269</x:v>
      </x:c>
      <x:c r="J242" s="66" t="n">
        <x:v>52.0655</x:v>
      </x:c>
      <x:c r="K242" s="50" t="n">
        <x:v>-1</x:v>
      </x:c>
      <x:c r="L242" s="50" t="n">
        <x:v>-2.1</x:v>
      </x:c>
      <x:c r="M242" s="50" t="n">
        <x:v>0</x:v>
      </x:c>
      <x:c r="N242" s="50" t="n">
        <x:v>-1</x:v>
      </x:c>
      <x:c r="O242" s="50" t="n">
        <x:v>-2.1</x:v>
      </x:c>
      <x:c r="P242" s="50" t="n">
        <x:v>0</x:v>
      </x:c>
      <x:c r="Q242" s="50" t="n">
        <x:f>IF(COUNT(N242:O242)&lt;2,"",SQRT(N242^2+O242^2))</x:f>
        <x:v>2.3259406699226015</x:v>
      </x:c>
      <x:c r="R242" t="str">
        <x:f>IF(COUNT(H242:P242)=0,"Sem leitura",IF(ISNUMBER(SEARCH("Escavação",D242)),IF(OR(Q242&gt;=40,ABS(P242)&gt;=15),"Alarme",IF(OR(Q242&gt;=IF(OR(ISNUMBER(SEARCH("Alçado AB",D242)),ISNUMBER(SEARCH("Alçado CD",D242)),ISNUMBER(SEARCH("Alçado BF",D242)),ISNUMBER(SEARCH("Alçado PQ",D242))),20,30),ABS(P242)&gt;=10),"Alerta","Regular")),IF(OR(Q242&gt;=25,ABS(P242)&gt;=20),"Alarme",IF(OR(Q242&gt;=15,ABS(P242)&gt;=10),"Alerta","Regular"))))</x:f>
        <x:v>Regular</x:v>
      </x:c>
      <x:c r="S242" t="str">
        <x:v>RELATÓRIO ALVOS TOPOGRÁFICOS - Empreitada THE EDEN, Estoril_ R09_31-10-25(1).pdf</x:v>
      </x:c>
      <x:c r="T242" t="n">
        <x:v>42</x:v>
      </x:c>
    </x:row>
    <x:row r="243">
      <x:c r="A243" s="48" t="n">
        <x:v>45961</x:v>
      </x:c>
      <x:c r="B243" t="n">
        <x:v>4</x:v>
      </x:c>
      <x:c r="C243" t="str">
        <x:v>PQ1</x:v>
      </x:c>
      <x:c r="D243" t="str">
        <x:v>Escavação e Contenção Periférica - Alçado PQ</x:v>
      </x:c>
      <x:c r="E243" s="66" t="n">
        <x:v>5046.1883</x:v>
      </x:c>
      <x:c r="F243" s="66" t="n">
        <x:v>5033.5623</x:v>
      </x:c>
      <x:c r="G243" s="66" t="n">
        <x:v>48.9991</x:v>
      </x:c>
      <x:c r="H243" s="66" t="n">
        <x:v>5046.1784</x:v>
      </x:c>
      <x:c r="I243" s="66" t="n">
        <x:v>5033.5615</x:v>
      </x:c>
      <x:c r="J243" s="66" t="n">
        <x:v>48.9985</x:v>
      </x:c>
      <x:c r="K243" s="50" t="n">
        <x:v>-3</x:v>
      </x:c>
      <x:c r="L243" s="50" t="n">
        <x:v>0.2</x:v>
      </x:c>
      <x:c r="M243" s="50" t="n">
        <x:v>-0.6</x:v>
      </x:c>
      <x:c r="N243" s="50" t="n">
        <x:v>-9.9</x:v>
      </x:c>
      <x:c r="O243" s="50" t="n">
        <x:v>-0.8</x:v>
      </x:c>
      <x:c r="P243" s="50" t="n">
        <x:v>-0.6</x:v>
      </x:c>
      <x:c r="Q243" s="50" t="n">
        <x:f>IF(COUNT(N243:O243)&lt;2,"",SQRT(N243^2+O243^2))</x:f>
        <x:v>9.932270636667127</x:v>
      </x:c>
      <x:c r="R243" t="str">
        <x:f>IF(COUNT(H243:P243)=0,"Sem leitura",IF(ISNUMBER(SEARCH("Escavação",D243)),IF(OR(Q243&gt;=40,ABS(P243)&gt;=15),"Alarme",IF(OR(Q243&gt;=IF(OR(ISNUMBER(SEARCH("Alçado AB",D243)),ISNUMBER(SEARCH("Alçado CD",D243)),ISNUMBER(SEARCH("Alçado BF",D243)),ISNUMBER(SEARCH("Alçado PQ",D243))),20,30),ABS(P243)&gt;=10),"Alerta","Regular")),IF(OR(Q243&gt;=25,ABS(P243)&gt;=20),"Alarme",IF(OR(Q243&gt;=15,ABS(P243)&gt;=10),"Alerta","Regular"))))</x:f>
        <x:v>Regular</x:v>
      </x:c>
      <x:c r="S243" t="str">
        <x:v>RELATÓRIO ALVOS TOPOGRÁFICOS - Empreitada THE EDEN, Estoril_ R09_31-10-25(1).pdf</x:v>
      </x:c>
      <x:c r="T243" t="n">
        <x:v>42</x:v>
      </x:c>
    </x:row>
    <x:row r="244">
      <x:c r="A244" s="48" t="n">
        <x:v>45961</x:v>
      </x:c>
      <x:c r="B244" t="n">
        <x:v>9</x:v>
      </x:c>
      <x:c r="C244" t="str">
        <x:v>B1</x:v>
      </x:c>
      <x:c r="D244" t="str">
        <x:v>Restaurante Cimas</x:v>
      </x:c>
      <x:c r="E244" s="66" t="n">
        <x:v>5055.3705</x:v>
      </x:c>
      <x:c r="F244" s="66" t="n">
        <x:v>5037.6908</x:v>
      </x:c>
      <x:c r="G244" s="66" t="n">
        <x:v>55.8345</x:v>
      </x:c>
      <x:c r="H244" s="66" t="n">
        <x:v>5055.3658</x:v>
      </x:c>
      <x:c r="I244" s="66" t="n">
        <x:v>5037.6912</x:v>
      </x:c>
      <x:c r="J244" s="66" t="n">
        <x:v>55.835</x:v>
      </x:c>
      <x:c r="K244" s="50" t="n">
        <x:v>-2.4</x:v>
      </x:c>
      <x:c r="L244" s="50" t="n">
        <x:v>1.6</x:v>
      </x:c>
      <x:c r="M244" s="50" t="n">
        <x:v>-0.3</x:v>
      </x:c>
      <x:c r="N244" s="50" t="n">
        <x:v>-4.7</x:v>
      </x:c>
      <x:c r="O244" s="50" t="n">
        <x:v>0.4</x:v>
      </x:c>
      <x:c r="P244" s="50" t="n">
        <x:v>0.5</x:v>
      </x:c>
      <x:c r="Q244" s="50" t="n">
        <x:f>IF(COUNT(N244:O244)&lt;2,"",SQRT(N244^2+O244^2))</x:f>
        <x:v>4.7169905660283025</x:v>
      </x:c>
      <x:c r="R244" t="str">
        <x:f>IF(COUNT(H244:P244)=0,"Sem leitura",IF(ISNUMBER(SEARCH("Escavação",D244)),IF(OR(Q244&gt;=40,ABS(P244)&gt;=15),"Alarme",IF(OR(Q244&gt;=IF(OR(ISNUMBER(SEARCH("Alçado AB",D244)),ISNUMBER(SEARCH("Alçado CD",D244)),ISNUMBER(SEARCH("Alçado BF",D244)),ISNUMBER(SEARCH("Alçado PQ",D244))),20,30),ABS(P244)&gt;=10),"Alerta","Regular")),IF(OR(Q244&gt;=25,ABS(P244)&gt;=20),"Alarme",IF(OR(Q244&gt;=15,ABS(P244)&gt;=10),"Alerta","Regular"))))</x:f>
        <x:v>Regular</x:v>
      </x:c>
      <x:c r="S244" t="str">
        <x:v>RELATÓRIO ALVOS TOPOGRÁFICOS - Empreitada THE EDEN, Estoril_ R09_31-10-25(1).pdf</x:v>
      </x:c>
      <x:c r="T244" t="n">
        <x:v>18</x:v>
      </x:c>
    </x:row>
    <x:row r="245">
      <x:c r="A245" s="48" t="n">
        <x:v>45961</x:v>
      </x:c>
      <x:c r="B245" t="n">
        <x:v>9</x:v>
      </x:c>
      <x:c r="C245" t="str">
        <x:v>B2</x:v>
      </x:c>
      <x:c r="D245" t="str">
        <x:v>Restaurante Cimas</x:v>
      </x:c>
      <x:c r="E245" s="66" t="n">
        <x:v>5055.3611</x:v>
      </x:c>
      <x:c r="F245" s="66" t="n">
        <x:v>5037.652</x:v>
      </x:c>
      <x:c r="G245" s="66" t="n">
        <x:v>53.9202</x:v>
      </x:c>
      <x:c r="H245" s="66" t="n">
        <x:v>5055.3574</x:v>
      </x:c>
      <x:c r="I245" s="66" t="n">
        <x:v>5037.6488</x:v>
      </x:c>
      <x:c r="J245" s="66" t="n">
        <x:v>53.9211</x:v>
      </x:c>
      <x:c r="K245" s="50" t="n">
        <x:v>-2.5</x:v>
      </x:c>
      <x:c r="L245" s="50" t="n">
        <x:v>0.6</x:v>
      </x:c>
      <x:c r="M245" s="50" t="n">
        <x:v>-0.5</x:v>
      </x:c>
      <x:c r="N245" s="50" t="n">
        <x:v>-3.7</x:v>
      </x:c>
      <x:c r="O245" s="50" t="n">
        <x:v>-3.2</x:v>
      </x:c>
      <x:c r="P245" s="50" t="n">
        <x:v>0.9</x:v>
      </x:c>
      <x:c r="Q245" s="50" t="n">
        <x:f>IF(COUNT(N245:O245)&lt;2,"",SQRT(N245^2+O245^2))</x:f>
        <x:v>4.8918299234540035</x:v>
      </x:c>
      <x:c r="R245" t="str">
        <x:f>IF(COUNT(H245:P245)=0,"Sem leitura",IF(ISNUMBER(SEARCH("Escavação",D245)),IF(OR(Q245&gt;=40,ABS(P245)&gt;=15),"Alarme",IF(OR(Q245&gt;=IF(OR(ISNUMBER(SEARCH("Alçado AB",D245)),ISNUMBER(SEARCH("Alçado CD",D245)),ISNUMBER(SEARCH("Alçado BF",D245)),ISNUMBER(SEARCH("Alçado PQ",D245))),20,30),ABS(P245)&gt;=10),"Alerta","Regular")),IF(OR(Q245&gt;=25,ABS(P245)&gt;=20),"Alarme",IF(OR(Q245&gt;=15,ABS(P245)&gt;=10),"Alerta","Regular"))))</x:f>
        <x:v>Regular</x:v>
      </x:c>
      <x:c r="S245" t="str">
        <x:v>RELATÓRIO ALVOS TOPOGRÁFICOS - Empreitada THE EDEN, Estoril_ R09_31-10-25(1).pdf</x:v>
      </x:c>
      <x:c r="T245" t="n">
        <x:v>18</x:v>
      </x:c>
    </x:row>
    <x:row r="246">
      <x:c r="A246" s="48" t="n">
        <x:v>45961</x:v>
      </x:c>
      <x:c r="B246" t="n">
        <x:v>9</x:v>
      </x:c>
      <x:c r="C246" t="str">
        <x:v>B3</x:v>
      </x:c>
      <x:c r="D246" t="str">
        <x:v>Restaurante Cimas</x:v>
      </x:c>
      <x:c r="E246" s="66" t="n">
        <x:v>5053.1267</x:v>
      </x:c>
      <x:c r="F246" s="66" t="n">
        <x:v>5028.5694</x:v>
      </x:c>
      <x:c r="G246" s="66" t="n">
        <x:v>55.8769</x:v>
      </x:c>
      <x:c r="H246" s="66" t="n">
        <x:v>5053.1225</x:v>
      </x:c>
      <x:c r="I246" s="66" t="n">
        <x:v>5028.5705</x:v>
      </x:c>
      <x:c r="J246" s="66" t="n">
        <x:v>55.8773</x:v>
      </x:c>
      <x:c r="K246" s="50" t="n">
        <x:v>-1.7</x:v>
      </x:c>
      <x:c r="L246" s="50" t="n">
        <x:v>0.9</x:v>
      </x:c>
      <x:c r="M246" s="50" t="n">
        <x:v>-0.2</x:v>
      </x:c>
      <x:c r="N246" s="50" t="n">
        <x:v>-4.2</x:v>
      </x:c>
      <x:c r="O246" s="50" t="n">
        <x:v>1.1</x:v>
      </x:c>
      <x:c r="P246" s="50" t="n">
        <x:v>0.4</x:v>
      </x:c>
      <x:c r="Q246" s="50" t="n">
        <x:f>IF(COUNT(N246:O246)&lt;2,"",SQRT(N246^2+O246^2))</x:f>
        <x:v>4.341658669218482</x:v>
      </x:c>
      <x:c r="R246" t="str">
        <x:f>IF(COUNT(H246:P246)=0,"Sem leitura",IF(ISNUMBER(SEARCH("Escavação",D246)),IF(OR(Q246&gt;=40,ABS(P246)&gt;=15),"Alarme",IF(OR(Q246&gt;=IF(OR(ISNUMBER(SEARCH("Alçado AB",D246)),ISNUMBER(SEARCH("Alçado CD",D246)),ISNUMBER(SEARCH("Alçado BF",D246)),ISNUMBER(SEARCH("Alçado PQ",D246))),20,30),ABS(P246)&gt;=10),"Alerta","Regular")),IF(OR(Q246&gt;=25,ABS(P246)&gt;=20),"Alarme",IF(OR(Q246&gt;=15,ABS(P246)&gt;=10),"Alerta","Regular"))))</x:f>
        <x:v>Regular</x:v>
      </x:c>
      <x:c r="S246" t="str">
        <x:v>RELATÓRIO ALVOS TOPOGRÁFICOS - Empreitada THE EDEN, Estoril_ R09_31-10-25(1).pdf</x:v>
      </x:c>
      <x:c r="T246" t="n">
        <x:v>18</x:v>
      </x:c>
    </x:row>
    <x:row r="247">
      <x:c r="A247" s="48" t="n">
        <x:v>45961</x:v>
      </x:c>
      <x:c r="B247" t="n">
        <x:v>9</x:v>
      </x:c>
      <x:c r="C247" t="str">
        <x:v>B4</x:v>
      </x:c>
      <x:c r="D247" t="str">
        <x:v>Restaurante Cimas</x:v>
      </x:c>
      <x:c r="E247" s="66" t="n">
        <x:v>5053.123</x:v>
      </x:c>
      <x:c r="F247" s="66" t="n">
        <x:v>5028.5786</x:v>
      </x:c>
      <x:c r="G247" s="66" t="n">
        <x:v>54.1591</x:v>
      </x:c>
      <x:c r="H247" s="66" t="n">
        <x:v>5053.1191</x:v>
      </x:c>
      <x:c r="I247" s="66" t="n">
        <x:v>5028.5772</x:v>
      </x:c>
      <x:c r="J247" s="66" t="n">
        <x:v>54.1596</x:v>
      </x:c>
      <x:c r="K247" s="50" t="n">
        <x:v>-2.1</x:v>
      </x:c>
      <x:c r="L247" s="50" t="n">
        <x:v>1.3</x:v>
      </x:c>
      <x:c r="M247" s="50" t="n">
        <x:v>-0.2</x:v>
      </x:c>
      <x:c r="N247" s="50" t="n">
        <x:v>-3.9</x:v>
      </x:c>
      <x:c r="O247" s="50" t="n">
        <x:v>-1.4</x:v>
      </x:c>
      <x:c r="P247" s="50" t="n">
        <x:v>0.5</x:v>
      </x:c>
      <x:c r="Q247" s="50" t="n">
        <x:f>IF(COUNT(N247:O247)&lt;2,"",SQRT(N247^2+O247^2))</x:f>
        <x:v>4.1436698710201325</x:v>
      </x:c>
      <x:c r="R247" t="str">
        <x:f>IF(COUNT(H247:P247)=0,"Sem leitura",IF(ISNUMBER(SEARCH("Escavação",D247)),IF(OR(Q247&gt;=40,ABS(P247)&gt;=15),"Alarme",IF(OR(Q247&gt;=IF(OR(ISNUMBER(SEARCH("Alçado AB",D247)),ISNUMBER(SEARCH("Alçado CD",D247)),ISNUMBER(SEARCH("Alçado BF",D247)),ISNUMBER(SEARCH("Alçado PQ",D247))),20,30),ABS(P247)&gt;=10),"Alerta","Regular")),IF(OR(Q247&gt;=25,ABS(P247)&gt;=20),"Alarme",IF(OR(Q247&gt;=15,ABS(P247)&gt;=10),"Alerta","Regular"))))</x:f>
        <x:v>Regular</x:v>
      </x:c>
      <x:c r="S247" t="str">
        <x:v>RELATÓRIO ALVOS TOPOGRÁFICOS - Empreitada THE EDEN, Estoril_ R09_31-10-25(1).pdf</x:v>
      </x:c>
      <x:c r="T247" t="n">
        <x:v>18</x:v>
      </x:c>
    </x:row>
  </x:sheetData>
  <x:conditionalFormatting sqref="R2:R81">
    <x:cfRule type="expression" dxfId="0" priority="1">
      <x:formula>$R2="Regular"</x:formula>
    </x:cfRule>
    <x:cfRule type="expression" dxfId="1" priority="2">
      <x:formula>$R2="Alerta"</x:formula>
    </x:cfRule>
    <x:cfRule type="expression" dxfId="2" priority="3">
      <x:formula>$R2="Alarme"</x:formula>
    </x:cfRule>
  </x:conditionalFormatting>
  <x:conditionalFormatting sqref="Q2:Q81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{70358E87-DB45-17E6-4349-97949A8A1664}</x14:id>
        </x:ext>
      </x:extLst>
    </x:cfRule>
  </x:conditionalFormatting>
  <x:conditionalFormatting sqref="R2:R247">
    <x:cfRule type="expression" dxfId="8" priority="5">
      <x:formula>$R2="Regular"</x:formula>
    </x:cfRule>
    <x:cfRule type="expression" dxfId="9" priority="6">
      <x:formula>$R2="Alerta"</x:formula>
    </x:cfRule>
    <x:cfRule type="expression" dxfId="10" priority="7">
      <x:formula>$R2="Alarme"</x:formula>
    </x:cfRule>
    <x:cfRule type="expression" dxfId="11" priority="8">
      <x:formula>$R2="Sem leitura"</x:formula>
    </x:cfRule>
  </x:conditionalFormatting>
  <x:conditionalFormatting sqref="Q2:Q247">
    <x:cfRule type="dataBar" priority="9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{955C9859-708A-DD51-8FCB-9465862E5FB7}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feed4deb285f4a8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70358E87-DB45-17E6-4349-97949A8A1664}">
            <x14:dataBar gradient="1">
              <x14:cfvo type="min"/>
              <x14:cfvo type="max"/>
              <x14:fillColor rgb="FF5B9BD5"/>
            </x14:dataBar>
          </x14:cfRule>
          <xm:sqref>Q2:Q81</xm:sqref>
        </x14:conditionalFormatting>
        <x14:conditionalFormatting>
          <x14:cfRule type="dataBar" priority="9" id="{955C9859-708A-DD51-8FCB-9465862E5FB7}">
            <x14:dataBar gradient="1">
              <x14:cfvo type="min"/>
              <x14:cfvo type="max"/>
              <x14:fillColor rgb="FF5B9BD5"/>
            </x14:dataBar>
          </x14:cfRule>
          <xm:sqref>Q2:Q247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9" hidden="0" customWidth="1"/>
    <x:col min="5" max="5" width="25" hidden="0" customWidth="1"/>
    <x:col min="6" max="6" width="22" hidden="0" customWidth="1"/>
    <x:col min="7" max="7" width="21" hidden="0" customWidth="1"/>
    <x:col min="8" max="8" width="21" hidden="0" customWidth="1"/>
    <x:col min="9" max="9" width="22" hidden="0" customWidth="1"/>
    <x:col min="10" max="10" width="24" hidden="0" customWidth="1"/>
    <x:col min="11" max="11" width="68" hidden="0" customWidth="1"/>
    <x:col min="12" max="12" width="9" hidden="0" customWidth="1"/>
  </x:cols>
  <x:sheetData>
    <x:row r="1" ht="32" customHeight="1">
      <x:c r="A1" s="60" t="str">
        <x:v>Data</x:v>
      </x:c>
      <x:c r="B1" s="60" t="str">
        <x:v>Campanha geral</x:v>
      </x:c>
      <x:c r="C1" s="60" t="str">
        <x:v>Inclinómetro</x:v>
      </x:c>
      <x:c r="D1" s="60" t="str">
        <x:v>Leitura do instrumento</x:v>
      </x:c>
      <x:c r="E1" s="60" t="str">
        <x:v>Máx. desloc. acumulado total (mm)</x:v>
      </x:c>
      <x:c r="F1" s="60" t="str">
        <x:v>Profundidade do máximo (m)</x:v>
      </x:c>
      <x:c r="G1" s="60" t="str">
        <x:v>Desl. A no máximo (mm)</x:v>
      </x:c>
      <x:c r="H1" s="60" t="str">
        <x:v>Desl. B no máximo (mm)</x:v>
      </x:c>
      <x:c r="I1" s="60" t="str">
        <x:v>Máx. |desloc. parcial| (mm)</x:v>
      </x:c>
      <x:c r="J1" s="60" t="str">
        <x:v>Profundidade do máx. parcial (m)</x:v>
      </x:c>
      <x:c r="K1" s="60" t="str">
        <x:v>Ficheiro fonte</x:v>
      </x:c>
      <x:c r="L1" s="60" t="str">
        <x:v>Página</x:v>
      </x:c>
    </x:row>
    <x:row r="2">
      <x:c r="A2" s="48" t="n">
        <x:v>45936</x:v>
      </x:c>
      <x:c r="B2" t="n">
        <x:v>1</x:v>
      </x:c>
      <x:c r="C2" t="str">
        <x:v>I1</x:v>
      </x:c>
      <x:c r="D2" t="n">
        <x:v>1</x:v>
      </x:c>
      <x:c r="E2" s="50" t="n">
        <x:v>5.62</x:v>
      </x:c>
      <x:c r="F2" s="50" t="n">
        <x:v>0.5</x:v>
      </x:c>
      <x:c r="G2" s="50" t="n">
        <x:v>0.5</x:v>
      </x:c>
      <x:c r="H2" s="50" t="n">
        <x:v>-5.59</x:v>
      </x:c>
      <x:c r="I2" s="50" t="n">
        <x:v>5.62</x:v>
      </x:c>
      <x:c r="J2" s="50" t="n">
        <x:v>0.5</x:v>
      </x:c>
      <x:c r="K2" t="str">
        <x:v>RELATÓRIO LEITURAS INCLINOMÉTRICAS - Empreitada THE EDEN, Estoril_ R05_03-11-25.pdf</x:v>
      </x:c>
      <x:c r="L2" t="n">
        <x:v>6</x:v>
      </x:c>
    </x:row>
    <x:row r="3">
      <x:c r="A3" s="48" t="n">
        <x:v>45936</x:v>
      </x:c>
      <x:c r="B3" t="n">
        <x:v>1</x:v>
      </x:c>
      <x:c r="C3" t="str">
        <x:v>I2</x:v>
      </x:c>
      <x:c r="D3" t="n">
        <x:v>1</x:v>
      </x:c>
      <x:c r="E3" s="50" t="n">
        <x:v>1.67</x:v>
      </x:c>
      <x:c r="F3" s="50" t="n">
        <x:v>7.5</x:v>
      </x:c>
      <x:c r="G3" s="50" t="n">
        <x:v>0.16</x:v>
      </x:c>
      <x:c r="H3" s="50" t="n">
        <x:v>1.66</x:v>
      </x:c>
      <x:c r="I3" s="50" t="n">
        <x:v>1.67</x:v>
      </x:c>
      <x:c r="J3" s="50" t="n">
        <x:v>7.5</x:v>
      </x:c>
      <x:c r="K3" t="str">
        <x:v>RELATÓRIO LEITURAS INCLINOMÉTRICAS - Empreitada THE EDEN, Estoril_ R05_03-11-25.pdf</x:v>
      </x:c>
      <x:c r="L3" t="n">
        <x:v>16</x:v>
      </x:c>
    </x:row>
    <x:row r="4">
      <x:c r="A4" s="48" t="n">
        <x:v>45944</x:v>
      </x:c>
      <x:c r="B4" t="n">
        <x:v>2</x:v>
      </x:c>
      <x:c r="C4" t="str">
        <x:v>I1</x:v>
      </x:c>
      <x:c r="D4" t="n">
        <x:v>2</x:v>
      </x:c>
      <x:c r="E4" s="50" t="n">
        <x:v>5.11</x:v>
      </x:c>
      <x:c r="F4" s="50" t="n">
        <x:v>0.5</x:v>
      </x:c>
      <x:c r="G4" s="50" t="n">
        <x:v>0.5</x:v>
      </x:c>
      <x:c r="H4" s="50" t="n">
        <x:v>-5.09</x:v>
      </x:c>
      <x:c r="I4" s="50" t="n">
        <x:v>1.75</x:v>
      </x:c>
      <x:c r="J4" s="50" t="n">
        <x:v>2</x:v>
      </x:c>
      <x:c r="K4" t="str">
        <x:v>RELATÓRIO LEITURAS INCLINOMÉTRICAS - Empreitada THE EDEN, Estoril_ R05_03-11-25.pdf</x:v>
      </x:c>
      <x:c r="L4" t="n">
        <x:v>8</x:v>
      </x:c>
    </x:row>
    <x:row r="5">
      <x:c r="A5" s="48" t="n">
        <x:v>45944</x:v>
      </x:c>
      <x:c r="B5" t="n">
        <x:v>2</x:v>
      </x:c>
      <x:c r="C5" t="str">
        <x:v>I2</x:v>
      </x:c>
      <x:c r="D5" t="n">
        <x:v>2</x:v>
      </x:c>
      <x:c r="E5" s="50" t="n">
        <x:v>0.75</x:v>
      </x:c>
      <x:c r="F5" s="50" t="n">
        <x:v>1.5</x:v>
      </x:c>
      <x:c r="G5" s="50" t="n">
        <x:v>0.25</x:v>
      </x:c>
      <x:c r="H5" s="50" t="n">
        <x:v>-0.7</x:v>
      </x:c>
      <x:c r="I5" s="50" t="n">
        <x:v>1.19</x:v>
      </x:c>
      <x:c r="J5" s="50" t="n">
        <x:v>7.5</x:v>
      </x:c>
      <x:c r="K5" t="str">
        <x:v>RELATÓRIO LEITURAS INCLINOMÉTRICAS - Empreitada THE EDEN, Estoril_ R05_03-11-25.pdf</x:v>
      </x:c>
      <x:c r="L5" t="n">
        <x:v>18</x:v>
      </x:c>
    </x:row>
    <x:row r="6">
      <x:c r="A6" s="48" t="n">
        <x:v>45944</x:v>
      </x:c>
      <x:c r="B6" t="n">
        <x:v>2</x:v>
      </x:c>
      <x:c r="C6" t="str">
        <x:v>I3</x:v>
      </x:c>
      <x:c r="D6" t="n">
        <x:v>1</x:v>
      </x:c>
      <x:c r="E6" s="50" t="n">
        <x:v>2.3</x:v>
      </x:c>
      <x:c r="F6" s="50" t="n">
        <x:v>13</x:v>
      </x:c>
      <x:c r="G6" s="50" t="n">
        <x:v>0.1</x:v>
      </x:c>
      <x:c r="H6" s="50" t="n">
        <x:v>-2.3</x:v>
      </x:c>
      <x:c r="I6" s="50" t="n">
        <x:v>2.3</x:v>
      </x:c>
      <x:c r="J6" s="50" t="n">
        <x:v>13</x:v>
      </x:c>
      <x:c r="K6" t="str">
        <x:v>RELATÓRIO LEITURAS INCLINOMÉTRICAS - Empreitada THE EDEN, Estoril_ R05_03-11-25.pdf</x:v>
      </x:c>
      <x:c r="L6" t="n">
        <x:v>26</x:v>
      </x:c>
    </x:row>
    <x:row r="7">
      <x:c r="A7" s="48" t="n">
        <x:v>45950</x:v>
      </x:c>
      <x:c r="B7" t="n">
        <x:v>3</x:v>
      </x:c>
      <x:c r="C7" t="str">
        <x:v>I1</x:v>
      </x:c>
      <x:c r="D7" t="n">
        <x:v>3</x:v>
      </x:c>
      <x:c r="E7" s="50" t="n">
        <x:v>2.94</x:v>
      </x:c>
      <x:c r="F7" s="50" t="n">
        <x:v>6.5</x:v>
      </x:c>
      <x:c r="G7" s="50" t="n">
        <x:v>2.59</x:v>
      </x:c>
      <x:c r="H7" s="50" t="n">
        <x:v>1.4</x:v>
      </x:c>
      <x:c r="I7" s="50" t="n">
        <x:v>3.5</x:v>
      </x:c>
      <x:c r="J7" s="50" t="n">
        <x:v>0.5</x:v>
      </x:c>
      <x:c r="K7" t="str">
        <x:v>RELATÓRIO LEITURAS INCLINOMÉTRICAS - Empreitada THE EDEN, Estoril_ R05_03-11-25.pdf</x:v>
      </x:c>
      <x:c r="L7" t="n">
        <x:v>10</x:v>
      </x:c>
    </x:row>
    <x:row r="8">
      <x:c r="A8" s="48" t="n">
        <x:v>45950</x:v>
      </x:c>
      <x:c r="B8" t="n">
        <x:v>3</x:v>
      </x:c>
      <x:c r="C8" t="str">
        <x:v>I2</x:v>
      </x:c>
      <x:c r="D8" t="n">
        <x:v>3</x:v>
      </x:c>
      <x:c r="E8" s="50" t="n">
        <x:v>1.01</x:v>
      </x:c>
      <x:c r="F8" s="50" t="n">
        <x:v>7.5</x:v>
      </x:c>
      <x:c r="G8" s="50" t="n">
        <x:v>0.81</x:v>
      </x:c>
      <x:c r="H8" s="50" t="n">
        <x:v>0.6</x:v>
      </x:c>
      <x:c r="I8" s="50" t="n">
        <x:v>0.57</x:v>
      </x:c>
      <x:c r="J8" s="50" t="n">
        <x:v>6.5</x:v>
      </x:c>
      <x:c r="K8" t="str">
        <x:v>RELATÓRIO LEITURAS INCLINOMÉTRICAS - Empreitada THE EDEN, Estoril_ R05_03-11-25.pdf</x:v>
      </x:c>
      <x:c r="L8" t="n">
        <x:v>20</x:v>
      </x:c>
    </x:row>
    <x:row r="9">
      <x:c r="A9" s="48" t="n">
        <x:v>45950</x:v>
      </x:c>
      <x:c r="B9" t="n">
        <x:v>3</x:v>
      </x:c>
      <x:c r="C9" t="str">
        <x:v>I3</x:v>
      </x:c>
      <x:c r="D9" t="n">
        <x:v>2</x:v>
      </x:c>
      <x:c r="E9" s="50" t="n">
        <x:v>2.25</x:v>
      </x:c>
      <x:c r="F9" s="50" t="n">
        <x:v>16</x:v>
      </x:c>
      <x:c r="G9" s="50" t="n">
        <x:v>0.34</x:v>
      </x:c>
      <x:c r="H9" s="50" t="n">
        <x:v>-2.22</x:v>
      </x:c>
      <x:c r="I9" s="50" t="n">
        <x:v>1.93</x:v>
      </x:c>
      <x:c r="J9" s="50" t="n">
        <x:v>4</x:v>
      </x:c>
      <x:c r="K9" t="str">
        <x:v>RELATÓRIO LEITURAS INCLINOMÉTRICAS - Empreitada THE EDEN, Estoril_ R05_03-11-25.pdf</x:v>
      </x:c>
      <x:c r="L9" t="n">
        <x:v>28</x:v>
      </x:c>
    </x:row>
    <x:row r="10">
      <x:c r="A10" s="48" t="n">
        <x:v>45959</x:v>
      </x:c>
      <x:c r="B10" t="n">
        <x:v>4</x:v>
      </x:c>
      <x:c r="C10" t="str">
        <x:v>I1</x:v>
      </x:c>
      <x:c r="D10" t="n">
        <x:v>4</x:v>
      </x:c>
      <x:c r="E10" s="50" t="n">
        <x:v>3.5</x:v>
      </x:c>
      <x:c r="F10" s="50" t="n">
        <x:v>6.5</x:v>
      </x:c>
      <x:c r="G10" s="50" t="n">
        <x:v>3.3</x:v>
      </x:c>
      <x:c r="H10" s="50" t="n">
        <x:v>1.18</x:v>
      </x:c>
      <x:c r="I10" s="50" t="n">
        <x:v>0.56</x:v>
      </x:c>
      <x:c r="J10" s="50" t="n">
        <x:v>6.5</x:v>
      </x:c>
      <x:c r="K10" t="str">
        <x:v>RELATÓRIO LEITURAS INCLINOMÉTRICAS - Empreitada THE EDEN, Estoril_ R05_03-11-25.pdf</x:v>
      </x:c>
      <x:c r="L10" t="n">
        <x:v>12</x:v>
      </x:c>
    </x:row>
    <x:row r="11">
      <x:c r="A11" s="48" t="n">
        <x:v>45959</x:v>
      </x:c>
      <x:c r="B11" t="n">
        <x:v>4</x:v>
      </x:c>
      <x:c r="C11" t="str">
        <x:v>I2</x:v>
      </x:c>
      <x:c r="D11" t="n">
        <x:v>4</x:v>
      </x:c>
      <x:c r="E11" s="50" t="n">
        <x:v>3.52</x:v>
      </x:c>
      <x:c r="F11" s="50" t="n">
        <x:v>10</x:v>
      </x:c>
      <x:c r="G11" s="50" t="n">
        <x:v>2.81</x:v>
      </x:c>
      <x:c r="H11" s="50" t="n">
        <x:v>-2.12</x:v>
      </x:c>
      <x:c r="I11" s="50" t="n">
        <x:v>2.77</x:v>
      </x:c>
      <x:c r="J11" s="50" t="n">
        <x:v>10</x:v>
      </x:c>
      <x:c r="K11" t="str">
        <x:v>RELATÓRIO LEITURAS INCLINOMÉTRICAS - Empreitada THE EDEN, Estoril_ R05_03-11-25.pdf</x:v>
      </x:c>
      <x:c r="L11" t="n">
        <x:v>22</x:v>
      </x:c>
    </x:row>
    <x:row r="12">
      <x:c r="A12" s="48" t="n">
        <x:v>45959</x:v>
      </x:c>
      <x:c r="B12" t="n">
        <x:v>4</x:v>
      </x:c>
      <x:c r="C12" t="str">
        <x:v>I3</x:v>
      </x:c>
      <x:c r="D12" t="n">
        <x:v>3</x:v>
      </x:c>
      <x:c r="E12" s="50" t="n">
        <x:v>3.25</x:v>
      </x:c>
      <x:c r="F12" s="50" t="n">
        <x:v>1.5</x:v>
      </x:c>
      <x:c r="G12" s="50" t="n">
        <x:v>0.13</x:v>
      </x:c>
      <x:c r="H12" s="50" t="n">
        <x:v>-3.24</x:v>
      </x:c>
      <x:c r="I12" s="50" t="n">
        <x:v>3.06</x:v>
      </x:c>
      <x:c r="J12" s="50" t="n">
        <x:v>1.5</x:v>
      </x:c>
      <x:c r="K12" t="str">
        <x:v>RELATÓRIO LEITURAS INCLINOMÉTRICAS - Empreitada THE EDEN, Estoril_ R05_03-11-25.pdf</x:v>
      </x:c>
      <x:c r="L12" t="n">
        <x:v>30</x:v>
      </x:c>
    </x:row>
    <x:row r="13">
      <x:c r="A13" s="48" t="n">
        <x:v>45964</x:v>
      </x:c>
      <x:c r="B13" t="n">
        <x:v>5</x:v>
      </x:c>
      <x:c r="C13" t="str">
        <x:v>I1</x:v>
      </x:c>
      <x:c r="D13" t="n">
        <x:v>5</x:v>
      </x:c>
      <x:c r="E13" s="50" t="n">
        <x:v>4.98</x:v>
      </x:c>
      <x:c r="F13" s="50" t="n">
        <x:v>6</x:v>
      </x:c>
      <x:c r="G13" s="50" t="n">
        <x:v>3.89</x:v>
      </x:c>
      <x:c r="H13" s="50" t="n">
        <x:v>3.1</x:v>
      </x:c>
      <x:c r="I13" s="50" t="n">
        <x:v>1.81</x:v>
      </x:c>
      <x:c r="J13" s="50" t="n">
        <x:v>4</x:v>
      </x:c>
      <x:c r="K13" t="str">
        <x:v>RELATÓRIO LEITURAS INCLINOMÉTRICAS - Empreitada THE EDEN, Estoril_ R05_03-11-25.pdf</x:v>
      </x:c>
      <x:c r="L13" t="n">
        <x:v>14</x:v>
      </x:c>
    </x:row>
    <x:row r="14">
      <x:c r="A14" s="48" t="n">
        <x:v>45964</x:v>
      </x:c>
      <x:c r="B14" t="n">
        <x:v>5</x:v>
      </x:c>
      <x:c r="C14" t="str">
        <x:v>I2</x:v>
      </x:c>
      <x:c r="D14" t="n">
        <x:v>5</x:v>
      </x:c>
      <x:c r="E14" s="50" t="n">
        <x:v>4.65</x:v>
      </x:c>
      <x:c r="F14" s="50" t="n">
        <x:v>10.5</x:v>
      </x:c>
      <x:c r="G14" s="50" t="n">
        <x:v>3.05</x:v>
      </x:c>
      <x:c r="H14" s="50" t="n">
        <x:v>-3.52</x:v>
      </x:c>
      <x:c r="I14" s="50" t="n">
        <x:v>2.69</x:v>
      </x:c>
      <x:c r="J14" s="50" t="n">
        <x:v>1.5</x:v>
      </x:c>
      <x:c r="K14" t="str">
        <x:v>RELATÓRIO LEITURAS INCLINOMÉTRICAS - Empreitada THE EDEN, Estoril_ R05_03-11-25.pdf</x:v>
      </x:c>
      <x:c r="L14" t="n">
        <x:v>24</x:v>
      </x:c>
    </x:row>
    <x:row r="15">
      <x:c r="A15" s="48" t="n">
        <x:v>45964</x:v>
      </x:c>
      <x:c r="B15" t="n">
        <x:v>5</x:v>
      </x:c>
      <x:c r="C15" t="str">
        <x:v>I3</x:v>
      </x:c>
      <x:c r="D15" t="n">
        <x:v>4</x:v>
      </x:c>
      <x:c r="E15" s="50" t="n">
        <x:v>1.99</x:v>
      </x:c>
      <x:c r="F15" s="50" t="n">
        <x:v>13</x:v>
      </x:c>
      <x:c r="G15" s="50" t="n">
        <x:v>0.58</x:v>
      </x:c>
      <x:c r="H15" s="50" t="n">
        <x:v>-1.9</x:v>
      </x:c>
      <x:c r="I15" s="50" t="n">
        <x:v>1.78</x:v>
      </x:c>
      <x:c r="J15" s="50" t="n">
        <x:v>1.5</x:v>
      </x:c>
      <x:c r="K15" t="str">
        <x:v>RELATÓRIO LEITURAS INCLINOMÉTRICAS - Empreitada THE EDEN, Estoril_ R05_03-11-25.pdf</x:v>
      </x:c>
      <x:c r="L15" t="n">
        <x:v>32</x:v>
      </x:c>
    </x:row>
    <x:row r="16">
      <x:c r="A16" s="48" t="n">
        <x:v>45971</x:v>
      </x:c>
      <x:c r="B16" t="n">
        <x:v>6</x:v>
      </x:c>
      <x:c r="C16" t="str">
        <x:v>I1</x:v>
      </x:c>
      <x:c r="D16" t="n">
        <x:v>6</x:v>
      </x:c>
      <x:c r="E16" s="50" t="n">
        <x:v>4.24</x:v>
      </x:c>
      <x:c r="F16" s="50" t="n">
        <x:v>6.5</x:v>
      </x:c>
      <x:c r="G16" s="50" t="n">
        <x:v>3.42</x:v>
      </x:c>
      <x:c r="H16" s="50" t="n">
        <x:v>2.51</x:v>
      </x:c>
      <x:c r="I16" s="50" t="n">
        <x:v>0.95</x:v>
      </x:c>
      <x:c r="J16" s="50" t="n">
        <x:v>1.5</x:v>
      </x:c>
      <x:c r="K16" t="str">
        <x:v>RELATÓRIO LEITURAS INCLINOMÉTRICAS - Empreitada THE EDEN, Estoril_ R10_09-12-25.pdf</x:v>
      </x:c>
      <x:c r="L16" t="n">
        <x:v>16</x:v>
      </x:c>
    </x:row>
    <x:row r="17">
      <x:c r="A17" s="48" t="n">
        <x:v>45971</x:v>
      </x:c>
      <x:c r="B17" t="n">
        <x:v>6</x:v>
      </x:c>
      <x:c r="C17" t="str">
        <x:v>I2</x:v>
      </x:c>
      <x:c r="D17" t="n">
        <x:v>6</x:v>
      </x:c>
      <x:c r="E17" s="50" t="n">
        <x:v>4.44</x:v>
      </x:c>
      <x:c r="F17" s="50" t="n">
        <x:v>10.5</x:v>
      </x:c>
      <x:c r="G17" s="50" t="n">
        <x:v>2.86</x:v>
      </x:c>
      <x:c r="H17" s="50" t="n">
        <x:v>-3.4</x:v>
      </x:c>
      <x:c r="I17" s="50" t="n">
        <x:v>0.73</x:v>
      </x:c>
      <x:c r="J17" s="50" t="n">
        <x:v>1.5</x:v>
      </x:c>
      <x:c r="K17" t="str">
        <x:v>RELATÓRIO LEITURAS INCLINOMÉTRICAS - Empreitada THE EDEN, Estoril_ R10_09-12-25.pdf</x:v>
      </x:c>
      <x:c r="L17" t="n">
        <x:v>36</x:v>
      </x:c>
    </x:row>
    <x:row r="18">
      <x:c r="A18" s="48" t="n">
        <x:v>45978</x:v>
      </x:c>
      <x:c r="B18" t="n">
        <x:v>7</x:v>
      </x:c>
      <x:c r="C18" t="str">
        <x:v>I1</x:v>
      </x:c>
      <x:c r="D18" t="n">
        <x:v>7</x:v>
      </x:c>
      <x:c r="E18" s="50" t="n">
        <x:v>5.27</x:v>
      </x:c>
      <x:c r="F18" s="50" t="n">
        <x:v>1.5</x:v>
      </x:c>
      <x:c r="G18" s="50" t="n">
        <x:v>1.57</x:v>
      </x:c>
      <x:c r="H18" s="50" t="n">
        <x:v>5.03</x:v>
      </x:c>
      <x:c r="I18" s="50" t="n">
        <x:v>1.6</x:v>
      </x:c>
      <x:c r="J18" s="50" t="n">
        <x:v>1.5</x:v>
      </x:c>
      <x:c r="K18" t="str">
        <x:v>RELATÓRIO LEITURAS INCLINOMÉTRICAS - Empreitada THE EDEN, Estoril_ R10_09-12-25.pdf</x:v>
      </x:c>
      <x:c r="L18" t="n">
        <x:v>18</x:v>
      </x:c>
    </x:row>
    <x:row r="19">
      <x:c r="A19" s="48" t="n">
        <x:v>45978</x:v>
      </x:c>
      <x:c r="B19" t="n">
        <x:v>7</x:v>
      </x:c>
      <x:c r="C19" t="str">
        <x:v>I2</x:v>
      </x:c>
      <x:c r="D19" t="n">
        <x:v>7</x:v>
      </x:c>
      <x:c r="E19" s="50" t="n">
        <x:v>5.02</x:v>
      </x:c>
      <x:c r="F19" s="50" t="n">
        <x:v>6</x:v>
      </x:c>
      <x:c r="G19" s="50" t="n">
        <x:v>2.88</x:v>
      </x:c>
      <x:c r="H19" s="50" t="n">
        <x:v>-4.11</x:v>
      </x:c>
      <x:c r="I19" s="50" t="n">
        <x:v>1.17</x:v>
      </x:c>
      <x:c r="J19" s="50" t="n">
        <x:v>3</x:v>
      </x:c>
      <x:c r="K19" t="str">
        <x:v>RELATÓRIO LEITURAS INCLINOMÉTRICAS - Empreitada THE EDEN, Estoril_ R10_09-12-25.pdf</x:v>
      </x:c>
      <x:c r="L19" t="n">
        <x:v>38</x:v>
      </x:c>
    </x:row>
    <x:row r="20">
      <x:c r="A20" s="48" t="n">
        <x:v>45978</x:v>
      </x:c>
      <x:c r="B20" t="n">
        <x:v>6</x:v>
      </x:c>
      <x:c r="C20" t="str">
        <x:v>I3</x:v>
      </x:c>
      <x:c r="D20" t="n">
        <x:v>6</x:v>
      </x:c>
      <x:c r="E20" s="50" t="n">
        <x:v>1.79</x:v>
      </x:c>
      <x:c r="F20" s="50" t="n">
        <x:v>8.5</x:v>
      </x:c>
      <x:c r="G20" s="50" t="n">
        <x:v>0.84</x:v>
      </x:c>
      <x:c r="H20" s="50" t="n">
        <x:v>-1.58</x:v>
      </x:c>
      <x:c r="I20" s="50" t="n">
        <x:v>1.21</x:v>
      </x:c>
      <x:c r="J20" s="50" t="n">
        <x:v>0.5</x:v>
      </x:c>
      <x:c r="K20" t="str">
        <x:v>RELATÓRIO LEITURAS INCLINOMÉTRICAS - Empreitada THE EDEN, Estoril_ R10_09-12-25.pdf</x:v>
      </x:c>
      <x:c r="L20" t="n">
        <x:v>56</x:v>
      </x:c>
    </x:row>
    <x:row r="21">
      <x:c r="A21" s="48" t="n">
        <x:v>45985</x:v>
      </x:c>
      <x:c r="B21" t="n">
        <x:v>8</x:v>
      </x:c>
      <x:c r="C21" t="str">
        <x:v>I1</x:v>
      </x:c>
      <x:c r="D21" t="n">
        <x:v>8</x:v>
      </x:c>
      <x:c r="E21" s="50" t="n">
        <x:v>6.66</x:v>
      </x:c>
      <x:c r="F21" s="50" t="n">
        <x:v>6</x:v>
      </x:c>
      <x:c r="G21" s="50" t="n">
        <x:v>3.68</x:v>
      </x:c>
      <x:c r="H21" s="50" t="n">
        <x:v>5.55</x:v>
      </x:c>
      <x:c r="I21" s="50" t="n">
        <x:v>1.96</x:v>
      </x:c>
      <x:c r="J21" s="50" t="n">
        <x:v>7.5</x:v>
      </x:c>
      <x:c r="K21" t="str">
        <x:v>RELATÓRIO LEITURAS INCLINOMÉTRICAS - Empreitada THE EDEN, Estoril_ R10_09-12-25.pdf</x:v>
      </x:c>
      <x:c r="L21" t="n">
        <x:v>20</x:v>
      </x:c>
    </x:row>
    <x:row r="22">
      <x:c r="A22" s="48" t="n">
        <x:v>45985</x:v>
      </x:c>
      <x:c r="B22" t="n">
        <x:v>8</x:v>
      </x:c>
      <x:c r="C22" t="str">
        <x:v>I2</x:v>
      </x:c>
      <x:c r="D22" t="n">
        <x:v>8</x:v>
      </x:c>
      <x:c r="E22" s="50" t="n">
        <x:v>4.6</x:v>
      </x:c>
      <x:c r="F22" s="50" t="n">
        <x:v>11.5</x:v>
      </x:c>
      <x:c r="G22" s="50" t="n">
        <x:v>3.06</x:v>
      </x:c>
      <x:c r="H22" s="50" t="n">
        <x:v>-3.43</x:v>
      </x:c>
      <x:c r="I22" s="50" t="n">
        <x:v>0.99</x:v>
      </x:c>
      <x:c r="J22" s="50" t="n">
        <x:v>1.5</x:v>
      </x:c>
      <x:c r="K22" t="str">
        <x:v>RELATÓRIO LEITURAS INCLINOMÉTRICAS - Empreitada THE EDEN, Estoril_ R10_09-12-25.pdf</x:v>
      </x:c>
      <x:c r="L22" t="n">
        <x:v>40</x:v>
      </x:c>
    </x:row>
    <x:row r="23">
      <x:c r="A23" s="48" t="n">
        <x:v>45985</x:v>
      </x:c>
      <x:c r="B23" t="n">
        <x:v>7</x:v>
      </x:c>
      <x:c r="C23" t="str">
        <x:v>I3</x:v>
      </x:c>
      <x:c r="D23" t="n">
        <x:v>7</x:v>
      </x:c>
      <x:c r="E23" s="50" t="n">
        <x:v>2.08</x:v>
      </x:c>
      <x:c r="F23" s="50" t="n">
        <x:v>5.5</x:v>
      </x:c>
      <x:c r="G23" s="50" t="n">
        <x:v>1.84</x:v>
      </x:c>
      <x:c r="H23" s="50" t="n">
        <x:v>-0.97</x:v>
      </x:c>
      <x:c r="I23" s="50" t="n">
        <x:v>1.96</x:v>
      </x:c>
      <x:c r="J23" s="50" t="n">
        <x:v>7.5</x:v>
      </x:c>
      <x:c r="K23" t="str">
        <x:v>RELATÓRIO LEITURAS INCLINOMÉTRICAS - Empreitada THE EDEN, Estoril_ R10_09-12-25.pdf</x:v>
      </x:c>
      <x:c r="L23" t="n">
        <x:v>58</x:v>
      </x:c>
    </x:row>
    <x:row r="24">
      <x:c r="A24" s="48" t="n">
        <x:v>45993</x:v>
      </x:c>
      <x:c r="B24" t="n">
        <x:v>9</x:v>
      </x:c>
      <x:c r="C24" t="str">
        <x:v>I1</x:v>
      </x:c>
      <x:c r="D24" t="n">
        <x:v>9</x:v>
      </x:c>
      <x:c r="E24" s="50" t="n">
        <x:v>8.33</x:v>
      </x:c>
      <x:c r="F24" s="50" t="n">
        <x:v>6</x:v>
      </x:c>
      <x:c r="G24" s="50" t="n">
        <x:v>3.38</x:v>
      </x:c>
      <x:c r="H24" s="50" t="n">
        <x:v>7.62</x:v>
      </x:c>
      <x:c r="I24" s="50" t="n">
        <x:v>1.86</x:v>
      </x:c>
      <x:c r="J24" s="50" t="n">
        <x:v>1.5</x:v>
      </x:c>
      <x:c r="K24" t="str">
        <x:v>RELATÓRIO LEITURAS INCLINOMÉTRICAS - Empreitada THE EDEN, Estoril_ R10_09-12-25.pdf</x:v>
      </x:c>
      <x:c r="L24" t="n">
        <x:v>22</x:v>
      </x:c>
    </x:row>
    <x:row r="25">
      <x:c r="A25" s="48" t="n">
        <x:v>45993</x:v>
      </x:c>
      <x:c r="B25" t="n">
        <x:v>9</x:v>
      </x:c>
      <x:c r="C25" t="str">
        <x:v>I2</x:v>
      </x:c>
      <x:c r="D25" t="n">
        <x:v>9</x:v>
      </x:c>
      <x:c r="E25" s="50" t="n">
        <x:v>7.93</x:v>
      </x:c>
      <x:c r="F25" s="50" t="n">
        <x:v>11.5</x:v>
      </x:c>
      <x:c r="G25" s="50" t="n">
        <x:v>5.9</x:v>
      </x:c>
      <x:c r="H25" s="50" t="n">
        <x:v>-5.29</x:v>
      </x:c>
      <x:c r="I25" s="50" t="n">
        <x:v>3.42</x:v>
      </x:c>
      <x:c r="J25" s="50" t="n">
        <x:v>12.5</x:v>
      </x:c>
      <x:c r="K25" t="str">
        <x:v>RELATÓRIO LEITURAS INCLINOMÉTRICAS - Empreitada THE EDEN, Estoril_ R10_09-12-25.pdf</x:v>
      </x:c>
      <x:c r="L25" t="n">
        <x:v>42</x:v>
      </x:c>
    </x:row>
    <x:row r="26">
      <x:c r="A26" s="48" t="n">
        <x:v>45993</x:v>
      </x:c>
      <x:c r="B26" t="n">
        <x:v>8</x:v>
      </x:c>
      <x:c r="C26" t="str">
        <x:v>I3</x:v>
      </x:c>
      <x:c r="D26" t="n">
        <x:v>8</x:v>
      </x:c>
      <x:c r="E26" s="50" t="n">
        <x:v>2.98</x:v>
      </x:c>
      <x:c r="F26" s="50" t="n">
        <x:v>6.5</x:v>
      </x:c>
      <x:c r="G26" s="50" t="n">
        <x:v>2.26</x:v>
      </x:c>
      <x:c r="H26" s="50" t="n">
        <x:v>-1.95</x:v>
      </x:c>
      <x:c r="I26" s="50" t="n">
        <x:v>0.95</x:v>
      </x:c>
      <x:c r="J26" s="50" t="n">
        <x:v>3.5</x:v>
      </x:c>
      <x:c r="K26" t="str">
        <x:v>RELATÓRIO LEITURAS INCLINOMÉTRICAS - Empreitada THE EDEN, Estoril_ R10_09-12-25.pdf</x:v>
      </x:c>
      <x:c r="L26" t="n">
        <x:v>60</x:v>
      </x:c>
    </x:row>
    <x:row r="27">
      <x:c r="A27" s="48" t="n">
        <x:v>46000</x:v>
      </x:c>
      <x:c r="B27" t="n">
        <x:v>10</x:v>
      </x:c>
      <x:c r="C27" t="str">
        <x:v>I1</x:v>
      </x:c>
      <x:c r="D27" t="n">
        <x:v>10</x:v>
      </x:c>
      <x:c r="E27" s="50" t="n">
        <x:v>9.72</x:v>
      </x:c>
      <x:c r="F27" s="50" t="n">
        <x:v>6</x:v>
      </x:c>
      <x:c r="G27" s="50" t="n">
        <x:v>4.67</x:v>
      </x:c>
      <x:c r="H27" s="50" t="n">
        <x:v>8.52</x:v>
      </x:c>
      <x:c r="I27" s="50" t="n">
        <x:v>1.49</x:v>
      </x:c>
      <x:c r="J27" s="50" t="n">
        <x:v>0.5</x:v>
      </x:c>
      <x:c r="K27" t="str">
        <x:v>RELATÓRIO LEITURAS INCLINOMÉTRICAS - Empreitada THE EDEN, Estoril_ R10_09-12-25.pdf</x:v>
      </x:c>
      <x:c r="L27" t="n">
        <x:v>24</x:v>
      </x:c>
    </x:row>
    <x:row r="28">
      <x:c r="A28" s="48" t="n">
        <x:v>46000</x:v>
      </x:c>
      <x:c r="B28" t="n">
        <x:v>10</x:v>
      </x:c>
      <x:c r="C28" t="str">
        <x:v>I2</x:v>
      </x:c>
      <x:c r="D28" t="n">
        <x:v>10</x:v>
      </x:c>
      <x:c r="E28" s="50" t="n">
        <x:v>8.62</x:v>
      </x:c>
      <x:c r="F28" s="50" t="n">
        <x:v>11.5</x:v>
      </x:c>
      <x:c r="G28" s="50" t="n">
        <x:v>6.53</x:v>
      </x:c>
      <x:c r="H28" s="50" t="n">
        <x:v>-5.63</x:v>
      </x:c>
      <x:c r="I28" s="50" t="n">
        <x:v>0.83</x:v>
      </x:c>
      <x:c r="J28" s="50" t="n">
        <x:v>6</x:v>
      </x:c>
      <x:c r="K28" t="str">
        <x:v>RELATÓRIO LEITURAS INCLINOMÉTRICAS - Empreitada THE EDEN, Estoril_ R10_09-12-25.pdf</x:v>
      </x:c>
      <x:c r="L28" t="n">
        <x:v>44</x:v>
      </x:c>
    </x:row>
    <x:row r="29">
      <x:c r="A29" s="48" t="n">
        <x:v>46000</x:v>
      </x:c>
      <x:c r="B29" t="n">
        <x:v>9</x:v>
      </x:c>
      <x:c r="C29" t="str">
        <x:v>I3</x:v>
      </x:c>
      <x:c r="D29" t="n">
        <x:v>9</x:v>
      </x:c>
      <x:c r="E29" s="50" t="n">
        <x:v>6.27</x:v>
      </x:c>
      <x:c r="F29" s="50" t="n">
        <x:v>6.5</x:v>
      </x:c>
      <x:c r="G29" s="50" t="n">
        <x:v>5.99</x:v>
      </x:c>
      <x:c r="H29" s="50" t="n">
        <x:v>-1.86</x:v>
      </x:c>
      <x:c r="I29" s="50" t="n">
        <x:v>3.34</x:v>
      </x:c>
      <x:c r="J29" s="50" t="n">
        <x:v>7</x:v>
      </x:c>
      <x:c r="K29" t="str">
        <x:v>RELATÓRIO LEITURAS INCLINOMÉTRICAS - Empreitada THE EDEN, Estoril_ R10_09-12-25.pdf</x:v>
      </x:c>
      <x:c r="L29" t="n">
        <x:v>62</x:v>
      </x:c>
    </x:row>
    <x:row r="30">
      <x:c r="A30" s="48" t="n">
        <x:v>46000</x:v>
      </x:c>
      <x:c r="B30" t="n">
        <x:v>10</x:v>
      </x:c>
      <x:c r="C30" t="str">
        <x:v>I3</x:v>
      </x:c>
      <x:c r="D30" t="n">
        <x:v>10</x:v>
      </x:c>
      <x:c r="E30" s="50" t="n">
        <x:v>6.27</x:v>
      </x:c>
      <x:c r="F30" s="50" t="n">
        <x:v>6.5</x:v>
      </x:c>
      <x:c r="G30" s="50"/>
      <x:c r="H30" s="50"/>
      <x:c r="I30" s="50"/>
      <x:c r="J30" s="50"/>
      <x:c r="K30" t="str">
        <x:v>RELATÓRIO LEITURAS INCLINOMÉTRICAS - Empreitada THE EDEN, Estoril_ R10_09-12-25.pdf</x:v>
      </x:c>
      <x:c r="L30" t="n">
        <x:v>3</x:v>
      </x:c>
    </x:row>
  </x:sheetData>
  <x:conditionalFormatting sqref="E2:E15">
    <x:cfRule type="dataBar" priority="1">
      <x:dataBar>
        <x:cfvo type="min"/>
        <x:cfvo type="max"/>
        <x:color rgb="FF70AD47"/>
      </x:dataBar>
      <x:extLst>
        <x:ext xmlns:x14="http://schemas.microsoft.com/office/spreadsheetml/2009/9/main" uri="{B025F937-C7B1-47D3-B67F-A62EFF666E3E}">
          <x14:id>{229C7DB6-FA0C-B6C4-9E9A-010EA46D2FED}</x14:id>
        </x:ext>
      </x:extLst>
    </x:cfRule>
  </x:conditionalFormatting>
  <x:conditionalFormatting sqref="E2:E30">
    <x:cfRule type="dataBar" priority="2">
      <x:dataBar>
        <x:cfvo type="min"/>
        <x:cfvo type="max"/>
        <x:color rgb="FF70AD47"/>
      </x:dataBar>
      <x:extLst>
        <x:ext xmlns:x14="http://schemas.microsoft.com/office/spreadsheetml/2009/9/main" uri="{B025F937-C7B1-47D3-B67F-A62EFF666E3E}">
          <x14:id>{B1588588-7350-34E1-3449-C21B843E2AAA}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eede470e613d470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29C7DB6-FA0C-B6C4-9E9A-010EA46D2FED}">
            <x14:dataBar gradient="1">
              <x14:cfvo type="min"/>
              <x14:cfvo type="max"/>
              <x14:fillColor rgb="FF70AD47"/>
            </x14:dataBar>
          </x14:cfRule>
          <xm:sqref>E2:E15</xm:sqref>
        </x14:conditionalFormatting>
        <x14:conditionalFormatting>
          <x14:cfRule type="dataBar" priority="2" id="{B1588588-7350-34E1-3449-C21B843E2AAA}">
            <x14:dataBar gradient="1">
              <x14:cfvo type="min"/>
              <x14:cfvo type="max"/>
              <x14:fillColor rgb="FF70AD47"/>
            </x14:dataBar>
          </x14:cfRule>
          <xm:sqref>E2:E30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9" hidden="0" customWidth="1"/>
    <x:col min="5" max="5" width="16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22" hidden="0" customWidth="1"/>
    <x:col min="11" max="11" width="22" hidden="0" customWidth="1"/>
    <x:col min="12" max="12" width="24" hidden="0" customWidth="1"/>
    <x:col min="13" max="13" width="18" hidden="0" customWidth="1"/>
    <x:col min="14" max="14" width="68" hidden="0" customWidth="1"/>
    <x:col min="15" max="15" width="9" hidden="0" customWidth="1"/>
    <x:col min="16" max="16" width="31" hidden="0" customWidth="1"/>
  </x:cols>
  <x:sheetData>
    <x:row r="1" ht="32" customHeight="1">
      <x:c r="A1" s="60" t="str">
        <x:v>Data</x:v>
      </x:c>
      <x:c r="B1" s="60" t="str">
        <x:v>Campanha geral</x:v>
      </x:c>
      <x:c r="C1" s="60" t="str">
        <x:v>Inclinómetro</x:v>
      </x:c>
      <x:c r="D1" s="60" t="str">
        <x:v>Leitura do instrumento</x:v>
      </x:c>
      <x:c r="E1" s="60" t="str">
        <x:v>Profundidade (m)</x:v>
      </x:c>
      <x:c r="F1" s="60" t="str">
        <x:v>A1 (digit)</x:v>
      </x:c>
      <x:c r="G1" s="60" t="str">
        <x:v>A3 (digit)</x:v>
      </x:c>
      <x:c r="H1" s="60" t="str">
        <x:v>B1 (digit)</x:v>
      </x:c>
      <x:c r="I1" s="60" t="str">
        <x:v>B3 (digit)</x:v>
      </x:c>
      <x:c r="J1" s="60" t="str">
        <x:v>Desl. acumulado A (mm)</x:v>
      </x:c>
      <x:c r="K1" s="60" t="str">
        <x:v>Desl. acumulado B (mm)</x:v>
      </x:c>
      <x:c r="L1" s="60" t="str">
        <x:v>Desl. acumulado total (mm)</x:v>
      </x:c>
      <x:c r="M1" s="60" t="str">
        <x:v>Desl. parcial (mm)</x:v>
      </x:c>
      <x:c r="N1" s="60" t="str">
        <x:v>Ficheiro fonte</x:v>
      </x:c>
      <x:c r="O1" s="60" t="str">
        <x:v>Página</x:v>
      </x:c>
      <x:c r="P1" s="75" t="str">
        <x:v>Validade / observação</x:v>
      </x:c>
    </x:row>
    <x:row r="2">
      <x:c r="A2" s="48" t="n">
        <x:v>45936</x:v>
      </x:c>
      <x:c r="B2" t="n">
        <x:v>1</x:v>
      </x:c>
      <x:c r="C2" t="str">
        <x:v>I1</x:v>
      </x:c>
      <x:c r="D2" t="n">
        <x:v>1</x:v>
      </x:c>
      <x:c r="E2" s="50" t="n">
        <x:v>0.5</x:v>
      </x:c>
      <x:c r="F2" s="50" t="n">
        <x:v>-398.81</x:v>
      </x:c>
      <x:c r="G2" s="50" t="n">
        <x:v>398.35</x:v>
      </x:c>
      <x:c r="H2" s="50" t="n">
        <x:v>-829.27</x:v>
      </x:c>
      <x:c r="I2" s="50" t="n">
        <x:v>896.93</x:v>
      </x:c>
      <x:c r="J2" s="50" t="n">
        <x:v>0.5</x:v>
      </x:c>
      <x:c r="K2" s="50" t="n">
        <x:v>-5.59</x:v>
      </x:c>
      <x:c r="L2" s="50" t="n">
        <x:v>5.62</x:v>
      </x:c>
      <x:c r="M2" s="50" t="n">
        <x:v>5.62</x:v>
      </x:c>
      <x:c r="N2" t="str">
        <x:v>RELATÓRIO LEITURAS INCLINOMÉTRICAS - Empreitada THE EDEN, Estoril_ R05_03-11-25.pdf</x:v>
      </x:c>
      <x:c r="O2" t="n">
        <x:v>6</x:v>
      </x:c>
      <x:c r="P2" t="str">
        <x:v>Válida</x:v>
      </x:c>
    </x:row>
    <x:row r="3">
      <x:c r="A3" s="48" t="n">
        <x:v>45936</x:v>
      </x:c>
      <x:c r="B3" t="n">
        <x:v>1</x:v>
      </x:c>
      <x:c r="C3" t="str">
        <x:v>I1</x:v>
      </x:c>
      <x:c r="D3" t="n">
        <x:v>1</x:v>
      </x:c>
      <x:c r="E3" s="50" t="n">
        <x:v>1</x:v>
      </x:c>
      <x:c r="F3" s="50" t="n">
        <x:v>-399.05</x:v>
      </x:c>
      <x:c r="G3" s="50" t="n">
        <x:v>399.19</x:v>
      </x:c>
      <x:c r="H3" s="50" t="n">
        <x:v>-829.59</x:v>
      </x:c>
      <x:c r="I3" s="50" t="n">
        <x:v>896.64</x:v>
      </x:c>
      <x:c r="J3" s="50" t="n">
        <x:v>0.62</x:v>
      </x:c>
      <x:c r="K3" s="50" t="n">
        <x:v>-5.16</x:v>
      </x:c>
      <x:c r="L3" s="50" t="n">
        <x:v>5.19</x:v>
      </x:c>
      <x:c r="M3" s="50" t="n">
        <x:v>5.19</x:v>
      </x:c>
      <x:c r="N3" t="str">
        <x:v>RELATÓRIO LEITURAS INCLINOMÉTRICAS - Empreitada THE EDEN, Estoril_ R05_03-11-25.pdf</x:v>
      </x:c>
      <x:c r="O3" t="n">
        <x:v>6</x:v>
      </x:c>
      <x:c r="P3" t="str">
        <x:v>Válida</x:v>
      </x:c>
    </x:row>
    <x:row r="4">
      <x:c r="A4" s="48" t="n">
        <x:v>45936</x:v>
      </x:c>
      <x:c r="B4" t="n">
        <x:v>1</x:v>
      </x:c>
      <x:c r="C4" t="str">
        <x:v>I1</x:v>
      </x:c>
      <x:c r="D4" t="n">
        <x:v>1</x:v>
      </x:c>
      <x:c r="E4" s="50" t="n">
        <x:v>1.5</x:v>
      </x:c>
      <x:c r="F4" s="50" t="n">
        <x:v>-0.37</x:v>
      </x:c>
      <x:c r="G4" s="50" t="n">
        <x:v>13.94</x:v>
      </x:c>
      <x:c r="H4" s="50" t="n">
        <x:v>-263.65</x:v>
      </x:c>
      <x:c r="I4" s="50" t="n">
        <x:v>286.2</x:v>
      </x:c>
      <x:c r="J4" s="50" t="n">
        <x:v>0.78</x:v>
      </x:c>
      <x:c r="K4" s="50" t="n">
        <x:v>-5.12</x:v>
      </x:c>
      <x:c r="L4" s="50" t="n">
        <x:v>5.18</x:v>
      </x:c>
      <x:c r="M4" s="50" t="n">
        <x:v>5.18</x:v>
      </x:c>
      <x:c r="N4" t="str">
        <x:v>RELATÓRIO LEITURAS INCLINOMÉTRICAS - Empreitada THE EDEN, Estoril_ R05_03-11-25.pdf</x:v>
      </x:c>
      <x:c r="O4" t="n">
        <x:v>6</x:v>
      </x:c>
      <x:c r="P4" t="str">
        <x:v>Válida</x:v>
      </x:c>
    </x:row>
    <x:row r="5">
      <x:c r="A5" s="48" t="n">
        <x:v>45936</x:v>
      </x:c>
      <x:c r="B5" t="n">
        <x:v>1</x:v>
      </x:c>
      <x:c r="C5" t="str">
        <x:v>I1</x:v>
      </x:c>
      <x:c r="D5" t="n">
        <x:v>1</x:v>
      </x:c>
      <x:c r="E5" s="50" t="n">
        <x:v>2</x:v>
      </x:c>
      <x:c r="F5" s="50" t="n">
        <x:v>-2.59</x:v>
      </x:c>
      <x:c r="G5" s="50" t="n">
        <x:v>12.53</x:v>
      </x:c>
      <x:c r="H5" s="50" t="n">
        <x:v>-230.31</x:v>
      </x:c>
      <x:c r="I5" s="50" t="n">
        <x:v>243.1</x:v>
      </x:c>
      <x:c r="J5" s="50" t="n">
        <x:v>0.78</x:v>
      </x:c>
      <x:c r="K5" s="50" t="n">
        <x:v>-5.03</x:v>
      </x:c>
      <x:c r="L5" s="50" t="n">
        <x:v>5.09</x:v>
      </x:c>
      <x:c r="M5" s="50" t="n">
        <x:v>5.09</x:v>
      </x:c>
      <x:c r="N5" t="str">
        <x:v>RELATÓRIO LEITURAS INCLINOMÉTRICAS - Empreitada THE EDEN, Estoril_ R05_03-11-25.pdf</x:v>
      </x:c>
      <x:c r="O5" t="n">
        <x:v>6</x:v>
      </x:c>
      <x:c r="P5" t="str">
        <x:v>Válida</x:v>
      </x:c>
    </x:row>
    <x:row r="6">
      <x:c r="A6" s="48" t="n">
        <x:v>45936</x:v>
      </x:c>
      <x:c r="B6" t="n">
        <x:v>1</x:v>
      </x:c>
      <x:c r="C6" t="str">
        <x:v>I1</x:v>
      </x:c>
      <x:c r="D6" t="n">
        <x:v>1</x:v>
      </x:c>
      <x:c r="E6" s="50" t="n">
        <x:v>2.5</x:v>
      </x:c>
      <x:c r="F6" s="50" t="n">
        <x:v>25.17</x:v>
      </x:c>
      <x:c r="G6" s="50" t="n">
        <x:v>-16.42</x:v>
      </x:c>
      <x:c r="H6" s="50" t="n">
        <x:v>-210.22</x:v>
      </x:c>
      <x:c r="I6" s="50" t="n">
        <x:v>223.91</x:v>
      </x:c>
      <x:c r="J6" s="50" t="n">
        <x:v>0.86</x:v>
      </x:c>
      <x:c r="K6" s="50" t="n">
        <x:v>-4.98</x:v>
      </x:c>
      <x:c r="L6" s="50" t="n">
        <x:v>5.06</x:v>
      </x:c>
      <x:c r="M6" s="50" t="n">
        <x:v>5.06</x:v>
      </x:c>
      <x:c r="N6" t="str">
        <x:v>RELATÓRIO LEITURAS INCLINOMÉTRICAS - Empreitada THE EDEN, Estoril_ R05_03-11-25.pdf</x:v>
      </x:c>
      <x:c r="O6" t="n">
        <x:v>6</x:v>
      </x:c>
      <x:c r="P6" t="str">
        <x:v>Válida</x:v>
      </x:c>
    </x:row>
    <x:row r="7">
      <x:c r="A7" s="48" t="n">
        <x:v>45936</x:v>
      </x:c>
      <x:c r="B7" t="n">
        <x:v>1</x:v>
      </x:c>
      <x:c r="C7" t="str">
        <x:v>I1</x:v>
      </x:c>
      <x:c r="D7" t="n">
        <x:v>1</x:v>
      </x:c>
      <x:c r="E7" s="50" t="n">
        <x:v>3</x:v>
      </x:c>
      <x:c r="F7" s="50" t="n">
        <x:v>8.87</x:v>
      </x:c>
      <x:c r="G7" s="50" t="n">
        <x:v>3.96</x:v>
      </x:c>
      <x:c r="H7" s="50" t="n">
        <x:v>-155.64</x:v>
      </x:c>
      <x:c r="I7" s="50" t="n">
        <x:v>157.55</x:v>
      </x:c>
      <x:c r="J7" s="50" t="n">
        <x:v>0.93</x:v>
      </x:c>
      <x:c r="K7" s="50" t="n">
        <x:v>-5.14</x:v>
      </x:c>
      <x:c r="L7" s="50" t="n">
        <x:v>5.22</x:v>
      </x:c>
      <x:c r="M7" s="50" t="n">
        <x:v>5.22</x:v>
      </x:c>
      <x:c r="N7" t="str">
        <x:v>RELATÓRIO LEITURAS INCLINOMÉTRICAS - Empreitada THE EDEN, Estoril_ R05_03-11-25.pdf</x:v>
      </x:c>
      <x:c r="O7" t="n">
        <x:v>6</x:v>
      </x:c>
      <x:c r="P7" t="str">
        <x:v>Válida</x:v>
      </x:c>
    </x:row>
    <x:row r="8">
      <x:c r="A8" s="48" t="n">
        <x:v>45936</x:v>
      </x:c>
      <x:c r="B8" t="n">
        <x:v>1</x:v>
      </x:c>
      <x:c r="C8" t="str">
        <x:v>I1</x:v>
      </x:c>
      <x:c r="D8" t="n">
        <x:v>1</x:v>
      </x:c>
      <x:c r="E8" s="50" t="n">
        <x:v>3.5</x:v>
      </x:c>
      <x:c r="F8" s="50" t="n">
        <x:v>-8.03</x:v>
      </x:c>
      <x:c r="G8" s="50" t="n">
        <x:v>18.1</x:v>
      </x:c>
      <x:c r="H8" s="50" t="n">
        <x:v>-95.06</x:v>
      </x:c>
      <x:c r="I8" s="50" t="n">
        <x:v>92.17</x:v>
      </x:c>
      <x:c r="J8" s="50" t="n">
        <x:v>0.91</x:v>
      </x:c>
      <x:c r="K8" s="50" t="n">
        <x:v>-5.17</x:v>
      </x:c>
      <x:c r="L8" s="50" t="n">
        <x:v>5.25</x:v>
      </x:c>
      <x:c r="M8" s="50" t="n">
        <x:v>5.25</x:v>
      </x:c>
      <x:c r="N8" t="str">
        <x:v>RELATÓRIO LEITURAS INCLINOMÉTRICAS - Empreitada THE EDEN, Estoril_ R05_03-11-25.pdf</x:v>
      </x:c>
      <x:c r="O8" t="n">
        <x:v>6</x:v>
      </x:c>
      <x:c r="P8" t="str">
        <x:v>Válida</x:v>
      </x:c>
    </x:row>
    <x:row r="9">
      <x:c r="A9" s="48" t="n">
        <x:v>45936</x:v>
      </x:c>
      <x:c r="B9" t="n">
        <x:v>1</x:v>
      </x:c>
      <x:c r="C9" t="str">
        <x:v>I1</x:v>
      </x:c>
      <x:c r="D9" t="n">
        <x:v>1</x:v>
      </x:c>
      <x:c r="E9" s="50" t="n">
        <x:v>4</x:v>
      </x:c>
      <x:c r="F9" s="50" t="n">
        <x:v>61.07</x:v>
      </x:c>
      <x:c r="G9" s="50" t="n">
        <x:v>-52.91</x:v>
      </x:c>
      <x:c r="H9" s="50" t="n">
        <x:v>-65.51</x:v>
      </x:c>
      <x:c r="I9" s="50" t="n">
        <x:v>54.3</x:v>
      </x:c>
      <x:c r="J9" s="50" t="n">
        <x:v>0.93</x:v>
      </x:c>
      <x:c r="K9" s="50" t="n">
        <x:v>-4.88</x:v>
      </x:c>
      <x:c r="L9" s="50" t="n">
        <x:v>4.97</x:v>
      </x:c>
      <x:c r="M9" s="50" t="n">
        <x:v>4.97</x:v>
      </x:c>
      <x:c r="N9" t="str">
        <x:v>RELATÓRIO LEITURAS INCLINOMÉTRICAS - Empreitada THE EDEN, Estoril_ R05_03-11-25.pdf</x:v>
      </x:c>
      <x:c r="O9" t="n">
        <x:v>6</x:v>
      </x:c>
      <x:c r="P9" t="str">
        <x:v>Válida</x:v>
      </x:c>
    </x:row>
    <x:row r="10">
      <x:c r="A10" s="48" t="n">
        <x:v>45936</x:v>
      </x:c>
      <x:c r="B10" t="n">
        <x:v>1</x:v>
      </x:c>
      <x:c r="C10" t="str">
        <x:v>I1</x:v>
      </x:c>
      <x:c r="D10" t="n">
        <x:v>1</x:v>
      </x:c>
      <x:c r="E10" s="50" t="n">
        <x:v>4.5</x:v>
      </x:c>
      <x:c r="F10" s="50" t="n">
        <x:v>51.83</x:v>
      </x:c>
      <x:c r="G10" s="50" t="n">
        <x:v>-43.23</x:v>
      </x:c>
      <x:c r="H10" s="50" t="n">
        <x:v>-30.54</x:v>
      </x:c>
      <x:c r="I10" s="50" t="n">
        <x:v>21.25</x:v>
      </x:c>
      <x:c r="J10" s="50" t="n">
        <x:v>0.98</x:v>
      </x:c>
      <x:c r="K10" s="50" t="n">
        <x:v>-4.64</x:v>
      </x:c>
      <x:c r="L10" s="50" t="n">
        <x:v>4.74</x:v>
      </x:c>
      <x:c r="M10" s="50" t="n">
        <x:v>4.74</x:v>
      </x:c>
      <x:c r="N10" t="str">
        <x:v>RELATÓRIO LEITURAS INCLINOMÉTRICAS - Empreitada THE EDEN, Estoril_ R05_03-11-25.pdf</x:v>
      </x:c>
      <x:c r="O10" t="n">
        <x:v>6</x:v>
      </x:c>
      <x:c r="P10" t="str">
        <x:v>Válida</x:v>
      </x:c>
    </x:row>
    <x:row r="11">
      <x:c r="A11" s="48" t="n">
        <x:v>45936</x:v>
      </x:c>
      <x:c r="B11" t="n">
        <x:v>1</x:v>
      </x:c>
      <x:c r="C11" t="str">
        <x:v>I1</x:v>
      </x:c>
      <x:c r="D11" t="n">
        <x:v>1</x:v>
      </x:c>
      <x:c r="E11" s="50" t="n">
        <x:v>5</x:v>
      </x:c>
      <x:c r="F11" s="50" t="n">
        <x:v>0.51</x:v>
      </x:c>
      <x:c r="G11" s="50" t="n">
        <x:v>8.09</x:v>
      </x:c>
      <x:c r="H11" s="50" t="n">
        <x:v>21.61</x:v>
      </x:c>
      <x:c r="I11" s="50" t="n">
        <x:v>-33.31</x:v>
      </x:c>
      <x:c r="J11" s="50" t="n">
        <x:v>1.03</x:v>
      </x:c>
      <x:c r="K11" s="50" t="n">
        <x:v>-4.46</x:v>
      </x:c>
      <x:c r="L11" s="50" t="n">
        <x:v>4.57</x:v>
      </x:c>
      <x:c r="M11" s="50" t="n">
        <x:v>4.57</x:v>
      </x:c>
      <x:c r="N11" t="str">
        <x:v>RELATÓRIO LEITURAS INCLINOMÉTRICAS - Empreitada THE EDEN, Estoril_ R05_03-11-25.pdf</x:v>
      </x:c>
      <x:c r="O11" t="n">
        <x:v>6</x:v>
      </x:c>
      <x:c r="P11" t="str">
        <x:v>Válida</x:v>
      </x:c>
    </x:row>
    <x:row r="12">
      <x:c r="A12" s="48" t="n">
        <x:v>45936</x:v>
      </x:c>
      <x:c r="B12" t="n">
        <x:v>1</x:v>
      </x:c>
      <x:c r="C12" t="str">
        <x:v>I1</x:v>
      </x:c>
      <x:c r="D12" t="n">
        <x:v>1</x:v>
      </x:c>
      <x:c r="E12" s="50" t="n">
        <x:v>5.5</x:v>
      </x:c>
      <x:c r="F12" s="50" t="n">
        <x:v>-1.12</x:v>
      </x:c>
      <x:c r="G12" s="50" t="n">
        <x:v>9.82</x:v>
      </x:c>
      <x:c r="H12" s="50" t="n">
        <x:v>11.05</x:v>
      </x:c>
      <x:c r="I12" s="50" t="n">
        <x:v>-17.17</x:v>
      </x:c>
      <x:c r="J12" s="50" t="n">
        <x:v>1.07</x:v>
      </x:c>
      <x:c r="K12" s="50" t="n">
        <x:v>-4.19</x:v>
      </x:c>
      <x:c r="L12" s="50" t="n">
        <x:v>4.32</x:v>
      </x:c>
      <x:c r="M12" s="50" t="n">
        <x:v>4.32</x:v>
      </x:c>
      <x:c r="N12" t="str">
        <x:v>RELATÓRIO LEITURAS INCLINOMÉTRICAS - Empreitada THE EDEN, Estoril_ R05_03-11-25.pdf</x:v>
      </x:c>
      <x:c r="O12" t="n">
        <x:v>6</x:v>
      </x:c>
      <x:c r="P12" t="str">
        <x:v>Válida</x:v>
      </x:c>
    </x:row>
    <x:row r="13">
      <x:c r="A13" s="48" t="n">
        <x:v>45936</x:v>
      </x:c>
      <x:c r="B13" t="n">
        <x:v>1</x:v>
      </x:c>
      <x:c r="C13" t="str">
        <x:v>I1</x:v>
      </x:c>
      <x:c r="D13" t="n">
        <x:v>1</x:v>
      </x:c>
      <x:c r="E13" s="50" t="n">
        <x:v>6</x:v>
      </x:c>
      <x:c r="F13" s="50" t="n">
        <x:v>14.28</x:v>
      </x:c>
      <x:c r="G13" s="50" t="n">
        <x:v>-6.19</x:v>
      </x:c>
      <x:c r="H13" s="50" t="n">
        <x:v>-28.37</x:v>
      </x:c>
      <x:c r="I13" s="50" t="n">
        <x:v>30.11</x:v>
      </x:c>
      <x:c r="J13" s="50" t="n">
        <x:v>1.09</x:v>
      </x:c>
      <x:c r="K13" s="50" t="n">
        <x:v>-4.07</x:v>
      </x:c>
      <x:c r="L13" s="50" t="n">
        <x:v>4.21</x:v>
      </x:c>
      <x:c r="M13" s="50" t="n">
        <x:v>4.21</x:v>
      </x:c>
      <x:c r="N13" t="str">
        <x:v>RELATÓRIO LEITURAS INCLINOMÉTRICAS - Empreitada THE EDEN, Estoril_ R05_03-11-25.pdf</x:v>
      </x:c>
      <x:c r="O13" t="n">
        <x:v>6</x:v>
      </x:c>
      <x:c r="P13" t="str">
        <x:v>Válida</x:v>
      </x:c>
    </x:row>
    <x:row r="14">
      <x:c r="A14" s="48" t="n">
        <x:v>45936</x:v>
      </x:c>
      <x:c r="B14" t="n">
        <x:v>1</x:v>
      </x:c>
      <x:c r="C14" t="str">
        <x:v>I1</x:v>
      </x:c>
      <x:c r="D14" t="n">
        <x:v>1</x:v>
      </x:c>
      <x:c r="E14" s="50" t="n">
        <x:v>6.5</x:v>
      </x:c>
      <x:c r="F14" s="50" t="n">
        <x:v>33.1</x:v>
      </x:c>
      <x:c r="G14" s="50" t="n">
        <x:v>-23.01</x:v>
      </x:c>
      <x:c r="H14" s="50" t="n">
        <x:v>-51.4</x:v>
      </x:c>
      <x:c r="I14" s="50" t="n">
        <x:v>49.84</x:v>
      </x:c>
      <x:c r="J14" s="50" t="n">
        <x:v>1.09</x:v>
      </x:c>
      <x:c r="K14" s="50" t="n">
        <x:v>-3.85</x:v>
      </x:c>
      <x:c r="L14" s="50" t="n">
        <x:v>4</x:v>
      </x:c>
      <x:c r="M14" s="50" t="n">
        <x:v>4</x:v>
      </x:c>
      <x:c r="N14" t="str">
        <x:v>RELATÓRIO LEITURAS INCLINOMÉTRICAS - Empreitada THE EDEN, Estoril_ R05_03-11-25.pdf</x:v>
      </x:c>
      <x:c r="O14" t="n">
        <x:v>6</x:v>
      </x:c>
      <x:c r="P14" t="str">
        <x:v>Válida</x:v>
      </x:c>
    </x:row>
    <x:row r="15">
      <x:c r="A15" s="48" t="n">
        <x:v>45936</x:v>
      </x:c>
      <x:c r="B15" t="n">
        <x:v>1</x:v>
      </x:c>
      <x:c r="C15" t="str">
        <x:v>I1</x:v>
      </x:c>
      <x:c r="D15" t="n">
        <x:v>1</x:v>
      </x:c>
      <x:c r="E15" s="50" t="n">
        <x:v>7</x:v>
      </x:c>
      <x:c r="F15" s="50" t="n">
        <x:v>104.33</x:v>
      </x:c>
      <x:c r="G15" s="50" t="n">
        <x:v>-98.3</x:v>
      </x:c>
      <x:c r="H15" s="50" t="n">
        <x:v>-35.43</x:v>
      </x:c>
      <x:c r="I15" s="50" t="n">
        <x:v>44.18</x:v>
      </x:c>
      <x:c r="J15" s="50" t="n">
        <x:v>1.04</x:v>
      </x:c>
      <x:c r="K15" s="50" t="n">
        <x:v>-3.58</x:v>
      </x:c>
      <x:c r="L15" s="50" t="n">
        <x:v>3.72</x:v>
      </x:c>
      <x:c r="M15" s="50" t="n">
        <x:v>3.72</x:v>
      </x:c>
      <x:c r="N15" t="str">
        <x:v>RELATÓRIO LEITURAS INCLINOMÉTRICAS - Empreitada THE EDEN, Estoril_ R05_03-11-25.pdf</x:v>
      </x:c>
      <x:c r="O15" t="n">
        <x:v>6</x:v>
      </x:c>
      <x:c r="P15" t="str">
        <x:v>Válida</x:v>
      </x:c>
    </x:row>
    <x:row r="16">
      <x:c r="A16" s="48" t="n">
        <x:v>45936</x:v>
      </x:c>
      <x:c r="B16" t="n">
        <x:v>1</x:v>
      </x:c>
      <x:c r="C16" t="str">
        <x:v>I1</x:v>
      </x:c>
      <x:c r="D16" t="n">
        <x:v>1</x:v>
      </x:c>
      <x:c r="E16" s="50" t="n">
        <x:v>7.5</x:v>
      </x:c>
      <x:c r="F16" s="50" t="n">
        <x:v>68.55</x:v>
      </x:c>
      <x:c r="G16" s="50" t="n">
        <x:v>-63.6</x:v>
      </x:c>
      <x:c r="H16" s="50" t="n">
        <x:v>-31.53</x:v>
      </x:c>
      <x:c r="I16" s="50" t="n">
        <x:v>31.68</x:v>
      </x:c>
      <x:c r="J16" s="50" t="n">
        <x:v>1.04</x:v>
      </x:c>
      <x:c r="K16" s="50" t="n">
        <x:v>-3.27</x:v>
      </x:c>
      <x:c r="L16" s="50" t="n">
        <x:v>3.43</x:v>
      </x:c>
      <x:c r="M16" s="50" t="n">
        <x:v>3.43</x:v>
      </x:c>
      <x:c r="N16" t="str">
        <x:v>RELATÓRIO LEITURAS INCLINOMÉTRICAS - Empreitada THE EDEN, Estoril_ R05_03-11-25.pdf</x:v>
      </x:c>
      <x:c r="O16" t="n">
        <x:v>6</x:v>
      </x:c>
      <x:c r="P16" t="str">
        <x:v>Válida</x:v>
      </x:c>
    </x:row>
    <x:row r="17">
      <x:c r="A17" s="48" t="n">
        <x:v>45936</x:v>
      </x:c>
      <x:c r="B17" t="n">
        <x:v>1</x:v>
      </x:c>
      <x:c r="C17" t="str">
        <x:v>I1</x:v>
      </x:c>
      <x:c r="D17" t="n">
        <x:v>1</x:v>
      </x:c>
      <x:c r="E17" s="50" t="n">
        <x:v>8</x:v>
      </x:c>
      <x:c r="F17" s="50" t="n">
        <x:v>46.38</x:v>
      </x:c>
      <x:c r="G17" s="50" t="n">
        <x:v>-38.22</x:v>
      </x:c>
      <x:c r="H17" s="50" t="n">
        <x:v>-24.58</x:v>
      </x:c>
      <x:c r="I17" s="50" t="n">
        <x:v>17.99</x:v>
      </x:c>
      <x:c r="J17" s="50" t="n">
        <x:v>1.02</x:v>
      </x:c>
      <x:c r="K17" s="50" t="n">
        <x:v>-2.89</x:v>
      </x:c>
      <x:c r="L17" s="50" t="n">
        <x:v>3.07</x:v>
      </x:c>
      <x:c r="M17" s="50" t="n">
        <x:v>3.07</x:v>
      </x:c>
      <x:c r="N17" t="str">
        <x:v>RELATÓRIO LEITURAS INCLINOMÉTRICAS - Empreitada THE EDEN, Estoril_ R05_03-11-25.pdf</x:v>
      </x:c>
      <x:c r="O17" t="n">
        <x:v>6</x:v>
      </x:c>
      <x:c r="P17" t="str">
        <x:v>Válida</x:v>
      </x:c>
    </x:row>
    <x:row r="18">
      <x:c r="A18" s="48" t="n">
        <x:v>45936</x:v>
      </x:c>
      <x:c r="B18" t="n">
        <x:v>1</x:v>
      </x:c>
      <x:c r="C18" t="str">
        <x:v>I1</x:v>
      </x:c>
      <x:c r="D18" t="n">
        <x:v>1</x:v>
      </x:c>
      <x:c r="E18" s="50" t="n">
        <x:v>8.5</x:v>
      </x:c>
      <x:c r="F18" s="50" t="n">
        <x:v>6.34</x:v>
      </x:c>
      <x:c r="G18" s="50" t="n">
        <x:v>0.37</x:v>
      </x:c>
      <x:c r="H18" s="50" t="n">
        <x:v>1.26</x:v>
      </x:c>
      <x:c r="I18" s="50" t="n">
        <x:v>1.7</x:v>
      </x:c>
      <x:c r="J18" s="50" t="n">
        <x:v>1.01</x:v>
      </x:c>
      <x:c r="K18" s="50" t="n">
        <x:v>-2.57</x:v>
      </x:c>
      <x:c r="L18" s="50" t="n">
        <x:v>2.76</x:v>
      </x:c>
      <x:c r="M18" s="50" t="n">
        <x:v>2.76</x:v>
      </x:c>
      <x:c r="N18" t="str">
        <x:v>RELATÓRIO LEITURAS INCLINOMÉTRICAS - Empreitada THE EDEN, Estoril_ R05_03-11-25.pdf</x:v>
      </x:c>
      <x:c r="O18" t="n">
        <x:v>6</x:v>
      </x:c>
      <x:c r="P18" t="str">
        <x:v>Válida</x:v>
      </x:c>
    </x:row>
    <x:row r="19">
      <x:c r="A19" s="48" t="n">
        <x:v>45936</x:v>
      </x:c>
      <x:c r="B19" t="n">
        <x:v>1</x:v>
      </x:c>
      <x:c r="C19" t="str">
        <x:v>I1</x:v>
      </x:c>
      <x:c r="D19" t="n">
        <x:v>1</x:v>
      </x:c>
      <x:c r="E19" s="50" t="n">
        <x:v>9</x:v>
      </x:c>
      <x:c r="F19" s="50" t="n">
        <x:v>-40.24</x:v>
      </x:c>
      <x:c r="G19" s="50" t="n">
        <x:v>48.07</x:v>
      </x:c>
      <x:c r="H19" s="50" t="n">
        <x:v>12.22</x:v>
      </x:c>
      <x:c r="I19" s="50" t="n">
        <x:v>-16.85</x:v>
      </x:c>
      <x:c r="J19" s="50" t="n">
        <x:v>0.98</x:v>
      </x:c>
      <x:c r="K19" s="50" t="n">
        <x:v>-2.29</x:v>
      </x:c>
      <x:c r="L19" s="50" t="n">
        <x:v>2.49</x:v>
      </x:c>
      <x:c r="M19" s="50" t="n">
        <x:v>2.49</x:v>
      </x:c>
      <x:c r="N19" t="str">
        <x:v>RELATÓRIO LEITURAS INCLINOMÉTRICAS - Empreitada THE EDEN, Estoril_ R05_03-11-25.pdf</x:v>
      </x:c>
      <x:c r="O19" t="n">
        <x:v>6</x:v>
      </x:c>
      <x:c r="P19" t="str">
        <x:v>Válida</x:v>
      </x:c>
    </x:row>
    <x:row r="20">
      <x:c r="A20" s="48" t="n">
        <x:v>45936</x:v>
      </x:c>
      <x:c r="B20" t="n">
        <x:v>1</x:v>
      </x:c>
      <x:c r="C20" t="str">
        <x:v>I1</x:v>
      </x:c>
      <x:c r="D20" t="n">
        <x:v>1</x:v>
      </x:c>
      <x:c r="E20" s="50" t="n">
        <x:v>9.5</x:v>
      </x:c>
      <x:c r="F20" s="50" t="n">
        <x:v>-105.7</x:v>
      </x:c>
      <x:c r="G20" s="50" t="n">
        <x:v>110.64</x:v>
      </x:c>
      <x:c r="H20" s="50" t="n">
        <x:v>16.22</x:v>
      </x:c>
      <x:c r="I20" s="50" t="n">
        <x:v>-22.49</x:v>
      </x:c>
      <x:c r="J20" s="50" t="n">
        <x:v>0.97</x:v>
      </x:c>
      <x:c r="K20" s="50" t="n">
        <x:v>-2.08</x:v>
      </x:c>
      <x:c r="L20" s="50" t="n">
        <x:v>2.29</x:v>
      </x:c>
      <x:c r="M20" s="50" t="n">
        <x:v>2.29</x:v>
      </x:c>
      <x:c r="N20" t="str">
        <x:v>RELATÓRIO LEITURAS INCLINOMÉTRICAS - Empreitada THE EDEN, Estoril_ R05_03-11-25.pdf</x:v>
      </x:c>
      <x:c r="O20" t="n">
        <x:v>6</x:v>
      </x:c>
      <x:c r="P20" t="str">
        <x:v>Válida</x:v>
      </x:c>
    </x:row>
    <x:row r="21">
      <x:c r="A21" s="48" t="n">
        <x:v>45936</x:v>
      </x:c>
      <x:c r="B21" t="n">
        <x:v>1</x:v>
      </x:c>
      <x:c r="C21" t="str">
        <x:v>I1</x:v>
      </x:c>
      <x:c r="D21" t="n">
        <x:v>1</x:v>
      </x:c>
      <x:c r="E21" s="50" t="n">
        <x:v>10</x:v>
      </x:c>
      <x:c r="F21" s="50" t="n">
        <x:v>-193.57</x:v>
      </x:c>
      <x:c r="G21" s="50" t="n">
        <x:v>202.65</x:v>
      </x:c>
      <x:c r="H21" s="50" t="n">
        <x:v>-45.1</x:v>
      </x:c>
      <x:c r="I21" s="50" t="n">
        <x:v>42.97</x:v>
      </x:c>
      <x:c r="J21" s="50" t="n">
        <x:v>0.91</x:v>
      </x:c>
      <x:c r="K21" s="50" t="n">
        <x:v>-2.16</x:v>
      </x:c>
      <x:c r="L21" s="50" t="n">
        <x:v>2.34</x:v>
      </x:c>
      <x:c r="M21" s="50" t="n">
        <x:v>2.34</x:v>
      </x:c>
      <x:c r="N21" t="str">
        <x:v>RELATÓRIO LEITURAS INCLINOMÉTRICAS - Empreitada THE EDEN, Estoril_ R05_03-11-25.pdf</x:v>
      </x:c>
      <x:c r="O21" t="n">
        <x:v>6</x:v>
      </x:c>
      <x:c r="P21" t="str">
        <x:v>Válida</x:v>
      </x:c>
    </x:row>
    <x:row r="22">
      <x:c r="A22" s="48" t="n">
        <x:v>45936</x:v>
      </x:c>
      <x:c r="B22" t="n">
        <x:v>1</x:v>
      </x:c>
      <x:c r="C22" t="str">
        <x:v>I1</x:v>
      </x:c>
      <x:c r="D22" t="n">
        <x:v>1</x:v>
      </x:c>
      <x:c r="E22" s="50" t="n">
        <x:v>10.5</x:v>
      </x:c>
      <x:c r="F22" s="50" t="n">
        <x:v>-190.7</x:v>
      </x:c>
      <x:c r="G22" s="50" t="n">
        <x:v>199.31</x:v>
      </x:c>
      <x:c r="H22" s="50" t="n">
        <x:v>-35.77</x:v>
      </x:c>
      <x:c r="I22" s="50" t="n">
        <x:v>41.74</x:v>
      </x:c>
      <x:c r="J22" s="50" t="n">
        <x:v>0.85</x:v>
      </x:c>
      <x:c r="K22" s="50" t="n">
        <x:v>-2.1</x:v>
      </x:c>
      <x:c r="L22" s="50" t="n">
        <x:v>2.27</x:v>
      </x:c>
      <x:c r="M22" s="50" t="n">
        <x:v>2.27</x:v>
      </x:c>
      <x:c r="N22" t="str">
        <x:v>RELATÓRIO LEITURAS INCLINOMÉTRICAS - Empreitada THE EDEN, Estoril_ R05_03-11-25.pdf</x:v>
      </x:c>
      <x:c r="O22" t="n">
        <x:v>6</x:v>
      </x:c>
      <x:c r="P22" t="str">
        <x:v>Válida</x:v>
      </x:c>
    </x:row>
    <x:row r="23">
      <x:c r="A23" s="48" t="n">
        <x:v>45936</x:v>
      </x:c>
      <x:c r="B23" t="n">
        <x:v>1</x:v>
      </x:c>
      <x:c r="C23" t="str">
        <x:v>I1</x:v>
      </x:c>
      <x:c r="D23" t="n">
        <x:v>1</x:v>
      </x:c>
      <x:c r="E23" s="50" t="n">
        <x:v>11</x:v>
      </x:c>
      <x:c r="F23" s="50" t="n">
        <x:v>-168.43</x:v>
      </x:c>
      <x:c r="G23" s="50" t="n">
        <x:v>172.14</x:v>
      </x:c>
      <x:c r="H23" s="50" t="n">
        <x:v>13.19</x:v>
      </x:c>
      <x:c r="I23" s="50" t="n">
        <x:v>-0.69</x:v>
      </x:c>
      <x:c r="J23" s="50" t="n">
        <x:v>0.83</x:v>
      </x:c>
      <x:c r="K23" s="50" t="n">
        <x:v>-2.08</x:v>
      </x:c>
      <x:c r="L23" s="50" t="n">
        <x:v>2.24</x:v>
      </x:c>
      <x:c r="M23" s="50" t="n">
        <x:v>2.24</x:v>
      </x:c>
      <x:c r="N23" t="str">
        <x:v>RELATÓRIO LEITURAS INCLINOMÉTRICAS - Empreitada THE EDEN, Estoril_ R05_03-11-25.pdf</x:v>
      </x:c>
      <x:c r="O23" t="n">
        <x:v>6</x:v>
      </x:c>
      <x:c r="P23" t="str">
        <x:v>Válida</x:v>
      </x:c>
    </x:row>
    <x:row r="24">
      <x:c r="A24" s="48" t="n">
        <x:v>45936</x:v>
      </x:c>
      <x:c r="B24" t="n">
        <x:v>1</x:v>
      </x:c>
      <x:c r="C24" t="str">
        <x:v>I1</x:v>
      </x:c>
      <x:c r="D24" t="n">
        <x:v>1</x:v>
      </x:c>
      <x:c r="E24" s="50" t="n">
        <x:v>11.5</x:v>
      </x:c>
      <x:c r="F24" s="50" t="n">
        <x:v>-73.94</x:v>
      </x:c>
      <x:c r="G24" s="50" t="n">
        <x:v>80.29</x:v>
      </x:c>
      <x:c r="H24" s="50" t="n">
        <x:v>20.22</x:v>
      </x:c>
      <x:c r="I24" s="50" t="n">
        <x:v>-18.46</x:v>
      </x:c>
      <x:c r="J24" s="50" t="n">
        <x:v>0.81</x:v>
      </x:c>
      <x:c r="K24" s="50" t="n">
        <x:v>-2.04</x:v>
      </x:c>
      <x:c r="L24" s="50" t="n">
        <x:v>2.19</x:v>
      </x:c>
      <x:c r="M24" s="50" t="n">
        <x:v>2.19</x:v>
      </x:c>
      <x:c r="N24" t="str">
        <x:v>RELATÓRIO LEITURAS INCLINOMÉTRICAS - Empreitada THE EDEN, Estoril_ R05_03-11-25.pdf</x:v>
      </x:c>
      <x:c r="O24" t="n">
        <x:v>6</x:v>
      </x:c>
      <x:c r="P24" t="str">
        <x:v>Válida</x:v>
      </x:c>
    </x:row>
    <x:row r="25">
      <x:c r="A25" s="48" t="n">
        <x:v>45936</x:v>
      </x:c>
      <x:c r="B25" t="n">
        <x:v>1</x:v>
      </x:c>
      <x:c r="C25" t="str">
        <x:v>I1</x:v>
      </x:c>
      <x:c r="D25" t="n">
        <x:v>1</x:v>
      </x:c>
      <x:c r="E25" s="50" t="n">
        <x:v>12</x:v>
      </x:c>
      <x:c r="F25" s="50" t="n">
        <x:v>-143.59</x:v>
      </x:c>
      <x:c r="G25" s="50" t="n">
        <x:v>153.95</x:v>
      </x:c>
      <x:c r="H25" s="50" t="n">
        <x:v>-8.39</x:v>
      </x:c>
      <x:c r="I25" s="50" t="n">
        <x:v>8.95</x:v>
      </x:c>
      <x:c r="J25" s="50" t="n">
        <x:v>0.79</x:v>
      </x:c>
      <x:c r="K25" s="50" t="n">
        <x:v>-1.83</x:v>
      </x:c>
      <x:c r="L25" s="50" t="n">
        <x:v>1.99</x:v>
      </x:c>
      <x:c r="M25" s="50" t="n">
        <x:v>1.99</x:v>
      </x:c>
      <x:c r="N25" t="str">
        <x:v>RELATÓRIO LEITURAS INCLINOMÉTRICAS - Empreitada THE EDEN, Estoril_ R05_03-11-25.pdf</x:v>
      </x:c>
      <x:c r="O25" t="n">
        <x:v>6</x:v>
      </x:c>
      <x:c r="P25" t="str">
        <x:v>Válida</x:v>
      </x:c>
    </x:row>
    <x:row r="26">
      <x:c r="A26" s="48" t="n">
        <x:v>45936</x:v>
      </x:c>
      <x:c r="B26" t="n">
        <x:v>1</x:v>
      </x:c>
      <x:c r="C26" t="str">
        <x:v>I1</x:v>
      </x:c>
      <x:c r="D26" t="n">
        <x:v>1</x:v>
      </x:c>
      <x:c r="E26" s="50" t="n">
        <x:v>12.5</x:v>
      </x:c>
      <x:c r="F26" s="50" t="n">
        <x:v>-132.19</x:v>
      </x:c>
      <x:c r="G26" s="50" t="n">
        <x:v>137.51</x:v>
      </x:c>
      <x:c r="H26" s="50" t="n">
        <x:v>52.7</x:v>
      </x:c>
      <x:c r="I26" s="50" t="n">
        <x:v>-53.13</x:v>
      </x:c>
      <x:c r="J26" s="50" t="n">
        <x:v>0.78</x:v>
      </x:c>
      <x:c r="K26" s="50" t="n">
        <x:v>-1.84</x:v>
      </x:c>
      <x:c r="L26" s="50" t="n">
        <x:v>1.99</x:v>
      </x:c>
      <x:c r="M26" s="50" t="n">
        <x:v>1.99</x:v>
      </x:c>
      <x:c r="N26" t="str">
        <x:v>RELATÓRIO LEITURAS INCLINOMÉTRICAS - Empreitada THE EDEN, Estoril_ R05_03-11-25.pdf</x:v>
      </x:c>
      <x:c r="O26" t="n">
        <x:v>6</x:v>
      </x:c>
      <x:c r="P26" t="str">
        <x:v>Válida</x:v>
      </x:c>
    </x:row>
    <x:row r="27">
      <x:c r="A27" s="48" t="n">
        <x:v>45936</x:v>
      </x:c>
      <x:c r="B27" t="n">
        <x:v>1</x:v>
      </x:c>
      <x:c r="C27" t="str">
        <x:v>I1</x:v>
      </x:c>
      <x:c r="D27" t="n">
        <x:v>1</x:v>
      </x:c>
      <x:c r="E27" s="50" t="n">
        <x:v>13</x:v>
      </x:c>
      <x:c r="F27" s="50" t="n">
        <x:v>-56.73</x:v>
      </x:c>
      <x:c r="G27" s="50" t="n">
        <x:v>64.51</x:v>
      </x:c>
      <x:c r="H27" s="50" t="n">
        <x:v>53.03</x:v>
      </x:c>
      <x:c r="I27" s="50" t="n">
        <x:v>-34.73</x:v>
      </x:c>
      <x:c r="J27" s="50" t="n">
        <x:v>0.77</x:v>
      </x:c>
      <x:c r="K27" s="50" t="n">
        <x:v>-1.74</x:v>
      </x:c>
      <x:c r="L27" s="50" t="n">
        <x:v>1.9</x:v>
      </x:c>
      <x:c r="M27" s="50" t="n">
        <x:v>1.9</x:v>
      </x:c>
      <x:c r="N27" t="str">
        <x:v>RELATÓRIO LEITURAS INCLINOMÉTRICAS - Empreitada THE EDEN, Estoril_ R05_03-11-25.pdf</x:v>
      </x:c>
      <x:c r="O27" t="n">
        <x:v>6</x:v>
      </x:c>
      <x:c r="P27" t="str">
        <x:v>Válida</x:v>
      </x:c>
    </x:row>
    <x:row r="28">
      <x:c r="A28" s="48" t="n">
        <x:v>45936</x:v>
      </x:c>
      <x:c r="B28" t="n">
        <x:v>1</x:v>
      </x:c>
      <x:c r="C28" t="str">
        <x:v>I1</x:v>
      </x:c>
      <x:c r="D28" t="n">
        <x:v>1</x:v>
      </x:c>
      <x:c r="E28" s="50" t="n">
        <x:v>13.5</x:v>
      </x:c>
      <x:c r="F28" s="50" t="n">
        <x:v>-41.56</x:v>
      </x:c>
      <x:c r="G28" s="50" t="n">
        <x:v>48.85</x:v>
      </x:c>
      <x:c r="H28" s="50" t="n">
        <x:v>66.09</x:v>
      </x:c>
      <x:c r="I28" s="50" t="n">
        <x:v>-56.67</x:v>
      </x:c>
      <x:c r="J28" s="50" t="n">
        <x:v>0.72</x:v>
      </x:c>
      <x:c r="K28" s="50" t="n">
        <x:v>-1.76</x:v>
      </x:c>
      <x:c r="L28" s="50" t="n">
        <x:v>1.9</x:v>
      </x:c>
      <x:c r="M28" s="50" t="n">
        <x:v>1.9</x:v>
      </x:c>
      <x:c r="N28" t="str">
        <x:v>RELATÓRIO LEITURAS INCLINOMÉTRICAS - Empreitada THE EDEN, Estoril_ R05_03-11-25.pdf</x:v>
      </x:c>
      <x:c r="O28" t="n">
        <x:v>6</x:v>
      </x:c>
      <x:c r="P28" t="str">
        <x:v>Válida</x:v>
      </x:c>
    </x:row>
    <x:row r="29">
      <x:c r="A29" s="48" t="n">
        <x:v>45936</x:v>
      </x:c>
      <x:c r="B29" t="n">
        <x:v>1</x:v>
      </x:c>
      <x:c r="C29" t="str">
        <x:v>I1</x:v>
      </x:c>
      <x:c r="D29" t="n">
        <x:v>1</x:v>
      </x:c>
      <x:c r="E29" s="50" t="n">
        <x:v>14</x:v>
      </x:c>
      <x:c r="F29" s="50" t="n">
        <x:v>-40.03</x:v>
      </x:c>
      <x:c r="G29" s="50" t="n">
        <x:v>45.95</x:v>
      </x:c>
      <x:c r="H29" s="50" t="n">
        <x:v>89.17</x:v>
      </x:c>
      <x:c r="I29" s="50" t="n">
        <x:v>-77.4</x:v>
      </x:c>
      <x:c r="J29" s="50" t="n">
        <x:v>0.62</x:v>
      </x:c>
      <x:c r="K29" s="50" t="n">
        <x:v>-1.77</x:v>
      </x:c>
      <x:c r="L29" s="50" t="n">
        <x:v>1.88</x:v>
      </x:c>
      <x:c r="M29" s="50" t="n">
        <x:v>1.88</x:v>
      </x:c>
      <x:c r="N29" t="str">
        <x:v>RELATÓRIO LEITURAS INCLINOMÉTRICAS - Empreitada THE EDEN, Estoril_ R05_03-11-25.pdf</x:v>
      </x:c>
      <x:c r="O29" t="n">
        <x:v>6</x:v>
      </x:c>
      <x:c r="P29" t="str">
        <x:v>Válida</x:v>
      </x:c>
    </x:row>
    <x:row r="30">
      <x:c r="A30" s="48" t="n">
        <x:v>45936</x:v>
      </x:c>
      <x:c r="B30" t="n">
        <x:v>1</x:v>
      </x:c>
      <x:c r="C30" t="str">
        <x:v>I1</x:v>
      </x:c>
      <x:c r="D30" t="n">
        <x:v>1</x:v>
      </x:c>
      <x:c r="E30" s="50" t="n">
        <x:v>14.5</x:v>
      </x:c>
      <x:c r="F30" s="50" t="n">
        <x:v>-31.79</x:v>
      </x:c>
      <x:c r="G30" s="50" t="n">
        <x:v>37.93</x:v>
      </x:c>
      <x:c r="H30" s="50" t="n">
        <x:v>115.62</x:v>
      </x:c>
      <x:c r="I30" s="50" t="n">
        <x:v>-99.08</x:v>
      </x:c>
      <x:c r="J30" s="50" t="n">
        <x:v>0.53</x:v>
      </x:c>
      <x:c r="K30" s="50" t="n">
        <x:v>-1.85</x:v>
      </x:c>
      <x:c r="L30" s="50" t="n">
        <x:v>1.92</x:v>
      </x:c>
      <x:c r="M30" s="50" t="n">
        <x:v>1.92</x:v>
      </x:c>
      <x:c r="N30" t="str">
        <x:v>RELATÓRIO LEITURAS INCLINOMÉTRICAS - Empreitada THE EDEN, Estoril_ R05_03-11-25.pdf</x:v>
      </x:c>
      <x:c r="O30" t="n">
        <x:v>6</x:v>
      </x:c>
      <x:c r="P30" t="str">
        <x:v>Válida</x:v>
      </x:c>
    </x:row>
    <x:row r="31">
      <x:c r="A31" s="48" t="n">
        <x:v>45936</x:v>
      </x:c>
      <x:c r="B31" t="n">
        <x:v>1</x:v>
      </x:c>
      <x:c r="C31" t="str">
        <x:v>I1</x:v>
      </x:c>
      <x:c r="D31" t="n">
        <x:v>1</x:v>
      </x:c>
      <x:c r="E31" s="50" t="n">
        <x:v>15</x:v>
      </x:c>
      <x:c r="F31" s="50" t="n">
        <x:v>-2.68</x:v>
      </x:c>
      <x:c r="G31" s="50" t="n">
        <x:v>19.65</x:v>
      </x:c>
      <x:c r="H31" s="50" t="n">
        <x:v>126.3</x:v>
      </x:c>
      <x:c r="I31" s="50" t="n">
        <x:v>-125.4</x:v>
      </x:c>
      <x:c r="J31" s="50" t="n">
        <x:v>0.44</x:v>
      </x:c>
      <x:c r="K31" s="50" t="n">
        <x:v>-1.83</x:v>
      </x:c>
      <x:c r="L31" s="50" t="n">
        <x:v>1.88</x:v>
      </x:c>
      <x:c r="M31" s="50" t="n">
        <x:v>1.88</x:v>
      </x:c>
      <x:c r="N31" t="str">
        <x:v>RELATÓRIO LEITURAS INCLINOMÉTRICAS - Empreitada THE EDEN, Estoril_ R05_03-11-25.pdf</x:v>
      </x:c>
      <x:c r="O31" t="n">
        <x:v>6</x:v>
      </x:c>
      <x:c r="P31" t="str">
        <x:v>Válida</x:v>
      </x:c>
    </x:row>
    <x:row r="32">
      <x:c r="A32" s="48" t="n">
        <x:v>45936</x:v>
      </x:c>
      <x:c r="B32" t="n">
        <x:v>1</x:v>
      </x:c>
      <x:c r="C32" t="str">
        <x:v>I1</x:v>
      </x:c>
      <x:c r="D32" t="n">
        <x:v>1</x:v>
      </x:c>
      <x:c r="E32" s="50" t="n">
        <x:v>15.5</x:v>
      </x:c>
      <x:c r="F32" s="50" t="n">
        <x:v>-17.04</x:v>
      </x:c>
      <x:c r="G32" s="50" t="n">
        <x:v>19.46</x:v>
      </x:c>
      <x:c r="H32" s="50" t="n">
        <x:v>147.45</x:v>
      </x:c>
      <x:c r="I32" s="50" t="n">
        <x:v>-125.33</x:v>
      </x:c>
      <x:c r="J32" s="50" t="n">
        <x:v>0.27</x:v>
      </x:c>
      <x:c r="K32" s="50" t="n">
        <x:v>-1.69</x:v>
      </x:c>
      <x:c r="L32" s="50" t="n">
        <x:v>1.71</x:v>
      </x:c>
      <x:c r="M32" s="50" t="n">
        <x:v>1.71</x:v>
      </x:c>
      <x:c r="N32" t="str">
        <x:v>RELATÓRIO LEITURAS INCLINOMÉTRICAS - Empreitada THE EDEN, Estoril_ R05_03-11-25.pdf</x:v>
      </x:c>
      <x:c r="O32" t="n">
        <x:v>6</x:v>
      </x:c>
      <x:c r="P32" t="str">
        <x:v>Válida</x:v>
      </x:c>
    </x:row>
    <x:row r="33">
      <x:c r="A33" s="48" t="n">
        <x:v>45936</x:v>
      </x:c>
      <x:c r="B33" t="n">
        <x:v>1</x:v>
      </x:c>
      <x:c r="C33" t="str">
        <x:v>I1</x:v>
      </x:c>
      <x:c r="D33" t="n">
        <x:v>1</x:v>
      </x:c>
      <x:c r="E33" s="50" t="n">
        <x:v>16</x:v>
      </x:c>
      <x:c r="F33" s="50" t="n">
        <x:v>-16.21</x:v>
      </x:c>
      <x:c r="G33" s="50" t="n">
        <x:v>21.49</x:v>
      </x:c>
      <x:c r="H33" s="50" t="n">
        <x:v>-13.48</x:v>
      </x:c>
      <x:c r="I33" s="50" t="n">
        <x:v>32.01</x:v>
      </x:c>
      <x:c r="J33" s="50" t="n">
        <x:v>0.13</x:v>
      </x:c>
      <x:c r="K33" s="50" t="n">
        <x:v>-1.69</x:v>
      </x:c>
      <x:c r="L33" s="50" t="n">
        <x:v>1.69</x:v>
      </x:c>
      <x:c r="M33" s="50" t="n">
        <x:v>1.69</x:v>
      </x:c>
      <x:c r="N33" t="str">
        <x:v>RELATÓRIO LEITURAS INCLINOMÉTRICAS - Empreitada THE EDEN, Estoril_ R05_03-11-25.pdf</x:v>
      </x:c>
      <x:c r="O33" t="n">
        <x:v>6</x:v>
      </x:c>
      <x:c r="P33" t="str">
        <x:v>Válida</x:v>
      </x:c>
    </x:row>
    <x:row r="34">
      <x:c r="A34" s="48" t="n">
        <x:v>45936</x:v>
      </x:c>
      <x:c r="B34" t="n">
        <x:v>1</x:v>
      </x:c>
      <x:c r="C34" t="str">
        <x:v>I1</x:v>
      </x:c>
      <x:c r="D34" t="n">
        <x:v>1</x:v>
      </x:c>
      <x:c r="E34" s="50" t="n">
        <x:v>16.5</x:v>
      </x:c>
      <x:c r="F34" s="50" t="n">
        <x:v>3.84</x:v>
      </x:c>
      <x:c r="G34" s="50" t="n">
        <x:v>1.27</x:v>
      </x:c>
      <x:c r="H34" s="50" t="n">
        <x:v>-9.83</x:v>
      </x:c>
      <x:c r="I34" s="50" t="n">
        <x:v>22.45</x:v>
      </x:c>
      <x:c r="J34" s="50" t="n">
        <x:v>0.13</x:v>
      </x:c>
      <x:c r="K34" s="50" t="n">
        <x:v>-1.46</x:v>
      </x:c>
      <x:c r="L34" s="50" t="n">
        <x:v>1.46</x:v>
      </x:c>
      <x:c r="M34" s="50" t="n">
        <x:v>1.46</x:v>
      </x:c>
      <x:c r="N34" t="str">
        <x:v>RELATÓRIO LEITURAS INCLINOMÉTRICAS - Empreitada THE EDEN, Estoril_ R05_03-11-25.pdf</x:v>
      </x:c>
      <x:c r="O34" t="n">
        <x:v>6</x:v>
      </x:c>
      <x:c r="P34" t="str">
        <x:v>Válida</x:v>
      </x:c>
    </x:row>
    <x:row r="35">
      <x:c r="A35" s="48" t="n">
        <x:v>45936</x:v>
      </x:c>
      <x:c r="B35" t="n">
        <x:v>1</x:v>
      </x:c>
      <x:c r="C35" t="str">
        <x:v>I1</x:v>
      </x:c>
      <x:c r="D35" t="n">
        <x:v>1</x:v>
      </x:c>
      <x:c r="E35" s="50" t="n">
        <x:v>17</x:v>
      </x:c>
      <x:c r="F35" s="50" t="n">
        <x:v>16.88</x:v>
      </x:c>
      <x:c r="G35" s="50" t="n">
        <x:v>-12.02</x:v>
      </x:c>
      <x:c r="H35" s="50" t="n">
        <x:v>6.7</x:v>
      </x:c>
      <x:c r="I35" s="50" t="n">
        <x:v>-0.54</x:v>
      </x:c>
      <x:c r="J35" s="50" t="n">
        <x:v>0.13</x:v>
      </x:c>
      <x:c r="K35" s="50" t="n">
        <x:v>-1.45</x:v>
      </x:c>
      <x:c r="L35" s="50" t="n">
        <x:v>1.45</x:v>
      </x:c>
      <x:c r="M35" s="50" t="n">
        <x:v>1.45</x:v>
      </x:c>
      <x:c r="N35" t="str">
        <x:v>RELATÓRIO LEITURAS INCLINOMÉTRICAS - Empreitada THE EDEN, Estoril_ R05_03-11-25.pdf</x:v>
      </x:c>
      <x:c r="O35" t="n">
        <x:v>6</x:v>
      </x:c>
      <x:c r="P35" t="str">
        <x:v>Válida</x:v>
      </x:c>
    </x:row>
    <x:row r="36">
      <x:c r="A36" s="48" t="n">
        <x:v>45936</x:v>
      </x:c>
      <x:c r="B36" t="n">
        <x:v>1</x:v>
      </x:c>
      <x:c r="C36" t="str">
        <x:v>I1</x:v>
      </x:c>
      <x:c r="D36" t="n">
        <x:v>1</x:v>
      </x:c>
      <x:c r="E36" s="50" t="n">
        <x:v>17.5</x:v>
      </x:c>
      <x:c r="F36" s="50" t="n">
        <x:v>-12</x:v>
      </x:c>
      <x:c r="G36" s="50" t="n">
        <x:v>16.41</x:v>
      </x:c>
      <x:c r="H36" s="50" t="n">
        <x:v>37.62</x:v>
      </x:c>
      <x:c r="I36" s="50" t="n">
        <x:v>-26.51</x:v>
      </x:c>
      <x:c r="J36" s="50" t="n">
        <x:v>0.11</x:v>
      </x:c>
      <x:c r="K36" s="50" t="n">
        <x:v>-1.28</x:v>
      </x:c>
      <x:c r="L36" s="50" t="n">
        <x:v>1.29</x:v>
      </x:c>
      <x:c r="M36" s="50" t="n">
        <x:v>1.29</x:v>
      </x:c>
      <x:c r="N36" t="str">
        <x:v>RELATÓRIO LEITURAS INCLINOMÉTRICAS - Empreitada THE EDEN, Estoril_ R05_03-11-25.pdf</x:v>
      </x:c>
      <x:c r="O36" t="n">
        <x:v>6</x:v>
      </x:c>
      <x:c r="P36" t="str">
        <x:v>Válida</x:v>
      </x:c>
    </x:row>
    <x:row r="37">
      <x:c r="A37" s="48" t="n">
        <x:v>45936</x:v>
      </x:c>
      <x:c r="B37" t="n">
        <x:v>1</x:v>
      </x:c>
      <x:c r="C37" t="str">
        <x:v>I1</x:v>
      </x:c>
      <x:c r="D37" t="n">
        <x:v>1</x:v>
      </x:c>
      <x:c r="E37" s="50" t="n">
        <x:v>18</x:v>
      </x:c>
      <x:c r="F37" s="50" t="n">
        <x:v>-32.17</x:v>
      </x:c>
      <x:c r="G37" s="50" t="n">
        <x:v>35.43</x:v>
      </x:c>
      <x:c r="H37" s="50" t="n">
        <x:v>53.67</x:v>
      </x:c>
      <x:c r="I37" s="50" t="n">
        <x:v>-37.58</x:v>
      </x:c>
      <x:c r="J37" s="50" t="n">
        <x:v>0.1</x:v>
      </x:c>
      <x:c r="K37" s="50" t="n">
        <x:v>-1.29</x:v>
      </x:c>
      <x:c r="L37" s="50" t="n">
        <x:v>1.3</x:v>
      </x:c>
      <x:c r="M37" s="50" t="n">
        <x:v>1.3</x:v>
      </x:c>
      <x:c r="N37" t="str">
        <x:v>RELATÓRIO LEITURAS INCLINOMÉTRICAS - Empreitada THE EDEN, Estoril_ R05_03-11-25.pdf</x:v>
      </x:c>
      <x:c r="O37" t="n">
        <x:v>6</x:v>
      </x:c>
      <x:c r="P37" t="str">
        <x:v>Válida</x:v>
      </x:c>
    </x:row>
    <x:row r="38">
      <x:c r="A38" s="48" t="n">
        <x:v>45936</x:v>
      </x:c>
      <x:c r="B38" t="n">
        <x:v>1</x:v>
      </x:c>
      <x:c r="C38" t="str">
        <x:v>I1</x:v>
      </x:c>
      <x:c r="D38" t="n">
        <x:v>1</x:v>
      </x:c>
      <x:c r="E38" s="50" t="n">
        <x:v>18.5</x:v>
      </x:c>
      <x:c r="F38" s="50" t="n">
        <x:v>-35.06</x:v>
      </x:c>
      <x:c r="G38" s="50" t="n">
        <x:v>46.26</x:v>
      </x:c>
      <x:c r="H38" s="50" t="n">
        <x:v>75.84</x:v>
      </x:c>
      <x:c r="I38" s="50" t="n">
        <x:v>-60.75</x:v>
      </x:c>
      <x:c r="J38" s="50" t="n">
        <x:v>0.08</x:v>
      </x:c>
      <x:c r="K38" s="50" t="n">
        <x:v>-1.27</x:v>
      </x:c>
      <x:c r="L38" s="50" t="n">
        <x:v>1.28</x:v>
      </x:c>
      <x:c r="M38" s="50" t="n">
        <x:v>1.28</x:v>
      </x:c>
      <x:c r="N38" t="str">
        <x:v>RELATÓRIO LEITURAS INCLINOMÉTRICAS - Empreitada THE EDEN, Estoril_ R05_03-11-25.pdf</x:v>
      </x:c>
      <x:c r="O38" t="n">
        <x:v>6</x:v>
      </x:c>
      <x:c r="P38" t="str">
        <x:v>Válida</x:v>
      </x:c>
    </x:row>
    <x:row r="39">
      <x:c r="A39" s="48" t="n">
        <x:v>45936</x:v>
      </x:c>
      <x:c r="B39" t="n">
        <x:v>1</x:v>
      </x:c>
      <x:c r="C39" t="str">
        <x:v>I1</x:v>
      </x:c>
      <x:c r="D39" t="n">
        <x:v>1</x:v>
      </x:c>
      <x:c r="E39" s="50" t="n">
        <x:v>19</x:v>
      </x:c>
      <x:c r="F39" s="50" t="n">
        <x:v>-137.85</x:v>
      </x:c>
      <x:c r="G39" s="50" t="n">
        <x:v>135.55</x:v>
      </x:c>
      <x:c r="H39" s="50" t="n">
        <x:v>-30.11</x:v>
      </x:c>
      <x:c r="I39" s="50" t="n">
        <x:v>38.91</x:v>
      </x:c>
      <x:c r="J39" s="50" t="n">
        <x:v>0.08</x:v>
      </x:c>
      <x:c r="K39" s="50" t="n">
        <x:v>-1.2</x:v>
      </x:c>
      <x:c r="L39" s="50" t="n">
        <x:v>1.2</x:v>
      </x:c>
      <x:c r="M39" s="50" t="n">
        <x:v>1.2</x:v>
      </x:c>
      <x:c r="N39" t="str">
        <x:v>RELATÓRIO LEITURAS INCLINOMÉTRICAS - Empreitada THE EDEN, Estoril_ R05_03-11-25.pdf</x:v>
      </x:c>
      <x:c r="O39" t="n">
        <x:v>6</x:v>
      </x:c>
      <x:c r="P39" t="str">
        <x:v>Válida</x:v>
      </x:c>
    </x:row>
    <x:row r="40">
      <x:c r="A40" s="48" t="n">
        <x:v>45936</x:v>
      </x:c>
      <x:c r="B40" t="n">
        <x:v>1</x:v>
      </x:c>
      <x:c r="C40" t="str">
        <x:v>I1</x:v>
      </x:c>
      <x:c r="D40" t="n">
        <x:v>1</x:v>
      </x:c>
      <x:c r="E40" s="50" t="n">
        <x:v>19.5</x:v>
      </x:c>
      <x:c r="F40" s="50" t="n">
        <x:v>-131.21</x:v>
      </x:c>
      <x:c r="G40" s="50" t="n">
        <x:v>136.3</x:v>
      </x:c>
      <x:c r="H40" s="50" t="n">
        <x:v>-33.84</x:v>
      </x:c>
      <x:c r="I40" s="50" t="n">
        <x:v>37.62</x:v>
      </x:c>
      <x:c r="J40" s="50" t="n">
        <x:v>0.07</x:v>
      </x:c>
      <x:c r="K40" s="50" t="n">
        <x:v>-1.11</x:v>
      </x:c>
      <x:c r="L40" s="50" t="n">
        <x:v>1.11</x:v>
      </x:c>
      <x:c r="M40" s="50" t="n">
        <x:v>1.11</x:v>
      </x:c>
      <x:c r="N40" t="str">
        <x:v>RELATÓRIO LEITURAS INCLINOMÉTRICAS - Empreitada THE EDEN, Estoril_ R05_03-11-25.pdf</x:v>
      </x:c>
      <x:c r="O40" t="n">
        <x:v>6</x:v>
      </x:c>
      <x:c r="P40" t="str">
        <x:v>Válida</x:v>
      </x:c>
    </x:row>
    <x:row r="41">
      <x:c r="A41" s="48" t="n">
        <x:v>45936</x:v>
      </x:c>
      <x:c r="B41" t="n">
        <x:v>1</x:v>
      </x:c>
      <x:c r="C41" t="str">
        <x:v>I1</x:v>
      </x:c>
      <x:c r="D41" t="n">
        <x:v>1</x:v>
      </x:c>
      <x:c r="E41" s="50" t="n">
        <x:v>20</x:v>
      </x:c>
      <x:c r="F41" s="50" t="n">
        <x:v>-141.45</x:v>
      </x:c>
      <x:c r="G41" s="50" t="n">
        <x:v>146.76</x:v>
      </x:c>
      <x:c r="H41" s="50" t="n">
        <x:v>-28.61</x:v>
      </x:c>
      <x:c r="I41" s="50" t="n">
        <x:v>41.7</x:v>
      </x:c>
      <x:c r="J41" s="50" t="n">
        <x:v>0.05</x:v>
      </x:c>
      <x:c r="K41" s="50" t="n">
        <x:v>-1.07</x:v>
      </x:c>
      <x:c r="L41" s="50" t="n">
        <x:v>1.07</x:v>
      </x:c>
      <x:c r="M41" s="50" t="n">
        <x:v>1.07</x:v>
      </x:c>
      <x:c r="N41" t="str">
        <x:v>RELATÓRIO LEITURAS INCLINOMÉTRICAS - Empreitada THE EDEN, Estoril_ R05_03-11-25.pdf</x:v>
      </x:c>
      <x:c r="O41" t="n">
        <x:v>6</x:v>
      </x:c>
      <x:c r="P41" t="str">
        <x:v>Válida</x:v>
      </x:c>
    </x:row>
    <x:row r="42">
      <x:c r="A42" s="48" t="n">
        <x:v>45936</x:v>
      </x:c>
      <x:c r="B42" t="n">
        <x:v>1</x:v>
      </x:c>
      <x:c r="C42" t="str">
        <x:v>I1</x:v>
      </x:c>
      <x:c r="D42" t="n">
        <x:v>1</x:v>
      </x:c>
      <x:c r="E42" s="50" t="n">
        <x:v>20.5</x:v>
      </x:c>
      <x:c r="F42" s="50" t="n">
        <x:v>-166.24</x:v>
      </x:c>
      <x:c r="G42" s="50" t="n">
        <x:v>172.02</x:v>
      </x:c>
      <x:c r="H42" s="50" t="n">
        <x:v>-16.95</x:v>
      </x:c>
      <x:c r="I42" s="50" t="n">
        <x:v>26.72</x:v>
      </x:c>
      <x:c r="J42" s="50" t="n">
        <x:v>0.04</x:v>
      </x:c>
      <x:c r="K42" s="50" t="n">
        <x:v>-1.01</x:v>
      </x:c>
      <x:c r="L42" s="50" t="n">
        <x:v>1.02</x:v>
      </x:c>
      <x:c r="M42" s="50" t="n">
        <x:v>1.02</x:v>
      </x:c>
      <x:c r="N42" t="str">
        <x:v>RELATÓRIO LEITURAS INCLINOMÉTRICAS - Empreitada THE EDEN, Estoril_ R05_03-11-25.pdf</x:v>
      </x:c>
      <x:c r="O42" t="n">
        <x:v>6</x:v>
      </x:c>
      <x:c r="P42" t="str">
        <x:v>Válida</x:v>
      </x:c>
    </x:row>
    <x:row r="43">
      <x:c r="A43" s="48" t="n">
        <x:v>45936</x:v>
      </x:c>
      <x:c r="B43" t="n">
        <x:v>1</x:v>
      </x:c>
      <x:c r="C43" t="str">
        <x:v>I1</x:v>
      </x:c>
      <x:c r="D43" t="n">
        <x:v>1</x:v>
      </x:c>
      <x:c r="E43" s="50" t="n">
        <x:v>21</x:v>
      </x:c>
      <x:c r="F43" s="50" t="n">
        <x:v>-155.14</x:v>
      </x:c>
      <x:c r="G43" s="50" t="n">
        <x:v>159.27</x:v>
      </x:c>
      <x:c r="H43" s="50" t="n">
        <x:v>-14.56</x:v>
      </x:c>
      <x:c r="I43" s="50" t="n">
        <x:v>8.79</x:v>
      </x:c>
      <x:c r="J43" s="50" t="n">
        <x:v>0.04</x:v>
      </x:c>
      <x:c r="K43" s="50" t="n">
        <x:v>-1.06</x:v>
      </x:c>
      <x:c r="L43" s="50" t="n">
        <x:v>1.06</x:v>
      </x:c>
      <x:c r="M43" s="50" t="n">
        <x:v>1.06</x:v>
      </x:c>
      <x:c r="N43" t="str">
        <x:v>RELATÓRIO LEITURAS INCLINOMÉTRICAS - Empreitada THE EDEN, Estoril_ R05_03-11-25.pdf</x:v>
      </x:c>
      <x:c r="O43" t="n">
        <x:v>6</x:v>
      </x:c>
      <x:c r="P43" t="str">
        <x:v>Válida</x:v>
      </x:c>
    </x:row>
    <x:row r="44">
      <x:c r="A44" s="48" t="n">
        <x:v>45936</x:v>
      </x:c>
      <x:c r="B44" t="n">
        <x:v>1</x:v>
      </x:c>
      <x:c r="C44" t="str">
        <x:v>I1</x:v>
      </x:c>
      <x:c r="D44" t="n">
        <x:v>1</x:v>
      </x:c>
      <x:c r="E44" s="50" t="n">
        <x:v>21.5</x:v>
      </x:c>
      <x:c r="F44" s="50" t="n">
        <x:v>-75.5</x:v>
      </x:c>
      <x:c r="G44" s="50" t="n">
        <x:v>83.36</x:v>
      </x:c>
      <x:c r="H44" s="50" t="n">
        <x:v>-12.78</x:v>
      </x:c>
      <x:c r="I44" s="50" t="n">
        <x:v>24.28</x:v>
      </x:c>
      <x:c r="J44" s="50" t="n">
        <x:v>0.04</x:v>
      </x:c>
      <x:c r="K44" s="50" t="n">
        <x:v>-0.9</x:v>
      </x:c>
      <x:c r="L44" s="50" t="n">
        <x:v>0.9</x:v>
      </x:c>
      <x:c r="M44" s="50" t="n">
        <x:v>0.9</x:v>
      </x:c>
      <x:c r="N44" t="str">
        <x:v>RELATÓRIO LEITURAS INCLINOMÉTRICAS - Empreitada THE EDEN, Estoril_ R05_03-11-25.pdf</x:v>
      </x:c>
      <x:c r="O44" t="n">
        <x:v>6</x:v>
      </x:c>
      <x:c r="P44" t="str">
        <x:v>Válida</x:v>
      </x:c>
    </x:row>
    <x:row r="45">
      <x:c r="A45" s="48" t="n">
        <x:v>45936</x:v>
      </x:c>
      <x:c r="B45" t="n">
        <x:v>1</x:v>
      </x:c>
      <x:c r="C45" t="str">
        <x:v>I1</x:v>
      </x:c>
      <x:c r="D45" t="n">
        <x:v>1</x:v>
      </x:c>
      <x:c r="E45" s="50" t="n">
        <x:v>22</x:v>
      </x:c>
      <x:c r="F45" s="50" t="n">
        <x:v>7.97</x:v>
      </x:c>
      <x:c r="G45" s="50" t="n">
        <x:v>-4.71</x:v>
      </x:c>
      <x:c r="H45" s="50" t="n">
        <x:v>-95.76</x:v>
      </x:c>
      <x:c r="I45" s="50" t="n">
        <x:v>101.07</x:v>
      </x:c>
      <x:c r="J45" s="50" t="n">
        <x:v>0</x:v>
      </x:c>
      <x:c r="K45" s="50" t="n">
        <x:v>-0.74</x:v>
      </x:c>
      <x:c r="L45" s="50" t="n">
        <x:v>0.74</x:v>
      </x:c>
      <x:c r="M45" s="50" t="n">
        <x:v>0.74</x:v>
      </x:c>
      <x:c r="N45" t="str">
        <x:v>RELATÓRIO LEITURAS INCLINOMÉTRICAS - Empreitada THE EDEN, Estoril_ R05_03-11-25.pdf</x:v>
      </x:c>
      <x:c r="O45" t="n">
        <x:v>6</x:v>
      </x:c>
      <x:c r="P45" t="str">
        <x:v>Válida</x:v>
      </x:c>
    </x:row>
    <x:row r="46">
      <x:c r="A46" s="48" t="n">
        <x:v>45936</x:v>
      </x:c>
      <x:c r="B46" t="n">
        <x:v>1</x:v>
      </x:c>
      <x:c r="C46" t="str">
        <x:v>I1</x:v>
      </x:c>
      <x:c r="D46" t="n">
        <x:v>1</x:v>
      </x:c>
      <x:c r="E46" s="50" t="n">
        <x:v>22.5</x:v>
      </x:c>
      <x:c r="F46" s="50" t="n">
        <x:v>-22.42</x:v>
      </x:c>
      <x:c r="G46" s="50" t="n">
        <x:v>28.53</x:v>
      </x:c>
      <x:c r="H46" s="50" t="n">
        <x:v>-37.5</x:v>
      </x:c>
      <x:c r="I46" s="50" t="n">
        <x:v>38.31</x:v>
      </x:c>
      <x:c r="J46" s="50" t="n">
        <x:v>-0.02</x:v>
      </x:c>
      <x:c r="K46" s="50" t="n">
        <x:v>-0.65</x:v>
      </x:c>
      <x:c r="L46" s="50" t="n">
        <x:v>0.65</x:v>
      </x:c>
      <x:c r="M46" s="50" t="n">
        <x:v>0.65</x:v>
      </x:c>
      <x:c r="N46" t="str">
        <x:v>RELATÓRIO LEITURAS INCLINOMÉTRICAS - Empreitada THE EDEN, Estoril_ R05_03-11-25.pdf</x:v>
      </x:c>
      <x:c r="O46" t="n">
        <x:v>6</x:v>
      </x:c>
      <x:c r="P46" t="str">
        <x:v>Válida</x:v>
      </x:c>
    </x:row>
    <x:row r="47">
      <x:c r="A47" s="48" t="n">
        <x:v>45936</x:v>
      </x:c>
      <x:c r="B47" t="n">
        <x:v>1</x:v>
      </x:c>
      <x:c r="C47" t="str">
        <x:v>I1</x:v>
      </x:c>
      <x:c r="D47" t="n">
        <x:v>1</x:v>
      </x:c>
      <x:c r="E47" s="50" t="n">
        <x:v>23</x:v>
      </x:c>
      <x:c r="F47" s="50" t="n">
        <x:v>-45.01</x:v>
      </x:c>
      <x:c r="G47" s="50" t="n">
        <x:v>50.01</x:v>
      </x:c>
      <x:c r="H47" s="50" t="n">
        <x:v>-0.75</x:v>
      </x:c>
      <x:c r="I47" s="50" t="n">
        <x:v>-10.86</x:v>
      </x:c>
      <x:c r="J47" s="50" t="n">
        <x:v>-0.03</x:v>
      </x:c>
      <x:c r="K47" s="50" t="n">
        <x:v>-0.61</x:v>
      </x:c>
      <x:c r="L47" s="50" t="n">
        <x:v>0.61</x:v>
      </x:c>
      <x:c r="M47" s="50" t="n">
        <x:v>0.61</x:v>
      </x:c>
      <x:c r="N47" t="str">
        <x:v>RELATÓRIO LEITURAS INCLINOMÉTRICAS - Empreitada THE EDEN, Estoril_ R05_03-11-25.pdf</x:v>
      </x:c>
      <x:c r="O47" t="n">
        <x:v>6</x:v>
      </x:c>
      <x:c r="P47" t="str">
        <x:v>Válida</x:v>
      </x:c>
    </x:row>
    <x:row r="48">
      <x:c r="A48" s="48" t="n">
        <x:v>45936</x:v>
      </x:c>
      <x:c r="B48" t="n">
        <x:v>1</x:v>
      </x:c>
      <x:c r="C48" t="str">
        <x:v>I1</x:v>
      </x:c>
      <x:c r="D48" t="n">
        <x:v>1</x:v>
      </x:c>
      <x:c r="E48" s="50" t="n">
        <x:v>23.5</x:v>
      </x:c>
      <x:c r="F48" s="50" t="n">
        <x:v>-64.06</x:v>
      </x:c>
      <x:c r="G48" s="50" t="n">
        <x:v>70.67</x:v>
      </x:c>
      <x:c r="H48" s="50" t="n">
        <x:v>15.36</x:v>
      </x:c>
      <x:c r="I48" s="50" t="n">
        <x:v>-26.69</x:v>
      </x:c>
      <x:c r="J48" s="50" t="n">
        <x:v>-0.01</x:v>
      </x:c>
      <x:c r="K48" s="50" t="n">
        <x:v>-0.48</x:v>
      </x:c>
      <x:c r="L48" s="50" t="n">
        <x:v>0.48</x:v>
      </x:c>
      <x:c r="M48" s="50" t="n">
        <x:v>0.48</x:v>
      </x:c>
      <x:c r="N48" t="str">
        <x:v>RELATÓRIO LEITURAS INCLINOMÉTRICAS - Empreitada THE EDEN, Estoril_ R05_03-11-25.pdf</x:v>
      </x:c>
      <x:c r="O48" t="n">
        <x:v>6</x:v>
      </x:c>
      <x:c r="P48" t="str">
        <x:v>Válida</x:v>
      </x:c>
    </x:row>
    <x:row r="49">
      <x:c r="A49" s="48" t="n">
        <x:v>45936</x:v>
      </x:c>
      <x:c r="B49" t="n">
        <x:v>1</x:v>
      </x:c>
      <x:c r="C49" t="str">
        <x:v>I1</x:v>
      </x:c>
      <x:c r="D49" t="n">
        <x:v>1</x:v>
      </x:c>
      <x:c r="E49" s="50" t="n">
        <x:v>24</x:v>
      </x:c>
      <x:c r="F49" s="50" t="n">
        <x:v>-88.59</x:v>
      </x:c>
      <x:c r="G49" s="50" t="n">
        <x:v>95.36</x:v>
      </x:c>
      <x:c r="H49" s="50" t="n">
        <x:v>12.25</x:v>
      </x:c>
      <x:c r="I49" s="50" t="n">
        <x:v>-17.9</x:v>
      </x:c>
      <x:c r="J49" s="50" t="n">
        <x:v>0</x:v>
      </x:c>
      <x:c r="K49" s="50" t="n">
        <x:v>-0.5</x:v>
      </x:c>
      <x:c r="L49" s="50" t="n">
        <x:v>0.5</x:v>
      </x:c>
      <x:c r="M49" s="50" t="n">
        <x:v>0.5</x:v>
      </x:c>
      <x:c r="N49" t="str">
        <x:v>RELATÓRIO LEITURAS INCLINOMÉTRICAS - Empreitada THE EDEN, Estoril_ R05_03-11-25.pdf</x:v>
      </x:c>
      <x:c r="O49" t="n">
        <x:v>6</x:v>
      </x:c>
      <x:c r="P49" t="str">
        <x:v>Válida</x:v>
      </x:c>
    </x:row>
    <x:row r="50">
      <x:c r="A50" s="48" t="n">
        <x:v>45936</x:v>
      </x:c>
      <x:c r="B50" t="n">
        <x:v>1</x:v>
      </x:c>
      <x:c r="C50" t="str">
        <x:v>I1</x:v>
      </x:c>
      <x:c r="D50" t="n">
        <x:v>1</x:v>
      </x:c>
      <x:c r="E50" s="50" t="n">
        <x:v>24.5</x:v>
      </x:c>
      <x:c r="F50" s="50" t="n">
        <x:v>-118.94</x:v>
      </x:c>
      <x:c r="G50" s="50" t="n">
        <x:v>120.83</x:v>
      </x:c>
      <x:c r="H50" s="50" t="n">
        <x:v>25.96</x:v>
      </x:c>
      <x:c r="I50" s="50" t="n">
        <x:v>-6.98</x:v>
      </x:c>
      <x:c r="J50" s="50" t="n">
        <x:v>-0.03</x:v>
      </x:c>
      <x:c r="K50" s="50" t="n">
        <x:v>-0.69</x:v>
      </x:c>
      <x:c r="L50" s="50" t="n">
        <x:v>0.69</x:v>
      </x:c>
      <x:c r="M50" s="50" t="n">
        <x:v>0.69</x:v>
      </x:c>
      <x:c r="N50" t="str">
        <x:v>RELATÓRIO LEITURAS INCLINOMÉTRICAS - Empreitada THE EDEN, Estoril_ R05_03-11-25.pdf</x:v>
      </x:c>
      <x:c r="O50" t="n">
        <x:v>6</x:v>
      </x:c>
      <x:c r="P50" t="str">
        <x:v>Válida</x:v>
      </x:c>
    </x:row>
    <x:row r="51">
      <x:c r="A51" s="48" t="n">
        <x:v>45936</x:v>
      </x:c>
      <x:c r="B51" t="n">
        <x:v>1</x:v>
      </x:c>
      <x:c r="C51" t="str">
        <x:v>I1</x:v>
      </x:c>
      <x:c r="D51" t="n">
        <x:v>1</x:v>
      </x:c>
      <x:c r="E51" s="50" t="n">
        <x:v>25</x:v>
      </x:c>
      <x:c r="F51" s="50" t="n">
        <x:v>-104.69</x:v>
      </x:c>
      <x:c r="G51" s="50" t="n">
        <x:v>117.73</x:v>
      </x:c>
      <x:c r="H51" s="50" t="n">
        <x:v>-31.48</x:v>
      </x:c>
      <x:c r="I51" s="50" t="n">
        <x:v>20.15</x:v>
      </x:c>
      <x:c r="J51" s="50" t="n">
        <x:v>-0.02</x:v>
      </x:c>
      <x:c r="K51" s="50" t="n">
        <x:v>-0.58</x:v>
      </x:c>
      <x:c r="L51" s="50" t="n">
        <x:v>0.58</x:v>
      </x:c>
      <x:c r="M51" s="50" t="n">
        <x:v>0.58</x:v>
      </x:c>
      <x:c r="N51" t="str">
        <x:v>RELATÓRIO LEITURAS INCLINOMÉTRICAS - Empreitada THE EDEN, Estoril_ R05_03-11-25.pdf</x:v>
      </x:c>
      <x:c r="O51" t="n">
        <x:v>6</x:v>
      </x:c>
      <x:c r="P51" t="str">
        <x:v>Válida</x:v>
      </x:c>
    </x:row>
    <x:row r="52">
      <x:c r="A52" s="48" t="n">
        <x:v>45936</x:v>
      </x:c>
      <x:c r="B52" t="n">
        <x:v>1</x:v>
      </x:c>
      <x:c r="C52" t="str">
        <x:v>I1</x:v>
      </x:c>
      <x:c r="D52" t="n">
        <x:v>1</x:v>
      </x:c>
      <x:c r="E52" s="50" t="n">
        <x:v>25.5</x:v>
      </x:c>
      <x:c r="F52" s="50" t="n">
        <x:v>-91.61</x:v>
      </x:c>
      <x:c r="G52" s="50" t="n">
        <x:v>98.37</x:v>
      </x:c>
      <x:c r="H52" s="50" t="n">
        <x:v>-36.59</x:v>
      </x:c>
      <x:c r="I52" s="50" t="n">
        <x:v>29.43</x:v>
      </x:c>
      <x:c r="J52" s="50" t="n">
        <x:v>-0.03</x:v>
      </x:c>
      <x:c r="K52" s="50" t="n">
        <x:v>-0.28</x:v>
      </x:c>
      <x:c r="L52" s="50" t="n">
        <x:v>0.28</x:v>
      </x:c>
      <x:c r="M52" s="50" t="n">
        <x:v>0.28</x:v>
      </x:c>
      <x:c r="N52" t="str">
        <x:v>RELATÓRIO LEITURAS INCLINOMÉTRICAS - Empreitada THE EDEN, Estoril_ R05_03-11-25.pdf</x:v>
      </x:c>
      <x:c r="O52" t="n">
        <x:v>6</x:v>
      </x:c>
      <x:c r="P52" t="str">
        <x:v>Válida</x:v>
      </x:c>
    </x:row>
    <x:row r="53">
      <x:c r="A53" s="48" t="n">
        <x:v>45936</x:v>
      </x:c>
      <x:c r="B53" t="n">
        <x:v>1</x:v>
      </x:c>
      <x:c r="C53" t="str">
        <x:v>I1</x:v>
      </x:c>
      <x:c r="D53" t="n">
        <x:v>1</x:v>
      </x:c>
      <x:c r="E53" s="50" t="n">
        <x:v>26</x:v>
      </x:c>
      <x:c r="F53" s="50" t="n">
        <x:v>-60.23</x:v>
      </x:c>
      <x:c r="G53" s="50" t="n">
        <x:v>68.66</x:v>
      </x:c>
      <x:c r="H53" s="50" t="n">
        <x:v>-27.31</x:v>
      </x:c>
      <x:c r="I53" s="50" t="n">
        <x:v>21.67</x:v>
      </x:c>
      <x:c r="J53" s="50" t="n">
        <x:v>-0.06</x:v>
      </x:c>
      <x:c r="K53" s="50" t="n">
        <x:v>-0.23</x:v>
      </x:c>
      <x:c r="L53" s="50" t="n">
        <x:v>0.24</x:v>
      </x:c>
      <x:c r="M53" s="50" t="n">
        <x:v>0.24</x:v>
      </x:c>
      <x:c r="N53" t="str">
        <x:v>RELATÓRIO LEITURAS INCLINOMÉTRICAS - Empreitada THE EDEN, Estoril_ R05_03-11-25.pdf</x:v>
      </x:c>
      <x:c r="O53" t="n">
        <x:v>6</x:v>
      </x:c>
      <x:c r="P53" t="str">
        <x:v>Válida</x:v>
      </x:c>
    </x:row>
    <x:row r="54">
      <x:c r="A54" s="48" t="n">
        <x:v>45936</x:v>
      </x:c>
      <x:c r="B54" t="n">
        <x:v>1</x:v>
      </x:c>
      <x:c r="C54" t="str">
        <x:v>I1</x:v>
      </x:c>
      <x:c r="D54" t="n">
        <x:v>1</x:v>
      </x:c>
      <x:c r="E54" s="50" t="n">
        <x:v>26.5</x:v>
      </x:c>
      <x:c r="F54" s="50" t="n">
        <x:v>-28.01</x:v>
      </x:c>
      <x:c r="G54" s="50" t="n">
        <x:v>37.63</x:v>
      </x:c>
      <x:c r="H54" s="50" t="n">
        <x:v>6.78</x:v>
      </x:c>
      <x:c r="I54" s="50" t="n">
        <x:v>-23.15</x:v>
      </x:c>
      <x:c r="J54" s="50" t="n">
        <x:v>-0.12</x:v>
      </x:c>
      <x:c r="K54" s="50" t="n">
        <x:v>-0.16</x:v>
      </x:c>
      <x:c r="L54" s="50" t="n">
        <x:v>0.2</x:v>
      </x:c>
      <x:c r="M54" s="50" t="n">
        <x:v>0.2</x:v>
      </x:c>
      <x:c r="N54" t="str">
        <x:v>RELATÓRIO LEITURAS INCLINOMÉTRICAS - Empreitada THE EDEN, Estoril_ R05_03-11-25.pdf</x:v>
      </x:c>
      <x:c r="O54" t="n">
        <x:v>6</x:v>
      </x:c>
      <x:c r="P54" t="str">
        <x:v>Válida</x:v>
      </x:c>
    </x:row>
    <x:row r="55">
      <x:c r="A55" s="48" t="n">
        <x:v>45936</x:v>
      </x:c>
      <x:c r="B55" t="n">
        <x:v>1</x:v>
      </x:c>
      <x:c r="C55" t="str">
        <x:v>I1</x:v>
      </x:c>
      <x:c r="D55" t="n">
        <x:v>1</x:v>
      </x:c>
      <x:c r="E55" s="50" t="n">
        <x:v>27</x:v>
      </x:c>
      <x:c r="F55" s="50" t="n">
        <x:v>25.06</x:v>
      </x:c>
      <x:c r="G55" s="50" t="n">
        <x:v>-18.85</x:v>
      </x:c>
      <x:c r="H55" s="50" t="n">
        <x:v>56.42</x:v>
      </x:c>
      <x:c r="I55" s="50" t="n">
        <x:v>-61.72</x:v>
      </x:c>
      <x:c r="J55" s="50" t="n">
        <x:v>-0.16</x:v>
      </x:c>
      <x:c r="K55" s="50" t="n">
        <x:v>-0.03</x:v>
      </x:c>
      <x:c r="L55" s="50" t="n">
        <x:v>0.16</x:v>
      </x:c>
      <x:c r="M55" s="50" t="n">
        <x:v>0.16</x:v>
      </x:c>
      <x:c r="N55" t="str">
        <x:v>RELATÓRIO LEITURAS INCLINOMÉTRICAS - Empreitada THE EDEN, Estoril_ R05_03-11-25.pdf</x:v>
      </x:c>
      <x:c r="O55" t="n">
        <x:v>6</x:v>
      </x:c>
      <x:c r="P55" t="str">
        <x:v>Válida</x:v>
      </x:c>
    </x:row>
    <x:row r="56">
      <x:c r="A56" s="48" t="n">
        <x:v>45936</x:v>
      </x:c>
      <x:c r="B56" t="n">
        <x:v>1</x:v>
      </x:c>
      <x:c r="C56" t="str">
        <x:v>I2</x:v>
      </x:c>
      <x:c r="D56" t="n">
        <x:v>1</x:v>
      </x:c>
      <x:c r="E56" s="50" t="n">
        <x:v>0.5</x:v>
      </x:c>
      <x:c r="F56" s="50" t="n">
        <x:v>-398.36</x:v>
      </x:c>
      <x:c r="G56" s="50" t="n">
        <x:v>416.62</x:v>
      </x:c>
      <x:c r="H56" s="50" t="n">
        <x:v>-147.81</x:v>
      </x:c>
      <x:c r="I56" s="50" t="n">
        <x:v>144.42</x:v>
      </x:c>
      <x:c r="J56" s="50" t="n">
        <x:v>-0.54</x:v>
      </x:c>
      <x:c r="K56" s="50" t="n">
        <x:v>-0.38</x:v>
      </x:c>
      <x:c r="L56" s="50" t="n">
        <x:v>0.67</x:v>
      </x:c>
      <x:c r="M56" s="50" t="n">
        <x:v>0.67</x:v>
      </x:c>
      <x:c r="N56" t="str">
        <x:v>RELATÓRIO LEITURAS INCLINOMÉTRICAS - Empreitada THE EDEN, Estoril_ R05_03-11-25.pdf</x:v>
      </x:c>
      <x:c r="O56" t="n">
        <x:v>16</x:v>
      </x:c>
      <x:c r="P56" t="str">
        <x:v>Válida</x:v>
      </x:c>
    </x:row>
    <x:row r="57">
      <x:c r="A57" s="48" t="n">
        <x:v>45936</x:v>
      </x:c>
      <x:c r="B57" t="n">
        <x:v>1</x:v>
      </x:c>
      <x:c r="C57" t="str">
        <x:v>I2</x:v>
      </x:c>
      <x:c r="D57" t="n">
        <x:v>1</x:v>
      </x:c>
      <x:c r="E57" s="50" t="n">
        <x:v>1</x:v>
      </x:c>
      <x:c r="F57" s="50" t="n">
        <x:v>-399.92</x:v>
      </x:c>
      <x:c r="G57" s="50" t="n">
        <x:v>407.58</x:v>
      </x:c>
      <x:c r="H57" s="50" t="n">
        <x:v>-141.75</x:v>
      </x:c>
      <x:c r="I57" s="50" t="n">
        <x:v>142.66</x:v>
      </x:c>
      <x:c r="J57" s="50" t="n">
        <x:v>-0.31</x:v>
      </x:c>
      <x:c r="K57" s="50" t="n">
        <x:v>0.3</x:v>
      </x:c>
      <x:c r="L57" s="50" t="n">
        <x:v>0.43</x:v>
      </x:c>
      <x:c r="M57" s="50" t="n">
        <x:v>0.43</x:v>
      </x:c>
      <x:c r="N57" t="str">
        <x:v>RELATÓRIO LEITURAS INCLINOMÉTRICAS - Empreitada THE EDEN, Estoril_ R05_03-11-25.pdf</x:v>
      </x:c>
      <x:c r="O57" t="n">
        <x:v>16</x:v>
      </x:c>
      <x:c r="P57" t="str">
        <x:v>Válida</x:v>
      </x:c>
    </x:row>
    <x:row r="58">
      <x:c r="A58" s="48" t="n">
        <x:v>45936</x:v>
      </x:c>
      <x:c r="B58" t="n">
        <x:v>1</x:v>
      </x:c>
      <x:c r="C58" t="str">
        <x:v>I2</x:v>
      </x:c>
      <x:c r="D58" t="n">
        <x:v>1</x:v>
      </x:c>
      <x:c r="E58" s="50" t="n">
        <x:v>1.5</x:v>
      </x:c>
      <x:c r="F58" s="50" t="n">
        <x:v>-376.68</x:v>
      </x:c>
      <x:c r="G58" s="50" t="n">
        <x:v>385.3</x:v>
      </x:c>
      <x:c r="H58" s="50" t="n">
        <x:v>-159.87</x:v>
      </x:c>
      <x:c r="I58" s="50" t="n">
        <x:v>147.58</x:v>
      </x:c>
      <x:c r="J58" s="50" t="n">
        <x:v>0.09</x:v>
      </x:c>
      <x:c r="K58" s="50" t="n">
        <x:v>1.06</x:v>
      </x:c>
      <x:c r="L58" s="50" t="n">
        <x:v>1.06</x:v>
      </x:c>
      <x:c r="M58" s="50" t="n">
        <x:v>1.06</x:v>
      </x:c>
      <x:c r="N58" t="str">
        <x:v>RELATÓRIO LEITURAS INCLINOMÉTRICAS - Empreitada THE EDEN, Estoril_ R05_03-11-25.pdf</x:v>
      </x:c>
      <x:c r="O58" t="n">
        <x:v>16</x:v>
      </x:c>
      <x:c r="P58" t="str">
        <x:v>Válida</x:v>
      </x:c>
    </x:row>
    <x:row r="59">
      <x:c r="A59" s="48" t="n">
        <x:v>45936</x:v>
      </x:c>
      <x:c r="B59" t="n">
        <x:v>1</x:v>
      </x:c>
      <x:c r="C59" t="str">
        <x:v>I2</x:v>
      </x:c>
      <x:c r="D59" t="n">
        <x:v>1</x:v>
      </x:c>
      <x:c r="E59" s="50" t="n">
        <x:v>2</x:v>
      </x:c>
      <x:c r="F59" s="50" t="n">
        <x:v>-333.36</x:v>
      </x:c>
      <x:c r="G59" s="50" t="n">
        <x:v>344.75</x:v>
      </x:c>
      <x:c r="H59" s="50" t="n">
        <x:v>-213.14</x:v>
      </x:c>
      <x:c r="I59" s="50" t="n">
        <x:v>212.25</x:v>
      </x:c>
      <x:c r="J59" s="50" t="n">
        <x:v>0.16</x:v>
      </x:c>
      <x:c r="K59" s="50" t="n">
        <x:v>1.21</x:v>
      </x:c>
      <x:c r="L59" s="50" t="n">
        <x:v>1.22</x:v>
      </x:c>
      <x:c r="M59" s="50" t="n">
        <x:v>1.22</x:v>
      </x:c>
      <x:c r="N59" t="str">
        <x:v>RELATÓRIO LEITURAS INCLINOMÉTRICAS - Empreitada THE EDEN, Estoril_ R05_03-11-25.pdf</x:v>
      </x:c>
      <x:c r="O59" t="n">
        <x:v>16</x:v>
      </x:c>
      <x:c r="P59" t="str">
        <x:v>Válida</x:v>
      </x:c>
    </x:row>
    <x:row r="60">
      <x:c r="A60" s="48" t="n">
        <x:v>45936</x:v>
      </x:c>
      <x:c r="B60" t="n">
        <x:v>1</x:v>
      </x:c>
      <x:c r="C60" t="str">
        <x:v>I2</x:v>
      </x:c>
      <x:c r="D60" t="n">
        <x:v>1</x:v>
      </x:c>
      <x:c r="E60" s="50" t="n">
        <x:v>2.5</x:v>
      </x:c>
      <x:c r="F60" s="50" t="n">
        <x:v>-306.03</x:v>
      </x:c>
      <x:c r="G60" s="50" t="n">
        <x:v>315.9</x:v>
      </x:c>
      <x:c r="H60" s="50" t="n">
        <x:v>-192.11</x:v>
      </x:c>
      <x:c r="I60" s="50" t="n">
        <x:v>189.02</x:v>
      </x:c>
      <x:c r="J60" s="50" t="n">
        <x:v>0.15</x:v>
      </x:c>
      <x:c r="K60" s="50" t="n">
        <x:v>1.23</x:v>
      </x:c>
      <x:c r="L60" s="50" t="n">
        <x:v>1.24</x:v>
      </x:c>
      <x:c r="M60" s="50" t="n">
        <x:v>1.24</x:v>
      </x:c>
      <x:c r="N60" t="str">
        <x:v>RELATÓRIO LEITURAS INCLINOMÉTRICAS - Empreitada THE EDEN, Estoril_ R05_03-11-25.pdf</x:v>
      </x:c>
      <x:c r="O60" t="n">
        <x:v>16</x:v>
      </x:c>
      <x:c r="P60" t="str">
        <x:v>Válida</x:v>
      </x:c>
    </x:row>
    <x:row r="61">
      <x:c r="A61" s="48" t="n">
        <x:v>45936</x:v>
      </x:c>
      <x:c r="B61" t="n">
        <x:v>1</x:v>
      </x:c>
      <x:c r="C61" t="str">
        <x:v>I2</x:v>
      </x:c>
      <x:c r="D61" t="n">
        <x:v>1</x:v>
      </x:c>
      <x:c r="E61" s="50" t="n">
        <x:v>3</x:v>
      </x:c>
      <x:c r="F61" s="50" t="n">
        <x:v>-270.7</x:v>
      </x:c>
      <x:c r="G61" s="50" t="n">
        <x:v>279.26</x:v>
      </x:c>
      <x:c r="H61" s="50" t="n">
        <x:v>-140.05</x:v>
      </x:c>
      <x:c r="I61" s="50" t="n">
        <x:v>135.39</x:v>
      </x:c>
      <x:c r="J61" s="50" t="n">
        <x:v>0.15</x:v>
      </x:c>
      <x:c r="K61" s="50" t="n">
        <x:v>1.21</x:v>
      </x:c>
      <x:c r="L61" s="50" t="n">
        <x:v>1.22</x:v>
      </x:c>
      <x:c r="M61" s="50" t="n">
        <x:v>1.22</x:v>
      </x:c>
      <x:c r="N61" t="str">
        <x:v>RELATÓRIO LEITURAS INCLINOMÉTRICAS - Empreitada THE EDEN, Estoril_ R05_03-11-25.pdf</x:v>
      </x:c>
      <x:c r="O61" t="n">
        <x:v>16</x:v>
      </x:c>
      <x:c r="P61" t="str">
        <x:v>Válida</x:v>
      </x:c>
    </x:row>
    <x:row r="62">
      <x:c r="A62" s="48" t="n">
        <x:v>45936</x:v>
      </x:c>
      <x:c r="B62" t="n">
        <x:v>1</x:v>
      </x:c>
      <x:c r="C62" t="str">
        <x:v>I2</x:v>
      </x:c>
      <x:c r="D62" t="n">
        <x:v>1</x:v>
      </x:c>
      <x:c r="E62" s="50" t="n">
        <x:v>3.5</x:v>
      </x:c>
      <x:c r="F62" s="50" t="n">
        <x:v>-209.8</x:v>
      </x:c>
      <x:c r="G62" s="50" t="n">
        <x:v>219.76</x:v>
      </x:c>
      <x:c r="H62" s="50" t="n">
        <x:v>-83.26</x:v>
      </x:c>
      <x:c r="I62" s="50" t="n">
        <x:v>79.99</x:v>
      </x:c>
      <x:c r="J62" s="50" t="n">
        <x:v>0.15</x:v>
      </x:c>
      <x:c r="K62" s="50" t="n">
        <x:v>1.21</x:v>
      </x:c>
      <x:c r="L62" s="50" t="n">
        <x:v>1.22</x:v>
      </x:c>
      <x:c r="M62" s="50" t="n">
        <x:v>1.22</x:v>
      </x:c>
      <x:c r="N62" t="str">
        <x:v>RELATÓRIO LEITURAS INCLINOMÉTRICAS - Empreitada THE EDEN, Estoril_ R05_03-11-25.pdf</x:v>
      </x:c>
      <x:c r="O62" t="n">
        <x:v>16</x:v>
      </x:c>
      <x:c r="P62" t="str">
        <x:v>Válida</x:v>
      </x:c>
    </x:row>
    <x:row r="63">
      <x:c r="A63" s="48" t="n">
        <x:v>45936</x:v>
      </x:c>
      <x:c r="B63" t="n">
        <x:v>1</x:v>
      </x:c>
      <x:c r="C63" t="str">
        <x:v>I2</x:v>
      </x:c>
      <x:c r="D63" t="n">
        <x:v>1</x:v>
      </x:c>
      <x:c r="E63" s="50" t="n">
        <x:v>4</x:v>
      </x:c>
      <x:c r="F63" s="50" t="n">
        <x:v>-153.96</x:v>
      </x:c>
      <x:c r="G63" s="50" t="n">
        <x:v>165.27</x:v>
      </x:c>
      <x:c r="H63" s="50" t="n">
        <x:v>-72.13</x:v>
      </x:c>
      <x:c r="I63" s="50" t="n">
        <x:v>62.87</x:v>
      </x:c>
      <x:c r="J63" s="50" t="n">
        <x:v>0.16</x:v>
      </x:c>
      <x:c r="K63" s="50" t="n">
        <x:v>1.34</x:v>
      </x:c>
      <x:c r="L63" s="50" t="n">
        <x:v>1.35</x:v>
      </x:c>
      <x:c r="M63" s="50" t="n">
        <x:v>1.35</x:v>
      </x:c>
      <x:c r="N63" t="str">
        <x:v>RELATÓRIO LEITURAS INCLINOMÉTRICAS - Empreitada THE EDEN, Estoril_ R05_03-11-25.pdf</x:v>
      </x:c>
      <x:c r="O63" t="n">
        <x:v>16</x:v>
      </x:c>
      <x:c r="P63" t="str">
        <x:v>Válida</x:v>
      </x:c>
    </x:row>
    <x:row r="64">
      <x:c r="A64" s="48" t="n">
        <x:v>45936</x:v>
      </x:c>
      <x:c r="B64" t="n">
        <x:v>1</x:v>
      </x:c>
      <x:c r="C64" t="str">
        <x:v>I2</x:v>
      </x:c>
      <x:c r="D64" t="n">
        <x:v>1</x:v>
      </x:c>
      <x:c r="E64" s="50" t="n">
        <x:v>4.5</x:v>
      </x:c>
      <x:c r="F64" s="50" t="n">
        <x:v>-105.45</x:v>
      </x:c>
      <x:c r="G64" s="50" t="n">
        <x:v>114.36</x:v>
      </x:c>
      <x:c r="H64" s="50" t="n">
        <x:v>-117.26</x:v>
      </x:c>
      <x:c r="I64" s="50" t="n">
        <x:v>117.56</x:v>
      </x:c>
      <x:c r="J64" s="50" t="n">
        <x:v>0.16</x:v>
      </x:c>
      <x:c r="K64" s="50" t="n">
        <x:v>1.33</x:v>
      </x:c>
      <x:c r="L64" s="50" t="n">
        <x:v>1.34</x:v>
      </x:c>
      <x:c r="M64" s="50" t="n">
        <x:v>1.34</x:v>
      </x:c>
      <x:c r="N64" t="str">
        <x:v>RELATÓRIO LEITURAS INCLINOMÉTRICAS - Empreitada THE EDEN, Estoril_ R05_03-11-25.pdf</x:v>
      </x:c>
      <x:c r="O64" t="n">
        <x:v>16</x:v>
      </x:c>
      <x:c r="P64" t="str">
        <x:v>Válida</x:v>
      </x:c>
    </x:row>
    <x:row r="65">
      <x:c r="A65" s="48" t="n">
        <x:v>45936</x:v>
      </x:c>
      <x:c r="B65" t="n">
        <x:v>1</x:v>
      </x:c>
      <x:c r="C65" t="str">
        <x:v>I2</x:v>
      </x:c>
      <x:c r="D65" t="n">
        <x:v>1</x:v>
      </x:c>
      <x:c r="E65" s="50" t="n">
        <x:v>5</x:v>
      </x:c>
      <x:c r="F65" s="50" t="n">
        <x:v>-33.93</x:v>
      </x:c>
      <x:c r="G65" s="50" t="n">
        <x:v>43.7</x:v>
      </x:c>
      <x:c r="H65" s="50" t="n">
        <x:v>-148.02</x:v>
      </x:c>
      <x:c r="I65" s="50" t="n">
        <x:v>146.42</x:v>
      </x:c>
      <x:c r="J65" s="50" t="n">
        <x:v>0.16</x:v>
      </x:c>
      <x:c r="K65" s="50" t="n">
        <x:v>1.31</x:v>
      </x:c>
      <x:c r="L65" s="50" t="n">
        <x:v>1.32</x:v>
      </x:c>
      <x:c r="M65" s="50" t="n">
        <x:v>1.32</x:v>
      </x:c>
      <x:c r="N65" t="str">
        <x:v>RELATÓRIO LEITURAS INCLINOMÉTRICAS - Empreitada THE EDEN, Estoril_ R05_03-11-25.pdf</x:v>
      </x:c>
      <x:c r="O65" t="n">
        <x:v>16</x:v>
      </x:c>
      <x:c r="P65" t="str">
        <x:v>Válida</x:v>
      </x:c>
    </x:row>
    <x:row r="66">
      <x:c r="A66" s="48" t="n">
        <x:v>45936</x:v>
      </x:c>
      <x:c r="B66" t="n">
        <x:v>1</x:v>
      </x:c>
      <x:c r="C66" t="str">
        <x:v>I2</x:v>
      </x:c>
      <x:c r="D66" t="n">
        <x:v>1</x:v>
      </x:c>
      <x:c r="E66" s="50" t="n">
        <x:v>5.5</x:v>
      </x:c>
      <x:c r="F66" s="50" t="n">
        <x:v>33.39</x:v>
      </x:c>
      <x:c r="G66" s="50" t="n">
        <x:v>-22.22</x:v>
      </x:c>
      <x:c r="H66" s="50" t="n">
        <x:v>-157.71</x:v>
      </x:c>
      <x:c r="I66" s="50" t="n">
        <x:v>142.76</x:v>
      </x:c>
      <x:c r="J66" s="50" t="n">
        <x:v>0.17</x:v>
      </x:c>
      <x:c r="K66" s="50" t="n">
        <x:v>1.43</x:v>
      </x:c>
      <x:c r="L66" s="50" t="n">
        <x:v>1.44</x:v>
      </x:c>
      <x:c r="M66" s="50" t="n">
        <x:v>1.44</x:v>
      </x:c>
      <x:c r="N66" t="str">
        <x:v>RELATÓRIO LEITURAS INCLINOMÉTRICAS - Empreitada THE EDEN, Estoril_ R05_03-11-25.pdf</x:v>
      </x:c>
      <x:c r="O66" t="n">
        <x:v>16</x:v>
      </x:c>
      <x:c r="P66" t="str">
        <x:v>Válida</x:v>
      </x:c>
    </x:row>
    <x:row r="67">
      <x:c r="A67" s="48" t="n">
        <x:v>45936</x:v>
      </x:c>
      <x:c r="B67" t="n">
        <x:v>1</x:v>
      </x:c>
      <x:c r="C67" t="str">
        <x:v>I2</x:v>
      </x:c>
      <x:c r="D67" t="n">
        <x:v>1</x:v>
      </x:c>
      <x:c r="E67" s="50" t="n">
        <x:v>6</x:v>
      </x:c>
      <x:c r="F67" s="50" t="n">
        <x:v>71.08</x:v>
      </x:c>
      <x:c r="G67" s="50" t="n">
        <x:v>-60.32</x:v>
      </x:c>
      <x:c r="H67" s="50" t="n">
        <x:v>-173.72</x:v>
      </x:c>
      <x:c r="I67" s="50" t="n">
        <x:v>186.36</x:v>
      </x:c>
      <x:c r="J67" s="50" t="n">
        <x:v>0.18</x:v>
      </x:c>
      <x:c r="K67" s="50" t="n">
        <x:v>1.37</x:v>
      </x:c>
      <x:c r="L67" s="50" t="n">
        <x:v>1.38</x:v>
      </x:c>
      <x:c r="M67" s="50" t="n">
        <x:v>1.38</x:v>
      </x:c>
      <x:c r="N67" t="str">
        <x:v>RELATÓRIO LEITURAS INCLINOMÉTRICAS - Empreitada THE EDEN, Estoril_ R05_03-11-25.pdf</x:v>
      </x:c>
      <x:c r="O67" t="n">
        <x:v>16</x:v>
      </x:c>
      <x:c r="P67" t="str">
        <x:v>Válida</x:v>
      </x:c>
    </x:row>
    <x:row r="68">
      <x:c r="A68" s="48" t="n">
        <x:v>45936</x:v>
      </x:c>
      <x:c r="B68" t="n">
        <x:v>1</x:v>
      </x:c>
      <x:c r="C68" t="str">
        <x:v>I2</x:v>
      </x:c>
      <x:c r="D68" t="n">
        <x:v>1</x:v>
      </x:c>
      <x:c r="E68" s="50" t="n">
        <x:v>6.5</x:v>
      </x:c>
      <x:c r="F68" s="50" t="n">
        <x:v>173.18</x:v>
      </x:c>
      <x:c r="G68" s="50" t="n">
        <x:v>-162.55</x:v>
      </x:c>
      <x:c r="H68" s="50" t="n">
        <x:v>-180.45</x:v>
      </x:c>
      <x:c r="I68" s="50" t="n">
        <x:v>183.15</x:v>
      </x:c>
      <x:c r="J68" s="50" t="n">
        <x:v>0.18</x:v>
      </x:c>
      <x:c r="K68" s="50" t="n">
        <x:v>1.55</x:v>
      </x:c>
      <x:c r="L68" s="50" t="n">
        <x:v>1.56</x:v>
      </x:c>
      <x:c r="M68" s="50" t="n">
        <x:v>1.56</x:v>
      </x:c>
      <x:c r="N68" t="str">
        <x:v>RELATÓRIO LEITURAS INCLINOMÉTRICAS - Empreitada THE EDEN, Estoril_ R05_03-11-25.pdf</x:v>
      </x:c>
      <x:c r="O68" t="n">
        <x:v>16</x:v>
      </x:c>
      <x:c r="P68" t="str">
        <x:v>Válida</x:v>
      </x:c>
    </x:row>
    <x:row r="69">
      <x:c r="A69" s="48" t="n">
        <x:v>45936</x:v>
      </x:c>
      <x:c r="B69" t="n">
        <x:v>1</x:v>
      </x:c>
      <x:c r="C69" t="str">
        <x:v>I2</x:v>
      </x:c>
      <x:c r="D69" t="n">
        <x:v>1</x:v>
      </x:c>
      <x:c r="E69" s="50" t="n">
        <x:v>7</x:v>
      </x:c>
      <x:c r="F69" s="50" t="n">
        <x:v>279.05</x:v>
      </x:c>
      <x:c r="G69" s="50" t="n">
        <x:v>-270.24</x:v>
      </x:c>
      <x:c r="H69" s="50" t="n">
        <x:v>-185.92</x:v>
      </x:c>
      <x:c r="I69" s="50" t="n">
        <x:v>181.72</x:v>
      </x:c>
      <x:c r="J69" s="50" t="n">
        <x:v>0.16</x:v>
      </x:c>
      <x:c r="K69" s="50" t="n">
        <x:v>1.57</x:v>
      </x:c>
      <x:c r="L69" s="50" t="n">
        <x:v>1.58</x:v>
      </x:c>
      <x:c r="M69" s="50" t="n">
        <x:v>1.58</x:v>
      </x:c>
      <x:c r="N69" t="str">
        <x:v>RELATÓRIO LEITURAS INCLINOMÉTRICAS - Empreitada THE EDEN, Estoril_ R05_03-11-25.pdf</x:v>
      </x:c>
      <x:c r="O69" t="n">
        <x:v>16</x:v>
      </x:c>
      <x:c r="P69" t="str">
        <x:v>Válida</x:v>
      </x:c>
    </x:row>
    <x:row r="70">
      <x:c r="A70" s="48" t="n">
        <x:v>45936</x:v>
      </x:c>
      <x:c r="B70" t="n">
        <x:v>1</x:v>
      </x:c>
      <x:c r="C70" t="str">
        <x:v>I2</x:v>
      </x:c>
      <x:c r="D70" t="n">
        <x:v>1</x:v>
      </x:c>
      <x:c r="E70" s="50" t="n">
        <x:v>7.5</x:v>
      </x:c>
      <x:c r="F70" s="50" t="n">
        <x:v>300.51</x:v>
      </x:c>
      <x:c r="G70" s="50" t="n">
        <x:v>-283.63</x:v>
      </x:c>
      <x:c r="H70" s="50" t="n">
        <x:v>-172.07</x:v>
      </x:c>
      <x:c r="I70" s="50" t="n">
        <x:v>169.76</x:v>
      </x:c>
      <x:c r="J70" s="50" t="n">
        <x:v>0.16</x:v>
      </x:c>
      <x:c r="K70" s="50" t="n">
        <x:v>1.66</x:v>
      </x:c>
      <x:c r="L70" s="50" t="n">
        <x:v>1.67</x:v>
      </x:c>
      <x:c r="M70" s="50" t="n">
        <x:v>1.67</x:v>
      </x:c>
      <x:c r="N70" t="str">
        <x:v>RELATÓRIO LEITURAS INCLINOMÉTRICAS - Empreitada THE EDEN, Estoril_ R05_03-11-25.pdf</x:v>
      </x:c>
      <x:c r="O70" t="n">
        <x:v>16</x:v>
      </x:c>
      <x:c r="P70" t="str">
        <x:v>Válida</x:v>
      </x:c>
    </x:row>
    <x:row r="71">
      <x:c r="A71" s="48" t="n">
        <x:v>45936</x:v>
      </x:c>
      <x:c r="B71" t="n">
        <x:v>1</x:v>
      </x:c>
      <x:c r="C71" t="str">
        <x:v>I2</x:v>
      </x:c>
      <x:c r="D71" t="n">
        <x:v>1</x:v>
      </x:c>
      <x:c r="E71" s="50" t="n">
        <x:v>8</x:v>
      </x:c>
      <x:c r="F71" s="50" t="n">
        <x:v>266.5</x:v>
      </x:c>
      <x:c r="G71" s="50" t="n">
        <x:v>-261.47</x:v>
      </x:c>
      <x:c r="H71" s="50" t="n">
        <x:v>-76.48</x:v>
      </x:c>
      <x:c r="I71" s="50" t="n">
        <x:v>75.67</x:v>
      </x:c>
      <x:c r="J71" s="50" t="n">
        <x:v>0.17</x:v>
      </x:c>
      <x:c r="K71" s="50" t="n">
        <x:v>1.49</x:v>
      </x:c>
      <x:c r="L71" s="50" t="n">
        <x:v>1.5</x:v>
      </x:c>
      <x:c r="M71" s="50" t="n">
        <x:v>1.5</x:v>
      </x:c>
      <x:c r="N71" t="str">
        <x:v>RELATÓRIO LEITURAS INCLINOMÉTRICAS - Empreitada THE EDEN, Estoril_ R05_03-11-25.pdf</x:v>
      </x:c>
      <x:c r="O71" t="n">
        <x:v>16</x:v>
      </x:c>
      <x:c r="P71" t="str">
        <x:v>Válida</x:v>
      </x:c>
    </x:row>
    <x:row r="72">
      <x:c r="A72" s="48" t="n">
        <x:v>45936</x:v>
      </x:c>
      <x:c r="B72" t="n">
        <x:v>1</x:v>
      </x:c>
      <x:c r="C72" t="str">
        <x:v>I2</x:v>
      </x:c>
      <x:c r="D72" t="n">
        <x:v>1</x:v>
      </x:c>
      <x:c r="E72" s="50" t="n">
        <x:v>8.5</x:v>
      </x:c>
      <x:c r="F72" s="50" t="n">
        <x:v>334.39</x:v>
      </x:c>
      <x:c r="G72" s="50" t="n">
        <x:v>-321.2</x:v>
      </x:c>
      <x:c r="H72" s="50" t="n">
        <x:v>-7.63</x:v>
      </x:c>
      <x:c r="I72" s="50" t="n">
        <x:v>1.57</x:v>
      </x:c>
      <x:c r="J72" s="50" t="n">
        <x:v>0.15</x:v>
      </x:c>
      <x:c r="K72" s="50" t="n">
        <x:v>1.37</x:v>
      </x:c>
      <x:c r="L72" s="50" t="n">
        <x:v>1.38</x:v>
      </x:c>
      <x:c r="M72" s="50" t="n">
        <x:v>1.38</x:v>
      </x:c>
      <x:c r="N72" t="str">
        <x:v>RELATÓRIO LEITURAS INCLINOMÉTRICAS - Empreitada THE EDEN, Estoril_ R05_03-11-25.pdf</x:v>
      </x:c>
      <x:c r="O72" t="n">
        <x:v>16</x:v>
      </x:c>
      <x:c r="P72" t="str">
        <x:v>Válida</x:v>
      </x:c>
    </x:row>
    <x:row r="73">
      <x:c r="A73" s="48" t="n">
        <x:v>45936</x:v>
      </x:c>
      <x:c r="B73" t="n">
        <x:v>1</x:v>
      </x:c>
      <x:c r="C73" t="str">
        <x:v>I2</x:v>
      </x:c>
      <x:c r="D73" t="n">
        <x:v>1</x:v>
      </x:c>
      <x:c r="E73" s="50" t="n">
        <x:v>9</x:v>
      </x:c>
      <x:c r="F73" s="50" t="n">
        <x:v>314.9</x:v>
      </x:c>
      <x:c r="G73" s="50" t="n">
        <x:v>-306.97</x:v>
      </x:c>
      <x:c r="H73" s="50" t="n">
        <x:v>55.81</x:v>
      </x:c>
      <x:c r="I73" s="50" t="n">
        <x:v>-56.63</x:v>
      </x:c>
      <x:c r="J73" s="50" t="n">
        <x:v>0.08</x:v>
      </x:c>
      <x:c r="K73" s="50" t="n">
        <x:v>1.37</x:v>
      </x:c>
      <x:c r="L73" s="50" t="n">
        <x:v>1.37</x:v>
      </x:c>
      <x:c r="M73" s="50" t="n">
        <x:v>1.37</x:v>
      </x:c>
      <x:c r="N73" t="str">
        <x:v>RELATÓRIO LEITURAS INCLINOMÉTRICAS - Empreitada THE EDEN, Estoril_ R05_03-11-25.pdf</x:v>
      </x:c>
      <x:c r="O73" t="n">
        <x:v>16</x:v>
      </x:c>
      <x:c r="P73" t="str">
        <x:v>Válida</x:v>
      </x:c>
    </x:row>
    <x:row r="74">
      <x:c r="A74" s="48" t="n">
        <x:v>45936</x:v>
      </x:c>
      <x:c r="B74" t="n">
        <x:v>1</x:v>
      </x:c>
      <x:c r="C74" t="str">
        <x:v>I2</x:v>
      </x:c>
      <x:c r="D74" t="n">
        <x:v>1</x:v>
      </x:c>
      <x:c r="E74" s="50" t="n">
        <x:v>9.5</x:v>
      </x:c>
      <x:c r="F74" s="50" t="n">
        <x:v>201.58</x:v>
      </x:c>
      <x:c r="G74" s="50" t="n">
        <x:v>-193.22</x:v>
      </x:c>
      <x:c r="H74" s="50" t="n">
        <x:v>108.86</x:v>
      </x:c>
      <x:c r="I74" s="50" t="n">
        <x:v>-122.41</x:v>
      </x:c>
      <x:c r="J74" s="50" t="n">
        <x:v>0.06</x:v>
      </x:c>
      <x:c r="K74" s="50" t="n">
        <x:v>1.38</x:v>
      </x:c>
      <x:c r="L74" s="50" t="n">
        <x:v>1.38</x:v>
      </x:c>
      <x:c r="M74" s="50" t="n">
        <x:v>1.38</x:v>
      </x:c>
      <x:c r="N74" t="str">
        <x:v>RELATÓRIO LEITURAS INCLINOMÉTRICAS - Empreitada THE EDEN, Estoril_ R05_03-11-25.pdf</x:v>
      </x:c>
      <x:c r="O74" t="n">
        <x:v>16</x:v>
      </x:c>
      <x:c r="P74" t="str">
        <x:v>Válida</x:v>
      </x:c>
    </x:row>
    <x:row r="75">
      <x:c r="A75" s="48" t="n">
        <x:v>45936</x:v>
      </x:c>
      <x:c r="B75" t="n">
        <x:v>1</x:v>
      </x:c>
      <x:c r="C75" t="str">
        <x:v>I2</x:v>
      </x:c>
      <x:c r="D75" t="n">
        <x:v>1</x:v>
      </x:c>
      <x:c r="E75" s="50" t="n">
        <x:v>10</x:v>
      </x:c>
      <x:c r="F75" s="50" t="n">
        <x:v>63.68</x:v>
      </x:c>
      <x:c r="G75" s="50" t="n">
        <x:v>-46.37</x:v>
      </x:c>
      <x:c r="H75" s="50" t="n">
        <x:v>155.15</x:v>
      </x:c>
      <x:c r="I75" s="50" t="n">
        <x:v>-151.93</x:v>
      </x:c>
      <x:c r="J75" s="50" t="n">
        <x:v>0.07</x:v>
      </x:c>
      <x:c r="K75" s="50" t="n">
        <x:v>1.33</x:v>
      </x:c>
      <x:c r="L75" s="50" t="n">
        <x:v>1.33</x:v>
      </x:c>
      <x:c r="M75" s="50" t="n">
        <x:v>1.33</x:v>
      </x:c>
      <x:c r="N75" t="str">
        <x:v>RELATÓRIO LEITURAS INCLINOMÉTRICAS - Empreitada THE EDEN, Estoril_ R05_03-11-25.pdf</x:v>
      </x:c>
      <x:c r="O75" t="n">
        <x:v>16</x:v>
      </x:c>
      <x:c r="P75" t="str">
        <x:v>Válida</x:v>
      </x:c>
    </x:row>
    <x:row r="76">
      <x:c r="A76" s="48" t="n">
        <x:v>45936</x:v>
      </x:c>
      <x:c r="B76" t="n">
        <x:v>1</x:v>
      </x:c>
      <x:c r="C76" t="str">
        <x:v>I2</x:v>
      </x:c>
      <x:c r="D76" t="n">
        <x:v>1</x:v>
      </x:c>
      <x:c r="E76" s="50" t="n">
        <x:v>10.5</x:v>
      </x:c>
      <x:c r="F76" s="50" t="n">
        <x:v>81.13</x:v>
      </x:c>
      <x:c r="G76" s="50" t="n">
        <x:v>-73.3</x:v>
      </x:c>
      <x:c r="H76" s="50" t="n">
        <x:v>72.84</x:v>
      </x:c>
      <x:c r="I76" s="50" t="n">
        <x:v>-78.57</x:v>
      </x:c>
      <x:c r="J76" s="50" t="n">
        <x:v>0.09</x:v>
      </x:c>
      <x:c r="K76" s="50" t="n">
        <x:v>1.27</x:v>
      </x:c>
      <x:c r="L76" s="50" t="n">
        <x:v>1.28</x:v>
      </x:c>
      <x:c r="M76" s="50" t="n">
        <x:v>1.28</x:v>
      </x:c>
      <x:c r="N76" t="str">
        <x:v>RELATÓRIO LEITURAS INCLINOMÉTRICAS - Empreitada THE EDEN, Estoril_ R05_03-11-25.pdf</x:v>
      </x:c>
      <x:c r="O76" t="n">
        <x:v>16</x:v>
      </x:c>
      <x:c r="P76" t="str">
        <x:v>Válida</x:v>
      </x:c>
    </x:row>
    <x:row r="77">
      <x:c r="A77" s="48" t="n">
        <x:v>45936</x:v>
      </x:c>
      <x:c r="B77" t="n">
        <x:v>1</x:v>
      </x:c>
      <x:c r="C77" t="str">
        <x:v>I2</x:v>
      </x:c>
      <x:c r="D77" t="n">
        <x:v>1</x:v>
      </x:c>
      <x:c r="E77" s="50" t="n">
        <x:v>11</x:v>
      </x:c>
      <x:c r="F77" s="50" t="n">
        <x:v>13.31</x:v>
      </x:c>
      <x:c r="G77" s="50" t="n">
        <x:v>-3.57</x:v>
      </x:c>
      <x:c r="H77" s="50" t="n">
        <x:v>25.28</x:v>
      </x:c>
      <x:c r="I77" s="50" t="n">
        <x:v>-37.56</x:v>
      </x:c>
      <x:c r="J77" s="50" t="n">
        <x:v>0.11</x:v>
      </x:c>
      <x:c r="K77" s="50" t="n">
        <x:v>1.2</x:v>
      </x:c>
      <x:c r="L77" s="50" t="n">
        <x:v>1.21</x:v>
      </x:c>
      <x:c r="M77" s="50" t="n">
        <x:v>1.21</x:v>
      </x:c>
      <x:c r="N77" t="str">
        <x:v>RELATÓRIO LEITURAS INCLINOMÉTRICAS - Empreitada THE EDEN, Estoril_ R05_03-11-25.pdf</x:v>
      </x:c>
      <x:c r="O77" t="n">
        <x:v>16</x:v>
      </x:c>
      <x:c r="P77" t="str">
        <x:v>Válida</x:v>
      </x:c>
    </x:row>
    <x:row r="78">
      <x:c r="A78" s="48" t="n">
        <x:v>45936</x:v>
      </x:c>
      <x:c r="B78" t="n">
        <x:v>1</x:v>
      </x:c>
      <x:c r="C78" t="str">
        <x:v>I2</x:v>
      </x:c>
      <x:c r="D78" t="n">
        <x:v>1</x:v>
      </x:c>
      <x:c r="E78" s="50" t="n">
        <x:v>11.5</x:v>
      </x:c>
      <x:c r="F78" s="50" t="n">
        <x:v>-59.61</x:v>
      </x:c>
      <x:c r="G78" s="50" t="n">
        <x:v>65.15</x:v>
      </x:c>
      <x:c r="H78" s="50" t="n">
        <x:v>5.24</x:v>
      </x:c>
      <x:c r="I78" s="50" t="n">
        <x:v>-11.57</x:v>
      </x:c>
      <x:c r="J78" s="50" t="n">
        <x:v>0.11</x:v>
      </x:c>
      <x:c r="K78" s="50" t="n">
        <x:v>1</x:v>
      </x:c>
      <x:c r="L78" s="50" t="n">
        <x:v>1</x:v>
      </x:c>
      <x:c r="M78" s="50" t="n">
        <x:v>1</x:v>
      </x:c>
      <x:c r="N78" t="str">
        <x:v>RELATÓRIO LEITURAS INCLINOMÉTRICAS - Empreitada THE EDEN, Estoril_ R05_03-11-25.pdf</x:v>
      </x:c>
      <x:c r="O78" t="n">
        <x:v>16</x:v>
      </x:c>
      <x:c r="P78" t="str">
        <x:v>Válida</x:v>
      </x:c>
    </x:row>
    <x:row r="79">
      <x:c r="A79" s="48" t="n">
        <x:v>45936</x:v>
      </x:c>
      <x:c r="B79" t="n">
        <x:v>1</x:v>
      </x:c>
      <x:c r="C79" t="str">
        <x:v>I2</x:v>
      </x:c>
      <x:c r="D79" t="n">
        <x:v>1</x:v>
      </x:c>
      <x:c r="E79" s="50" t="n">
        <x:v>12</x:v>
      </x:c>
      <x:c r="F79" s="50" t="n">
        <x:v>-72.17</x:v>
      </x:c>
      <x:c r="G79" s="50" t="n">
        <x:v>85.7</x:v>
      </x:c>
      <x:c r="H79" s="50" t="n">
        <x:v>14.73</x:v>
      </x:c>
      <x:c r="I79" s="50" t="n">
        <x:v>-16.55</x:v>
      </x:c>
      <x:c r="J79" s="50" t="n">
        <x:v>0.12</x:v>
      </x:c>
      <x:c r="K79" s="50" t="n">
        <x:v>1.06</x:v>
      </x:c>
      <x:c r="L79" s="50" t="n">
        <x:v>1.07</x:v>
      </x:c>
      <x:c r="M79" s="50" t="n">
        <x:v>1.07</x:v>
      </x:c>
      <x:c r="N79" t="str">
        <x:v>RELATÓRIO LEITURAS INCLINOMÉTRICAS - Empreitada THE EDEN, Estoril_ R05_03-11-25.pdf</x:v>
      </x:c>
      <x:c r="O79" t="n">
        <x:v>16</x:v>
      </x:c>
      <x:c r="P79" t="str">
        <x:v>Válida</x:v>
      </x:c>
    </x:row>
    <x:row r="80">
      <x:c r="A80" s="48" t="n">
        <x:v>45936</x:v>
      </x:c>
      <x:c r="B80" t="n">
        <x:v>1</x:v>
      </x:c>
      <x:c r="C80" t="str">
        <x:v>I2</x:v>
      </x:c>
      <x:c r="D80" t="n">
        <x:v>1</x:v>
      </x:c>
      <x:c r="E80" s="50" t="n">
        <x:v>12.5</x:v>
      </x:c>
      <x:c r="F80" s="50" t="n">
        <x:v>-35.12</x:v>
      </x:c>
      <x:c r="G80" s="50" t="n">
        <x:v>45.81</x:v>
      </x:c>
      <x:c r="H80" s="50" t="n">
        <x:v>12.67</x:v>
      </x:c>
      <x:c r="I80" s="50" t="n">
        <x:v>-18.93</x:v>
      </x:c>
      <x:c r="J80" s="50" t="n">
        <x:v>0.12</x:v>
      </x:c>
      <x:c r="K80" s="50" t="n">
        <x:v>1.05</x:v>
      </x:c>
      <x:c r="L80" s="50" t="n">
        <x:v>1.06</x:v>
      </x:c>
      <x:c r="M80" s="50" t="n">
        <x:v>1.06</x:v>
      </x:c>
      <x:c r="N80" t="str">
        <x:v>RELATÓRIO LEITURAS INCLINOMÉTRICAS - Empreitada THE EDEN, Estoril_ R05_03-11-25.pdf</x:v>
      </x:c>
      <x:c r="O80" t="n">
        <x:v>16</x:v>
      </x:c>
      <x:c r="P80" t="str">
        <x:v>Válida</x:v>
      </x:c>
    </x:row>
    <x:row r="81">
      <x:c r="A81" s="48" t="n">
        <x:v>45936</x:v>
      </x:c>
      <x:c r="B81" t="n">
        <x:v>1</x:v>
      </x:c>
      <x:c r="C81" t="str">
        <x:v>I2</x:v>
      </x:c>
      <x:c r="D81" t="n">
        <x:v>1</x:v>
      </x:c>
      <x:c r="E81" s="50" t="n">
        <x:v>13</x:v>
      </x:c>
      <x:c r="F81" s="50" t="n">
        <x:v>-94.44</x:v>
      </x:c>
      <x:c r="G81" s="50" t="n">
        <x:v>103.25</x:v>
      </x:c>
      <x:c r="H81" s="50" t="n">
        <x:v>-39.36</x:v>
      </x:c>
      <x:c r="I81" s="50" t="n">
        <x:v>36.24</x:v>
      </x:c>
      <x:c r="J81" s="50" t="n">
        <x:v>0.15</x:v>
      </x:c>
      <x:c r="K81" s="50" t="n">
        <x:v>1.11</x:v>
      </x:c>
      <x:c r="L81" s="50" t="n">
        <x:v>1.12</x:v>
      </x:c>
      <x:c r="M81" s="50" t="n">
        <x:v>1.12</x:v>
      </x:c>
      <x:c r="N81" t="str">
        <x:v>RELATÓRIO LEITURAS INCLINOMÉTRICAS - Empreitada THE EDEN, Estoril_ R05_03-11-25.pdf</x:v>
      </x:c>
      <x:c r="O81" t="n">
        <x:v>16</x:v>
      </x:c>
      <x:c r="P81" t="str">
        <x:v>Válida</x:v>
      </x:c>
    </x:row>
    <x:row r="82">
      <x:c r="A82" s="48" t="n">
        <x:v>45936</x:v>
      </x:c>
      <x:c r="B82" t="n">
        <x:v>1</x:v>
      </x:c>
      <x:c r="C82" t="str">
        <x:v>I2</x:v>
      </x:c>
      <x:c r="D82" t="n">
        <x:v>1</x:v>
      </x:c>
      <x:c r="E82" s="50" t="n">
        <x:v>13.5</x:v>
      </x:c>
      <x:c r="F82" s="50" t="n">
        <x:v>-260.85</x:v>
      </x:c>
      <x:c r="G82" s="50" t="n">
        <x:v>272.53</x:v>
      </x:c>
      <x:c r="H82" s="50" t="n">
        <x:v>-177.97</x:v>
      </x:c>
      <x:c r="I82" s="50" t="n">
        <x:v>184.39</x:v>
      </x:c>
      <x:c r="J82" s="50" t="n">
        <x:v>0.16</x:v>
      </x:c>
      <x:c r="K82" s="50" t="n">
        <x:v>1.12</x:v>
      </x:c>
      <x:c r="L82" s="50" t="n">
        <x:v>1.13</x:v>
      </x:c>
      <x:c r="M82" s="50" t="n">
        <x:v>1.13</x:v>
      </x:c>
      <x:c r="N82" t="str">
        <x:v>RELATÓRIO LEITURAS INCLINOMÉTRICAS - Empreitada THE EDEN, Estoril_ R05_03-11-25.pdf</x:v>
      </x:c>
      <x:c r="O82" t="n">
        <x:v>16</x:v>
      </x:c>
      <x:c r="P82" t="str">
        <x:v>Válida</x:v>
      </x:c>
    </x:row>
    <x:row r="83">
      <x:c r="A83" s="48" t="n">
        <x:v>45936</x:v>
      </x:c>
      <x:c r="B83" t="n">
        <x:v>1</x:v>
      </x:c>
      <x:c r="C83" t="str">
        <x:v>I2</x:v>
      </x:c>
      <x:c r="D83" t="n">
        <x:v>1</x:v>
      </x:c>
      <x:c r="E83" s="50" t="n">
        <x:v>14</x:v>
      </x:c>
      <x:c r="F83" s="50" t="n">
        <x:v>-292.7</x:v>
      </x:c>
      <x:c r="G83" s="50" t="n">
        <x:v>303.43</x:v>
      </x:c>
      <x:c r="H83" s="50" t="n">
        <x:v>-306.17</x:v>
      </x:c>
      <x:c r="I83" s="50" t="n">
        <x:v>306.65</x:v>
      </x:c>
      <x:c r="J83" s="50" t="n">
        <x:v>0.19</x:v>
      </x:c>
      <x:c r="K83" s="50" t="n">
        <x:v>1.08</x:v>
      </x:c>
      <x:c r="L83" s="50" t="n">
        <x:v>1.1</x:v>
      </x:c>
      <x:c r="M83" s="50" t="n">
        <x:v>1.1</x:v>
      </x:c>
      <x:c r="N83" t="str">
        <x:v>RELATÓRIO LEITURAS INCLINOMÉTRICAS - Empreitada THE EDEN, Estoril_ R05_03-11-25.pdf</x:v>
      </x:c>
      <x:c r="O83" t="n">
        <x:v>16</x:v>
      </x:c>
      <x:c r="P83" t="str">
        <x:v>Válida</x:v>
      </x:c>
    </x:row>
    <x:row r="84">
      <x:c r="A84" s="48" t="n">
        <x:v>45936</x:v>
      </x:c>
      <x:c r="B84" t="n">
        <x:v>1</x:v>
      </x:c>
      <x:c r="C84" t="str">
        <x:v>I2</x:v>
      </x:c>
      <x:c r="D84" t="n">
        <x:v>1</x:v>
      </x:c>
      <x:c r="E84" s="50" t="n">
        <x:v>14.5</x:v>
      </x:c>
      <x:c r="F84" s="50" t="n">
        <x:v>-257.44</x:v>
      </x:c>
      <x:c r="G84" s="50" t="n">
        <x:v>269.21</x:v>
      </x:c>
      <x:c r="H84" s="50" t="n">
        <x:v>-264.32</x:v>
      </x:c>
      <x:c r="I84" s="50" t="n">
        <x:v>263.27</x:v>
      </x:c>
      <x:c r="J84" s="50" t="n">
        <x:v>0.18</x:v>
      </x:c>
      <x:c r="K84" s="50" t="n">
        <x:v>1.02</x:v>
      </x:c>
      <x:c r="L84" s="50" t="n">
        <x:v>1.04</x:v>
      </x:c>
      <x:c r="M84" s="50" t="n">
        <x:v>1.04</x:v>
      </x:c>
      <x:c r="N84" t="str">
        <x:v>RELATÓRIO LEITURAS INCLINOMÉTRICAS - Empreitada THE EDEN, Estoril_ R05_03-11-25.pdf</x:v>
      </x:c>
      <x:c r="O84" t="n">
        <x:v>16</x:v>
      </x:c>
      <x:c r="P84" t="str">
        <x:v>Válida</x:v>
      </x:c>
    </x:row>
    <x:row r="85">
      <x:c r="A85" s="48" t="n">
        <x:v>45936</x:v>
      </x:c>
      <x:c r="B85" t="n">
        <x:v>1</x:v>
      </x:c>
      <x:c r="C85" t="str">
        <x:v>I2</x:v>
      </x:c>
      <x:c r="D85" t="n">
        <x:v>1</x:v>
      </x:c>
      <x:c r="E85" s="50" t="n">
        <x:v>15</x:v>
      </x:c>
      <x:c r="F85" s="50" t="n">
        <x:v>-221.22</x:v>
      </x:c>
      <x:c r="G85" s="50" t="n">
        <x:v>234.36</x:v>
      </x:c>
      <x:c r="H85" s="50" t="n">
        <x:v>-205.98</x:v>
      </x:c>
      <x:c r="I85" s="50" t="n">
        <x:v>199.99</x:v>
      </x:c>
      <x:c r="J85" s="50" t="n">
        <x:v>0.17</x:v>
      </x:c>
      <x:c r="K85" s="50" t="n">
        <x:v>0.86</x:v>
      </x:c>
      <x:c r="L85" s="50" t="n">
        <x:v>0.88</x:v>
      </x:c>
      <x:c r="M85" s="50" t="n">
        <x:v>0.88</x:v>
      </x:c>
      <x:c r="N85" t="str">
        <x:v>RELATÓRIO LEITURAS INCLINOMÉTRICAS - Empreitada THE EDEN, Estoril_ R05_03-11-25.pdf</x:v>
      </x:c>
      <x:c r="O85" t="n">
        <x:v>16</x:v>
      </x:c>
      <x:c r="P85" t="str">
        <x:v>Válida</x:v>
      </x:c>
    </x:row>
    <x:row r="86">
      <x:c r="A86" s="48" t="n">
        <x:v>45936</x:v>
      </x:c>
      <x:c r="B86" t="n">
        <x:v>1</x:v>
      </x:c>
      <x:c r="C86" t="str">
        <x:v>I2</x:v>
      </x:c>
      <x:c r="D86" t="n">
        <x:v>1</x:v>
      </x:c>
      <x:c r="E86" s="50" t="n">
        <x:v>15.5</x:v>
      </x:c>
      <x:c r="F86" s="50" t="n">
        <x:v>-156.87</x:v>
      </x:c>
      <x:c r="G86" s="50" t="n">
        <x:v>164.37</x:v>
      </x:c>
      <x:c r="H86" s="50" t="n">
        <x:v>-194.74</x:v>
      </x:c>
      <x:c r="I86" s="50" t="n">
        <x:v>185.29</x:v>
      </x:c>
      <x:c r="J86" s="50" t="n">
        <x:v>0.16</x:v>
      </x:c>
      <x:c r="K86" s="50" t="n">
        <x:v>0.83</x:v>
      </x:c>
      <x:c r="L86" s="50" t="n">
        <x:v>0.85</x:v>
      </x:c>
      <x:c r="M86" s="50" t="n">
        <x:v>0.85</x:v>
      </x:c>
      <x:c r="N86" t="str">
        <x:v>RELATÓRIO LEITURAS INCLINOMÉTRICAS - Empreitada THE EDEN, Estoril_ R05_03-11-25.pdf</x:v>
      </x:c>
      <x:c r="O86" t="n">
        <x:v>16</x:v>
      </x:c>
      <x:c r="P86" t="str">
        <x:v>Válida</x:v>
      </x:c>
    </x:row>
    <x:row r="87">
      <x:c r="A87" s="48" t="n">
        <x:v>45936</x:v>
      </x:c>
      <x:c r="B87" t="n">
        <x:v>1</x:v>
      </x:c>
      <x:c r="C87" t="str">
        <x:v>I2</x:v>
      </x:c>
      <x:c r="D87" t="n">
        <x:v>1</x:v>
      </x:c>
      <x:c r="E87" s="50" t="n">
        <x:v>16</x:v>
      </x:c>
      <x:c r="F87" s="50" t="n">
        <x:v>-70.2</x:v>
      </x:c>
      <x:c r="G87" s="50" t="n">
        <x:v>80.04</x:v>
      </x:c>
      <x:c r="H87" s="50" t="n">
        <x:v>-176.42</x:v>
      </x:c>
      <x:c r="I87" s="50" t="n">
        <x:v>171.74</x:v>
      </x:c>
      <x:c r="J87" s="50" t="n">
        <x:v>0.17</x:v>
      </x:c>
      <x:c r="K87" s="50" t="n">
        <x:v>0.78</x:v>
      </x:c>
      <x:c r="L87" s="50" t="n">
        <x:v>0.8</x:v>
      </x:c>
      <x:c r="M87" s="50" t="n">
        <x:v>0.8</x:v>
      </x:c>
      <x:c r="N87" t="str">
        <x:v>RELATÓRIO LEITURAS INCLINOMÉTRICAS - Empreitada THE EDEN, Estoril_ R05_03-11-25.pdf</x:v>
      </x:c>
      <x:c r="O87" t="n">
        <x:v>16</x:v>
      </x:c>
      <x:c r="P87" t="str">
        <x:v>Válida</x:v>
      </x:c>
    </x:row>
    <x:row r="88">
      <x:c r="A88" s="48" t="n">
        <x:v>45936</x:v>
      </x:c>
      <x:c r="B88" t="n">
        <x:v>1</x:v>
      </x:c>
      <x:c r="C88" t="str">
        <x:v>I2</x:v>
      </x:c>
      <x:c r="D88" t="n">
        <x:v>1</x:v>
      </x:c>
      <x:c r="E88" s="50" t="n">
        <x:v>16.5</x:v>
      </x:c>
      <x:c r="F88" s="50" t="n">
        <x:v>111.66</x:v>
      </x:c>
      <x:c r="G88" s="50" t="n">
        <x:v>-104.03</x:v>
      </x:c>
      <x:c r="H88" s="50" t="n">
        <x:v>-122.83</x:v>
      </x:c>
      <x:c r="I88" s="50" t="n">
        <x:v>115.08</x:v>
      </x:c>
      <x:c r="J88" s="50" t="n">
        <x:v>0.18</x:v>
      </x:c>
      <x:c r="K88" s="50" t="n">
        <x:v>0.71</x:v>
      </x:c>
      <x:c r="L88" s="50" t="n">
        <x:v>0.73</x:v>
      </x:c>
      <x:c r="M88" s="50" t="n">
        <x:v>0.73</x:v>
      </x:c>
      <x:c r="N88" t="str">
        <x:v>RELATÓRIO LEITURAS INCLINOMÉTRICAS - Empreitada THE EDEN, Estoril_ R05_03-11-25.pdf</x:v>
      </x:c>
      <x:c r="O88" t="n">
        <x:v>16</x:v>
      </x:c>
      <x:c r="P88" t="str">
        <x:v>Válida</x:v>
      </x:c>
    </x:row>
    <x:row r="89">
      <x:c r="A89" s="48" t="n">
        <x:v>45936</x:v>
      </x:c>
      <x:c r="B89" t="n">
        <x:v>1</x:v>
      </x:c>
      <x:c r="C89" t="str">
        <x:v>I2</x:v>
      </x:c>
      <x:c r="D89" t="n">
        <x:v>1</x:v>
      </x:c>
      <x:c r="E89" s="50" t="n">
        <x:v>17</x:v>
      </x:c>
      <x:c r="F89" s="50" t="n">
        <x:v>275.4</x:v>
      </x:c>
      <x:c r="G89" s="50" t="n">
        <x:v>-264.38</x:v>
      </x:c>
      <x:c r="H89" s="50" t="n">
        <x:v>-73.7</x:v>
      </x:c>
      <x:c r="I89" s="50" t="n">
        <x:v>67.03</x:v>
      </x:c>
      <x:c r="J89" s="50" t="n">
        <x:v>0.16</x:v>
      </x:c>
      <x:c r="K89" s="50" t="n">
        <x:v>0.5</x:v>
      </x:c>
      <x:c r="L89" s="50" t="n">
        <x:v>0.52</x:v>
      </x:c>
      <x:c r="M89" s="50" t="n">
        <x:v>0.52</x:v>
      </x:c>
      <x:c r="N89" t="str">
        <x:v>RELATÓRIO LEITURAS INCLINOMÉTRICAS - Empreitada THE EDEN, Estoril_ R05_03-11-25.pdf</x:v>
      </x:c>
      <x:c r="O89" t="n">
        <x:v>16</x:v>
      </x:c>
      <x:c r="P89" t="str">
        <x:v>Válida</x:v>
      </x:c>
    </x:row>
    <x:row r="90">
      <x:c r="A90" s="48" t="n">
        <x:v>45936</x:v>
      </x:c>
      <x:c r="B90" t="n">
        <x:v>1</x:v>
      </x:c>
      <x:c r="C90" t="str">
        <x:v>I2</x:v>
      </x:c>
      <x:c r="D90" t="n">
        <x:v>1</x:v>
      </x:c>
      <x:c r="E90" s="50" t="n">
        <x:v>17.5</x:v>
      </x:c>
      <x:c r="F90" s="50" t="n">
        <x:v>327.91</x:v>
      </x:c>
      <x:c r="G90" s="50" t="n">
        <x:v>-319.4</x:v>
      </x:c>
      <x:c r="H90" s="50" t="n">
        <x:v>-77.84</x:v>
      </x:c>
      <x:c r="I90" s="50" t="n">
        <x:v>69.27</x:v>
      </x:c>
      <x:c r="J90" s="50" t="n">
        <x:v>0.16</x:v>
      </x:c>
      <x:c r="K90" s="50" t="n">
        <x:v>0.43</x:v>
      </x:c>
      <x:c r="L90" s="50" t="n">
        <x:v>0.46</x:v>
      </x:c>
      <x:c r="M90" s="50" t="n">
        <x:v>0.46</x:v>
      </x:c>
      <x:c r="N90" t="str">
        <x:v>RELATÓRIO LEITURAS INCLINOMÉTRICAS - Empreitada THE EDEN, Estoril_ R05_03-11-25.pdf</x:v>
      </x:c>
      <x:c r="O90" t="n">
        <x:v>16</x:v>
      </x:c>
      <x:c r="P90" t="str">
        <x:v>Válida</x:v>
      </x:c>
    </x:row>
    <x:row r="91">
      <x:c r="A91" s="48" t="n">
        <x:v>45936</x:v>
      </x:c>
      <x:c r="B91" t="n">
        <x:v>1</x:v>
      </x:c>
      <x:c r="C91" t="str">
        <x:v>I2</x:v>
      </x:c>
      <x:c r="D91" t="n">
        <x:v>1</x:v>
      </x:c>
      <x:c r="E91" s="50" t="n">
        <x:v>18</x:v>
      </x:c>
      <x:c r="F91" s="50" t="n">
        <x:v>397.1</x:v>
      </x:c>
      <x:c r="G91" s="50" t="n">
        <x:v>-386.09</x:v>
      </x:c>
      <x:c r="H91" s="50" t="n">
        <x:v>-113.07</x:v>
      </x:c>
      <x:c r="I91" s="50" t="n">
        <x:v>104.15</x:v>
      </x:c>
      <x:c r="J91" s="50" t="n">
        <x:v>0.17</x:v>
      </x:c>
      <x:c r="K91" s="50" t="n">
        <x:v>0.44</x:v>
      </x:c>
      <x:c r="L91" s="50" t="n">
        <x:v>0.47</x:v>
      </x:c>
      <x:c r="M91" s="50" t="n">
        <x:v>0.47</x:v>
      </x:c>
      <x:c r="N91" t="str">
        <x:v>RELATÓRIO LEITURAS INCLINOMÉTRICAS - Empreitada THE EDEN, Estoril_ R05_03-11-25.pdf</x:v>
      </x:c>
      <x:c r="O91" t="n">
        <x:v>16</x:v>
      </x:c>
      <x:c r="P91" t="str">
        <x:v>Válida</x:v>
      </x:c>
    </x:row>
    <x:row r="92">
      <x:c r="A92" s="48" t="n">
        <x:v>45936</x:v>
      </x:c>
      <x:c r="B92" t="n">
        <x:v>1</x:v>
      </x:c>
      <x:c r="C92" t="str">
        <x:v>I2</x:v>
      </x:c>
      <x:c r="D92" t="n">
        <x:v>1</x:v>
      </x:c>
      <x:c r="E92" s="50" t="n">
        <x:v>18.5</x:v>
      </x:c>
      <x:c r="F92" s="50" t="n">
        <x:v>440.75</x:v>
      </x:c>
      <x:c r="G92" s="50" t="n">
        <x:v>-430.56</x:v>
      </x:c>
      <x:c r="H92" s="50" t="n">
        <x:v>-124</x:v>
      </x:c>
      <x:c r="I92" s="50" t="n">
        <x:v>118.36</x:v>
      </x:c>
      <x:c r="J92" s="50" t="n">
        <x:v>0.18</x:v>
      </x:c>
      <x:c r="K92" s="50" t="n">
        <x:v>0.3</x:v>
      </x:c>
      <x:c r="L92" s="50" t="n">
        <x:v>0.35</x:v>
      </x:c>
      <x:c r="M92" s="50" t="n">
        <x:v>0.35</x:v>
      </x:c>
      <x:c r="N92" t="str">
        <x:v>RELATÓRIO LEITURAS INCLINOMÉTRICAS - Empreitada THE EDEN, Estoril_ R05_03-11-25.pdf</x:v>
      </x:c>
      <x:c r="O92" t="n">
        <x:v>16</x:v>
      </x:c>
      <x:c r="P92" t="str">
        <x:v>Válida</x:v>
      </x:c>
    </x:row>
    <x:row r="93">
      <x:c r="A93" s="48" t="n">
        <x:v>45936</x:v>
      </x:c>
      <x:c r="B93" t="n">
        <x:v>1</x:v>
      </x:c>
      <x:c r="C93" t="str">
        <x:v>I2</x:v>
      </x:c>
      <x:c r="D93" t="n">
        <x:v>1</x:v>
      </x:c>
      <x:c r="E93" s="50" t="n">
        <x:v>19</x:v>
      </x:c>
      <x:c r="F93" s="50" t="n">
        <x:v>450.13</x:v>
      </x:c>
      <x:c r="G93" s="50" t="n">
        <x:v>-441.04</x:v>
      </x:c>
      <x:c r="H93" s="50" t="n">
        <x:v>-118.56</x:v>
      </x:c>
      <x:c r="I93" s="50" t="n">
        <x:v>112.58</x:v>
      </x:c>
      <x:c r="J93" s="50" t="n">
        <x:v>0.19</x:v>
      </x:c>
      <x:c r="K93" s="50" t="n">
        <x:v>0.18</x:v>
      </x:c>
      <x:c r="L93" s="50" t="n">
        <x:v>0.26</x:v>
      </x:c>
      <x:c r="M93" s="50" t="n">
        <x:v>0.26</x:v>
      </x:c>
      <x:c r="N93" t="str">
        <x:v>RELATÓRIO LEITURAS INCLINOMÉTRICAS - Empreitada THE EDEN, Estoril_ R05_03-11-25.pdf</x:v>
      </x:c>
      <x:c r="O93" t="n">
        <x:v>16</x:v>
      </x:c>
      <x:c r="P93" t="str">
        <x:v>Válida</x:v>
      </x:c>
    </x:row>
    <x:row r="94">
      <x:c r="A94" s="48" t="n">
        <x:v>45936</x:v>
      </x:c>
      <x:c r="B94" t="n">
        <x:v>1</x:v>
      </x:c>
      <x:c r="C94" t="str">
        <x:v>I2</x:v>
      </x:c>
      <x:c r="D94" t="n">
        <x:v>1</x:v>
      </x:c>
      <x:c r="E94" s="50" t="n">
        <x:v>19.5</x:v>
      </x:c>
      <x:c r="F94" s="50" t="n">
        <x:v>331.33</x:v>
      </x:c>
      <x:c r="G94" s="50" t="n">
        <x:v>-322.98</x:v>
      </x:c>
      <x:c r="H94" s="50" t="n">
        <x:v>-49.43</x:v>
      </x:c>
      <x:c r="I94" s="50" t="n">
        <x:v>47.06</x:v>
      </x:c>
      <x:c r="J94" s="50" t="n">
        <x:v>0.2</x:v>
      </x:c>
      <x:c r="K94" s="50" t="n">
        <x:v>0.28</x:v>
      </x:c>
      <x:c r="L94" s="50" t="n">
        <x:v>0.34</x:v>
      </x:c>
      <x:c r="M94" s="50" t="n">
        <x:v>0.34</x:v>
      </x:c>
      <x:c r="N94" t="str">
        <x:v>RELATÓRIO LEITURAS INCLINOMÉTRICAS - Empreitada THE EDEN, Estoril_ R05_03-11-25.pdf</x:v>
      </x:c>
      <x:c r="O94" t="n">
        <x:v>16</x:v>
      </x:c>
      <x:c r="P94" t="str">
        <x:v>Válida</x:v>
      </x:c>
    </x:row>
    <x:row r="95">
      <x:c r="A95" s="48" t="n">
        <x:v>45936</x:v>
      </x:c>
      <x:c r="B95" t="n">
        <x:v>1</x:v>
      </x:c>
      <x:c r="C95" t="str">
        <x:v>I2</x:v>
      </x:c>
      <x:c r="D95" t="n">
        <x:v>1</x:v>
      </x:c>
      <x:c r="E95" s="50" t="n">
        <x:v>20</x:v>
      </x:c>
      <x:c r="F95" s="50" t="n">
        <x:v>195.7</x:v>
      </x:c>
      <x:c r="G95" s="50" t="n">
        <x:v>-184.62</x:v>
      </x:c>
      <x:c r="H95" s="50" t="n">
        <x:v>-19.65</x:v>
      </x:c>
      <x:c r="I95" s="50" t="n">
        <x:v>6.98</x:v>
      </x:c>
      <x:c r="J95" s="50" t="n">
        <x:v>0.21</x:v>
      </x:c>
      <x:c r="K95" s="50" t="n">
        <x:v>0.31</x:v>
      </x:c>
      <x:c r="L95" s="50" t="n">
        <x:v>0.37</x:v>
      </x:c>
      <x:c r="M95" s="50" t="n">
        <x:v>0.37</x:v>
      </x:c>
      <x:c r="N95" t="str">
        <x:v>RELATÓRIO LEITURAS INCLINOMÉTRICAS - Empreitada THE EDEN, Estoril_ R05_03-11-25.pdf</x:v>
      </x:c>
      <x:c r="O95" t="n">
        <x:v>16</x:v>
      </x:c>
      <x:c r="P95" t="str">
        <x:v>Válida</x:v>
      </x:c>
    </x:row>
    <x:row r="96">
      <x:c r="A96" s="48" t="n">
        <x:v>45936</x:v>
      </x:c>
      <x:c r="B96" t="n">
        <x:v>1</x:v>
      </x:c>
      <x:c r="C96" t="str">
        <x:v>I2</x:v>
      </x:c>
      <x:c r="D96" t="n">
        <x:v>1</x:v>
      </x:c>
      <x:c r="E96" s="50" t="n">
        <x:v>20.5</x:v>
      </x:c>
      <x:c r="F96" s="50" t="n">
        <x:v>160.85</x:v>
      </x:c>
      <x:c r="G96" s="50" t="n">
        <x:v>-151.38</x:v>
      </x:c>
      <x:c r="H96" s="50" t="n">
        <x:v>-19.54</x:v>
      </x:c>
      <x:c r="I96" s="50" t="n">
        <x:v>9.83</x:v>
      </x:c>
      <x:c r="J96" s="50" t="n">
        <x:v>0.14</x:v>
      </x:c>
      <x:c r="K96" s="50" t="n">
        <x:v>0.29</x:v>
      </x:c>
      <x:c r="L96" s="50" t="n">
        <x:v>0.32</x:v>
      </x:c>
      <x:c r="M96" s="50" t="n">
        <x:v>0.32</x:v>
      </x:c>
      <x:c r="N96" t="str">
        <x:v>RELATÓRIO LEITURAS INCLINOMÉTRICAS - Empreitada THE EDEN, Estoril_ R05_03-11-25.pdf</x:v>
      </x:c>
      <x:c r="O96" t="n">
        <x:v>16</x:v>
      </x:c>
      <x:c r="P96" t="str">
        <x:v>Válida</x:v>
      </x:c>
    </x:row>
    <x:row r="97">
      <x:c r="A97" s="48" t="n">
        <x:v>45936</x:v>
      </x:c>
      <x:c r="B97" t="n">
        <x:v>1</x:v>
      </x:c>
      <x:c r="C97" t="str">
        <x:v>I2</x:v>
      </x:c>
      <x:c r="D97" t="n">
        <x:v>1</x:v>
      </x:c>
      <x:c r="E97" s="50" t="n">
        <x:v>21</x:v>
      </x:c>
      <x:c r="F97" s="50" t="n">
        <x:v>121.68</x:v>
      </x:c>
      <x:c r="G97" s="50" t="n">
        <x:v>-110.49</x:v>
      </x:c>
      <x:c r="H97" s="50" t="n">
        <x:v>-12.9</x:v>
      </x:c>
      <x:c r="I97" s="50" t="n">
        <x:v>18.06</x:v>
      </x:c>
      <x:c r="J97" s="50" t="n">
        <x:v>0.14</x:v>
      </x:c>
      <x:c r="K97" s="50" t="n">
        <x:v>0.31</x:v>
      </x:c>
      <x:c r="L97" s="50" t="n">
        <x:v>0.34</x:v>
      </x:c>
      <x:c r="M97" s="50" t="n">
        <x:v>0.34</x:v>
      </x:c>
      <x:c r="N97" t="str">
        <x:v>RELATÓRIO LEITURAS INCLINOMÉTRICAS - Empreitada THE EDEN, Estoril_ R05_03-11-25.pdf</x:v>
      </x:c>
      <x:c r="O97" t="n">
        <x:v>16</x:v>
      </x:c>
      <x:c r="P97" t="str">
        <x:v>Válida</x:v>
      </x:c>
    </x:row>
    <x:row r="98">
      <x:c r="A98" s="48" t="n">
        <x:v>45936</x:v>
      </x:c>
      <x:c r="B98" t="n">
        <x:v>1</x:v>
      </x:c>
      <x:c r="C98" t="str">
        <x:v>I2</x:v>
      </x:c>
      <x:c r="D98" t="n">
        <x:v>1</x:v>
      </x:c>
      <x:c r="E98" s="50" t="n">
        <x:v>21.5</x:v>
      </x:c>
      <x:c r="F98" s="50" t="n">
        <x:v>-8.93</x:v>
      </x:c>
      <x:c r="G98" s="50" t="n">
        <x:v>21.79</x:v>
      </x:c>
      <x:c r="H98" s="50" t="n">
        <x:v>-32.28</x:v>
      </x:c>
      <x:c r="I98" s="50" t="n">
        <x:v>18.42</x:v>
      </x:c>
      <x:c r="J98" s="50" t="n">
        <x:v>0.04</x:v>
      </x:c>
      <x:c r="K98" s="50" t="n">
        <x:v>0.13</x:v>
      </x:c>
      <x:c r="L98" s="50" t="n">
        <x:v>0.14</x:v>
      </x:c>
      <x:c r="M98" s="50" t="n">
        <x:v>0.14</x:v>
      </x:c>
      <x:c r="N98" t="str">
        <x:v>RELATÓRIO LEITURAS INCLINOMÉTRICAS - Empreitada THE EDEN, Estoril_ R05_03-11-25.pdf</x:v>
      </x:c>
      <x:c r="O98" t="n">
        <x:v>16</x:v>
      </x:c>
      <x:c r="P98" t="str">
        <x:v>Válida</x:v>
      </x:c>
    </x:row>
    <x:row r="99">
      <x:c r="A99" s="48" t="n">
        <x:v>45936</x:v>
      </x:c>
      <x:c r="B99" t="n">
        <x:v>1</x:v>
      </x:c>
      <x:c r="C99" t="str">
        <x:v>I2</x:v>
      </x:c>
      <x:c r="D99" t="n">
        <x:v>1</x:v>
      </x:c>
      <x:c r="E99" s="50" t="n">
        <x:v>22</x:v>
      </x:c>
      <x:c r="F99" s="50" t="n">
        <x:v>-55.4</x:v>
      </x:c>
      <x:c r="G99" s="50" t="n">
        <x:v>64.4</x:v>
      </x:c>
      <x:c r="H99" s="50" t="n">
        <x:v>-24.59</x:v>
      </x:c>
      <x:c r="I99" s="50" t="n">
        <x:v>23.83</x:v>
      </x:c>
      <x:c r="J99" s="50" t="n">
        <x:v>0.04</x:v>
      </x:c>
      <x:c r="K99" s="50" t="n">
        <x:v>0.21</x:v>
      </x:c>
      <x:c r="L99" s="50" t="n">
        <x:v>0.21</x:v>
      </x:c>
      <x:c r="M99" s="50" t="n">
        <x:v>0.21</x:v>
      </x:c>
      <x:c r="N99" t="str">
        <x:v>RELATÓRIO LEITURAS INCLINOMÉTRICAS - Empreitada THE EDEN, Estoril_ R05_03-11-25.pdf</x:v>
      </x:c>
      <x:c r="O99" t="n">
        <x:v>16</x:v>
      </x:c>
      <x:c r="P99" t="str">
        <x:v>Válida</x:v>
      </x:c>
    </x:row>
    <x:row r="100">
      <x:c r="A100" s="48" t="n">
        <x:v>45936</x:v>
      </x:c>
      <x:c r="B100" t="n">
        <x:v>1</x:v>
      </x:c>
      <x:c r="C100" t="str">
        <x:v>I2</x:v>
      </x:c>
      <x:c r="D100" t="n">
        <x:v>1</x:v>
      </x:c>
      <x:c r="E100" s="50" t="n">
        <x:v>22.5</x:v>
      </x:c>
      <x:c r="F100" s="50" t="n">
        <x:v>-41.69</x:v>
      </x:c>
      <x:c r="G100" s="50" t="n">
        <x:v>53.46</x:v>
      </x:c>
      <x:c r="H100" s="50" t="n">
        <x:v>-125.83</x:v>
      </x:c>
      <x:c r="I100" s="50" t="n">
        <x:v>116.36</x:v>
      </x:c>
      <x:c r="J100" s="50" t="n">
        <x:v>0.05</x:v>
      </x:c>
      <x:c r="K100" s="50" t="n">
        <x:v>0.08</x:v>
      </x:c>
      <x:c r="L100" s="50" t="n">
        <x:v>0.09</x:v>
      </x:c>
      <x:c r="M100" s="50" t="n">
        <x:v>0.09</x:v>
      </x:c>
      <x:c r="N100" t="str">
        <x:v>RELATÓRIO LEITURAS INCLINOMÉTRICAS - Empreitada THE EDEN, Estoril_ R05_03-11-25.pdf</x:v>
      </x:c>
      <x:c r="O100" t="n">
        <x:v>16</x:v>
      </x:c>
      <x:c r="P100" t="str">
        <x:v>Válida</x:v>
      </x:c>
    </x:row>
    <x:row r="101">
      <x:c r="A101" s="48" t="n">
        <x:v>45936</x:v>
      </x:c>
      <x:c r="B101" t="n">
        <x:v>1</x:v>
      </x:c>
      <x:c r="C101" t="str">
        <x:v>I2</x:v>
      </x:c>
      <x:c r="D101" t="n">
        <x:v>1</x:v>
      </x:c>
      <x:c r="E101" s="50" t="n">
        <x:v>23</x:v>
      </x:c>
      <x:c r="F101" s="50" t="n">
        <x:v>-54.38</x:v>
      </x:c>
      <x:c r="G101" s="50" t="n">
        <x:v>61.82</x:v>
      </x:c>
      <x:c r="H101" s="50" t="n">
        <x:v>-164.09</x:v>
      </x:c>
      <x:c r="I101" s="50" t="n">
        <x:v>154.96</x:v>
      </x:c>
      <x:c r="J101" s="50" t="n">
        <x:v>0.05</x:v>
      </x:c>
      <x:c r="K101" s="50" t="n">
        <x:v>0.11</x:v>
      </x:c>
      <x:c r="L101" s="50" t="n">
        <x:v>0.12</x:v>
      </x:c>
      <x:c r="M101" s="50" t="n">
        <x:v>0.12</x:v>
      </x:c>
      <x:c r="N101" t="str">
        <x:v>RELATÓRIO LEITURAS INCLINOMÉTRICAS - Empreitada THE EDEN, Estoril_ R05_03-11-25.pdf</x:v>
      </x:c>
      <x:c r="O101" t="n">
        <x:v>16</x:v>
      </x:c>
      <x:c r="P101" t="str">
        <x:v>Válida</x:v>
      </x:c>
    </x:row>
    <x:row r="102">
      <x:c r="A102" s="48" t="n">
        <x:v>45936</x:v>
      </x:c>
      <x:c r="B102" t="n">
        <x:v>1</x:v>
      </x:c>
      <x:c r="C102" t="str">
        <x:v>I2</x:v>
      </x:c>
      <x:c r="D102" t="n">
        <x:v>1</x:v>
      </x:c>
      <x:c r="E102" s="50" t="n">
        <x:v>23.5</x:v>
      </x:c>
      <x:c r="F102" s="50" t="n">
        <x:v>-120.41</x:v>
      </x:c>
      <x:c r="G102" s="50" t="n">
        <x:v>135.69</x:v>
      </x:c>
      <x:c r="H102" s="50" t="n">
        <x:v>-200.71</x:v>
      </x:c>
      <x:c r="I102" s="50" t="n">
        <x:v>205.57</x:v>
      </x:c>
      <x:c r="J102" s="50" t="n">
        <x:v>0.06</x:v>
      </x:c>
      <x:c r="K102" s="50" t="n">
        <x:v>0.23</x:v>
      </x:c>
      <x:c r="L102" s="50" t="n">
        <x:v>0.24</x:v>
      </x:c>
      <x:c r="M102" s="50" t="n">
        <x:v>0.24</x:v>
      </x:c>
      <x:c r="N102" t="str">
        <x:v>RELATÓRIO LEITURAS INCLINOMÉTRICAS - Empreitada THE EDEN, Estoril_ R05_03-11-25.pdf</x:v>
      </x:c>
      <x:c r="O102" t="n">
        <x:v>16</x:v>
      </x:c>
      <x:c r="P102" t="str">
        <x:v>Válida</x:v>
      </x:c>
    </x:row>
    <x:row r="103">
      <x:c r="A103" s="48" t="n">
        <x:v>45936</x:v>
      </x:c>
      <x:c r="B103" t="n">
        <x:v>1</x:v>
      </x:c>
      <x:c r="C103" t="str">
        <x:v>I2</x:v>
      </x:c>
      <x:c r="D103" t="n">
        <x:v>1</x:v>
      </x:c>
      <x:c r="E103" s="50" t="n">
        <x:v>24</x:v>
      </x:c>
      <x:c r="F103" s="50" t="n">
        <x:v>-154.23</x:v>
      </x:c>
      <x:c r="G103" s="50" t="n">
        <x:v>165.23</x:v>
      </x:c>
      <x:c r="H103" s="50" t="n">
        <x:v>-270.19</x:v>
      </x:c>
      <x:c r="I103" s="50" t="n">
        <x:v>252.52</x:v>
      </x:c>
      <x:c r="J103" s="50" t="n">
        <x:v>0.06</x:v>
      </x:c>
      <x:c r="K103" s="50" t="n">
        <x:v>0.24</x:v>
      </x:c>
      <x:c r="L103" s="50" t="n">
        <x:v>0.25</x:v>
      </x:c>
      <x:c r="M103" s="50" t="n">
        <x:v>0.25</x:v>
      </x:c>
      <x:c r="N103" t="str">
        <x:v>RELATÓRIO LEITURAS INCLINOMÉTRICAS - Empreitada THE EDEN, Estoril_ R05_03-11-25.pdf</x:v>
      </x:c>
      <x:c r="O103" t="n">
        <x:v>16</x:v>
      </x:c>
      <x:c r="P103" t="str">
        <x:v>Válida</x:v>
      </x:c>
    </x:row>
    <x:row r="104">
      <x:c r="A104" s="48" t="n">
        <x:v>45936</x:v>
      </x:c>
      <x:c r="B104" t="n">
        <x:v>1</x:v>
      </x:c>
      <x:c r="C104" t="str">
        <x:v>I2</x:v>
      </x:c>
      <x:c r="D104" t="n">
        <x:v>1</x:v>
      </x:c>
      <x:c r="E104" s="50" t="n">
        <x:v>24.5</x:v>
      </x:c>
      <x:c r="F104" s="50" t="n">
        <x:v>-48.87</x:v>
      </x:c>
      <x:c r="G104" s="50" t="n">
        <x:v>57.15</x:v>
      </x:c>
      <x:c r="H104" s="50" t="n">
        <x:v>-258.86</x:v>
      </x:c>
      <x:c r="I104" s="50" t="n">
        <x:v>235.97</x:v>
      </x:c>
      <x:c r="J104" s="50" t="n">
        <x:v>0.06</x:v>
      </x:c>
      <x:c r="K104" s="50" t="n">
        <x:v>0.2</x:v>
      </x:c>
      <x:c r="L104" s="50" t="n">
        <x:v>0.2</x:v>
      </x:c>
      <x:c r="M104" s="50" t="n">
        <x:v>0.2</x:v>
      </x:c>
      <x:c r="N104" t="str">
        <x:v>RELATÓRIO LEITURAS INCLINOMÉTRICAS - Empreitada THE EDEN, Estoril_ R05_03-11-25.pdf</x:v>
      </x:c>
      <x:c r="O104" t="n">
        <x:v>16</x:v>
      </x:c>
      <x:c r="P104" t="str">
        <x:v>Válida</x:v>
      </x:c>
    </x:row>
    <x:row r="105">
      <x:c r="A105" s="48" t="n">
        <x:v>45936</x:v>
      </x:c>
      <x:c r="B105" t="n">
        <x:v>1</x:v>
      </x:c>
      <x:c r="C105" t="str">
        <x:v>I2</x:v>
      </x:c>
      <x:c r="D105" t="n">
        <x:v>1</x:v>
      </x:c>
      <x:c r="E105" s="50" t="n">
        <x:v>25</x:v>
      </x:c>
      <x:c r="F105" s="50" t="n">
        <x:v>47.49</x:v>
      </x:c>
      <x:c r="G105" s="50" t="n">
        <x:v>-34.99</x:v>
      </x:c>
      <x:c r="H105" s="50" t="n">
        <x:v>-241.1</x:v>
      </x:c>
      <x:c r="I105" s="50" t="n">
        <x:v>216.91</x:v>
      </x:c>
      <x:c r="J105" s="50" t="n">
        <x:v>0.03</x:v>
      </x:c>
      <x:c r="K105" s="50" t="n">
        <x:v>0.04</x:v>
      </x:c>
      <x:c r="L105" s="50" t="n">
        <x:v>0.05</x:v>
      </x:c>
      <x:c r="M105" s="50" t="n">
        <x:v>0.05</x:v>
      </x:c>
      <x:c r="N105" t="str">
        <x:v>RELATÓRIO LEITURAS INCLINOMÉTRICAS - Empreitada THE EDEN, Estoril_ R05_03-11-25.pdf</x:v>
      </x:c>
      <x:c r="O105" t="n">
        <x:v>16</x:v>
      </x:c>
      <x:c r="P105" t="str">
        <x:v>Válida</x:v>
      </x:c>
    </x:row>
    <x:row r="106">
      <x:c r="A106" s="48" t="n">
        <x:v>45936</x:v>
      </x:c>
      <x:c r="B106" t="n">
        <x:v>1</x:v>
      </x:c>
      <x:c r="C106" t="str">
        <x:v>I2</x:v>
      </x:c>
      <x:c r="D106" t="n">
        <x:v>1</x:v>
      </x:c>
      <x:c r="E106" s="50" t="n">
        <x:v>25.5</x:v>
      </x:c>
      <x:c r="F106" s="50" t="n">
        <x:v>104.12</x:v>
      </x:c>
      <x:c r="G106" s="50" t="n">
        <x:v>-94.21</x:v>
      </x:c>
      <x:c r="H106" s="50" t="n">
        <x:v>-212.01</x:v>
      </x:c>
      <x:c r="I106" s="50" t="n">
        <x:v>193.46</x:v>
      </x:c>
      <x:c r="J106" s="50" t="n">
        <x:v>0.01</x:v>
      </x:c>
      <x:c r="K106" s="50" t="n">
        <x:v>0.13</x:v>
      </x:c>
      <x:c r="L106" s="50" t="n">
        <x:v>0.13</x:v>
      </x:c>
      <x:c r="M106" s="50" t="n">
        <x:v>0.13</x:v>
      </x:c>
      <x:c r="N106" t="str">
        <x:v>RELATÓRIO LEITURAS INCLINOMÉTRICAS - Empreitada THE EDEN, Estoril_ R05_03-11-25.pdf</x:v>
      </x:c>
      <x:c r="O106" t="n">
        <x:v>16</x:v>
      </x:c>
      <x:c r="P106" t="str">
        <x:v>Válida</x:v>
      </x:c>
    </x:row>
    <x:row r="107">
      <x:c r="A107" s="48" t="n">
        <x:v>45936</x:v>
      </x:c>
      <x:c r="B107" t="n">
        <x:v>1</x:v>
      </x:c>
      <x:c r="C107" t="str">
        <x:v>I2</x:v>
      </x:c>
      <x:c r="D107" t="n">
        <x:v>1</x:v>
      </x:c>
      <x:c r="E107" s="50" t="n">
        <x:v>26</x:v>
      </x:c>
      <x:c r="F107" s="50" t="n">
        <x:v>150.23</x:v>
      </x:c>
      <x:c r="G107" s="50" t="n">
        <x:v>-137.2</x:v>
      </x:c>
      <x:c r="H107" s="50" t="n">
        <x:v>-255.88</x:v>
      </x:c>
      <x:c r="I107" s="50" t="n">
        <x:v>244.1</x:v>
      </x:c>
      <x:c r="J107" s="50" t="n">
        <x:v>0.02</x:v>
      </x:c>
      <x:c r="K107" s="50" t="n">
        <x:v>0.25</x:v>
      </x:c>
      <x:c r="L107" s="50" t="n">
        <x:v>0.25</x:v>
      </x:c>
      <x:c r="M107" s="50" t="n">
        <x:v>0.25</x:v>
      </x:c>
      <x:c r="N107" t="str">
        <x:v>RELATÓRIO LEITURAS INCLINOMÉTRICAS - Empreitada THE EDEN, Estoril_ R05_03-11-25.pdf</x:v>
      </x:c>
      <x:c r="O107" t="n">
        <x:v>16</x:v>
      </x:c>
      <x:c r="P107" t="str">
        <x:v>Válida</x:v>
      </x:c>
    </x:row>
    <x:row r="108">
      <x:c r="A108" s="48" t="n">
        <x:v>45936</x:v>
      </x:c>
      <x:c r="B108" t="n">
        <x:v>1</x:v>
      </x:c>
      <x:c r="C108" t="str">
        <x:v>I2</x:v>
      </x:c>
      <x:c r="D108" t="n">
        <x:v>1</x:v>
      </x:c>
      <x:c r="E108" s="50" t="n">
        <x:v>26.5</x:v>
      </x:c>
      <x:c r="F108" s="50" t="n">
        <x:v>156.73</x:v>
      </x:c>
      <x:c r="G108" s="50" t="n">
        <x:v>-143.71</x:v>
      </x:c>
      <x:c r="H108" s="50" t="n">
        <x:v>-258.69</x:v>
      </x:c>
      <x:c r="I108" s="50" t="n">
        <x:v>263.12</x:v>
      </x:c>
      <x:c r="J108" s="50" t="n">
        <x:v>0.01</x:v>
      </x:c>
      <x:c r="K108" s="50" t="n">
        <x:v>0.13</x:v>
      </x:c>
      <x:c r="L108" s="50" t="n">
        <x:v>0.13</x:v>
      </x:c>
      <x:c r="M108" s="50" t="n">
        <x:v>0.13</x:v>
      </x:c>
      <x:c r="N108" t="str">
        <x:v>RELATÓRIO LEITURAS INCLINOMÉTRICAS - Empreitada THE EDEN, Estoril_ R05_03-11-25.pdf</x:v>
      </x:c>
      <x:c r="O108" t="n">
        <x:v>16</x:v>
      </x:c>
      <x:c r="P108" t="str">
        <x:v>Válida</x:v>
      </x:c>
    </x:row>
    <x:row r="109">
      <x:c r="A109" s="48" t="n">
        <x:v>45944</x:v>
      </x:c>
      <x:c r="B109" t="n">
        <x:v>2</x:v>
      </x:c>
      <x:c r="C109" t="str">
        <x:v>I1</x:v>
      </x:c>
      <x:c r="D109" t="n">
        <x:v>2</x:v>
      </x:c>
      <x:c r="E109" s="50" t="n">
        <x:v>0.5</x:v>
      </x:c>
      <x:c r="F109" s="50" t="n">
        <x:v>-395.47</x:v>
      </x:c>
      <x:c r="G109" s="50" t="n">
        <x:v>392.13</x:v>
      </x:c>
      <x:c r="H109" s="50" t="n">
        <x:v>-824.24</x:v>
      </x:c>
      <x:c r="I109" s="50" t="n">
        <x:v>857.96</x:v>
      </x:c>
      <x:c r="J109" s="50" t="n">
        <x:v>0.5</x:v>
      </x:c>
      <x:c r="K109" s="50" t="n">
        <x:v>-5.09</x:v>
      </x:c>
      <x:c r="L109" s="50" t="n">
        <x:v>5.11</x:v>
      </x:c>
      <x:c r="M109" s="50" t="n">
        <x:v>-0.51</x:v>
      </x:c>
      <x:c r="N109" t="str">
        <x:v>RELATÓRIO LEITURAS INCLINOMÉTRICAS - Empreitada THE EDEN, Estoril_ R05_03-11-25.pdf</x:v>
      </x:c>
      <x:c r="O109" t="n">
        <x:v>8</x:v>
      </x:c>
      <x:c r="P109" t="str">
        <x:v>Válida</x:v>
      </x:c>
    </x:row>
    <x:row r="110">
      <x:c r="A110" s="48" t="n">
        <x:v>45944</x:v>
      </x:c>
      <x:c r="B110" t="n">
        <x:v>2</x:v>
      </x:c>
      <x:c r="C110" t="str">
        <x:v>I1</x:v>
      </x:c>
      <x:c r="D110" t="n">
        <x:v>2</x:v>
      </x:c>
      <x:c r="E110" s="50" t="n">
        <x:v>1</x:v>
      </x:c>
      <x:c r="F110" s="50" t="n">
        <x:v>-395.29</x:v>
      </x:c>
      <x:c r="G110" s="50" t="n">
        <x:v>392</x:v>
      </x:c>
      <x:c r="H110" s="50" t="n">
        <x:v>-824.26</x:v>
      </x:c>
      <x:c r="I110" s="50" t="n">
        <x:v>857.95</x:v>
      </x:c>
      <x:c r="J110" s="50" t="n">
        <x:v>0.74</x:v>
      </x:c>
      <x:c r="K110" s="50" t="n">
        <x:v>-4.1</x:v>
      </x:c>
      <x:c r="L110" s="50" t="n">
        <x:v>4.16</x:v>
      </x:c>
      <x:c r="M110" s="50" t="n">
        <x:v>-1.03</x:v>
      </x:c>
      <x:c r="N110" t="str">
        <x:v>RELATÓRIO LEITURAS INCLINOMÉTRICAS - Empreitada THE EDEN, Estoril_ R05_03-11-25.pdf</x:v>
      </x:c>
      <x:c r="O110" t="n">
        <x:v>8</x:v>
      </x:c>
      <x:c r="P110" t="str">
        <x:v>Válida</x:v>
      </x:c>
    </x:row>
    <x:row r="111">
      <x:c r="A111" s="48" t="n">
        <x:v>45944</x:v>
      </x:c>
      <x:c r="B111" t="n">
        <x:v>2</x:v>
      </x:c>
      <x:c r="C111" t="str">
        <x:v>I1</x:v>
      </x:c>
      <x:c r="D111" t="n">
        <x:v>2</x:v>
      </x:c>
      <x:c r="E111" s="50" t="n">
        <x:v>1.5</x:v>
      </x:c>
      <x:c r="F111" s="50" t="n">
        <x:v>-0.84</x:v>
      </x:c>
      <x:c r="G111" s="50" t="n">
        <x:v>14.07</x:v>
      </x:c>
      <x:c r="H111" s="50" t="n">
        <x:v>-262.33</x:v>
      </x:c>
      <x:c r="I111" s="50" t="n">
        <x:v>268.39</x:v>
      </x:c>
      <x:c r="J111" s="50" t="n">
        <x:v>1.03</x:v>
      </x:c>
      <x:c r="K111" s="50" t="n">
        <x:v>-3.52</x:v>
      </x:c>
      <x:c r="L111" s="50" t="n">
        <x:v>3.66</x:v>
      </x:c>
      <x:c r="M111" s="50" t="n">
        <x:v>-1.52</x:v>
      </x:c>
      <x:c r="N111" t="str">
        <x:v>RELATÓRIO LEITURAS INCLINOMÉTRICAS - Empreitada THE EDEN, Estoril_ R05_03-11-25.pdf</x:v>
      </x:c>
      <x:c r="O111" t="n">
        <x:v>8</x:v>
      </x:c>
      <x:c r="P111" t="str">
        <x:v>Válida</x:v>
      </x:c>
    </x:row>
    <x:row r="112">
      <x:c r="A112" s="48" t="n">
        <x:v>45944</x:v>
      </x:c>
      <x:c r="B112" t="n">
        <x:v>2</x:v>
      </x:c>
      <x:c r="C112" t="str">
        <x:v>I1</x:v>
      </x:c>
      <x:c r="D112" t="n">
        <x:v>2</x:v>
      </x:c>
      <x:c r="E112" s="50" t="n">
        <x:v>2</x:v>
      </x:c>
      <x:c r="F112" s="50" t="n">
        <x:v>0.81</x:v>
      </x:c>
      <x:c r="G112" s="50" t="n">
        <x:v>7.15</x:v>
      </x:c>
      <x:c r="H112" s="50" t="n">
        <x:v>-227.31</x:v>
      </x:c>
      <x:c r="I112" s="50" t="n">
        <x:v>242.5</x:v>
      </x:c>
      <x:c r="J112" s="50" t="n">
        <x:v>1.02</x:v>
      </x:c>
      <x:c r="K112" s="50" t="n">
        <x:v>-3.18</x:v>
      </x:c>
      <x:c r="L112" s="50" t="n">
        <x:v>3.34</x:v>
      </x:c>
      <x:c r="M112" s="50" t="n">
        <x:v>-1.75</x:v>
      </x:c>
      <x:c r="N112" t="str">
        <x:v>RELATÓRIO LEITURAS INCLINOMÉTRICAS - Empreitada THE EDEN, Estoril_ R05_03-11-25.pdf</x:v>
      </x:c>
      <x:c r="O112" t="n">
        <x:v>8</x:v>
      </x:c>
      <x:c r="P112" t="str">
        <x:v>Válida</x:v>
      </x:c>
    </x:row>
    <x:row r="113">
      <x:c r="A113" s="48" t="n">
        <x:v>45944</x:v>
      </x:c>
      <x:c r="B113" t="n">
        <x:v>2</x:v>
      </x:c>
      <x:c r="C113" t="str">
        <x:v>I1</x:v>
      </x:c>
      <x:c r="D113" t="n">
        <x:v>2</x:v>
      </x:c>
      <x:c r="E113" s="50" t="n">
        <x:v>2.5</x:v>
      </x:c>
      <x:c r="F113" s="50" t="n">
        <x:v>26.8</x:v>
      </x:c>
      <x:c r="G113" s="50" t="n">
        <x:v>-19.66</x:v>
      </x:c>
      <x:c r="H113" s="50" t="n">
        <x:v>-208.99</x:v>
      </x:c>
      <x:c r="I113" s="50" t="n">
        <x:v>223.63</x:v>
      </x:c>
      <x:c r="J113" s="50" t="n">
        <x:v>1.21</x:v>
      </x:c>
      <x:c r="K113" s="50" t="n">
        <x:v>-3.09</x:v>
      </x:c>
      <x:c r="L113" s="50" t="n">
        <x:v>3.32</x:v>
      </x:c>
      <x:c r="M113" s="50" t="n">
        <x:v>-1.74</x:v>
      </x:c>
      <x:c r="N113" t="str">
        <x:v>RELATÓRIO LEITURAS INCLINOMÉTRICAS - Empreitada THE EDEN, Estoril_ R05_03-11-25.pdf</x:v>
      </x:c>
      <x:c r="O113" t="n">
        <x:v>8</x:v>
      </x:c>
      <x:c r="P113" t="str">
        <x:v>Válida</x:v>
      </x:c>
    </x:row>
    <x:row r="114">
      <x:c r="A114" s="48" t="n">
        <x:v>45944</x:v>
      </x:c>
      <x:c r="B114" t="n">
        <x:v>2</x:v>
      </x:c>
      <x:c r="C114" t="str">
        <x:v>I1</x:v>
      </x:c>
      <x:c r="D114" t="n">
        <x:v>2</x:v>
      </x:c>
      <x:c r="E114" s="50" t="n">
        <x:v>3</x:v>
      </x:c>
      <x:c r="F114" s="50" t="n">
        <x:v>9.08</x:v>
      </x:c>
      <x:c r="G114" s="50" t="n">
        <x:v>-0.65</x:v>
      </x:c>
      <x:c r="H114" s="50" t="n">
        <x:v>-158.3</x:v>
      </x:c>
      <x:c r="I114" s="50" t="n">
        <x:v>172.5</x:v>
      </x:c>
      <x:c r="J114" s="50" t="n">
        <x:v>1.34</x:v>
      </x:c>
      <x:c r="K114" s="50" t="n">
        <x:v>-3.23</x:v>
      </x:c>
      <x:c r="L114" s="50" t="n">
        <x:v>3.5</x:v>
      </x:c>
      <x:c r="M114" s="50" t="n">
        <x:v>-1.73</x:v>
      </x:c>
      <x:c r="N114" t="str">
        <x:v>RELATÓRIO LEITURAS INCLINOMÉTRICAS - Empreitada THE EDEN, Estoril_ R05_03-11-25.pdf</x:v>
      </x:c>
      <x:c r="O114" t="n">
        <x:v>8</x:v>
      </x:c>
      <x:c r="P114" t="str">
        <x:v>Válida</x:v>
      </x:c>
    </x:row>
    <x:row r="115">
      <x:c r="A115" s="48" t="n">
        <x:v>45944</x:v>
      </x:c>
      <x:c r="B115" t="n">
        <x:v>2</x:v>
      </x:c>
      <x:c r="C115" t="str">
        <x:v>I1</x:v>
      </x:c>
      <x:c r="D115" t="n">
        <x:v>2</x:v>
      </x:c>
      <x:c r="E115" s="50" t="n">
        <x:v>3.5</x:v>
      </x:c>
      <x:c r="F115" s="50" t="n">
        <x:v>-7.22</x:v>
      </x:c>
      <x:c r="G115" s="50" t="n">
        <x:v>15.58</x:v>
      </x:c>
      <x:c r="H115" s="50" t="n">
        <x:v>-97.71</x:v>
      </x:c>
      <x:c r="I115" s="50" t="n">
        <x:v>96.71</x:v>
      </x:c>
      <x:c r="J115" s="50" t="n">
        <x:v>1.39</x:v>
      </x:c>
      <x:c r="K115" s="50" t="n">
        <x:v>-3.47</x:v>
      </x:c>
      <x:c r="L115" s="50" t="n">
        <x:v>3.74</x:v>
      </x:c>
      <x:c r="M115" s="50" t="n">
        <x:v>-1.5</x:v>
      </x:c>
      <x:c r="N115" t="str">
        <x:v>RELATÓRIO LEITURAS INCLINOMÉTRICAS - Empreitada THE EDEN, Estoril_ R05_03-11-25.pdf</x:v>
      </x:c>
      <x:c r="O115" t="n">
        <x:v>8</x:v>
      </x:c>
      <x:c r="P115" t="str">
        <x:v>Válida</x:v>
      </x:c>
    </x:row>
    <x:row r="116">
      <x:c r="A116" s="48" t="n">
        <x:v>45944</x:v>
      </x:c>
      <x:c r="B116" t="n">
        <x:v>2</x:v>
      </x:c>
      <x:c r="C116" t="str">
        <x:v>I1</x:v>
      </x:c>
      <x:c r="D116" t="n">
        <x:v>2</x:v>
      </x:c>
      <x:c r="E116" s="50" t="n">
        <x:v>4</x:v>
      </x:c>
      <x:c r="F116" s="50" t="n">
        <x:v>61.43</x:v>
      </x:c>
      <x:c r="G116" s="50" t="n">
        <x:v>-55.17</x:v>
      </x:c>
      <x:c r="H116" s="50" t="n">
        <x:v>-73.78</x:v>
      </x:c>
      <x:c r="I116" s="50" t="n">
        <x:v>54.87</x:v>
      </x:c>
      <x:c r="J116" s="50" t="n">
        <x:v>1.44</x:v>
      </x:c>
      <x:c r="K116" s="50" t="n">
        <x:v>-3.28</x:v>
      </x:c>
      <x:c r="L116" s="50" t="n">
        <x:v>3.59</x:v>
      </x:c>
      <x:c r="M116" s="50" t="n">
        <x:v>-1.39</x:v>
      </x:c>
      <x:c r="N116" t="str">
        <x:v>RELATÓRIO LEITURAS INCLINOMÉTRICAS - Empreitada THE EDEN, Estoril_ R05_03-11-25.pdf</x:v>
      </x:c>
      <x:c r="O116" t="n">
        <x:v>8</x:v>
      </x:c>
      <x:c r="P116" t="str">
        <x:v>Válida</x:v>
      </x:c>
    </x:row>
    <x:row r="117">
      <x:c r="A117" s="48" t="n">
        <x:v>45944</x:v>
      </x:c>
      <x:c r="B117" t="n">
        <x:v>2</x:v>
      </x:c>
      <x:c r="C117" t="str">
        <x:v>I1</x:v>
      </x:c>
      <x:c r="D117" t="n">
        <x:v>2</x:v>
      </x:c>
      <x:c r="E117" s="50" t="n">
        <x:v>4.5</x:v>
      </x:c>
      <x:c r="F117" s="50" t="n">
        <x:v>55.58</x:v>
      </x:c>
      <x:c r="G117" s="50" t="n">
        <x:v>-47.12</x:v>
      </x:c>
      <x:c r="H117" s="50" t="n">
        <x:v>-31.12</x:v>
      </x:c>
      <x:c r="I117" s="50" t="n">
        <x:v>39.56</x:v>
      </x:c>
      <x:c r="J117" s="50" t="n">
        <x:v>1.52</x:v>
      </x:c>
      <x:c r="K117" s="50" t="n">
        <x:v>-3.15</x:v>
      </x:c>
      <x:c r="L117" s="50" t="n">
        <x:v>3.5</x:v>
      </x:c>
      <x:c r="M117" s="50" t="n">
        <x:v>-1.24</x:v>
      </x:c>
      <x:c r="N117" t="str">
        <x:v>RELATÓRIO LEITURAS INCLINOMÉTRICAS - Empreitada THE EDEN, Estoril_ R05_03-11-25.pdf</x:v>
      </x:c>
      <x:c r="O117" t="n">
        <x:v>8</x:v>
      </x:c>
      <x:c r="P117" t="str">
        <x:v>Válida</x:v>
      </x:c>
    </x:row>
    <x:row r="118">
      <x:c r="A118" s="48" t="n">
        <x:v>45944</x:v>
      </x:c>
      <x:c r="B118" t="n">
        <x:v>2</x:v>
      </x:c>
      <x:c r="C118" t="str">
        <x:v>I1</x:v>
      </x:c>
      <x:c r="D118" t="n">
        <x:v>2</x:v>
      </x:c>
      <x:c r="E118" s="50" t="n">
        <x:v>5</x:v>
      </x:c>
      <x:c r="F118" s="50" t="n">
        <x:v>2.94</x:v>
      </x:c>
      <x:c r="G118" s="50" t="n">
        <x:v>6.1</x:v>
      </x:c>
      <x:c r="H118" s="50" t="n">
        <x:v>28</x:v>
      </x:c>
      <x:c r="I118" s="50" t="n">
        <x:v>-27.85</x:v>
      </x:c>
      <x:c r="J118" s="50" t="n">
        <x:v>1.68</x:v>
      </x:c>
      <x:c r="K118" s="50" t="n">
        <x:v>-3.2</x:v>
      </x:c>
      <x:c r="L118" s="50" t="n">
        <x:v>3.61</x:v>
      </x:c>
      <x:c r="M118" s="50" t="n">
        <x:v>-0.96</x:v>
      </x:c>
      <x:c r="N118" t="str">
        <x:v>RELATÓRIO LEITURAS INCLINOMÉTRICAS - Empreitada THE EDEN, Estoril_ R05_03-11-25.pdf</x:v>
      </x:c>
      <x:c r="O118" t="n">
        <x:v>8</x:v>
      </x:c>
      <x:c r="P118" t="str">
        <x:v>Válida</x:v>
      </x:c>
    </x:row>
    <x:row r="119">
      <x:c r="A119" s="48" t="n">
        <x:v>45944</x:v>
      </x:c>
      <x:c r="B119" t="n">
        <x:v>2</x:v>
      </x:c>
      <x:c r="C119" t="str">
        <x:v>I1</x:v>
      </x:c>
      <x:c r="D119" t="n">
        <x:v>2</x:v>
      </x:c>
      <x:c r="E119" s="50" t="n">
        <x:v>5.5</x:v>
      </x:c>
      <x:c r="F119" s="50" t="n">
        <x:v>0.91</x:v>
      </x:c>
      <x:c r="G119" s="50" t="n">
        <x:v>6.66</x:v>
      </x:c>
      <x:c r="H119" s="50" t="n">
        <x:v>13.86</x:v>
      </x:c>
      <x:c r="I119" s="50" t="n">
        <x:v>-25.52</x:v>
      </x:c>
      <x:c r="J119" s="50" t="n">
        <x:v>1.77</x:v>
      </x:c>
      <x:c r="K119" s="50" t="n">
        <x:v>-2.92</x:v>
      </x:c>
      <x:c r="L119" s="50" t="n">
        <x:v>3.42</x:v>
      </x:c>
      <x:c r="M119" s="50" t="n">
        <x:v>-0.91</x:v>
      </x:c>
      <x:c r="N119" t="str">
        <x:v>RELATÓRIO LEITURAS INCLINOMÉTRICAS - Empreitada THE EDEN, Estoril_ R05_03-11-25.pdf</x:v>
      </x:c>
      <x:c r="O119" t="n">
        <x:v>8</x:v>
      </x:c>
      <x:c r="P119" t="str">
        <x:v>Válida</x:v>
      </x:c>
    </x:row>
    <x:row r="120">
      <x:c r="A120" s="48" t="n">
        <x:v>45944</x:v>
      </x:c>
      <x:c r="B120" t="n">
        <x:v>2</x:v>
      </x:c>
      <x:c r="C120" t="str">
        <x:v>I1</x:v>
      </x:c>
      <x:c r="D120" t="n">
        <x:v>2</x:v>
      </x:c>
      <x:c r="E120" s="50" t="n">
        <x:v>6</x:v>
      </x:c>
      <x:c r="F120" s="50" t="n">
        <x:v>17.06</x:v>
      </x:c>
      <x:c r="G120" s="50" t="n">
        <x:v>-9.68</x:v>
      </x:c>
      <x:c r="H120" s="50" t="n">
        <x:v>-18.7</x:v>
      </x:c>
      <x:c r="I120" s="50" t="n">
        <x:v>25.85</x:v>
      </x:c>
      <x:c r="J120" s="50" t="n">
        <x:v>1.85</x:v>
      </x:c>
      <x:c r="K120" s="50" t="n">
        <x:v>-2.67</x:v>
      </x:c>
      <x:c r="L120" s="50" t="n">
        <x:v>3.25</x:v>
      </x:c>
      <x:c r="M120" s="50" t="n">
        <x:v>-0.97</x:v>
      </x:c>
      <x:c r="N120" t="str">
        <x:v>RELATÓRIO LEITURAS INCLINOMÉTRICAS - Empreitada THE EDEN, Estoril_ R05_03-11-25.pdf</x:v>
      </x:c>
      <x:c r="O120" t="n">
        <x:v>8</x:v>
      </x:c>
      <x:c r="P120" t="str">
        <x:v>Válida</x:v>
      </x:c>
    </x:row>
    <x:row r="121">
      <x:c r="A121" s="48" t="n">
        <x:v>45944</x:v>
      </x:c>
      <x:c r="B121" t="n">
        <x:v>2</x:v>
      </x:c>
      <x:c r="C121" t="str">
        <x:v>I1</x:v>
      </x:c>
      <x:c r="D121" t="n">
        <x:v>2</x:v>
      </x:c>
      <x:c r="E121" s="50" t="n">
        <x:v>6.5</x:v>
      </x:c>
      <x:c r="F121" s="50" t="n">
        <x:v>32.56</x:v>
      </x:c>
      <x:c r="G121" s="50" t="n">
        <x:v>-22.35</x:v>
      </x:c>
      <x:c r="H121" s="50" t="n">
        <x:v>-50.47</x:v>
      </x:c>
      <x:c r="I121" s="50" t="n">
        <x:v>51.92</x:v>
      </x:c>
      <x:c r="J121" s="50" t="n">
        <x:v>1.93</x:v>
      </x:c>
      <x:c r="K121" s="50" t="n">
        <x:v>-2.27</x:v>
      </x:c>
      <x:c r="L121" s="50" t="n">
        <x:v>2.98</x:v>
      </x:c>
      <x:c r="M121" s="50" t="n">
        <x:v>-1.02</x:v>
      </x:c>
      <x:c r="N121" t="str">
        <x:v>RELATÓRIO LEITURAS INCLINOMÉTRICAS - Empreitada THE EDEN, Estoril_ R05_03-11-25.pdf</x:v>
      </x:c>
      <x:c r="O121" t="n">
        <x:v>8</x:v>
      </x:c>
      <x:c r="P121" t="str">
        <x:v>Válida</x:v>
      </x:c>
    </x:row>
    <x:row r="122">
      <x:c r="A122" s="48" t="n">
        <x:v>45944</x:v>
      </x:c>
      <x:c r="B122" t="n">
        <x:v>2</x:v>
      </x:c>
      <x:c r="C122" t="str">
        <x:v>I1</x:v>
      </x:c>
      <x:c r="D122" t="n">
        <x:v>2</x:v>
      </x:c>
      <x:c r="E122" s="50" t="n">
        <x:v>7</x:v>
      </x:c>
      <x:c r="F122" s="50" t="n">
        <x:v>104.3</x:v>
      </x:c>
      <x:c r="G122" s="50" t="n">
        <x:v>-98.23</x:v>
      </x:c>
      <x:c r="H122" s="50" t="n">
        <x:v>-31.27</x:v>
      </x:c>
      <x:c r="I122" s="50" t="n">
        <x:v>44.09</x:v>
      </x:c>
      <x:c r="J122" s="50" t="n">
        <x:v>1.87</x:v>
      </x:c>
      <x:c r="K122" s="50" t="n">
        <x:v>-2.01</x:v>
      </x:c>
      <x:c r="L122" s="50" t="n">
        <x:v>2.74</x:v>
      </x:c>
      <x:c r="M122" s="50" t="n">
        <x:v>-0.98</x:v>
      </x:c>
      <x:c r="N122" t="str">
        <x:v>RELATÓRIO LEITURAS INCLINOMÉTRICAS - Empreitada THE EDEN, Estoril_ R05_03-11-25.pdf</x:v>
      </x:c>
      <x:c r="O122" t="n">
        <x:v>8</x:v>
      </x:c>
      <x:c r="P122" t="str">
        <x:v>Válida</x:v>
      </x:c>
    </x:row>
    <x:row r="123">
      <x:c r="A123" s="48" t="n">
        <x:v>45944</x:v>
      </x:c>
      <x:c r="B123" t="n">
        <x:v>2</x:v>
      </x:c>
      <x:c r="C123" t="str">
        <x:v>I1</x:v>
      </x:c>
      <x:c r="D123" t="n">
        <x:v>2</x:v>
      </x:c>
      <x:c r="E123" s="50" t="n">
        <x:v>7.5</x:v>
      </x:c>
      <x:c r="F123" s="50" t="n">
        <x:v>67.48</x:v>
      </x:c>
      <x:c r="G123" s="50" t="n">
        <x:v>-61.77</x:v>
      </x:c>
      <x:c r="H123" s="50" t="n">
        <x:v>-31.41</x:v>
      </x:c>
      <x:c r="I123" s="50" t="n">
        <x:v>39.72</x:v>
      </x:c>
      <x:c r="J123" s="50" t="n">
        <x:v>1.86</x:v>
      </x:c>
      <x:c r="K123" s="50" t="n">
        <x:v>-1.66</x:v>
      </x:c>
      <x:c r="L123" s="50" t="n">
        <x:v>2.49</x:v>
      </x:c>
      <x:c r="M123" s="50" t="n">
        <x:v>-0.94</x:v>
      </x:c>
      <x:c r="N123" t="str">
        <x:v>RELATÓRIO LEITURAS INCLINOMÉTRICAS - Empreitada THE EDEN, Estoril_ R05_03-11-25.pdf</x:v>
      </x:c>
      <x:c r="O123" t="n">
        <x:v>8</x:v>
      </x:c>
      <x:c r="P123" t="str">
        <x:v>Válida</x:v>
      </x:c>
    </x:row>
    <x:row r="124">
      <x:c r="A124" s="48" t="n">
        <x:v>45944</x:v>
      </x:c>
      <x:c r="B124" t="n">
        <x:v>2</x:v>
      </x:c>
      <x:c r="C124" t="str">
        <x:v>I1</x:v>
      </x:c>
      <x:c r="D124" t="n">
        <x:v>2</x:v>
      </x:c>
      <x:c r="E124" s="50" t="n">
        <x:v>8</x:v>
      </x:c>
      <x:c r="F124" s="50" t="n">
        <x:v>45.07</x:v>
      </x:c>
      <x:c r="G124" s="50" t="n">
        <x:v>-36.99</x:v>
      </x:c>
      <x:c r="H124" s="50" t="n">
        <x:v>-27.38</x:v>
      </x:c>
      <x:c r="I124" s="50" t="n">
        <x:v>27.73</x:v>
      </x:c>
      <x:c r="J124" s="50" t="n">
        <x:v>1.81</x:v>
      </x:c>
      <x:c r="K124" s="50" t="n">
        <x:v>-1.37</x:v>
      </x:c>
      <x:c r="L124" s="50" t="n">
        <x:v>2.27</x:v>
      </x:c>
      <x:c r="M124" s="50" t="n">
        <x:v>-0.8</x:v>
      </x:c>
      <x:c r="N124" t="str">
        <x:v>RELATÓRIO LEITURAS INCLINOMÉTRICAS - Empreitada THE EDEN, Estoril_ R05_03-11-25.pdf</x:v>
      </x:c>
      <x:c r="O124" t="n">
        <x:v>8</x:v>
      </x:c>
      <x:c r="P124" t="str">
        <x:v>Válida</x:v>
      </x:c>
    </x:row>
    <x:row r="125">
      <x:c r="A125" s="48" t="n">
        <x:v>45944</x:v>
      </x:c>
      <x:c r="B125" t="n">
        <x:v>2</x:v>
      </x:c>
      <x:c r="C125" t="str">
        <x:v>I1</x:v>
      </x:c>
      <x:c r="D125" t="n">
        <x:v>2</x:v>
      </x:c>
      <x:c r="E125" s="50" t="n">
        <x:v>8.5</x:v>
      </x:c>
      <x:c r="F125" s="50" t="n">
        <x:v>6.02</x:v>
      </x:c>
      <x:c r="G125" s="50" t="n">
        <x:v>0.75</x:v>
      </x:c>
      <x:c r="H125" s="50" t="n">
        <x:v>0.56</x:v>
      </x:c>
      <x:c r="I125" s="50" t="n">
        <x:v>6.14</x:v>
      </x:c>
      <x:c r="J125" s="50" t="n">
        <x:v>1.77</x:v>
      </x:c>
      <x:c r="K125" s="50" t="n">
        <x:v>-1.21</x:v>
      </x:c>
      <x:c r="L125" s="50" t="n">
        <x:v>2.14</x:v>
      </x:c>
      <x:c r="M125" s="50" t="n">
        <x:v>-0.62</x:v>
      </x:c>
      <x:c r="N125" t="str">
        <x:v>RELATÓRIO LEITURAS INCLINOMÉTRICAS - Empreitada THE EDEN, Estoril_ R05_03-11-25.pdf</x:v>
      </x:c>
      <x:c r="O125" t="n">
        <x:v>8</x:v>
      </x:c>
      <x:c r="P125" t="str">
        <x:v>Válida</x:v>
      </x:c>
    </x:row>
    <x:row r="126">
      <x:c r="A126" s="48" t="n">
        <x:v>45944</x:v>
      </x:c>
      <x:c r="B126" t="n">
        <x:v>2</x:v>
      </x:c>
      <x:c r="C126" t="str">
        <x:v>I1</x:v>
      </x:c>
      <x:c r="D126" t="n">
        <x:v>2</x:v>
      </x:c>
      <x:c r="E126" s="50" t="n">
        <x:v>9</x:v>
      </x:c>
      <x:c r="F126" s="50" t="n">
        <x:v>-41.42</x:v>
      </x:c>
      <x:c r="G126" s="50" t="n">
        <x:v>48.61</x:v>
      </x:c>
      <x:c r="H126" s="50" t="n">
        <x:v>13.11</x:v>
      </x:c>
      <x:c r="I126" s="50" t="n">
        <x:v>-13.1</x:v>
      </x:c>
      <x:c r="J126" s="50" t="n">
        <x:v>1.73</x:v>
      </x:c>
      <x:c r="K126" s="50" t="n">
        <x:v>-0.99</x:v>
      </x:c>
      <x:c r="L126" s="50" t="n">
        <x:v>2</x:v>
      </x:c>
      <x:c r="M126" s="50" t="n">
        <x:v>-0.5</x:v>
      </x:c>
      <x:c r="N126" t="str">
        <x:v>RELATÓRIO LEITURAS INCLINOMÉTRICAS - Empreitada THE EDEN, Estoril_ R05_03-11-25.pdf</x:v>
      </x:c>
      <x:c r="O126" t="n">
        <x:v>8</x:v>
      </x:c>
      <x:c r="P126" t="str">
        <x:v>Válida</x:v>
      </x:c>
    </x:row>
    <x:row r="127">
      <x:c r="A127" s="48" t="n">
        <x:v>45944</x:v>
      </x:c>
      <x:c r="B127" t="n">
        <x:v>2</x:v>
      </x:c>
      <x:c r="C127" t="str">
        <x:v>I1</x:v>
      </x:c>
      <x:c r="D127" t="n">
        <x:v>2</x:v>
      </x:c>
      <x:c r="E127" s="50" t="n">
        <x:v>9.5</x:v>
      </x:c>
      <x:c r="F127" s="50" t="n">
        <x:v>-107.48</x:v>
      </x:c>
      <x:c r="G127" s="50" t="n">
        <x:v>111.38</x:v>
      </x:c>
      <x:c r="H127" s="50" t="n">
        <x:v>29.73</x:v>
      </x:c>
      <x:c r="I127" s="50" t="n">
        <x:v>-23.73</x:v>
      </x:c>
      <x:c r="J127" s="50" t="n">
        <x:v>1.69</x:v>
      </x:c>
      <x:c r="K127" s="50" t="n">
        <x:v>-0.81</x:v>
      </x:c>
      <x:c r="L127" s="50" t="n">
        <x:v>1.88</x:v>
      </x:c>
      <x:c r="M127" s="50" t="n">
        <x:v>-0.41</x:v>
      </x:c>
      <x:c r="N127" t="str">
        <x:v>RELATÓRIO LEITURAS INCLINOMÉTRICAS - Empreitada THE EDEN, Estoril_ R05_03-11-25.pdf</x:v>
      </x:c>
      <x:c r="O127" t="n">
        <x:v>8</x:v>
      </x:c>
      <x:c r="P127" t="str">
        <x:v>Válida</x:v>
      </x:c>
    </x:row>
    <x:row r="128">
      <x:c r="A128" s="48" t="n">
        <x:v>45944</x:v>
      </x:c>
      <x:c r="B128" t="n">
        <x:v>2</x:v>
      </x:c>
      <x:c r="C128" t="str">
        <x:v>I1</x:v>
      </x:c>
      <x:c r="D128" t="n">
        <x:v>2</x:v>
      </x:c>
      <x:c r="E128" s="50" t="n">
        <x:v>10</x:v>
      </x:c>
      <x:c r="F128" s="50" t="n">
        <x:v>-196.17</x:v>
      </x:c>
      <x:c r="G128" s="50" t="n">
        <x:v>203.85</x:v>
      </x:c>
      <x:c r="H128" s="50" t="n">
        <x:v>-46.68</x:v>
      </x:c>
      <x:c r="I128" s="50" t="n">
        <x:v>41.2</x:v>
      </x:c>
      <x:c r="J128" s="50" t="n">
        <x:v>1.6</x:v>
      </x:c>
      <x:c r="K128" s="50" t="n">
        <x:v>-0.71</x:v>
      </x:c>
      <x:c r="L128" s="50" t="n">
        <x:v>1.75</x:v>
      </x:c>
      <x:c r="M128" s="50" t="n">
        <x:v>-0.59</x:v>
      </x:c>
      <x:c r="N128" t="str">
        <x:v>RELATÓRIO LEITURAS INCLINOMÉTRICAS - Empreitada THE EDEN, Estoril_ R05_03-11-25.pdf</x:v>
      </x:c>
      <x:c r="O128" t="n">
        <x:v>8</x:v>
      </x:c>
      <x:c r="P128" t="str">
        <x:v>Válida</x:v>
      </x:c>
    </x:row>
    <x:row r="129">
      <x:c r="A129" s="48" t="n">
        <x:v>45944</x:v>
      </x:c>
      <x:c r="B129" t="n">
        <x:v>2</x:v>
      </x:c>
      <x:c r="C129" t="str">
        <x:v>I1</x:v>
      </x:c>
      <x:c r="D129" t="n">
        <x:v>2</x:v>
      </x:c>
      <x:c r="E129" s="50" t="n">
        <x:v>10.5</x:v>
      </x:c>
      <x:c r="F129" s="50" t="n">
        <x:v>-192.89</x:v>
      </x:c>
      <x:c r="G129" s="50" t="n">
        <x:v>199.47</x:v>
      </x:c>
      <x:c r="H129" s="50" t="n">
        <x:v>-37.88</x:v>
      </x:c>
      <x:c r="I129" s="50" t="n">
        <x:v>37.45</x:v>
      </x:c>
      <x:c r="J129" s="50" t="n">
        <x:v>1.5</x:v>
      </x:c>
      <x:c r="K129" s="50" t="n">
        <x:v>-0.65</x:v>
      </x:c>
      <x:c r="L129" s="50" t="n">
        <x:v>1.63</x:v>
      </x:c>
      <x:c r="M129" s="50" t="n">
        <x:v>-0.63</x:v>
      </x:c>
      <x:c r="N129" t="str">
        <x:v>RELATÓRIO LEITURAS INCLINOMÉTRICAS - Empreitada THE EDEN, Estoril_ R05_03-11-25.pdf</x:v>
      </x:c>
      <x:c r="O129" t="n">
        <x:v>8</x:v>
      </x:c>
      <x:c r="P129" t="str">
        <x:v>Válida</x:v>
      </x:c>
    </x:row>
    <x:row r="130">
      <x:c r="A130" s="48" t="n">
        <x:v>45944</x:v>
      </x:c>
      <x:c r="B130" t="n">
        <x:v>2</x:v>
      </x:c>
      <x:c r="C130" t="str">
        <x:v>I1</x:v>
      </x:c>
      <x:c r="D130" t="n">
        <x:v>2</x:v>
      </x:c>
      <x:c r="E130" s="50" t="n">
        <x:v>11</x:v>
      </x:c>
      <x:c r="F130" s="50" t="n">
        <x:v>-170.28</x:v>
      </x:c>
      <x:c r="G130" s="50" t="n">
        <x:v>172.38</x:v>
      </x:c>
      <x:c r="H130" s="50" t="n">
        <x:v>18.18</x:v>
      </x:c>
      <x:c r="I130" s="50" t="n">
        <x:v>-5.44</x:v>
      </x:c>
      <x:c r="J130" s="50" t="n">
        <x:v>1.44</x:v>
      </x:c>
      <x:c r="K130" s="50" t="n">
        <x:v>-0.61</x:v>
      </x:c>
      <x:c r="L130" s="50" t="n">
        <x:v>1.57</x:v>
      </x:c>
      <x:c r="M130" s="50" t="n">
        <x:v>-0.67</x:v>
      </x:c>
      <x:c r="N130" t="str">
        <x:v>RELATÓRIO LEITURAS INCLINOMÉTRICAS - Empreitada THE EDEN, Estoril_ R05_03-11-25.pdf</x:v>
      </x:c>
      <x:c r="O130" t="n">
        <x:v>8</x:v>
      </x:c>
      <x:c r="P130" t="str">
        <x:v>Válida</x:v>
      </x:c>
    </x:row>
    <x:row r="131">
      <x:c r="A131" s="48" t="n">
        <x:v>45944</x:v>
      </x:c>
      <x:c r="B131" t="n">
        <x:v>2</x:v>
      </x:c>
      <x:c r="C131" t="str">
        <x:v>I1</x:v>
      </x:c>
      <x:c r="D131" t="n">
        <x:v>2</x:v>
      </x:c>
      <x:c r="E131" s="50" t="n">
        <x:v>11.5</x:v>
      </x:c>
      <x:c r="F131" s="50" t="n">
        <x:v>-76.43</x:v>
      </x:c>
      <x:c r="G131" s="50" t="n">
        <x:v>81.51</x:v>
      </x:c>
      <x:c r="H131" s="50" t="n">
        <x:v>16.25</x:v>
      </x:c>
      <x:c r="I131" s="50" t="n">
        <x:v>-14.44</x:v>
      </x:c>
      <x:c r="J131" s="50" t="n">
        <x:v>1.4</x:v>
      </x:c>
      <x:c r="K131" s="50" t="n">
        <x:v>-0.44</x:v>
      </x:c>
      <x:c r="L131" s="50" t="n">
        <x:v>1.47</x:v>
      </x:c>
      <x:c r="M131" s="50" t="n">
        <x:v>-0.72</x:v>
      </x:c>
      <x:c r="N131" t="str">
        <x:v>RELATÓRIO LEITURAS INCLINOMÉTRICAS - Empreitada THE EDEN, Estoril_ R05_03-11-25.pdf</x:v>
      </x:c>
      <x:c r="O131" t="n">
        <x:v>8</x:v>
      </x:c>
      <x:c r="P131" t="str">
        <x:v>Válida</x:v>
      </x:c>
    </x:row>
    <x:row r="132">
      <x:c r="A132" s="48" t="n">
        <x:v>45944</x:v>
      </x:c>
      <x:c r="B132" t="n">
        <x:v>2</x:v>
      </x:c>
      <x:c r="C132" t="str">
        <x:v>I1</x:v>
      </x:c>
      <x:c r="D132" t="n">
        <x:v>2</x:v>
      </x:c>
      <x:c r="E132" s="50" t="n">
        <x:v>12</x:v>
      </x:c>
      <x:c r="F132" s="50" t="n">
        <x:v>-145.51</x:v>
      </x:c>
      <x:c r="G132" s="50" t="n">
        <x:v>155.12</x:v>
      </x:c>
      <x:c r="H132" s="50" t="n">
        <x:v>-9.9</x:v>
      </x:c>
      <x:c r="I132" s="50" t="n">
        <x:v>10.67</x:v>
      </x:c>
      <x:c r="J132" s="50" t="n">
        <x:v>1.33</x:v>
      </x:c>
      <x:c r="K132" s="50" t="n">
        <x:v>-0.33</x:v>
      </x:c>
      <x:c r="L132" s="50" t="n">
        <x:v>1.37</x:v>
      </x:c>
      <x:c r="M132" s="50" t="n">
        <x:v>-0.62</x:v>
      </x:c>
      <x:c r="N132" t="str">
        <x:v>RELATÓRIO LEITURAS INCLINOMÉTRICAS - Empreitada THE EDEN, Estoril_ R05_03-11-25.pdf</x:v>
      </x:c>
      <x:c r="O132" t="n">
        <x:v>8</x:v>
      </x:c>
      <x:c r="P132" t="str">
        <x:v>Válida</x:v>
      </x:c>
    </x:row>
    <x:row r="133">
      <x:c r="A133" s="48" t="n">
        <x:v>45944</x:v>
      </x:c>
      <x:c r="B133" t="n">
        <x:v>2</x:v>
      </x:c>
      <x:c r="C133" t="str">
        <x:v>I1</x:v>
      </x:c>
      <x:c r="D133" t="n">
        <x:v>2</x:v>
      </x:c>
      <x:c r="E133" s="50" t="n">
        <x:v>12.5</x:v>
      </x:c>
      <x:c r="F133" s="50" t="n">
        <x:v>-134.55</x:v>
      </x:c>
      <x:c r="G133" s="50" t="n">
        <x:v>137.46</x:v>
      </x:c>
      <x:c r="H133" s="50" t="n">
        <x:v>52.48</x:v>
      </x:c>
      <x:c r="I133" s="50" t="n">
        <x:v>-47.66</x:v>
      </x:c>
      <x:c r="J133" s="50" t="n">
        <x:v>1.29</x:v>
      </x:c>
      <x:c r="K133" s="50" t="n">
        <x:v>-0.38</x:v>
      </x:c>
      <x:c r="L133" s="50" t="n">
        <x:v>1.34</x:v>
      </x:c>
      <x:c r="M133" s="50" t="n">
        <x:v>-0.65</x:v>
      </x:c>
      <x:c r="N133" t="str">
        <x:v>RELATÓRIO LEITURAS INCLINOMÉTRICAS - Empreitada THE EDEN, Estoril_ R05_03-11-25.pdf</x:v>
      </x:c>
      <x:c r="O133" t="n">
        <x:v>8</x:v>
      </x:c>
      <x:c r="P133" t="str">
        <x:v>Válida</x:v>
      </x:c>
    </x:row>
    <x:row r="134">
      <x:c r="A134" s="48" t="n">
        <x:v>45944</x:v>
      </x:c>
      <x:c r="B134" t="n">
        <x:v>2</x:v>
      </x:c>
      <x:c r="C134" t="str">
        <x:v>I1</x:v>
      </x:c>
      <x:c r="D134" t="n">
        <x:v>2</x:v>
      </x:c>
      <x:c r="E134" s="50" t="n">
        <x:v>13</x:v>
      </x:c>
      <x:c r="F134" s="50" t="n">
        <x:v>-60.85</x:v>
      </x:c>
      <x:c r="G134" s="50" t="n">
        <x:v>67.74</x:v>
      </x:c>
      <x:c r="H134" s="50" t="n">
        <x:v>54.08</x:v>
      </x:c>
      <x:c r="I134" s="50" t="n">
        <x:v>-34.34</x:v>
      </x:c>
      <x:c r="J134" s="50" t="n">
        <x:v>1.25</x:v>
      </x:c>
      <x:c r="K134" s="50" t="n">
        <x:v>-0.35</x:v>
      </x:c>
      <x:c r="L134" s="50" t="n">
        <x:v>1.3</x:v>
      </x:c>
      <x:c r="M134" s="50" t="n">
        <x:v>-0.6</x:v>
      </x:c>
      <x:c r="N134" t="str">
        <x:v>RELATÓRIO LEITURAS INCLINOMÉTRICAS - Empreitada THE EDEN, Estoril_ R05_03-11-25.pdf</x:v>
      </x:c>
      <x:c r="O134" t="n">
        <x:v>8</x:v>
      </x:c>
      <x:c r="P134" t="str">
        <x:v>Válida</x:v>
      </x:c>
    </x:row>
    <x:row r="135">
      <x:c r="A135" s="48" t="n">
        <x:v>45944</x:v>
      </x:c>
      <x:c r="B135" t="n">
        <x:v>2</x:v>
      </x:c>
      <x:c r="C135" t="str">
        <x:v>I1</x:v>
      </x:c>
      <x:c r="D135" t="n">
        <x:v>2</x:v>
      </x:c>
      <x:c r="E135" s="50" t="n">
        <x:v>13.5</x:v>
      </x:c>
      <x:c r="F135" s="50" t="n">
        <x:v>-47.12</x:v>
      </x:c>
      <x:c r="G135" s="50" t="n">
        <x:v>53.02</x:v>
      </x:c>
      <x:c r="H135" s="50" t="n">
        <x:v>71.91</x:v>
      </x:c>
      <x:c r="I135" s="50" t="n">
        <x:v>-55.56</x:v>
      </x:c>
      <x:c r="J135" s="50" t="n">
        <x:v>1.1</x:v>
      </x:c>
      <x:c r="K135" s="50" t="n">
        <x:v>-0.36</x:v>
      </x:c>
      <x:c r="L135" s="50" t="n">
        <x:v>1.16</x:v>
      </x:c>
      <x:c r="M135" s="50" t="n">
        <x:v>-0.74</x:v>
      </x:c>
      <x:c r="N135" t="str">
        <x:v>RELATÓRIO LEITURAS INCLINOMÉTRICAS - Empreitada THE EDEN, Estoril_ R05_03-11-25.pdf</x:v>
      </x:c>
      <x:c r="O135" t="n">
        <x:v>8</x:v>
      </x:c>
      <x:c r="P135" t="str">
        <x:v>Válida</x:v>
      </x:c>
    </x:row>
    <x:row r="136">
      <x:c r="A136" s="48" t="n">
        <x:v>45944</x:v>
      </x:c>
      <x:c r="B136" t="n">
        <x:v>2</x:v>
      </x:c>
      <x:c r="C136" t="str">
        <x:v>I1</x:v>
      </x:c>
      <x:c r="D136" t="n">
        <x:v>2</x:v>
      </x:c>
      <x:c r="E136" s="50" t="n">
        <x:v>14</x:v>
      </x:c>
      <x:c r="F136" s="50" t="n">
        <x:v>-46.64</x:v>
      </x:c>
      <x:c r="G136" s="50" t="n">
        <x:v>50.79</x:v>
      </x:c>
      <x:c r="H136" s="50" t="n">
        <x:v>89.27</x:v>
      </x:c>
      <x:c r="I136" s="50" t="n">
        <x:v>-71.78</x:v>
      </x:c>
      <x:c r="J136" s="50" t="n">
        <x:v>0.89</x:v>
      </x:c>
      <x:c r="K136" s="50" t="n">
        <x:v>-0.32</x:v>
      </x:c>
      <x:c r="L136" s="50" t="n">
        <x:v>0.94</x:v>
      </x:c>
      <x:c r="M136" s="50" t="n">
        <x:v>-0.93</x:v>
      </x:c>
      <x:c r="N136" t="str">
        <x:v>RELATÓRIO LEITURAS INCLINOMÉTRICAS - Empreitada THE EDEN, Estoril_ R05_03-11-25.pdf</x:v>
      </x:c>
      <x:c r="O136" t="n">
        <x:v>8</x:v>
      </x:c>
      <x:c r="P136" t="str">
        <x:v>Válida</x:v>
      </x:c>
    </x:row>
    <x:row r="137">
      <x:c r="A137" s="48" t="n">
        <x:v>45944</x:v>
      </x:c>
      <x:c r="B137" t="n">
        <x:v>2</x:v>
      </x:c>
      <x:c r="C137" t="str">
        <x:v>I1</x:v>
      </x:c>
      <x:c r="D137" t="n">
        <x:v>2</x:v>
      </x:c>
      <x:c r="E137" s="50" t="n">
        <x:v>14.5</x:v>
      </x:c>
      <x:c r="F137" s="50" t="n">
        <x:v>-37.98</x:v>
      </x:c>
      <x:c r="G137" s="50" t="n">
        <x:v>42.36</x:v>
      </x:c>
      <x:c r="H137" s="50" t="n">
        <x:v>115.23</x:v>
      </x:c>
      <x:c r="I137" s="50" t="n">
        <x:v>-97.92</x:v>
      </x:c>
      <x:c r="J137" s="50" t="n">
        <x:v>0.65</x:v>
      </x:c>
      <x:c r="K137" s="50" t="n">
        <x:v>-0.46</x:v>
      </x:c>
      <x:c r="L137" s="50" t="n">
        <x:v>0.8</x:v>
      </x:c>
      <x:c r="M137" s="50" t="n">
        <x:v>-1.12</x:v>
      </x:c>
      <x:c r="N137" t="str">
        <x:v>RELATÓRIO LEITURAS INCLINOMÉTRICAS - Empreitada THE EDEN, Estoril_ R05_03-11-25.pdf</x:v>
      </x:c>
      <x:c r="O137" t="n">
        <x:v>8</x:v>
      </x:c>
      <x:c r="P137" t="str">
        <x:v>Válida</x:v>
      </x:c>
    </x:row>
    <x:row r="138">
      <x:c r="A138" s="48" t="n">
        <x:v>45944</x:v>
      </x:c>
      <x:c r="B138" t="n">
        <x:v>2</x:v>
      </x:c>
      <x:c r="C138" t="str">
        <x:v>I1</x:v>
      </x:c>
      <x:c r="D138" t="n">
        <x:v>2</x:v>
      </x:c>
      <x:c r="E138" s="50" t="n">
        <x:v>15</x:v>
      </x:c>
      <x:c r="F138" s="50" t="n">
        <x:v>-6.86</x:v>
      </x:c>
      <x:c r="G138" s="50" t="n">
        <x:v>12.34</x:v>
      </x:c>
      <x:c r="H138" s="50" t="n">
        <x:v>127.49</x:v>
      </x:c>
      <x:c r="I138" s="50" t="n">
        <x:v>-103.31</x:v>
      </x:c>
      <x:c r="J138" s="50" t="n">
        <x:v>0.43</x:v>
      </x:c>
      <x:c r="K138" s="50" t="n">
        <x:v>-0.46</x:v>
      </x:c>
      <x:c r="L138" s="50" t="n">
        <x:v>0.63</x:v>
      </x:c>
      <x:c r="M138" s="50" t="n">
        <x:v>-1.25</x:v>
      </x:c>
      <x:c r="N138" t="str">
        <x:v>RELATÓRIO LEITURAS INCLINOMÉTRICAS - Empreitada THE EDEN, Estoril_ R05_03-11-25.pdf</x:v>
      </x:c>
      <x:c r="O138" t="n">
        <x:v>8</x:v>
      </x:c>
      <x:c r="P138" t="str">
        <x:v>Válida</x:v>
      </x:c>
    </x:row>
    <x:row r="139">
      <x:c r="A139" s="48" t="n">
        <x:v>45944</x:v>
      </x:c>
      <x:c r="B139" t="n">
        <x:v>2</x:v>
      </x:c>
      <x:c r="C139" t="str">
        <x:v>I1</x:v>
      </x:c>
      <x:c r="D139" t="n">
        <x:v>2</x:v>
      </x:c>
      <x:c r="E139" s="50" t="n">
        <x:v>15.5</x:v>
      </x:c>
      <x:c r="F139" s="50" t="n">
        <x:v>-25.72</x:v>
      </x:c>
      <x:c r="G139" s="50" t="n">
        <x:v>26.59</x:v>
      </x:c>
      <x:c r="H139" s="50" t="n">
        <x:v>149.27</x:v>
      </x:c>
      <x:c r="I139" s="50" t="n">
        <x:v>-118.04</x:v>
      </x:c>
      <x:c r="J139" s="50" t="n">
        <x:v>0.3</x:v>
      </x:c>
      <x:c r="K139" s="50" t="n">
        <x:v>-0.59</x:v>
      </x:c>
      <x:c r="L139" s="50" t="n">
        <x:v>0.66</x:v>
      </x:c>
      <x:c r="M139" s="50" t="n">
        <x:v>-1.05</x:v>
      </x:c>
      <x:c r="N139" t="str">
        <x:v>RELATÓRIO LEITURAS INCLINOMÉTRICAS - Empreitada THE EDEN, Estoril_ R05_03-11-25.pdf</x:v>
      </x:c>
      <x:c r="O139" t="n">
        <x:v>8</x:v>
      </x:c>
      <x:c r="P139" t="str">
        <x:v>Válida</x:v>
      </x:c>
    </x:row>
    <x:row r="140">
      <x:c r="A140" s="48" t="n">
        <x:v>45944</x:v>
      </x:c>
      <x:c r="B140" t="n">
        <x:v>2</x:v>
      </x:c>
      <x:c r="C140" t="str">
        <x:v>I1</x:v>
      </x:c>
      <x:c r="D140" t="n">
        <x:v>2</x:v>
      </x:c>
      <x:c r="E140" s="50" t="n">
        <x:v>16</x:v>
      </x:c>
      <x:c r="F140" s="50" t="n">
        <x:v>-16.57</x:v>
      </x:c>
      <x:c r="G140" s="50" t="n">
        <x:v>21.28</x:v>
      </x:c>
      <x:c r="H140" s="50" t="n">
        <x:v>-10.57</x:v>
      </x:c>
      <x:c r="I140" s="50" t="n">
        <x:v>34.54</x:v>
      </x:c>
      <x:c r="J140" s="50" t="n">
        <x:v>-0.04</x:v>
      </x:c>
      <x:c r="K140" s="50" t="n">
        <x:v>-0.65</x:v>
      </x:c>
      <x:c r="L140" s="50" t="n">
        <x:v>0.65</x:v>
      </x:c>
      <x:c r="M140" s="50" t="n">
        <x:v>-1.04</x:v>
      </x:c>
      <x:c r="N140" t="str">
        <x:v>RELATÓRIO LEITURAS INCLINOMÉTRICAS - Empreitada THE EDEN, Estoril_ R05_03-11-25.pdf</x:v>
      </x:c>
      <x:c r="O140" t="n">
        <x:v>8</x:v>
      </x:c>
      <x:c r="P140" t="str">
        <x:v>Válida</x:v>
      </x:c>
    </x:row>
    <x:row r="141">
      <x:c r="A141" s="48" t="n">
        <x:v>45944</x:v>
      </x:c>
      <x:c r="B141" t="n">
        <x:v>2</x:v>
      </x:c>
      <x:c r="C141" t="str">
        <x:v>I1</x:v>
      </x:c>
      <x:c r="D141" t="n">
        <x:v>2</x:v>
      </x:c>
      <x:c r="E141" s="50" t="n">
        <x:v>16.5</x:v>
      </x:c>
      <x:c r="F141" s="50" t="n">
        <x:v>3.58</x:v>
      </x:c>
      <x:c r="G141" s="50" t="n">
        <x:v>0.77</x:v>
      </x:c>
      <x:c r="H141" s="50" t="n">
        <x:v>-6.77</x:v>
      </x:c>
      <x:c r="I141" s="50" t="n">
        <x:v>22.71</x:v>
      </x:c>
      <x:c r="J141" s="50" t="n">
        <x:v>-0.04</x:v>
      </x:c>
      <x:c r="K141" s="50" t="n">
        <x:v>-0.42</x:v>
      </x:c>
      <x:c r="L141" s="50" t="n">
        <x:v>0.42</x:v>
      </x:c>
      <x:c r="M141" s="50" t="n">
        <x:v>-1.05</x:v>
      </x:c>
      <x:c r="N141" t="str">
        <x:v>RELATÓRIO LEITURAS INCLINOMÉTRICAS - Empreitada THE EDEN, Estoril_ R05_03-11-25.pdf</x:v>
      </x:c>
      <x:c r="O141" t="n">
        <x:v>8</x:v>
      </x:c>
      <x:c r="P141" t="str">
        <x:v>Válida</x:v>
      </x:c>
    </x:row>
    <x:row r="142">
      <x:c r="A142" s="48" t="n">
        <x:v>45944</x:v>
      </x:c>
      <x:c r="B142" t="n">
        <x:v>2</x:v>
      </x:c>
      <x:c r="C142" t="str">
        <x:v>I1</x:v>
      </x:c>
      <x:c r="D142" t="n">
        <x:v>2</x:v>
      </x:c>
      <x:c r="E142" s="50" t="n">
        <x:v>17</x:v>
      </x:c>
      <x:c r="F142" s="50" t="n">
        <x:v>16.08</x:v>
      </x:c>
      <x:c r="G142" s="50" t="n">
        <x:v>-12.45</x:v>
      </x:c>
      <x:c r="H142" s="50" t="n">
        <x:v>7.75</x:v>
      </x:c>
      <x:c r="I142" s="50" t="n">
        <x:v>4.87</x:v>
      </x:c>
      <x:c r="J142" s="50" t="n">
        <x:v>-0.04</x:v>
      </x:c>
      <x:c r="K142" s="50" t="n">
        <x:v>-0.37</x:v>
      </x:c>
      <x:c r="L142" s="50" t="n">
        <x:v>0.37</x:v>
      </x:c>
      <x:c r="M142" s="50" t="n">
        <x:v>-1.08</x:v>
      </x:c>
      <x:c r="N142" t="str">
        <x:v>RELATÓRIO LEITURAS INCLINOMÉTRICAS - Empreitada THE EDEN, Estoril_ R05_03-11-25.pdf</x:v>
      </x:c>
      <x:c r="O142" t="n">
        <x:v>8</x:v>
      </x:c>
      <x:c r="P142" t="str">
        <x:v>Válida</x:v>
      </x:c>
    </x:row>
    <x:row r="143">
      <x:c r="A143" s="48" t="n">
        <x:v>45944</x:v>
      </x:c>
      <x:c r="B143" t="n">
        <x:v>2</x:v>
      </x:c>
      <x:c r="C143" t="str">
        <x:v>I1</x:v>
      </x:c>
      <x:c r="D143" t="n">
        <x:v>2</x:v>
      </x:c>
      <x:c r="E143" s="50" t="n">
        <x:v>17.5</x:v>
      </x:c>
      <x:c r="F143" s="50" t="n">
        <x:v>-12.76</x:v>
      </x:c>
      <x:c r="G143" s="50" t="n">
        <x:v>17.02</x:v>
      </x:c>
      <x:c r="H143" s="50" t="n">
        <x:v>41.37</x:v>
      </x:c>
      <x:c r="I143" s="50" t="n">
        <x:v>-26.64</x:v>
      </x:c>
      <x:c r="J143" s="50" t="n">
        <x:v>-0.07</x:v>
      </x:c>
      <x:c r="K143" s="50" t="n">
        <x:v>-0.26</x:v>
      </x:c>
      <x:c r="L143" s="50" t="n">
        <x:v>0.27</x:v>
      </x:c>
      <x:c r="M143" s="50" t="n">
        <x:v>-1.02</x:v>
      </x:c>
      <x:c r="N143" t="str">
        <x:v>RELATÓRIO LEITURAS INCLINOMÉTRICAS - Empreitada THE EDEN, Estoril_ R05_03-11-25.pdf</x:v>
      </x:c>
      <x:c r="O143" t="n">
        <x:v>8</x:v>
      </x:c>
      <x:c r="P143" t="str">
        <x:v>Válida</x:v>
      </x:c>
    </x:row>
    <x:row r="144">
      <x:c r="A144" s="48" t="n">
        <x:v>45944</x:v>
      </x:c>
      <x:c r="B144" t="n">
        <x:v>2</x:v>
      </x:c>
      <x:c r="C144" t="str">
        <x:v>I1</x:v>
      </x:c>
      <x:c r="D144" t="n">
        <x:v>2</x:v>
      </x:c>
      <x:c r="E144" s="50" t="n">
        <x:v>18</x:v>
      </x:c>
      <x:c r="F144" s="50" t="n">
        <x:v>-32.03</x:v>
      </x:c>
      <x:c r="G144" s="50" t="n">
        <x:v>35.74</x:v>
      </x:c>
      <x:c r="H144" s="50" t="n">
        <x:v>56.68</x:v>
      </x:c>
      <x:c r="I144" s="50" t="n">
        <x:v>-40.06</x:v>
      </x:c>
      <x:c r="J144" s="50" t="n">
        <x:v>-0.09</x:v>
      </x:c>
      <x:c r="K144" s="50" t="n">
        <x:v>-0.22</x:v>
      </x:c>
      <x:c r="L144" s="50" t="n">
        <x:v>0.24</x:v>
      </x:c>
      <x:c r="M144" s="50" t="n">
        <x:v>-1.06</x:v>
      </x:c>
      <x:c r="N144" t="str">
        <x:v>RELATÓRIO LEITURAS INCLINOMÉTRICAS - Empreitada THE EDEN, Estoril_ R05_03-11-25.pdf</x:v>
      </x:c>
      <x:c r="O144" t="n">
        <x:v>8</x:v>
      </x:c>
      <x:c r="P144" t="str">
        <x:v>Válida</x:v>
      </x:c>
    </x:row>
    <x:row r="145">
      <x:c r="A145" s="48" t="n">
        <x:v>45944</x:v>
      </x:c>
      <x:c r="B145" t="n">
        <x:v>2</x:v>
      </x:c>
      <x:c r="C145" t="str">
        <x:v>I1</x:v>
      </x:c>
      <x:c r="D145" t="n">
        <x:v>2</x:v>
      </x:c>
      <x:c r="E145" s="50" t="n">
        <x:v>18.5</x:v>
      </x:c>
      <x:c r="F145" s="50" t="n">
        <x:v>-35.54</x:v>
      </x:c>
      <x:c r="G145" s="50" t="n">
        <x:v>46.51</x:v>
      </x:c>
      <x:c r="H145" s="50" t="n">
        <x:v>79.72</x:v>
      </x:c>
      <x:c r="I145" s="50" t="n">
        <x:v>-45.24</x:v>
      </x:c>
      <x:c r="J145" s="50" t="n">
        <x:v>-0.11</x:v>
      </x:c>
      <x:c r="K145" s="50" t="n">
        <x:v>-0.14</x:v>
      </x:c>
      <x:c r="L145" s="50" t="n">
        <x:v>0.17</x:v>
      </x:c>
      <x:c r="M145" s="50" t="n">
        <x:v>-1.1</x:v>
      </x:c>
      <x:c r="N145" t="str">
        <x:v>RELATÓRIO LEITURAS INCLINOMÉTRICAS - Empreitada THE EDEN, Estoril_ R05_03-11-25.pdf</x:v>
      </x:c>
      <x:c r="O145" t="n">
        <x:v>8</x:v>
      </x:c>
      <x:c r="P145" t="str">
        <x:v>Válida</x:v>
      </x:c>
    </x:row>
    <x:row r="146">
      <x:c r="A146" s="48" t="n">
        <x:v>45944</x:v>
      </x:c>
      <x:c r="B146" t="n">
        <x:v>2</x:v>
      </x:c>
      <x:c r="C146" t="str">
        <x:v>I1</x:v>
      </x:c>
      <x:c r="D146" t="n">
        <x:v>2</x:v>
      </x:c>
      <x:c r="E146" s="50" t="n">
        <x:v>19</x:v>
      </x:c>
      <x:c r="F146" s="50" t="n">
        <x:v>-139.14</x:v>
      </x:c>
      <x:c r="G146" s="50" t="n">
        <x:v>135.71</x:v>
      </x:c>
      <x:c r="H146" s="50" t="n">
        <x:v>-30.58</x:v>
      </x:c>
      <x:c r="I146" s="50" t="n">
        <x:v>43.23</x:v>
      </x:c>
      <x:c r="J146" s="50" t="n">
        <x:v>-0.12</x:v>
      </x:c>
      <x:c r="K146" s="50" t="n">
        <x:v>-0.21</x:v>
      </x:c>
      <x:c r="L146" s="50" t="n">
        <x:v>0.24</x:v>
      </x:c>
      <x:c r="M146" s="50" t="n">
        <x:v>-0.96</x:v>
      </x:c>
      <x:c r="N146" t="str">
        <x:v>RELATÓRIO LEITURAS INCLINOMÉTRICAS - Empreitada THE EDEN, Estoril_ R05_03-11-25.pdf</x:v>
      </x:c>
      <x:c r="O146" t="n">
        <x:v>8</x:v>
      </x:c>
      <x:c r="P146" t="str">
        <x:v>Válida</x:v>
      </x:c>
    </x:row>
    <x:row r="147">
      <x:c r="A147" s="48" t="n">
        <x:v>45944</x:v>
      </x:c>
      <x:c r="B147" t="n">
        <x:v>2</x:v>
      </x:c>
      <x:c r="C147" t="str">
        <x:v>I1</x:v>
      </x:c>
      <x:c r="D147" t="n">
        <x:v>2</x:v>
      </x:c>
      <x:c r="E147" s="50" t="n">
        <x:v>19.5</x:v>
      </x:c>
      <x:c r="F147" s="50" t="n">
        <x:v>-132.26</x:v>
      </x:c>
      <x:c r="G147" s="50" t="n">
        <x:v>136.37</x:v>
      </x:c>
      <x:c r="H147" s="50" t="n">
        <x:v>-36.65</x:v>
      </x:c>
      <x:c r="I147" s="50" t="n">
        <x:v>42.24</x:v>
      </x:c>
      <x:c r="J147" s="50" t="n">
        <x:v>-0.15</x:v>
      </x:c>
      <x:c r="K147" s="50" t="n">
        <x:v>-0.18</x:v>
      </x:c>
      <x:c r="L147" s="50" t="n">
        <x:v>0.23</x:v>
      </x:c>
      <x:c r="M147" s="50" t="n">
        <x:v>-0.88</x:v>
      </x:c>
      <x:c r="N147" t="str">
        <x:v>RELATÓRIO LEITURAS INCLINOMÉTRICAS - Empreitada THE EDEN, Estoril_ R05_03-11-25.pdf</x:v>
      </x:c>
      <x:c r="O147" t="n">
        <x:v>8</x:v>
      </x:c>
      <x:c r="P147" t="str">
        <x:v>Válida</x:v>
      </x:c>
    </x:row>
    <x:row r="148">
      <x:c r="A148" s="48" t="n">
        <x:v>45944</x:v>
      </x:c>
      <x:c r="B148" t="n">
        <x:v>2</x:v>
      </x:c>
      <x:c r="C148" t="str">
        <x:v>I1</x:v>
      </x:c>
      <x:c r="D148" t="n">
        <x:v>2</x:v>
      </x:c>
      <x:c r="E148" s="50" t="n">
        <x:v>20</x:v>
      </x:c>
      <x:c r="F148" s="50" t="n">
        <x:v>-142.23</x:v>
      </x:c>
      <x:c r="G148" s="50" t="n">
        <x:v>146.25</x:v>
      </x:c>
      <x:c r="H148" s="50" t="n">
        <x:v>-29.96</x:v>
      </x:c>
      <x:c r="I148" s="50" t="n">
        <x:v>42.86</x:v>
      </x:c>
      <x:c r="J148" s="50" t="n">
        <x:v>-0.18</x:v>
      </x:c>
      <x:c r="K148" s="50" t="n">
        <x:v>-0.23</x:v>
      </x:c>
      <x:c r="L148" s="50" t="n">
        <x:v>0.3</x:v>
      </x:c>
      <x:c r="M148" s="50" t="n">
        <x:v>-0.78</x:v>
      </x:c>
      <x:c r="N148" t="str">
        <x:v>RELATÓRIO LEITURAS INCLINOMÉTRICAS - Empreitada THE EDEN, Estoril_ R05_03-11-25.pdf</x:v>
      </x:c>
      <x:c r="O148" t="n">
        <x:v>8</x:v>
      </x:c>
      <x:c r="P148" t="str">
        <x:v>Válida</x:v>
      </x:c>
    </x:row>
    <x:row r="149">
      <x:c r="A149" s="48" t="n">
        <x:v>45944</x:v>
      </x:c>
      <x:c r="B149" t="n">
        <x:v>2</x:v>
      </x:c>
      <x:c r="C149" t="str">
        <x:v>I1</x:v>
      </x:c>
      <x:c r="D149" t="n">
        <x:v>2</x:v>
      </x:c>
      <x:c r="E149" s="50" t="n">
        <x:v>20.5</x:v>
      </x:c>
      <x:c r="F149" s="50" t="n">
        <x:v>-167.43</x:v>
      </x:c>
      <x:c r="G149" s="50" t="n">
        <x:v>171.91</x:v>
      </x:c>
      <x:c r="H149" s="50" t="n">
        <x:v>-21.5</x:v>
      </x:c>
      <x:c r="I149" s="50" t="n">
        <x:v>27.67</x:v>
      </x:c>
      <x:c r="J149" s="50" t="n">
        <x:v>-0.19</x:v>
      </x:c>
      <x:c r="K149" s="50" t="n">
        <x:v>-0.21</x:v>
      </x:c>
      <x:c r="L149" s="50" t="n">
        <x:v>0.28</x:v>
      </x:c>
      <x:c r="M149" s="50" t="n">
        <x:v>-0.73</x:v>
      </x:c>
      <x:c r="N149" t="str">
        <x:v>RELATÓRIO LEITURAS INCLINOMÉTRICAS - Empreitada THE EDEN, Estoril_ R05_03-11-25.pdf</x:v>
      </x:c>
      <x:c r="O149" t="n">
        <x:v>8</x:v>
      </x:c>
      <x:c r="P149" t="str">
        <x:v>Válida</x:v>
      </x:c>
    </x:row>
    <x:row r="150">
      <x:c r="A150" s="48" t="n">
        <x:v>45944</x:v>
      </x:c>
      <x:c r="B150" t="n">
        <x:v>2</x:v>
      </x:c>
      <x:c r="C150" t="str">
        <x:v>I1</x:v>
      </x:c>
      <x:c r="D150" t="n">
        <x:v>2</x:v>
      </x:c>
      <x:c r="E150" s="50" t="n">
        <x:v>21</x:v>
      </x:c>
      <x:c r="F150" s="50" t="n">
        <x:v>-155.53</x:v>
      </x:c>
      <x:c r="G150" s="50" t="n">
        <x:v>157.66</x:v>
      </x:c>
      <x:c r="H150" s="50" t="n">
        <x:v>-16.17</x:v>
      </x:c>
      <x:c r="I150" s="50" t="n">
        <x:v>11.51</x:v>
      </x:c>
      <x:c r="J150" s="50" t="n">
        <x:v>-0.21</x:v>
      </x:c>
      <x:c r="K150" s="50" t="n">
        <x:v>-0.32</x:v>
      </x:c>
      <x:c r="L150" s="50" t="n">
        <x:v>0.38</x:v>
      </x:c>
      <x:c r="M150" s="50" t="n">
        <x:v>-0.68</x:v>
      </x:c>
      <x:c r="N150" t="str">
        <x:v>RELATÓRIO LEITURAS INCLINOMÉTRICAS - Empreitada THE EDEN, Estoril_ R05_03-11-25.pdf</x:v>
      </x:c>
      <x:c r="O150" t="n">
        <x:v>8</x:v>
      </x:c>
      <x:c r="P150" t="str">
        <x:v>Válida</x:v>
      </x:c>
    </x:row>
    <x:row r="151">
      <x:c r="A151" s="48" t="n">
        <x:v>45944</x:v>
      </x:c>
      <x:c r="B151" t="n">
        <x:v>2</x:v>
      </x:c>
      <x:c r="C151" t="str">
        <x:v>I1</x:v>
      </x:c>
      <x:c r="D151" t="n">
        <x:v>2</x:v>
      </x:c>
      <x:c r="E151" s="50" t="n">
        <x:v>21.5</x:v>
      </x:c>
      <x:c r="F151" s="50" t="n">
        <x:v>-76.22</x:v>
      </x:c>
      <x:c r="G151" s="50" t="n">
        <x:v>82.05</x:v>
      </x:c>
      <x:c r="H151" s="50" t="n">
        <x:v>-15.39</x:v>
      </x:c>
      <x:c r="I151" s="50" t="n">
        <x:v>24.46</x:v>
      </x:c>
      <x:c r="J151" s="50" t="n">
        <x:v>-0.2</x:v>
      </x:c>
      <x:c r="K151" s="50" t="n">
        <x:v>-0.21</x:v>
      </x:c>
      <x:c r="L151" s="50" t="n">
        <x:v>0.29</x:v>
      </x:c>
      <x:c r="M151" s="50" t="n">
        <x:v>-0.61</x:v>
      </x:c>
      <x:c r="N151" t="str">
        <x:v>RELATÓRIO LEITURAS INCLINOMÉTRICAS - Empreitada THE EDEN, Estoril_ R05_03-11-25.pdf</x:v>
      </x:c>
      <x:c r="O151" t="n">
        <x:v>8</x:v>
      </x:c>
      <x:c r="P151" t="str">
        <x:v>Válida</x:v>
      </x:c>
    </x:row>
    <x:row r="152">
      <x:c r="A152" s="48" t="n">
        <x:v>45944</x:v>
      </x:c>
      <x:c r="B152" t="n">
        <x:v>2</x:v>
      </x:c>
      <x:c r="C152" t="str">
        <x:v>I1</x:v>
      </x:c>
      <x:c r="D152" t="n">
        <x:v>2</x:v>
      </x:c>
      <x:c r="E152" s="50" t="n">
        <x:v>22</x:v>
      </x:c>
      <x:c r="F152" s="50" t="n">
        <x:v>7.13</x:v>
      </x:c>
      <x:c r="G152" s="50" t="n">
        <x:v>-5.6</x:v>
      </x:c>
      <x:c r="H152" s="50" t="n">
        <x:v>-95.31</x:v>
      </x:c>
      <x:c r="I152" s="50" t="n">
        <x:v>96.03</x:v>
      </x:c>
      <x:c r="J152" s="50" t="n">
        <x:v>-0.23</x:v>
      </x:c>
      <x:c r="K152" s="50" t="n">
        <x:v>-0.09</x:v>
      </x:c>
      <x:c r="L152" s="50" t="n">
        <x:v>0.25</x:v>
      </x:c>
      <x:c r="M152" s="50" t="n">
        <x:v>-0.5</x:v>
      </x:c>
      <x:c r="N152" t="str">
        <x:v>RELATÓRIO LEITURAS INCLINOMÉTRICAS - Empreitada THE EDEN, Estoril_ R05_03-11-25.pdf</x:v>
      </x:c>
      <x:c r="O152" t="n">
        <x:v>8</x:v>
      </x:c>
      <x:c r="P152" t="str">
        <x:v>Válida</x:v>
      </x:c>
    </x:row>
    <x:row r="153">
      <x:c r="A153" s="48" t="n">
        <x:v>45944</x:v>
      </x:c>
      <x:c r="B153" t="n">
        <x:v>2</x:v>
      </x:c>
      <x:c r="C153" t="str">
        <x:v>I1</x:v>
      </x:c>
      <x:c r="D153" t="n">
        <x:v>2</x:v>
      </x:c>
      <x:c r="E153" s="50" t="n">
        <x:v>22.5</x:v>
      </x:c>
      <x:c r="F153" s="50" t="n">
        <x:v>-23.42</x:v>
      </x:c>
      <x:c r="G153" s="50" t="n">
        <x:v>27.1</x:v>
      </x:c>
      <x:c r="H153" s="50" t="n">
        <x:v>-41.81</x:v>
      </x:c>
      <x:c r="I153" s="50" t="n">
        <x:v>32.11</x:v>
      </x:c>
      <x:c r="J153" s="50" t="n">
        <x:v>-0.25</x:v>
      </x:c>
      <x:c r="K153" s="50" t="n">
        <x:v>0.07</x:v>
      </x:c>
      <x:c r="L153" s="50" t="n">
        <x:v>0.26</x:v>
      </x:c>
      <x:c r="M153" s="50" t="n">
        <x:v>-0.39</x:v>
      </x:c>
      <x:c r="N153" t="str">
        <x:v>RELATÓRIO LEITURAS INCLINOMÉTRICAS - Empreitada THE EDEN, Estoril_ R05_03-11-25.pdf</x:v>
      </x:c>
      <x:c r="O153" t="n">
        <x:v>8</x:v>
      </x:c>
      <x:c r="P153" t="str">
        <x:v>Válida</x:v>
      </x:c>
    </x:row>
    <x:row r="154">
      <x:c r="A154" s="48" t="n">
        <x:v>45944</x:v>
      </x:c>
      <x:c r="B154" t="n">
        <x:v>2</x:v>
      </x:c>
      <x:c r="C154" t="str">
        <x:v>I1</x:v>
      </x:c>
      <x:c r="D154" t="n">
        <x:v>2</x:v>
      </x:c>
      <x:c r="E154" s="50" t="n">
        <x:v>23</x:v>
      </x:c>
      <x:c r="F154" s="50" t="n">
        <x:v>-45.67</x:v>
      </x:c>
      <x:c r="G154" s="50" t="n">
        <x:v>48.58</x:v>
      </x:c>
      <x:c r="H154" s="50" t="n">
        <x:v>-1.06</x:v>
      </x:c>
      <x:c r="I154" s="50" t="n">
        <x:v>2.08</x:v>
      </x:c>
      <x:c r="J154" s="50" t="n">
        <x:v>-0.25</x:v>
      </x:c>
      <x:c r="K154" s="50" t="n">
        <x:v>0.13</x:v>
      </x:c>
      <x:c r="L154" s="50" t="n">
        <x:v>0.29</x:v>
      </x:c>
      <x:c r="M154" s="50" t="n">
        <x:v>-0.32</x:v>
      </x:c>
      <x:c r="N154" t="str">
        <x:v>RELATÓRIO LEITURAS INCLINOMÉTRICAS - Empreitada THE EDEN, Estoril_ R05_03-11-25.pdf</x:v>
      </x:c>
      <x:c r="O154" t="n">
        <x:v>8</x:v>
      </x:c>
      <x:c r="P154" t="str">
        <x:v>Válida</x:v>
      </x:c>
    </x:row>
    <x:row r="155">
      <x:c r="A155" s="48" t="n">
        <x:v>45944</x:v>
      </x:c>
      <x:c r="B155" t="n">
        <x:v>2</x:v>
      </x:c>
      <x:c r="C155" t="str">
        <x:v>I1</x:v>
      </x:c>
      <x:c r="D155" t="n">
        <x:v>2</x:v>
      </x:c>
      <x:c r="E155" s="50" t="n">
        <x:v>23.5</x:v>
      </x:c>
      <x:c r="F155" s="50" t="n">
        <x:v>-64.19</x:v>
      </x:c>
      <x:c r="G155" s="50" t="n">
        <x:v>69.05</x:v>
      </x:c>
      <x:c r="H155" s="50" t="n">
        <x:v>14.56</x:v>
      </x:c>
      <x:c r="I155" s="50" t="n">
        <x:v>-24.06</x:v>
      </x:c>
      <x:c r="J155" s="50" t="n">
        <x:v>-0.22</x:v>
      </x:c>
      <x:c r="K155" s="50" t="n">
        <x:v>0.09</x:v>
      </x:c>
      <x:c r="L155" s="50" t="n">
        <x:v>0.24</x:v>
      </x:c>
      <x:c r="M155" s="50" t="n">
        <x:v>-0.24</x:v>
      </x:c>
      <x:c r="N155" t="str">
        <x:v>RELATÓRIO LEITURAS INCLINOMÉTRICAS - Empreitada THE EDEN, Estoril_ R05_03-11-25.pdf</x:v>
      </x:c>
      <x:c r="O155" t="n">
        <x:v>8</x:v>
      </x:c>
      <x:c r="P155" t="str">
        <x:v>Válida</x:v>
      </x:c>
    </x:row>
    <x:row r="156">
      <x:c r="A156" s="48" t="n">
        <x:v>45944</x:v>
      </x:c>
      <x:c r="B156" t="n">
        <x:v>2</x:v>
      </x:c>
      <x:c r="C156" t="str">
        <x:v>I1</x:v>
      </x:c>
      <x:c r="D156" t="n">
        <x:v>2</x:v>
      </x:c>
      <x:c r="E156" s="50" t="n">
        <x:v>24</x:v>
      </x:c>
      <x:c r="F156" s="50" t="n">
        <x:v>-89.27</x:v>
      </x:c>
      <x:c r="G156" s="50" t="n">
        <x:v>93.59</x:v>
      </x:c>
      <x:c r="H156" s="50" t="n">
        <x:v>4.8</x:v>
      </x:c>
      <x:c r="I156" s="50" t="n">
        <x:v>-14.12</x:v>
      </x:c>
      <x:c r="J156" s="50" t="n">
        <x:v>-0.19</x:v>
      </x:c>
      <x:c r="K156" s="50" t="n">
        <x:v>0.04</x:v>
      </x:c>
      <x:c r="L156" s="50" t="n">
        <x:v>0.19</x:v>
      </x:c>
      <x:c r="M156" s="50" t="n">
        <x:v>-0.3</x:v>
      </x:c>
      <x:c r="N156" t="str">
        <x:v>RELATÓRIO LEITURAS INCLINOMÉTRICAS - Empreitada THE EDEN, Estoril_ R05_03-11-25.pdf</x:v>
      </x:c>
      <x:c r="O156" t="n">
        <x:v>8</x:v>
      </x:c>
      <x:c r="P156" t="str">
        <x:v>Válida</x:v>
      </x:c>
    </x:row>
    <x:row r="157">
      <x:c r="A157" s="48" t="n">
        <x:v>45944</x:v>
      </x:c>
      <x:c r="B157" t="n">
        <x:v>2</x:v>
      </x:c>
      <x:c r="C157" t="str">
        <x:v>I1</x:v>
      </x:c>
      <x:c r="D157" t="n">
        <x:v>2</x:v>
      </x:c>
      <x:c r="E157" s="50" t="n">
        <x:v>24.5</x:v>
      </x:c>
      <x:c r="F157" s="50" t="n">
        <x:v>-119.57</x:v>
      </x:c>
      <x:c r="G157" s="50" t="n">
        <x:v>119.06</x:v>
      </x:c>
      <x:c r="H157" s="50" t="n">
        <x:v>29.4</x:v>
      </x:c>
      <x:c r="I157" s="50" t="n">
        <x:v>-10.19</x:v>
      </x:c>
      <x:c r="J157" s="50" t="n">
        <x:v>-0.21</x:v>
      </x:c>
      <x:c r="K157" s="50" t="n">
        <x:v>-0.3</x:v>
      </x:c>
      <x:c r="L157" s="50" t="n">
        <x:v>0.36</x:v>
      </x:c>
      <x:c r="M157" s="50" t="n">
        <x:v>-0.33</x:v>
      </x:c>
      <x:c r="N157" t="str">
        <x:v>RELATÓRIO LEITURAS INCLINOMÉTRICAS - Empreitada THE EDEN, Estoril_ R05_03-11-25.pdf</x:v>
      </x:c>
      <x:c r="O157" t="n">
        <x:v>8</x:v>
      </x:c>
      <x:c r="P157" t="str">
        <x:v>Válida</x:v>
      </x:c>
    </x:row>
    <x:row r="158">
      <x:c r="A158" s="48" t="n">
        <x:v>45944</x:v>
      </x:c>
      <x:c r="B158" t="n">
        <x:v>2</x:v>
      </x:c>
      <x:c r="C158" t="str">
        <x:v>I1</x:v>
      </x:c>
      <x:c r="D158" t="n">
        <x:v>2</x:v>
      </x:c>
      <x:c r="E158" s="50" t="n">
        <x:v>25</x:v>
      </x:c>
      <x:c r="F158" s="50" t="n">
        <x:v>-104.59</x:v>
      </x:c>
      <x:c r="G158" s="50" t="n">
        <x:v>113.86</x:v>
      </x:c>
      <x:c r="H158" s="50" t="n">
        <x:v>-36.33</x:v>
      </x:c>
      <x:c r="I158" s="50" t="n">
        <x:v>48.67</x:v>
      </x:c>
      <x:c r="J158" s="50" t="n">
        <x:v>-0.18</x:v>
      </x:c>
      <x:c r="K158" s="50" t="n">
        <x:v>-0.1</x:v>
      </x:c>
      <x:c r="L158" s="50" t="n">
        <x:v>0.21</x:v>
      </x:c>
      <x:c r="M158" s="50" t="n">
        <x:v>-0.37</x:v>
      </x:c>
      <x:c r="N158" t="str">
        <x:v>RELATÓRIO LEITURAS INCLINOMÉTRICAS - Empreitada THE EDEN, Estoril_ R05_03-11-25.pdf</x:v>
      </x:c>
      <x:c r="O158" t="n">
        <x:v>8</x:v>
      </x:c>
      <x:c r="P158" t="str">
        <x:v>Válida</x:v>
      </x:c>
    </x:row>
    <x:row r="159">
      <x:c r="A159" s="48" t="n">
        <x:v>45944</x:v>
      </x:c>
      <x:c r="B159" t="n">
        <x:v>2</x:v>
      </x:c>
      <x:c r="C159" t="str">
        <x:v>I1</x:v>
      </x:c>
      <x:c r="D159" t="n">
        <x:v>2</x:v>
      </x:c>
      <x:c r="E159" s="50" t="n">
        <x:v>25.5</x:v>
      </x:c>
      <x:c r="F159" s="50" t="n">
        <x:v>-92.76</x:v>
      </x:c>
      <x:c r="G159" s="50" t="n">
        <x:v>97.93</x:v>
      </x:c>
      <x:c r="H159" s="50" t="n">
        <x:v>-37.88</x:v>
      </x:c>
      <x:c r="I159" s="50" t="n">
        <x:v>41.87</x:v>
      </x:c>
      <x:c r="J159" s="50" t="n">
        <x:v>-0.15</x:v>
      </x:c>
      <x:c r="K159" s="50" t="n">
        <x:v>-0.22</x:v>
      </x:c>
      <x:c r="L159" s="50" t="n">
        <x:v>0.26</x:v>
      </x:c>
      <x:c r="M159" s="50" t="n">
        <x:v>-0.02</x:v>
      </x:c>
      <x:c r="N159" t="str">
        <x:v>RELATÓRIO LEITURAS INCLINOMÉTRICAS - Empreitada THE EDEN, Estoril_ R05_03-11-25.pdf</x:v>
      </x:c>
      <x:c r="O159" t="n">
        <x:v>8</x:v>
      </x:c>
      <x:c r="P159" t="str">
        <x:v>Válida</x:v>
      </x:c>
    </x:row>
    <x:row r="160">
      <x:c r="A160" s="48" t="n">
        <x:v>45944</x:v>
      </x:c>
      <x:c r="B160" t="n">
        <x:v>2</x:v>
      </x:c>
      <x:c r="C160" t="str">
        <x:v>I1</x:v>
      </x:c>
      <x:c r="D160" t="n">
        <x:v>2</x:v>
      </x:c>
      <x:c r="E160" s="50" t="n">
        <x:v>26</x:v>
      </x:c>
      <x:c r="F160" s="50" t="n">
        <x:v>-61.83</x:v>
      </x:c>
      <x:c r="G160" s="50" t="n">
        <x:v>67.91</x:v>
      </x:c>
      <x:c r="H160" s="50" t="n">
        <x:v>-24.33</x:v>
      </x:c>
      <x:c r="I160" s="50" t="n">
        <x:v>11.83</x:v>
      </x:c>
      <x:c r="J160" s="50" t="n">
        <x:v>-0.18</x:v>
      </x:c>
      <x:c r="K160" s="50" t="n">
        <x:v>-0.34</x:v>
      </x:c>
      <x:c r="L160" s="50" t="n">
        <x:v>0.39</x:v>
      </x:c>
      <x:c r="M160" s="50" t="n">
        <x:v>0.15</x:v>
      </x:c>
      <x:c r="N160" t="str">
        <x:v>RELATÓRIO LEITURAS INCLINOMÉTRICAS - Empreitada THE EDEN, Estoril_ R05_03-11-25.pdf</x:v>
      </x:c>
      <x:c r="O160" t="n">
        <x:v>8</x:v>
      </x:c>
      <x:c r="P160" t="str">
        <x:v>Válida</x:v>
      </x:c>
    </x:row>
    <x:row r="161">
      <x:c r="A161" s="48" t="n">
        <x:v>45944</x:v>
      </x:c>
      <x:c r="B161" t="n">
        <x:v>2</x:v>
      </x:c>
      <x:c r="C161" t="str">
        <x:v>I1</x:v>
      </x:c>
      <x:c r="D161" t="n">
        <x:v>2</x:v>
      </x:c>
      <x:c r="E161" s="50" t="n">
        <x:v>26.5</x:v>
      </x:c>
      <x:c r="F161" s="50" t="n">
        <x:v>-27.02</x:v>
      </x:c>
      <x:c r="G161" s="50" t="n">
        <x:v>33.25</x:v>
      </x:c>
      <x:c r="H161" s="50" t="n">
        <x:v>9.18</x:v>
      </x:c>
      <x:c r="I161" s="50" t="n">
        <x:v>-21.18</x:v>
      </x:c>
      <x:c r="J161" s="50" t="n">
        <x:v>-0.25</x:v>
      </x:c>
      <x:c r="K161" s="50" t="n">
        <x:v>-0.11</x:v>
      </x:c>
      <x:c r="L161" s="50" t="n">
        <x:v>0.28</x:v>
      </x:c>
      <x:c r="M161" s="50" t="n">
        <x:v>0.08</x:v>
      </x:c>
      <x:c r="N161" t="str">
        <x:v>RELATÓRIO LEITURAS INCLINOMÉTRICAS - Empreitada THE EDEN, Estoril_ R05_03-11-25.pdf</x:v>
      </x:c>
      <x:c r="O161" t="n">
        <x:v>8</x:v>
      </x:c>
      <x:c r="P161" t="str">
        <x:v>Válida</x:v>
      </x:c>
    </x:row>
    <x:row r="162">
      <x:c r="A162" s="48" t="n">
        <x:v>45944</x:v>
      </x:c>
      <x:c r="B162" t="n">
        <x:v>2</x:v>
      </x:c>
      <x:c r="C162" t="str">
        <x:v>I1</x:v>
      </x:c>
      <x:c r="D162" t="n">
        <x:v>2</x:v>
      </x:c>
      <x:c r="E162" s="50" t="n">
        <x:v>27</x:v>
      </x:c>
      <x:c r="F162" s="50" t="n">
        <x:v>27.42</x:v>
      </x:c>
      <x:c r="G162" s="50" t="n">
        <x:v>-21.94</x:v>
      </x:c>
      <x:c r="H162" s="50" t="n">
        <x:v>58.87</x:v>
      </x:c>
      <x:c r="I162" s="50" t="n">
        <x:v>-54.92</x:v>
      </x:c>
      <x:c r="J162" s="50" t="n">
        <x:v>-0.22</x:v>
      </x:c>
      <x:c r="K162" s="50" t="n">
        <x:v>0.03</x:v>
      </x:c>
      <x:c r="L162" s="50" t="n">
        <x:v>0.22</x:v>
      </x:c>
      <x:c r="M162" s="50" t="n">
        <x:v>0.07</x:v>
      </x:c>
      <x:c r="N162" t="str">
        <x:v>RELATÓRIO LEITURAS INCLINOMÉTRICAS - Empreitada THE EDEN, Estoril_ R05_03-11-25.pdf</x:v>
      </x:c>
      <x:c r="O162" t="n">
        <x:v>8</x:v>
      </x:c>
      <x:c r="P162" t="str">
        <x:v>Válida</x:v>
      </x:c>
    </x:row>
    <x:row r="163">
      <x:c r="A163" s="48" t="n">
        <x:v>45944</x:v>
      </x:c>
      <x:c r="B163" t="n">
        <x:v>2</x:v>
      </x:c>
      <x:c r="C163" t="str">
        <x:v>I2</x:v>
      </x:c>
      <x:c r="D163" t="n">
        <x:v>2</x:v>
      </x:c>
      <x:c r="E163" s="50" t="n">
        <x:v>0.5</x:v>
      </x:c>
      <x:c r="F163" s="50" t="n">
        <x:v>-386.41</x:v>
      </x:c>
      <x:c r="G163" s="50" t="n">
        <x:v>398.82</x:v>
      </x:c>
      <x:c r="H163" s="50" t="n">
        <x:v>-129.68</x:v>
      </x:c>
      <x:c r="I163" s="50" t="n">
        <x:v>121.85</x:v>
      </x:c>
      <x:c r="J163" s="50" t="n">
        <x:v>-1.03</x:v>
      </x:c>
      <x:c r="K163" s="50" t="n">
        <x:v>-3.02</x:v>
      </x:c>
      <x:c r="L163" s="50" t="n">
        <x:v>3.19</x:v>
      </x:c>
      <x:c r="M163" s="50" t="n">
        <x:v>2.53</x:v>
      </x:c>
      <x:c r="N163" t="str">
        <x:v>RELATÓRIO LEITURAS INCLINOMÉTRICAS - Empreitada THE EDEN, Estoril_ R05_03-11-25.pdf</x:v>
      </x:c>
      <x:c r="O163" t="n">
        <x:v>18</x:v>
      </x:c>
      <x:c r="P163" t="str">
        <x:v>Válida</x:v>
      </x:c>
    </x:row>
    <x:row r="164">
      <x:c r="A164" s="48" t="n">
        <x:v>45944</x:v>
      </x:c>
      <x:c r="B164" t="n">
        <x:v>2</x:v>
      </x:c>
      <x:c r="C164" t="str">
        <x:v>I2</x:v>
      </x:c>
      <x:c r="D164" t="n">
        <x:v>2</x:v>
      </x:c>
      <x:c r="E164" s="50" t="n">
        <x:v>1</x:v>
      </x:c>
      <x:c r="F164" s="50" t="n">
        <x:v>-386.98</x:v>
      </x:c>
      <x:c r="G164" s="50" t="n">
        <x:v>397.78</x:v>
      </x:c>
      <x:c r="H164" s="50" t="n">
        <x:v>-129.73</x:v>
      </x:c>
      <x:c r="I164" s="50" t="n">
        <x:v>125.09</x:v>
      </x:c>
      <x:c r="J164" s="50" t="n">
        <x:v>-0.43</x:v>
      </x:c>
      <x:c r="K164" s="50" t="n">
        <x:v>-1.83</x:v>
      </x:c>
      <x:c r="L164" s="50" t="n">
        <x:v>1.88</x:v>
      </x:c>
      <x:c r="M164" s="50" t="n">
        <x:v>1.44</x:v>
      </x:c>
      <x:c r="N164" t="str">
        <x:v>RELATÓRIO LEITURAS INCLINOMÉTRICAS - Empreitada THE EDEN, Estoril_ R05_03-11-25.pdf</x:v>
      </x:c>
      <x:c r="O164" t="n">
        <x:v>18</x:v>
      </x:c>
      <x:c r="P164" t="str">
        <x:v>Válida</x:v>
      </x:c>
    </x:row>
    <x:row r="165">
      <x:c r="A165" s="48" t="n">
        <x:v>45944</x:v>
      </x:c>
      <x:c r="B165" t="n">
        <x:v>2</x:v>
      </x:c>
      <x:c r="C165" t="str">
        <x:v>I2</x:v>
      </x:c>
      <x:c r="D165" t="n">
        <x:v>2</x:v>
      </x:c>
      <x:c r="E165" s="50" t="n">
        <x:v>1.5</x:v>
      </x:c>
      <x:c r="F165" s="50" t="n">
        <x:v>-374.18</x:v>
      </x:c>
      <x:c r="G165" s="50" t="n">
        <x:v>380.92</x:v>
      </x:c>
      <x:c r="H165" s="50" t="n">
        <x:v>-145.53</x:v>
      </x:c>
      <x:c r="I165" s="50" t="n">
        <x:v>146.07</x:v>
      </x:c>
      <x:c r="J165" s="50" t="n">
        <x:v>0.25</x:v>
      </x:c>
      <x:c r="K165" s="50" t="n">
        <x:v>-0.7</x:v>
      </x:c>
      <x:c r="L165" s="50" t="n">
        <x:v>0.75</x:v>
      </x:c>
      <x:c r="M165" s="50" t="n">
        <x:v>-0.31</x:v>
      </x:c>
      <x:c r="N165" t="str">
        <x:v>RELATÓRIO LEITURAS INCLINOMÉTRICAS - Empreitada THE EDEN, Estoril_ R05_03-11-25.pdf</x:v>
      </x:c>
      <x:c r="O165" t="n">
        <x:v>18</x:v>
      </x:c>
      <x:c r="P165" t="str">
        <x:v>Válida</x:v>
      </x:c>
    </x:row>
    <x:row r="166">
      <x:c r="A166" s="48" t="n">
        <x:v>45944</x:v>
      </x:c>
      <x:c r="B166" t="n">
        <x:v>2</x:v>
      </x:c>
      <x:c r="C166" t="str">
        <x:v>I2</x:v>
      </x:c>
      <x:c r="D166" t="n">
        <x:v>2</x:v>
      </x:c>
      <x:c r="E166" s="50" t="n">
        <x:v>2</x:v>
      </x:c>
      <x:c r="F166" s="50" t="n">
        <x:v>-334.06</x:v>
      </x:c>
      <x:c r="G166" s="50" t="n">
        <x:v>344.65</x:v>
      </x:c>
      <x:c r="H166" s="50" t="n">
        <x:v>-212.15</x:v>
      </x:c>
      <x:c r="I166" s="50" t="n">
        <x:v>213.05</x:v>
      </x:c>
      <x:c r="J166" s="50" t="n">
        <x:v>0.41</x:v>
      </x:c>
      <x:c r="K166" s="50" t="n">
        <x:v>-0.35</x:v>
      </x:c>
      <x:c r="L166" s="50" t="n">
        <x:v>0.54</x:v>
      </x:c>
      <x:c r="M166" s="50" t="n">
        <x:v>-0.68</x:v>
      </x:c>
      <x:c r="N166" t="str">
        <x:v>RELATÓRIO LEITURAS INCLINOMÉTRICAS - Empreitada THE EDEN, Estoril_ R05_03-11-25.pdf</x:v>
      </x:c>
      <x:c r="O166" t="n">
        <x:v>18</x:v>
      </x:c>
      <x:c r="P166" t="str">
        <x:v>Válida</x:v>
      </x:c>
    </x:row>
    <x:row r="167">
      <x:c r="A167" s="48" t="n">
        <x:v>45944</x:v>
      </x:c>
      <x:c r="B167" t="n">
        <x:v>2</x:v>
      </x:c>
      <x:c r="C167" t="str">
        <x:v>I2</x:v>
      </x:c>
      <x:c r="D167" t="n">
        <x:v>2</x:v>
      </x:c>
      <x:c r="E167" s="50" t="n">
        <x:v>2.5</x:v>
      </x:c>
      <x:c r="F167" s="50" t="n">
        <x:v>-306.79</x:v>
      </x:c>
      <x:c r="G167" s="50" t="n">
        <x:v>315.96</x:v>
      </x:c>
      <x:c r="H167" s="50" t="n">
        <x:v>-186.5</x:v>
      </x:c>
      <x:c r="I167" s="50" t="n">
        <x:v>191.34</x:v>
      </x:c>
      <x:c r="J167" s="50" t="n">
        <x:v>0.4</x:v>
      </x:c>
      <x:c r="K167" s="50" t="n">
        <x:v>-0.33</x:v>
      </x:c>
      <x:c r="L167" s="50" t="n">
        <x:v>0.52</x:v>
      </x:c>
      <x:c r="M167" s="50" t="n">
        <x:v>-0.72</x:v>
      </x:c>
      <x:c r="N167" t="str">
        <x:v>RELATÓRIO LEITURAS INCLINOMÉTRICAS - Empreitada THE EDEN, Estoril_ R05_03-11-25.pdf</x:v>
      </x:c>
      <x:c r="O167" t="n">
        <x:v>18</x:v>
      </x:c>
      <x:c r="P167" t="str">
        <x:v>Válida</x:v>
      </x:c>
    </x:row>
    <x:row r="168">
      <x:c r="A168" s="48" t="n">
        <x:v>45944</x:v>
      </x:c>
      <x:c r="B168" t="n">
        <x:v>2</x:v>
      </x:c>
      <x:c r="C168" t="str">
        <x:v>I2</x:v>
      </x:c>
      <x:c r="D168" t="n">
        <x:v>2</x:v>
      </x:c>
      <x:c r="E168" s="50" t="n">
        <x:v>3</x:v>
      </x:c>
      <x:c r="F168" s="50" t="n">
        <x:v>-269.94</x:v>
      </x:c>
      <x:c r="G168" s="50" t="n">
        <x:v>279.24</x:v>
      </x:c>
      <x:c r="H168" s="50" t="n">
        <x:v>-136.56</x:v>
      </x:c>
      <x:c r="I168" s="50" t="n">
        <x:v>137.96</x:v>
      </x:c>
      <x:c r="J168" s="50" t="n">
        <x:v>0.39</x:v>
      </x:c>
      <x:c r="K168" s="50" t="n">
        <x:v>-0.31</x:v>
      </x:c>
      <x:c r="L168" s="50" t="n">
        <x:v>0.49</x:v>
      </x:c>
      <x:c r="M168" s="50" t="n">
        <x:v>-0.72</x:v>
      </x:c>
      <x:c r="N168" t="str">
        <x:v>RELATÓRIO LEITURAS INCLINOMÉTRICAS - Empreitada THE EDEN, Estoril_ R05_03-11-25.pdf</x:v>
      </x:c>
      <x:c r="O168" t="n">
        <x:v>18</x:v>
      </x:c>
      <x:c r="P168" t="str">
        <x:v>Válida</x:v>
      </x:c>
    </x:row>
    <x:row r="169">
      <x:c r="A169" s="48" t="n">
        <x:v>45944</x:v>
      </x:c>
      <x:c r="B169" t="n">
        <x:v>2</x:v>
      </x:c>
      <x:c r="C169" t="str">
        <x:v>I2</x:v>
      </x:c>
      <x:c r="D169" t="n">
        <x:v>2</x:v>
      </x:c>
      <x:c r="E169" s="50" t="n">
        <x:v>3.5</x:v>
      </x:c>
      <x:c r="F169" s="50" t="n">
        <x:v>-210.37</x:v>
      </x:c>
      <x:c r="G169" s="50" t="n">
        <x:v>218.92</x:v>
      </x:c>
      <x:c r="H169" s="50" t="n">
        <x:v>-81.21</x:v>
      </x:c>
      <x:c r="I169" s="50" t="n">
        <x:v>75.13</x:v>
      </x:c>
      <x:c r="J169" s="50" t="n">
        <x:v>0.39</x:v>
      </x:c>
      <x:c r="K169" s="50" t="n">
        <x:v>-0.29</x:v>
      </x:c>
      <x:c r="L169" s="50" t="n">
        <x:v>0.49</x:v>
      </x:c>
      <x:c r="M169" s="50" t="n">
        <x:v>-0.73</x:v>
      </x:c>
      <x:c r="N169" t="str">
        <x:v>RELATÓRIO LEITURAS INCLINOMÉTRICAS - Empreitada THE EDEN, Estoril_ R05_03-11-25.pdf</x:v>
      </x:c>
      <x:c r="O169" t="n">
        <x:v>18</x:v>
      </x:c>
      <x:c r="P169" t="str">
        <x:v>Válida</x:v>
      </x:c>
    </x:row>
    <x:row r="170">
      <x:c r="A170" s="48" t="n">
        <x:v>45944</x:v>
      </x:c>
      <x:c r="B170" t="n">
        <x:v>2</x:v>
      </x:c>
      <x:c r="C170" t="str">
        <x:v>I2</x:v>
      </x:c>
      <x:c r="D170" t="n">
        <x:v>2</x:v>
      </x:c>
      <x:c r="E170" s="50" t="n">
        <x:v>4</x:v>
      </x:c>
      <x:c r="F170" s="50" t="n">
        <x:v>-153.54</x:v>
      </x:c>
      <x:c r="G170" s="50" t="n">
        <x:v>164.78</x:v>
      </x:c>
      <x:c r="H170" s="50" t="n">
        <x:v>-66.71</x:v>
      </x:c>
      <x:c r="I170" s="50" t="n">
        <x:v>62.51</x:v>
      </x:c>
      <x:c r="J170" s="50" t="n">
        <x:v>0.41</x:v>
      </x:c>
      <x:c r="K170" s="50" t="n">
        <x:v>-0.08</x:v>
      </x:c>
      <x:c r="L170" s="50" t="n">
        <x:v>0.42</x:v>
      </x:c>
      <x:c r="M170" s="50" t="n">
        <x:v>-0.93</x:v>
      </x:c>
      <x:c r="N170" t="str">
        <x:v>RELATÓRIO LEITURAS INCLINOMÉTRICAS - Empreitada THE EDEN, Estoril_ R05_03-11-25.pdf</x:v>
      </x:c>
      <x:c r="O170" t="n">
        <x:v>18</x:v>
      </x:c>
      <x:c r="P170" t="str">
        <x:v>Válida</x:v>
      </x:c>
    </x:row>
    <x:row r="171">
      <x:c r="A171" s="48" t="n">
        <x:v>45944</x:v>
      </x:c>
      <x:c r="B171" t="n">
        <x:v>2</x:v>
      </x:c>
      <x:c r="C171" t="str">
        <x:v>I2</x:v>
      </x:c>
      <x:c r="D171" t="n">
        <x:v>2</x:v>
      </x:c>
      <x:c r="E171" s="50" t="n">
        <x:v>4.5</x:v>
      </x:c>
      <x:c r="F171" s="50" t="n">
        <x:v>-106.17</x:v>
      </x:c>
      <x:c r="G171" s="50" t="n">
        <x:v>114.43</x:v>
      </x:c>
      <x:c r="H171" s="50" t="n">
        <x:v>-115.64</x:v>
      </x:c>
      <x:c r="I171" s="50" t="n">
        <x:v>116.32</x:v>
      </x:c>
      <x:c r="J171" s="50" t="n">
        <x:v>0.42</x:v>
      </x:c>
      <x:c r="K171" s="50" t="n">
        <x:v>-0.02</x:v>
      </x:c>
      <x:c r="L171" s="50" t="n">
        <x:v>0.42</x:v>
      </x:c>
      <x:c r="M171" s="50" t="n">
        <x:v>-0.92</x:v>
      </x:c>
      <x:c r="N171" t="str">
        <x:v>RELATÓRIO LEITURAS INCLINOMÉTRICAS - Empreitada THE EDEN, Estoril_ R05_03-11-25.pdf</x:v>
      </x:c>
      <x:c r="O171" t="n">
        <x:v>18</x:v>
      </x:c>
      <x:c r="P171" t="str">
        <x:v>Válida</x:v>
      </x:c>
    </x:row>
    <x:row r="172">
      <x:c r="A172" s="48" t="n">
        <x:v>45944</x:v>
      </x:c>
      <x:c r="B172" t="n">
        <x:v>2</x:v>
      </x:c>
      <x:c r="C172" t="str">
        <x:v>I2</x:v>
      </x:c>
      <x:c r="D172" t="n">
        <x:v>2</x:v>
      </x:c>
      <x:c r="E172" s="50" t="n">
        <x:v>5</x:v>
      </x:c>
      <x:c r="F172" s="50" t="n">
        <x:v>-35.35</x:v>
      </x:c>
      <x:c r="G172" s="50" t="n">
        <x:v>42.88</x:v>
      </x:c>
      <x:c r="H172" s="50" t="n">
        <x:v>-149.48</x:v>
      </x:c>
      <x:c r="I172" s="50" t="n">
        <x:v>146.67</x:v>
      </x:c>
      <x:c r="J172" s="50" t="n">
        <x:v>0.41</x:v>
      </x:c>
      <x:c r="K172" s="50" t="n">
        <x:v>0</x:v>
      </x:c>
      <x:c r="L172" s="50" t="n">
        <x:v>0.41</x:v>
      </x:c>
      <x:c r="M172" s="50" t="n">
        <x:v>-0.91</x:v>
      </x:c>
      <x:c r="N172" t="str">
        <x:v>RELATÓRIO LEITURAS INCLINOMÉTRICAS - Empreitada THE EDEN, Estoril_ R05_03-11-25.pdf</x:v>
      </x:c>
      <x:c r="O172" t="n">
        <x:v>18</x:v>
      </x:c>
      <x:c r="P172" t="str">
        <x:v>Válida</x:v>
      </x:c>
    </x:row>
    <x:row r="173">
      <x:c r="A173" s="48" t="n">
        <x:v>45944</x:v>
      </x:c>
      <x:c r="B173" t="n">
        <x:v>2</x:v>
      </x:c>
      <x:c r="C173" t="str">
        <x:v>I2</x:v>
      </x:c>
      <x:c r="D173" t="n">
        <x:v>2</x:v>
      </x:c>
      <x:c r="E173" s="50" t="n">
        <x:v>5.5</x:v>
      </x:c>
      <x:c r="F173" s="50" t="n">
        <x:v>32.45</x:v>
      </x:c>
      <x:c r="G173" s="50" t="n">
        <x:v>-23.19</x:v>
      </x:c>
      <x:c r="H173" s="50" t="n">
        <x:v>-152.93</x:v>
      </x:c>
      <x:c r="I173" s="50" t="n">
        <x:v>144.48</x:v>
      </x:c>
      <x:c r="J173" s="50" t="n">
        <x:v>0.41</x:v>
      </x:c>
      <x:c r="K173" s="50" t="n">
        <x:v>0.1</x:v>
      </x:c>
      <x:c r="L173" s="50" t="n">
        <x:v>0.42</x:v>
      </x:c>
      <x:c r="M173" s="50" t="n">
        <x:v>-1.02</x:v>
      </x:c>
      <x:c r="N173" t="str">
        <x:v>RELATÓRIO LEITURAS INCLINOMÉTRICAS - Empreitada THE EDEN, Estoril_ R05_03-11-25.pdf</x:v>
      </x:c>
      <x:c r="O173" t="n">
        <x:v>18</x:v>
      </x:c>
      <x:c r="P173" t="str">
        <x:v>Válida</x:v>
      </x:c>
    </x:row>
    <x:row r="174">
      <x:c r="A174" s="48" t="n">
        <x:v>45944</x:v>
      </x:c>
      <x:c r="B174" t="n">
        <x:v>2</x:v>
      </x:c>
      <x:c r="C174" t="str">
        <x:v>I2</x:v>
      </x:c>
      <x:c r="D174" t="n">
        <x:v>2</x:v>
      </x:c>
      <x:c r="E174" s="50" t="n">
        <x:v>6</x:v>
      </x:c>
      <x:c r="F174" s="50" t="n">
        <x:v>69.84</x:v>
      </x:c>
      <x:c r="G174" s="50" t="n">
        <x:v>-61.28</x:v>
      </x:c>
      <x:c r="H174" s="50" t="n">
        <x:v>-185.79</x:v>
      </x:c>
      <x:c r="I174" s="50" t="n">
        <x:v>186.88</x:v>
      </x:c>
      <x:c r="J174" s="50" t="n">
        <x:v>0.42</x:v>
      </x:c>
      <x:c r="K174" s="50" t="n">
        <x:v>0.07</x:v>
      </x:c>
      <x:c r="L174" s="50" t="n">
        <x:v>0.43</x:v>
      </x:c>
      <x:c r="M174" s="50" t="n">
        <x:v>-0.95</x:v>
      </x:c>
      <x:c r="N174" t="str">
        <x:v>RELATÓRIO LEITURAS INCLINOMÉTRICAS - Empreitada THE EDEN, Estoril_ R05_03-11-25.pdf</x:v>
      </x:c>
      <x:c r="O174" t="n">
        <x:v>18</x:v>
      </x:c>
      <x:c r="P174" t="str">
        <x:v>Válida</x:v>
      </x:c>
    </x:row>
    <x:row r="175">
      <x:c r="A175" s="48" t="n">
        <x:v>45944</x:v>
      </x:c>
      <x:c r="B175" t="n">
        <x:v>2</x:v>
      </x:c>
      <x:c r="C175" t="str">
        <x:v>I2</x:v>
      </x:c>
      <x:c r="D175" t="n">
        <x:v>2</x:v>
      </x:c>
      <x:c r="E175" s="50" t="n">
        <x:v>6.5</x:v>
      </x:c>
      <x:c r="F175" s="50" t="n">
        <x:v>172.72</x:v>
      </x:c>
      <x:c r="G175" s="50" t="n">
        <x:v>-163.29</x:v>
      </x:c>
      <x:c r="H175" s="50" t="n">
        <x:v>-179.33</x:v>
      </x:c>
      <x:c r="I175" s="50" t="n">
        <x:v>184.51</x:v>
      </x:c>
      <x:c r="J175" s="50" t="n">
        <x:v>0.42</x:v>
      </x:c>
      <x:c r="K175" s="50" t="n">
        <x:v>0.1</x:v>
      </x:c>
      <x:c r="L175" s="50" t="n">
        <x:v>0.43</x:v>
      </x:c>
      <x:c r="M175" s="50" t="n">
        <x:v>-1.14</x:v>
      </x:c>
      <x:c r="N175" t="str">
        <x:v>RELATÓRIO LEITURAS INCLINOMÉTRICAS - Empreitada THE EDEN, Estoril_ R05_03-11-25.pdf</x:v>
      </x:c>
      <x:c r="O175" t="n">
        <x:v>18</x:v>
      </x:c>
      <x:c r="P175" t="str">
        <x:v>Válida</x:v>
      </x:c>
    </x:row>
    <x:row r="176">
      <x:c r="A176" s="48" t="n">
        <x:v>45944</x:v>
      </x:c>
      <x:c r="B176" t="n">
        <x:v>2</x:v>
      </x:c>
      <x:c r="C176" t="str">
        <x:v>I2</x:v>
      </x:c>
      <x:c r="D176" t="n">
        <x:v>2</x:v>
      </x:c>
      <x:c r="E176" s="50" t="n">
        <x:v>7</x:v>
      </x:c>
      <x:c r="F176" s="50" t="n">
        <x:v>278.43</x:v>
      </x:c>
      <x:c r="G176" s="50" t="n">
        <x:v>-270.61</x:v>
      </x:c>
      <x:c r="H176" s="50" t="n">
        <x:v>-181.1</x:v>
      </x:c>
      <x:c r="I176" s="50" t="n">
        <x:v>182.24</x:v>
      </x:c>
      <x:c r="J176" s="50" t="n">
        <x:v>0.4</x:v>
      </x:c>
      <x:c r="K176" s="50" t="n">
        <x:v>0.12</x:v>
      </x:c>
      <x:c r="L176" s="50" t="n">
        <x:v>0.42</x:v>
      </x:c>
      <x:c r="M176" s="50" t="n">
        <x:v>-1.16</x:v>
      </x:c>
      <x:c r="N176" t="str">
        <x:v>RELATÓRIO LEITURAS INCLINOMÉTRICAS - Empreitada THE EDEN, Estoril_ R05_03-11-25.pdf</x:v>
      </x:c>
      <x:c r="O176" t="n">
        <x:v>18</x:v>
      </x:c>
      <x:c r="P176" t="str">
        <x:v>Válida</x:v>
      </x:c>
    </x:row>
    <x:row r="177">
      <x:c r="A177" s="48" t="n">
        <x:v>45944</x:v>
      </x:c>
      <x:c r="B177" t="n">
        <x:v>2</x:v>
      </x:c>
      <x:c r="C177" t="str">
        <x:v>I2</x:v>
      </x:c>
      <x:c r="D177" t="n">
        <x:v>2</x:v>
      </x:c>
      <x:c r="E177" s="50" t="n">
        <x:v>7.5</x:v>
      </x:c>
      <x:c r="F177" s="50" t="n">
        <x:v>298.89</x:v>
      </x:c>
      <x:c r="G177" s="50" t="n">
        <x:v>-282.81</x:v>
      </x:c>
      <x:c r="H177" s="50" t="n">
        <x:v>-169.79</x:v>
      </x:c>
      <x:c r="I177" s="50" t="n">
        <x:v>159.15</x:v>
      </x:c>
      <x:c r="J177" s="50" t="n">
        <x:v>0.4</x:v>
      </x:c>
      <x:c r="K177" s="50" t="n">
        <x:v>0.26</x:v>
      </x:c>
      <x:c r="L177" s="50" t="n">
        <x:v>0.47</x:v>
      </x:c>
      <x:c r="M177" s="50" t="n">
        <x:v>-1.19</x:v>
      </x:c>
      <x:c r="N177" t="str">
        <x:v>RELATÓRIO LEITURAS INCLINOMÉTRICAS - Empreitada THE EDEN, Estoril_ R05_03-11-25.pdf</x:v>
      </x:c>
      <x:c r="O177" t="n">
        <x:v>18</x:v>
      </x:c>
      <x:c r="P177" t="str">
        <x:v>Válida</x:v>
      </x:c>
    </x:row>
    <x:row r="178">
      <x:c r="A178" s="48" t="n">
        <x:v>45944</x:v>
      </x:c>
      <x:c r="B178" t="n">
        <x:v>2</x:v>
      </x:c>
      <x:c r="C178" t="str">
        <x:v>I2</x:v>
      </x:c>
      <x:c r="D178" t="n">
        <x:v>2</x:v>
      </x:c>
      <x:c r="E178" s="50" t="n">
        <x:v>8</x:v>
      </x:c>
      <x:c r="F178" s="50" t="n">
        <x:v>265.94</x:v>
      </x:c>
      <x:c r="G178" s="50" t="n">
        <x:v>-261.68</x:v>
      </x:c>
      <x:c r="H178" s="50" t="n">
        <x:v>-74.13</x:v>
      </x:c>
      <x:c r="I178" s="50" t="n">
        <x:v>80.74</x:v>
      </x:c>
      <x:c r="J178" s="50" t="n">
        <x:v>0.38</x:v>
      </x:c>
      <x:c r="K178" s="50" t="n">
        <x:v>0.25</x:v>
      </x:c>
      <x:c r="L178" s="50" t="n">
        <x:v>0.46</x:v>
      </x:c>
      <x:c r="M178" s="50" t="n">
        <x:v>-1.04</x:v>
      </x:c>
      <x:c r="N178" t="str">
        <x:v>RELATÓRIO LEITURAS INCLINOMÉTRICAS - Empreitada THE EDEN, Estoril_ R05_03-11-25.pdf</x:v>
      </x:c>
      <x:c r="O178" t="n">
        <x:v>18</x:v>
      </x:c>
      <x:c r="P178" t="str">
        <x:v>Válida</x:v>
      </x:c>
    </x:row>
    <x:row r="179">
      <x:c r="A179" s="48" t="n">
        <x:v>45944</x:v>
      </x:c>
      <x:c r="B179" t="n">
        <x:v>2</x:v>
      </x:c>
      <x:c r="C179" t="str">
        <x:v>I2</x:v>
      </x:c>
      <x:c r="D179" t="n">
        <x:v>2</x:v>
      </x:c>
      <x:c r="E179" s="50" t="n">
        <x:v>8.5</x:v>
      </x:c>
      <x:c r="F179" s="50" t="n">
        <x:v>332.83</x:v>
      </x:c>
      <x:c r="G179" s="50" t="n">
        <x:v>-321.49</x:v>
      </x:c>
      <x:c r="H179" s="50" t="n">
        <x:v>-9.12</x:v>
      </x:c>
      <x:c r="I179" s="50" t="n">
        <x:v>5.2</x:v>
      </x:c>
      <x:c r="J179" s="50" t="n">
        <x:v>0.35</x:v>
      </x:c>
      <x:c r="K179" s="50" t="n">
        <x:v>0.09</x:v>
      </x:c>
      <x:c r="L179" s="50" t="n">
        <x:v>0.37</x:v>
      </x:c>
      <x:c r="M179" s="50" t="n">
        <x:v>-1.01</x:v>
      </x:c>
      <x:c r="N179" t="str">
        <x:v>RELATÓRIO LEITURAS INCLINOMÉTRICAS - Empreitada THE EDEN, Estoril_ R05_03-11-25.pdf</x:v>
      </x:c>
      <x:c r="O179" t="n">
        <x:v>18</x:v>
      </x:c>
      <x:c r="P179" t="str">
        <x:v>Válida</x:v>
      </x:c>
    </x:row>
    <x:row r="180">
      <x:c r="A180" s="48" t="n">
        <x:v>45944</x:v>
      </x:c>
      <x:c r="B180" t="n">
        <x:v>2</x:v>
      </x:c>
      <x:c r="C180" t="str">
        <x:v>I2</x:v>
      </x:c>
      <x:c r="D180" t="n">
        <x:v>2</x:v>
      </x:c>
      <x:c r="E180" s="50" t="n">
        <x:v>9</x:v>
      </x:c>
      <x:c r="F180" s="50" t="n">
        <x:v>313.59</x:v>
      </x:c>
      <x:c r="G180" s="50" t="n">
        <x:v>-306.07</x:v>
      </x:c>
      <x:c r="H180" s="50" t="n">
        <x:v>54.73</x:v>
      </x:c>
      <x:c r="I180" s="50" t="n">
        <x:v>-56.57</x:v>
      </x:c>
      <x:c r="J180" s="50" t="n">
        <x:v>0.27</x:v>
      </x:c>
      <x:c r="K180" s="50" t="n">
        <x:v>0.03</x:v>
      </x:c>
      <x:c r="L180" s="50" t="n">
        <x:v>0.27</x:v>
      </x:c>
      <x:c r="M180" s="50" t="n">
        <x:v>-1.1</x:v>
      </x:c>
      <x:c r="N180" t="str">
        <x:v>RELATÓRIO LEITURAS INCLINOMÉTRICAS - Empreitada THE EDEN, Estoril_ R05_03-11-25.pdf</x:v>
      </x:c>
      <x:c r="O180" t="n">
        <x:v>18</x:v>
      </x:c>
      <x:c r="P180" t="str">
        <x:v>Válida</x:v>
      </x:c>
    </x:row>
    <x:row r="181">
      <x:c r="A181" s="48" t="n">
        <x:v>45944</x:v>
      </x:c>
      <x:c r="B181" t="n">
        <x:v>2</x:v>
      </x:c>
      <x:c r="C181" t="str">
        <x:v>I2</x:v>
      </x:c>
      <x:c r="D181" t="n">
        <x:v>2</x:v>
      </x:c>
      <x:c r="E181" s="50" t="n">
        <x:v>9.5</x:v>
      </x:c>
      <x:c r="F181" s="50" t="n">
        <x:v>200.87</x:v>
      </x:c>
      <x:c r="G181" s="50" t="n">
        <x:v>-193.43</x:v>
      </x:c>
      <x:c r="H181" s="50" t="n">
        <x:v>110.17</x:v>
      </x:c>
      <x:c r="I181" s="50" t="n">
        <x:v>-122.13</x:v>
      </x:c>
      <x:c r="J181" s="50" t="n">
        <x:v>0.23</x:v>
      </x:c>
      <x:c r="K181" s="50" t="n">
        <x:v>0.03</x:v>
      </x:c>
      <x:c r="L181" s="50" t="n">
        <x:v>0.23</x:v>
      </x:c>
      <x:c r="M181" s="50" t="n">
        <x:v>-1.15</x:v>
      </x:c>
      <x:c r="N181" t="str">
        <x:v>RELATÓRIO LEITURAS INCLINOMÉTRICAS - Empreitada THE EDEN, Estoril_ R05_03-11-25.pdf</x:v>
      </x:c>
      <x:c r="O181" t="n">
        <x:v>18</x:v>
      </x:c>
      <x:c r="P181" t="str">
        <x:v>Válida</x:v>
      </x:c>
    </x:row>
    <x:row r="182">
      <x:c r="A182" s="48" t="n">
        <x:v>45944</x:v>
      </x:c>
      <x:c r="B182" t="n">
        <x:v>2</x:v>
      </x:c>
      <x:c r="C182" t="str">
        <x:v>I2</x:v>
      </x:c>
      <x:c r="D182" t="n">
        <x:v>2</x:v>
      </x:c>
      <x:c r="E182" s="50" t="n">
        <x:v>10</x:v>
      </x:c>
      <x:c r="F182" s="50" t="n">
        <x:v>62.9</x:v>
      </x:c>
      <x:c r="G182" s="50" t="n">
        <x:v>-46.51</x:v>
      </x:c>
      <x:c r="H182" s="50" t="n">
        <x:v>154.8</x:v>
      </x:c>
      <x:c r="I182" s="50" t="n">
        <x:v>-152.44</x:v>
      </x:c>
      <x:c r="J182" s="50" t="n">
        <x:v>0.23</x:v>
      </x:c>
      <x:c r="K182" s="50" t="n">
        <x:v>-0.01</x:v>
      </x:c>
      <x:c r="L182" s="50" t="n">
        <x:v>0.23</x:v>
      </x:c>
      <x:c r="M182" s="50" t="n">
        <x:v>-1.1</x:v>
      </x:c>
      <x:c r="N182" t="str">
        <x:v>RELATÓRIO LEITURAS INCLINOMÉTRICAS - Empreitada THE EDEN, Estoril_ R05_03-11-25.pdf</x:v>
      </x:c>
      <x:c r="O182" t="n">
        <x:v>18</x:v>
      </x:c>
      <x:c r="P182" t="str">
        <x:v>Válida</x:v>
      </x:c>
    </x:row>
    <x:row r="183">
      <x:c r="A183" s="48" t="n">
        <x:v>45944</x:v>
      </x:c>
      <x:c r="B183" t="n">
        <x:v>2</x:v>
      </x:c>
      <x:c r="C183" t="str">
        <x:v>I2</x:v>
      </x:c>
      <x:c r="D183" t="n">
        <x:v>2</x:v>
      </x:c>
      <x:c r="E183" s="50" t="n">
        <x:v>10.5</x:v>
      </x:c>
      <x:c r="F183" s="50" t="n">
        <x:v>80.29</x:v>
      </x:c>
      <x:c r="G183" s="50" t="n">
        <x:v>-74.03</x:v>
      </x:c>
      <x:c r="H183" s="50" t="n">
        <x:v>74.76</x:v>
      </x:c>
      <x:c r="I183" s="50" t="n">
        <x:v>-78.2</x:v>
      </x:c>
      <x:c r="J183" s="50" t="n">
        <x:v>0.24</x:v>
      </x:c>
      <x:c r="K183" s="50" t="n">
        <x:v>-0.07</x:v>
      </x:c>
      <x:c r="L183" s="50" t="n">
        <x:v>0.24</x:v>
      </x:c>
      <x:c r="M183" s="50" t="n">
        <x:v>-1.03</x:v>
      </x:c>
      <x:c r="N183" t="str">
        <x:v>RELATÓRIO LEITURAS INCLINOMÉTRICAS - Empreitada THE EDEN, Estoril_ R05_03-11-25.pdf</x:v>
      </x:c>
      <x:c r="O183" t="n">
        <x:v>18</x:v>
      </x:c>
      <x:c r="P183" t="str">
        <x:v>Válida</x:v>
      </x:c>
    </x:row>
    <x:row r="184">
      <x:c r="A184" s="48" t="n">
        <x:v>45944</x:v>
      </x:c>
      <x:c r="B184" t="n">
        <x:v>2</x:v>
      </x:c>
      <x:c r="C184" t="str">
        <x:v>I2</x:v>
      </x:c>
      <x:c r="D184" t="n">
        <x:v>2</x:v>
      </x:c>
      <x:c r="E184" s="50" t="n">
        <x:v>11</x:v>
      </x:c>
      <x:c r="F184" s="50" t="n">
        <x:v>13.33</x:v>
      </x:c>
      <x:c r="G184" s="50" t="n">
        <x:v>-4.41</x:v>
      </x:c>
      <x:c r="H184" s="50" t="n">
        <x:v>34.26</x:v>
      </x:c>
      <x:c r="I184" s="50" t="n">
        <x:v>-39.33</x:v>
      </x:c>
      <x:c r="J184" s="50" t="n">
        <x:v>0.26</x:v>
      </x:c>
      <x:c r="K184" s="50" t="n">
        <x:v>-0.12</x:v>
      </x:c>
      <x:c r="L184" s="50" t="n">
        <x:v>0.28</x:v>
      </x:c>
      <x:c r="M184" s="50" t="n">
        <x:v>-0.93</x:v>
      </x:c>
      <x:c r="N184" t="str">
        <x:v>RELATÓRIO LEITURAS INCLINOMÉTRICAS - Empreitada THE EDEN, Estoril_ R05_03-11-25.pdf</x:v>
      </x:c>
      <x:c r="O184" t="n">
        <x:v>18</x:v>
      </x:c>
      <x:c r="P184" t="str">
        <x:v>Válida</x:v>
      </x:c>
    </x:row>
    <x:row r="185">
      <x:c r="A185" s="48" t="n">
        <x:v>45944</x:v>
      </x:c>
      <x:c r="B185" t="n">
        <x:v>2</x:v>
      </x:c>
      <x:c r="C185" t="str">
        <x:v>I2</x:v>
      </x:c>
      <x:c r="D185" t="n">
        <x:v>2</x:v>
      </x:c>
      <x:c r="E185" s="50" t="n">
        <x:v>11.5</x:v>
      </x:c>
      <x:c r="F185" s="50" t="n">
        <x:v>-60.81</x:v>
      </x:c>
      <x:c r="G185" s="50" t="n">
        <x:v>64.59</x:v>
      </x:c>
      <x:c r="H185" s="50" t="n">
        <x:v>6.52</x:v>
      </x:c>
      <x:c r="I185" s="50" t="n">
        <x:v>-3.57</x:v>
      </x:c>
      <x:c r="J185" s="50" t="n">
        <x:v>0.26</x:v>
      </x:c>
      <x:c r="K185" s="50" t="n">
        <x:v>-0.19</x:v>
      </x:c>
      <x:c r="L185" s="50" t="n">
        <x:v>0.32</x:v>
      </x:c>
      <x:c r="M185" s="50" t="n">
        <x:v>-0.68</x:v>
      </x:c>
      <x:c r="N185" t="str">
        <x:v>RELATÓRIO LEITURAS INCLINOMÉTRICAS - Empreitada THE EDEN, Estoril_ R05_03-11-25.pdf</x:v>
      </x:c>
      <x:c r="O185" t="n">
        <x:v>18</x:v>
      </x:c>
      <x:c r="P185" t="str">
        <x:v>Válida</x:v>
      </x:c>
    </x:row>
    <x:row r="186">
      <x:c r="A186" s="48" t="n">
        <x:v>45944</x:v>
      </x:c>
      <x:c r="B186" t="n">
        <x:v>2</x:v>
      </x:c>
      <x:c r="C186" t="str">
        <x:v>I2</x:v>
      </x:c>
      <x:c r="D186" t="n">
        <x:v>2</x:v>
      </x:c>
      <x:c r="E186" s="50" t="n">
        <x:v>12</x:v>
      </x:c>
      <x:c r="F186" s="50" t="n">
        <x:v>-73</x:v>
      </x:c>
      <x:c r="G186" s="50" t="n">
        <x:v>84.7</x:v>
      </x:c>
      <x:c r="H186" s="50" t="n">
        <x:v>16.88</x:v>
      </x:c>
      <x:c r="I186" s="50" t="n">
        <x:v>-10.58</x:v>
      </x:c>
      <x:c r="J186" s="50" t="n">
        <x:v>0.27</x:v>
      </x:c>
      <x:c r="K186" s="50" t="n">
        <x:v>-0.21</x:v>
      </x:c>
      <x:c r="L186" s="50" t="n">
        <x:v>0.34</x:v>
      </x:c>
      <x:c r="M186" s="50" t="n">
        <x:v>-0.72</x:v>
      </x:c>
      <x:c r="N186" t="str">
        <x:v>RELATÓRIO LEITURAS INCLINOMÉTRICAS - Empreitada THE EDEN, Estoril_ R05_03-11-25.pdf</x:v>
      </x:c>
      <x:c r="O186" t="n">
        <x:v>18</x:v>
      </x:c>
      <x:c r="P186" t="str">
        <x:v>Válida</x:v>
      </x:c>
    </x:row>
    <x:row r="187">
      <x:c r="A187" s="48" t="n">
        <x:v>45944</x:v>
      </x:c>
      <x:c r="B187" t="n">
        <x:v>2</x:v>
      </x:c>
      <x:c r="C187" t="str">
        <x:v>I2</x:v>
      </x:c>
      <x:c r="D187" t="n">
        <x:v>2</x:v>
      </x:c>
      <x:c r="E187" s="50" t="n">
        <x:v>12.5</x:v>
      </x:c>
      <x:c r="F187" s="50" t="n">
        <x:v>-36.11</x:v>
      </x:c>
      <x:c r="G187" s="50" t="n">
        <x:v>45.12</x:v>
      </x:c>
      <x:c r="H187" s="50" t="n">
        <x:v>12.74</x:v>
      </x:c>
      <x:c r="I187" s="50" t="n">
        <x:v>-21.88</x:v>
      </x:c>
      <x:c r="J187" s="50" t="n">
        <x:v>0.27</x:v>
      </x:c>
      <x:c r="K187" s="50" t="n">
        <x:v>-0.26</x:v>
      </x:c>
      <x:c r="L187" s="50" t="n">
        <x:v>0.38</x:v>
      </x:c>
      <x:c r="M187" s="50" t="n">
        <x:v>-0.68</x:v>
      </x:c>
      <x:c r="N187" t="str">
        <x:v>RELATÓRIO LEITURAS INCLINOMÉTRICAS - Empreitada THE EDEN, Estoril_ R05_03-11-25.pdf</x:v>
      </x:c>
      <x:c r="O187" t="n">
        <x:v>18</x:v>
      </x:c>
      <x:c r="P187" t="str">
        <x:v>Válida</x:v>
      </x:c>
    </x:row>
    <x:row r="188">
      <x:c r="A188" s="48" t="n">
        <x:v>45944</x:v>
      </x:c>
      <x:c r="B188" t="n">
        <x:v>2</x:v>
      </x:c>
      <x:c r="C188" t="str">
        <x:v>I2</x:v>
      </x:c>
      <x:c r="D188" t="n">
        <x:v>2</x:v>
      </x:c>
      <x:c r="E188" s="50" t="n">
        <x:v>13</x:v>
      </x:c>
      <x:c r="F188" s="50" t="n">
        <x:v>-95.62</x:v>
      </x:c>
      <x:c r="G188" s="50" t="n">
        <x:v>102.27</x:v>
      </x:c>
      <x:c r="H188" s="50" t="n">
        <x:v>-38.03</x:v>
      </x:c>
      <x:c r="I188" s="50" t="n">
        <x:v>36.16</x:v>
      </x:c>
      <x:c r="J188" s="50" t="n">
        <x:v>0.29</x:v>
      </x:c>
      <x:c r="K188" s="50" t="n">
        <x:v>-0.17</x:v>
      </x:c>
      <x:c r="L188" s="50" t="n">
        <x:v>0.34</x:v>
      </x:c>
      <x:c r="M188" s="50" t="n">
        <x:v>-0.78</x:v>
      </x:c>
      <x:c r="N188" t="str">
        <x:v>RELATÓRIO LEITURAS INCLINOMÉTRICAS - Empreitada THE EDEN, Estoril_ R05_03-11-25.pdf</x:v>
      </x:c>
      <x:c r="O188" t="n">
        <x:v>18</x:v>
      </x:c>
      <x:c r="P188" t="str">
        <x:v>Válida</x:v>
      </x:c>
    </x:row>
    <x:row r="189">
      <x:c r="A189" s="48" t="n">
        <x:v>45944</x:v>
      </x:c>
      <x:c r="B189" t="n">
        <x:v>2</x:v>
      </x:c>
      <x:c r="C189" t="str">
        <x:v>I2</x:v>
      </x:c>
      <x:c r="D189" t="n">
        <x:v>2</x:v>
      </x:c>
      <x:c r="E189" s="50" t="n">
        <x:v>13.5</x:v>
      </x:c>
      <x:c r="F189" s="50" t="n">
        <x:v>-262.38</x:v>
      </x:c>
      <x:c r="G189" s="50" t="n">
        <x:v>272.07</x:v>
      </x:c>
      <x:c r="H189" s="50" t="n">
        <x:v>-178.43</x:v>
      </x:c>
      <x:c r="I189" s="50" t="n">
        <x:v>184.26</x:v>
      </x:c>
      <x:c r="J189" s="50" t="n">
        <x:v>0.31</x:v>
      </x:c>
      <x:c r="K189" s="50" t="n">
        <x:v>-0.14</x:v>
      </x:c>
      <x:c r="L189" s="50" t="n">
        <x:v>0.34</x:v>
      </x:c>
      <x:c r="M189" s="50" t="n">
        <x:v>-0.79</x:v>
      </x:c>
      <x:c r="N189" t="str">
        <x:v>RELATÓRIO LEITURAS INCLINOMÉTRICAS - Empreitada THE EDEN, Estoril_ R05_03-11-25.pdf</x:v>
      </x:c>
      <x:c r="O189" t="n">
        <x:v>18</x:v>
      </x:c>
      <x:c r="P189" t="str">
        <x:v>Válida</x:v>
      </x:c>
    </x:row>
    <x:row r="190">
      <x:c r="A190" s="48" t="n">
        <x:v>45944</x:v>
      </x:c>
      <x:c r="B190" t="n">
        <x:v>2</x:v>
      </x:c>
      <x:c r="C190" t="str">
        <x:v>I2</x:v>
      </x:c>
      <x:c r="D190" t="n">
        <x:v>2</x:v>
      </x:c>
      <x:c r="E190" s="50" t="n">
        <x:v>14</x:v>
      </x:c>
      <x:c r="F190" s="50" t="n">
        <x:v>-293.78</x:v>
      </x:c>
      <x:c r="G190" s="50" t="n">
        <x:v>301.88</x:v>
      </x:c>
      <x:c r="H190" s="50" t="n">
        <x:v>-301.13</x:v>
      </x:c>
      <x:c r="I190" s="50" t="n">
        <x:v>305.41</x:v>
      </x:c>
      <x:c r="J190" s="50" t="n">
        <x:v>0.32</x:v>
      </x:c>
      <x:c r="K190" s="50" t="n">
        <x:v>-0.18</x:v>
      </x:c>
      <x:c r="L190" s="50" t="n">
        <x:v>0.37</x:v>
      </x:c>
      <x:c r="M190" s="50" t="n">
        <x:v>-0.73</x:v>
      </x:c>
      <x:c r="N190" t="str">
        <x:v>RELATÓRIO LEITURAS INCLINOMÉTRICAS - Empreitada THE EDEN, Estoril_ R05_03-11-25.pdf</x:v>
      </x:c>
      <x:c r="O190" t="n">
        <x:v>18</x:v>
      </x:c>
      <x:c r="P190" t="str">
        <x:v>Válida</x:v>
      </x:c>
    </x:row>
    <x:row r="191">
      <x:c r="A191" s="48" t="n">
        <x:v>45944</x:v>
      </x:c>
      <x:c r="B191" t="n">
        <x:v>2</x:v>
      </x:c>
      <x:c r="C191" t="str">
        <x:v>I2</x:v>
      </x:c>
      <x:c r="D191" t="n">
        <x:v>2</x:v>
      </x:c>
      <x:c r="E191" s="50" t="n">
        <x:v>14.5</x:v>
      </x:c>
      <x:c r="F191" s="50" t="n">
        <x:v>-259.05</x:v>
      </x:c>
      <x:c r="G191" s="50" t="n">
        <x:v>267.84</x:v>
      </x:c>
      <x:c r="H191" s="50" t="n">
        <x:v>-254.83</x:v>
      </x:c>
      <x:c r="I191" s="50" t="n">
        <x:v>260.9</x:v>
      </x:c>
      <x:c r="J191" s="50" t="n">
        <x:v>0.32</x:v>
      </x:c>
      <x:c r="K191" s="50" t="n">
        <x:v>-0.17</x:v>
      </x:c>
      <x:c r="L191" s="50" t="n">
        <x:v>0.36</x:v>
      </x:c>
      <x:c r="M191" s="50" t="n">
        <x:v>-0.68</x:v>
      </x:c>
      <x:c r="N191" t="str">
        <x:v>RELATÓRIO LEITURAS INCLINOMÉTRICAS - Empreitada THE EDEN, Estoril_ R05_03-11-25.pdf</x:v>
      </x:c>
      <x:c r="O191" t="n">
        <x:v>18</x:v>
      </x:c>
      <x:c r="P191" t="str">
        <x:v>Válida</x:v>
      </x:c>
    </x:row>
    <x:row r="192">
      <x:c r="A192" s="48" t="n">
        <x:v>45944</x:v>
      </x:c>
      <x:c r="B192" t="n">
        <x:v>2</x:v>
      </x:c>
      <x:c r="C192" t="str">
        <x:v>I2</x:v>
      </x:c>
      <x:c r="D192" t="n">
        <x:v>2</x:v>
      </x:c>
      <x:c r="E192" s="50" t="n">
        <x:v>15</x:v>
      </x:c>
      <x:c r="F192" s="50" t="n">
        <x:v>-222.07</x:v>
      </x:c>
      <x:c r="G192" s="50" t="n">
        <x:v>233.47</x:v>
      </x:c>
      <x:c r="H192" s="50" t="n">
        <x:v>-205.22</x:v>
      </x:c>
      <x:c r="I192" s="50" t="n">
        <x:v>198.58</x:v>
      </x:c>
      <x:c r="J192" s="50" t="n">
        <x:v>0.3</x:v>
      </x:c>
      <x:c r="K192" s="50" t="n">
        <x:v>-0.17</x:v>
      </x:c>
      <x:c r="L192" s="50" t="n">
        <x:v>0.35</x:v>
      </x:c>
      <x:c r="M192" s="50" t="n">
        <x:v>-0.53</x:v>
      </x:c>
      <x:c r="N192" t="str">
        <x:v>RELATÓRIO LEITURAS INCLINOMÉTRICAS - Empreitada THE EDEN, Estoril_ R05_03-11-25.pdf</x:v>
      </x:c>
      <x:c r="O192" t="n">
        <x:v>18</x:v>
      </x:c>
      <x:c r="P192" t="str">
        <x:v>Válida</x:v>
      </x:c>
    </x:row>
    <x:row r="193">
      <x:c r="A193" s="48" t="n">
        <x:v>45944</x:v>
      </x:c>
      <x:c r="B193" t="n">
        <x:v>2</x:v>
      </x:c>
      <x:c r="C193" t="str">
        <x:v>I2</x:v>
      </x:c>
      <x:c r="D193" t="n">
        <x:v>2</x:v>
      </x:c>
      <x:c r="E193" s="50" t="n">
        <x:v>15.5</x:v>
      </x:c>
      <x:c r="F193" s="50" t="n">
        <x:v>-157.31</x:v>
      </x:c>
      <x:c r="G193" s="50" t="n">
        <x:v>163.68</x:v>
      </x:c>
      <x:c r="H193" s="50" t="n">
        <x:v>-189.38</x:v>
      </x:c>
      <x:c r="I193" s="50" t="n">
        <x:v>185.43</x:v>
      </x:c>
      <x:c r="J193" s="50" t="n">
        <x:v>0.29</x:v>
      </x:c>
      <x:c r="K193" s="50" t="n">
        <x:v>-0.18</x:v>
      </x:c>
      <x:c r="L193" s="50" t="n">
        <x:v>0.34</x:v>
      </x:c>
      <x:c r="M193" s="50" t="n">
        <x:v>-0.51</x:v>
      </x:c>
      <x:c r="N193" t="str">
        <x:v>RELATÓRIO LEITURAS INCLINOMÉTRICAS - Empreitada THE EDEN, Estoril_ R05_03-11-25.pdf</x:v>
      </x:c>
      <x:c r="O193" t="n">
        <x:v>18</x:v>
      </x:c>
      <x:c r="P193" t="str">
        <x:v>Válida</x:v>
      </x:c>
    </x:row>
    <x:row r="194">
      <x:c r="A194" s="48" t="n">
        <x:v>45944</x:v>
      </x:c>
      <x:c r="B194" t="n">
        <x:v>2</x:v>
      </x:c>
      <x:c r="C194" t="str">
        <x:v>I2</x:v>
      </x:c>
      <x:c r="D194" t="n">
        <x:v>2</x:v>
      </x:c>
      <x:c r="E194" s="50" t="n">
        <x:v>16</x:v>
      </x:c>
      <x:c r="F194" s="50" t="n">
        <x:v>-71.13</x:v>
      </x:c>
      <x:c r="G194" s="50" t="n">
        <x:v>79.44</x:v>
      </x:c>
      <x:c r="H194" s="50" t="n">
        <x:v>-167.16</x:v>
      </x:c>
      <x:c r="I194" s="50" t="n">
        <x:v>173.46</x:v>
      </x:c>
      <x:c r="J194" s="50" t="n">
        <x:v>0.3</x:v>
      </x:c>
      <x:c r="K194" s="50" t="n">
        <x:v>-0.16</x:v>
      </x:c>
      <x:c r="L194" s="50" t="n">
        <x:v>0.34</x:v>
      </x:c>
      <x:c r="M194" s="50" t="n">
        <x:v>-0.45</x:v>
      </x:c>
      <x:c r="N194" t="str">
        <x:v>RELATÓRIO LEITURAS INCLINOMÉTRICAS - Empreitada THE EDEN, Estoril_ R05_03-11-25.pdf</x:v>
      </x:c>
      <x:c r="O194" t="n">
        <x:v>18</x:v>
      </x:c>
      <x:c r="P194" t="str">
        <x:v>Válida</x:v>
      </x:c>
    </x:row>
    <x:row r="195">
      <x:c r="A195" s="48" t="n">
        <x:v>45944</x:v>
      </x:c>
      <x:c r="B195" t="n">
        <x:v>2</x:v>
      </x:c>
      <x:c r="C195" t="str">
        <x:v>I2</x:v>
      </x:c>
      <x:c r="D195" t="n">
        <x:v>2</x:v>
      </x:c>
      <x:c r="E195" s="50" t="n">
        <x:v>16.5</x:v>
      </x:c>
      <x:c r="F195" s="50" t="n">
        <x:v>111.87</x:v>
      </x:c>
      <x:c r="G195" s="50" t="n">
        <x:v>-105.32</x:v>
      </x:c>
      <x:c r="H195" s="50" t="n">
        <x:v>-117.31</x:v>
      </x:c>
      <x:c r="I195" s="50" t="n">
        <x:v>113.7</x:v>
      </x:c>
      <x:c r="J195" s="50" t="n">
        <x:v>0.31</x:v>
      </x:c>
      <x:c r="K195" s="50" t="n">
        <x:v>-0.14</x:v>
      </x:c>
      <x:c r="L195" s="50" t="n">
        <x:v>0.34</x:v>
      </x:c>
      <x:c r="M195" s="50" t="n">
        <x:v>-0.39</x:v>
      </x:c>
      <x:c r="N195" t="str">
        <x:v>RELATÓRIO LEITURAS INCLINOMÉTRICAS - Empreitada THE EDEN, Estoril_ R05_03-11-25.pdf</x:v>
      </x:c>
      <x:c r="O195" t="n">
        <x:v>18</x:v>
      </x:c>
      <x:c r="P195" t="str">
        <x:v>Válida</x:v>
      </x:c>
    </x:row>
    <x:row r="196">
      <x:c r="A196" s="48" t="n">
        <x:v>45944</x:v>
      </x:c>
      <x:c r="B196" t="n">
        <x:v>2</x:v>
      </x:c>
      <x:c r="C196" t="str">
        <x:v>I2</x:v>
      </x:c>
      <x:c r="D196" t="n">
        <x:v>2</x:v>
      </x:c>
      <x:c r="E196" s="50" t="n">
        <x:v>17</x:v>
      </x:c>
      <x:c r="F196" s="50" t="n">
        <x:v>274.41</x:v>
      </x:c>
      <x:c r="G196" s="50" t="n">
        <x:v>-264.97</x:v>
      </x:c>
      <x:c r="H196" s="50" t="n">
        <x:v>-64.59</x:v>
      </x:c>
      <x:c r="I196" s="50" t="n">
        <x:v>64.04</x:v>
      </x:c>
      <x:c r="J196" s="50" t="n">
        <x:v>0.31</x:v>
      </x:c>
      <x:c r="K196" s="50" t="n">
        <x:v>-0.27</x:v>
      </x:c>
      <x:c r="L196" s="50" t="n">
        <x:v>0.41</x:v>
      </x:c>
      <x:c r="M196" s="50" t="n">
        <x:v>-0.11</x:v>
      </x:c>
      <x:c r="N196" t="str">
        <x:v>RELATÓRIO LEITURAS INCLINOMÉTRICAS - Empreitada THE EDEN, Estoril_ R05_03-11-25.pdf</x:v>
      </x:c>
      <x:c r="O196" t="n">
        <x:v>18</x:v>
      </x:c>
      <x:c r="P196" t="str">
        <x:v>Válida</x:v>
      </x:c>
    </x:row>
    <x:row r="197">
      <x:c r="A197" s="48" t="n">
        <x:v>45944</x:v>
      </x:c>
      <x:c r="B197" t="n">
        <x:v>2</x:v>
      </x:c>
      <x:c r="C197" t="str">
        <x:v>I2</x:v>
      </x:c>
      <x:c r="D197" t="n">
        <x:v>2</x:v>
      </x:c>
      <x:c r="E197" s="50" t="n">
        <x:v>17.5</x:v>
      </x:c>
      <x:c r="F197" s="50" t="n">
        <x:v>326.23</x:v>
      </x:c>
      <x:c r="G197" s="50" t="n">
        <x:v>-320.62</x:v>
      </x:c>
      <x:c r="H197" s="50" t="n">
        <x:v>-75.06</x:v>
      </x:c>
      <x:c r="I197" s="50" t="n">
        <x:v>66.92</x:v>
      </x:c>
      <x:c r="J197" s="50" t="n">
        <x:v>0.31</x:v>
      </x:c>
      <x:c r="K197" s="50" t="n">
        <x:v>-0.18</x:v>
      </x:c>
      <x:c r="L197" s="50" t="n">
        <x:v>0.36</x:v>
      </x:c>
      <x:c r="M197" s="50" t="n">
        <x:v>-0.11</x:v>
      </x:c>
      <x:c r="N197" t="str">
        <x:v>RELATÓRIO LEITURAS INCLINOMÉTRICAS - Empreitada THE EDEN, Estoril_ R05_03-11-25.pdf</x:v>
      </x:c>
      <x:c r="O197" t="n">
        <x:v>18</x:v>
      </x:c>
      <x:c r="P197" t="str">
        <x:v>Válida</x:v>
      </x:c>
    </x:row>
    <x:row r="198">
      <x:c r="A198" s="48" t="n">
        <x:v>45944</x:v>
      </x:c>
      <x:c r="B198" t="n">
        <x:v>2</x:v>
      </x:c>
      <x:c r="C198" t="str">
        <x:v>I2</x:v>
      </x:c>
      <x:c r="D198" t="n">
        <x:v>2</x:v>
      </x:c>
      <x:c r="E198" s="50" t="n">
        <x:v>18</x:v>
      </x:c>
      <x:c r="F198" s="50" t="n">
        <x:v>395.81</x:v>
      </x:c>
      <x:c r="G198" s="50" t="n">
        <x:v>-386.82</x:v>
      </x:c>
      <x:c r="H198" s="50" t="n">
        <x:v>-107.41</x:v>
      </x:c>
      <x:c r="I198" s="50" t="n">
        <x:v>102.35</x:v>
      </x:c>
      <x:c r="J198" s="50" t="n">
        <x:v>0.31</x:v>
      </x:c>
      <x:c r="K198" s="50" t="n">
        <x:v>-0.11</x:v>
      </x:c>
      <x:c r="L198" s="50" t="n">
        <x:v>0.33</x:v>
      </x:c>
      <x:c r="M198" s="50" t="n">
        <x:v>-0.14</x:v>
      </x:c>
      <x:c r="N198" t="str">
        <x:v>RELATÓRIO LEITURAS INCLINOMÉTRICAS - Empreitada THE EDEN, Estoril_ R05_03-11-25.pdf</x:v>
      </x:c>
      <x:c r="O198" t="n">
        <x:v>18</x:v>
      </x:c>
      <x:c r="P198" t="str">
        <x:v>Válida</x:v>
      </x:c>
    </x:row>
    <x:row r="199">
      <x:c r="A199" s="48" t="n">
        <x:v>45944</x:v>
      </x:c>
      <x:c r="B199" t="n">
        <x:v>2</x:v>
      </x:c>
      <x:c r="C199" t="str">
        <x:v>I2</x:v>
      </x:c>
      <x:c r="D199" t="n">
        <x:v>2</x:v>
      </x:c>
      <x:c r="E199" s="50" t="n">
        <x:v>18.5</x:v>
      </x:c>
      <x:c r="F199" s="50" t="n">
        <x:v>439.25</x:v>
      </x:c>
      <x:c r="G199" s="50" t="n">
        <x:v>-431.9</x:v>
      </x:c>
      <x:c r="H199" s="50" t="n">
        <x:v>-121.92</x:v>
      </x:c>
      <x:c r="I199" s="50" t="n">
        <x:v>115.12</x:v>
      </x:c>
      <x:c r="J199" s="50" t="n">
        <x:v>0.32</x:v>
      </x:c>
      <x:c r="K199" s="50" t="n">
        <x:v>-0.15</x:v>
      </x:c>
      <x:c r="L199" s="50" t="n">
        <x:v>0.35</x:v>
      </x:c>
      <x:c r="M199" s="50" t="n">
        <x:v>0</x:v>
      </x:c>
      <x:c r="N199" t="str">
        <x:v>RELATÓRIO LEITURAS INCLINOMÉTRICAS - Empreitada THE EDEN, Estoril_ R05_03-11-25.pdf</x:v>
      </x:c>
      <x:c r="O199" t="n">
        <x:v>18</x:v>
      </x:c>
      <x:c r="P199" t="str">
        <x:v>Válida</x:v>
      </x:c>
    </x:row>
    <x:row r="200">
      <x:c r="A200" s="48" t="n">
        <x:v>45944</x:v>
      </x:c>
      <x:c r="B200" t="n">
        <x:v>2</x:v>
      </x:c>
      <x:c r="C200" t="str">
        <x:v>I2</x:v>
      </x:c>
      <x:c r="D200" t="n">
        <x:v>2</x:v>
      </x:c>
      <x:c r="E200" s="50" t="n">
        <x:v>19</x:v>
      </x:c>
      <x:c r="F200" s="50" t="n">
        <x:v>448.87</x:v>
      </x:c>
      <x:c r="G200" s="50" t="n">
        <x:v>-442.87</x:v>
      </x:c>
      <x:c r="H200" s="50" t="n">
        <x:v>-121.79</x:v>
      </x:c>
      <x:c r="I200" s="50" t="n">
        <x:v>110.05</x:v>
      </x:c>
      <x:c r="J200" s="50" t="n">
        <x:v>0.32</x:v>
      </x:c>
      <x:c r="K200" s="50" t="n">
        <x:v>-0.21</x:v>
      </x:c>
      <x:c r="L200" s="50" t="n">
        <x:v>0.38</x:v>
      </x:c>
      <x:c r="M200" s="50" t="n">
        <x:v>0.12</x:v>
      </x:c>
      <x:c r="N200" t="str">
        <x:v>RELATÓRIO LEITURAS INCLINOMÉTRICAS - Empreitada THE EDEN, Estoril_ R05_03-11-25.pdf</x:v>
      </x:c>
      <x:c r="O200" t="n">
        <x:v>18</x:v>
      </x:c>
      <x:c r="P200" t="str">
        <x:v>Válida</x:v>
      </x:c>
    </x:row>
    <x:row r="201">
      <x:c r="A201" s="48" t="n">
        <x:v>45944</x:v>
      </x:c>
      <x:c r="B201" t="n">
        <x:v>2</x:v>
      </x:c>
      <x:c r="C201" t="str">
        <x:v>I2</x:v>
      </x:c>
      <x:c r="D201" t="n">
        <x:v>2</x:v>
      </x:c>
      <x:c r="E201" s="50" t="n">
        <x:v>19.5</x:v>
      </x:c>
      <x:c r="F201" s="50" t="n">
        <x:v>329.55</x:v>
      </x:c>
      <x:c r="G201" s="50" t="n">
        <x:v>-322.87</x:v>
      </x:c>
      <x:c r="H201" s="50" t="n">
        <x:v>-44.89</x:v>
      </x:c>
      <x:c r="I201" s="50" t="n">
        <x:v>48.49</x:v>
      </x:c>
      <x:c r="J201" s="50" t="n">
        <x:v>0.34</x:v>
      </x:c>
      <x:c r="K201" s="50" t="n">
        <x:v>-0.12</x:v>
      </x:c>
      <x:c r="L201" s="50" t="n">
        <x:v>0.36</x:v>
      </x:c>
      <x:c r="M201" s="50" t="n">
        <x:v>0.01</x:v>
      </x:c>
      <x:c r="N201" t="str">
        <x:v>RELATÓRIO LEITURAS INCLINOMÉTRICAS - Empreitada THE EDEN, Estoril_ R05_03-11-25.pdf</x:v>
      </x:c>
      <x:c r="O201" t="n">
        <x:v>18</x:v>
      </x:c>
      <x:c r="P201" t="str">
        <x:v>Válida</x:v>
      </x:c>
    </x:row>
    <x:row r="202">
      <x:c r="A202" s="48" t="n">
        <x:v>45944</x:v>
      </x:c>
      <x:c r="B202" t="n">
        <x:v>2</x:v>
      </x:c>
      <x:c r="C202" t="str">
        <x:v>I2</x:v>
      </x:c>
      <x:c r="D202" t="n">
        <x:v>2</x:v>
      </x:c>
      <x:c r="E202" s="50" t="n">
        <x:v>20</x:v>
      </x:c>
      <x:c r="F202" s="50" t="n">
        <x:v>194.63</x:v>
      </x:c>
      <x:c r="G202" s="50" t="n">
        <x:v>-185.83</x:v>
      </x:c>
      <x:c r="H202" s="50" t="n">
        <x:v>-10.54</x:v>
      </x:c>
      <x:c r="I202" s="50" t="n">
        <x:v>6.92</x:v>
      </x:c>
      <x:c r="J202" s="50" t="n">
        <x:v>0.33</x:v>
      </x:c>
      <x:c r="K202" s="50" t="n">
        <x:v>-0.05</x:v>
      </x:c>
      <x:c r="L202" s="50" t="n">
        <x:v>0.33</x:v>
      </x:c>
      <x:c r="M202" s="50" t="n">
        <x:v>-0.04</x:v>
      </x:c>
      <x:c r="N202" t="str">
        <x:v>RELATÓRIO LEITURAS INCLINOMÉTRICAS - Empreitada THE EDEN, Estoril_ R05_03-11-25.pdf</x:v>
      </x:c>
      <x:c r="O202" t="n">
        <x:v>18</x:v>
      </x:c>
      <x:c r="P202" t="str">
        <x:v>Válida</x:v>
      </x:c>
    </x:row>
    <x:row r="203">
      <x:c r="A203" s="48" t="n">
        <x:v>45944</x:v>
      </x:c>
      <x:c r="B203" t="n">
        <x:v>2</x:v>
      </x:c>
      <x:c r="C203" t="str">
        <x:v>I2</x:v>
      </x:c>
      <x:c r="D203" t="n">
        <x:v>2</x:v>
      </x:c>
      <x:c r="E203" s="50" t="n">
        <x:v>20.5</x:v>
      </x:c>
      <x:c r="F203" s="50" t="n">
        <x:v>160.02</x:v>
      </x:c>
      <x:c r="G203" s="50" t="n">
        <x:v>-151.91</x:v>
      </x:c>
      <x:c r="H203" s="50" t="n">
        <x:v>-12.46</x:v>
      </x:c>
      <x:c r="I203" s="50" t="n">
        <x:v>6.47</x:v>
      </x:c>
      <x:c r="J203" s="50" t="n">
        <x:v>0.26</x:v>
      </x:c>
      <x:c r="K203" s="50" t="n">
        <x:v>0.04</x:v>
      </x:c>
      <x:c r="L203" s="50" t="n">
        <x:v>0.26</x:v>
      </x:c>
      <x:c r="M203" s="50" t="n">
        <x:v>-0.06</x:v>
      </x:c>
      <x:c r="N203" t="str">
        <x:v>RELATÓRIO LEITURAS INCLINOMÉTRICAS - Empreitada THE EDEN, Estoril_ R05_03-11-25.pdf</x:v>
      </x:c>
      <x:c r="O203" t="n">
        <x:v>18</x:v>
      </x:c>
      <x:c r="P203" t="str">
        <x:v>Válida</x:v>
      </x:c>
    </x:row>
    <x:row r="204">
      <x:c r="A204" s="48" t="n">
        <x:v>45944</x:v>
      </x:c>
      <x:c r="B204" t="n">
        <x:v>2</x:v>
      </x:c>
      <x:c r="C204" t="str">
        <x:v>I2</x:v>
      </x:c>
      <x:c r="D204" t="n">
        <x:v>2</x:v>
      </x:c>
      <x:c r="E204" s="50" t="n">
        <x:v>21</x:v>
      </x:c>
      <x:c r="F204" s="50" t="n">
        <x:v>120.04</x:v>
      </x:c>
      <x:c r="G204" s="50" t="n">
        <x:v>-111.37</x:v>
      </x:c>
      <x:c r="H204" s="50" t="n">
        <x:v>-13.88</x:v>
      </x:c>
      <x:c r="I204" s="50" t="n">
        <x:v>16.96</x:v>
      </x:c>
      <x:c r="J204" s="50" t="n">
        <x:v>0.25</x:v>
      </x:c>
      <x:c r="K204" s="50" t="n">
        <x:v>0.2</x:v>
      </x:c>
      <x:c r="L204" s="50" t="n">
        <x:v>0.32</x:v>
      </x:c>
      <x:c r="M204" s="50" t="n">
        <x:v>-0.02</x:v>
      </x:c>
      <x:c r="N204" t="str">
        <x:v>RELATÓRIO LEITURAS INCLINOMÉTRICAS - Empreitada THE EDEN, Estoril_ R05_03-11-25.pdf</x:v>
      </x:c>
      <x:c r="O204" t="n">
        <x:v>18</x:v>
      </x:c>
      <x:c r="P204" t="str">
        <x:v>Válida</x:v>
      </x:c>
    </x:row>
    <x:row r="205">
      <x:c r="A205" s="48" t="n">
        <x:v>45944</x:v>
      </x:c>
      <x:c r="B205" t="n">
        <x:v>2</x:v>
      </x:c>
      <x:c r="C205" t="str">
        <x:v>I2</x:v>
      </x:c>
      <x:c r="D205" t="n">
        <x:v>2</x:v>
      </x:c>
      <x:c r="E205" s="50" t="n">
        <x:v>21.5</x:v>
      </x:c>
      <x:c r="F205" s="50" t="n">
        <x:v>-10.16</x:v>
      </x:c>
      <x:c r="G205" s="50" t="n">
        <x:v>20.57</x:v>
      </x:c>
      <x:c r="H205" s="50" t="n">
        <x:v>-31</x:v>
      </x:c>
      <x:c r="I205" s="50" t="n">
        <x:v>19.25</x:v>
      </x:c>
      <x:c r="J205" s="50" t="n">
        <x:v>0.15</x:v>
      </x:c>
      <x:c r="K205" s="50" t="n">
        <x:v>0.02</x:v>
      </x:c>
      <x:c r="L205" s="50" t="n">
        <x:v>0.15</x:v>
      </x:c>
      <x:c r="M205" s="50" t="n">
        <x:v>0.01</x:v>
      </x:c>
      <x:c r="N205" t="str">
        <x:v>RELATÓRIO LEITURAS INCLINOMÉTRICAS - Empreitada THE EDEN, Estoril_ R05_03-11-25.pdf</x:v>
      </x:c>
      <x:c r="O205" t="n">
        <x:v>18</x:v>
      </x:c>
      <x:c r="P205" t="str">
        <x:v>Válida</x:v>
      </x:c>
    </x:row>
    <x:row r="206">
      <x:c r="A206" s="48" t="n">
        <x:v>45944</x:v>
      </x:c>
      <x:c r="B206" t="n">
        <x:v>2</x:v>
      </x:c>
      <x:c r="C206" t="str">
        <x:v>I2</x:v>
      </x:c>
      <x:c r="D206" t="n">
        <x:v>2</x:v>
      </x:c>
      <x:c r="E206" s="50" t="n">
        <x:v>22</x:v>
      </x:c>
      <x:c r="F206" s="50" t="n">
        <x:v>-56.62</x:v>
      </x:c>
      <x:c r="G206" s="50" t="n">
        <x:v>63.67</x:v>
      </x:c>
      <x:c r="H206" s="50" t="n">
        <x:v>-14.8</x:v>
      </x:c>
      <x:c r="I206" s="50" t="n">
        <x:v>25.34</x:v>
      </x:c>
      <x:c r="J206" s="50" t="n">
        <x:v>0.14</x:v>
      </x:c>
      <x:c r="K206" s="50" t="n">
        <x:v>0.1</x:v>
      </x:c>
      <x:c r="L206" s="50" t="n">
        <x:v>0.17</x:v>
      </x:c>
      <x:c r="M206" s="50" t="n">
        <x:v>-0.04</x:v>
      </x:c>
      <x:c r="N206" t="str">
        <x:v>RELATÓRIO LEITURAS INCLINOMÉTRICAS - Empreitada THE EDEN, Estoril_ R05_03-11-25.pdf</x:v>
      </x:c>
      <x:c r="O206" t="n">
        <x:v>18</x:v>
      </x:c>
      <x:c r="P206" t="str">
        <x:v>Válida</x:v>
      </x:c>
    </x:row>
    <x:row r="207">
      <x:c r="A207" s="48" t="n">
        <x:v>45944</x:v>
      </x:c>
      <x:c r="B207" t="n">
        <x:v>2</x:v>
      </x:c>
      <x:c r="C207" t="str">
        <x:v>I2</x:v>
      </x:c>
      <x:c r="D207" t="n">
        <x:v>2</x:v>
      </x:c>
      <x:c r="E207" s="50" t="n">
        <x:v>22.5</x:v>
      </x:c>
      <x:c r="F207" s="50" t="n">
        <x:v>-43.91</x:v>
      </x:c>
      <x:c r="G207" s="50" t="n">
        <x:v>52.28</x:v>
      </x:c>
      <x:c r="H207" s="50" t="n">
        <x:v>-124.03</x:v>
      </x:c>
      <x:c r="I207" s="50" t="n">
        <x:v>119.3</x:v>
      </x:c>
      <x:c r="J207" s="50" t="n">
        <x:v>0.14</x:v>
      </x:c>
      <x:c r="K207" s="50" t="n">
        <x:v>0.08</x:v>
      </x:c>
      <x:c r="L207" s="50" t="n">
        <x:v>0.16</x:v>
      </x:c>
      <x:c r="M207" s="50" t="n">
        <x:v>0.07</x:v>
      </x:c>
      <x:c r="N207" t="str">
        <x:v>RELATÓRIO LEITURAS INCLINOMÉTRICAS - Empreitada THE EDEN, Estoril_ R05_03-11-25.pdf</x:v>
      </x:c>
      <x:c r="O207" t="n">
        <x:v>18</x:v>
      </x:c>
      <x:c r="P207" t="str">
        <x:v>Válida</x:v>
      </x:c>
    </x:row>
    <x:row r="208">
      <x:c r="A208" s="48" t="n">
        <x:v>45944</x:v>
      </x:c>
      <x:c r="B208" t="n">
        <x:v>2</x:v>
      </x:c>
      <x:c r="C208" t="str">
        <x:v>I2</x:v>
      </x:c>
      <x:c r="D208" t="n">
        <x:v>2</x:v>
      </x:c>
      <x:c r="E208" s="50" t="n">
        <x:v>23</x:v>
      </x:c>
      <x:c r="F208" s="50" t="n">
        <x:v>-56.6</x:v>
      </x:c>
      <x:c r="G208" s="50" t="n">
        <x:v>60.96</x:v>
      </x:c>
      <x:c r="H208" s="50" t="n">
        <x:v>-167.92</x:v>
      </x:c>
      <x:c r="I208" s="50" t="n">
        <x:v>159.59</x:v>
      </x:c>
      <x:c r="J208" s="50" t="n">
        <x:v>0.13</x:v>
      </x:c>
      <x:c r="K208" s="50" t="n">
        <x:v>0.09</x:v>
      </x:c>
      <x:c r="L208" s="50" t="n">
        <x:v>0.16</x:v>
      </x:c>
      <x:c r="M208" s="50" t="n">
        <x:v>0.04</x:v>
      </x:c>
      <x:c r="N208" t="str">
        <x:v>RELATÓRIO LEITURAS INCLINOMÉTRICAS - Empreitada THE EDEN, Estoril_ R05_03-11-25.pdf</x:v>
      </x:c>
      <x:c r="O208" t="n">
        <x:v>18</x:v>
      </x:c>
      <x:c r="P208" t="str">
        <x:v>Válida</x:v>
      </x:c>
    </x:row>
    <x:row r="209">
      <x:c r="A209" s="48" t="n">
        <x:v>45944</x:v>
      </x:c>
      <x:c r="B209" t="n">
        <x:v>2</x:v>
      </x:c>
      <x:c r="C209" t="str">
        <x:v>I2</x:v>
      </x:c>
      <x:c r="D209" t="n">
        <x:v>2</x:v>
      </x:c>
      <x:c r="E209" s="50" t="n">
        <x:v>23.5</x:v>
      </x:c>
      <x:c r="F209" s="50" t="n">
        <x:v>-122.76</x:v>
      </x:c>
      <x:c r="G209" s="50" t="n">
        <x:v>133.64</x:v>
      </x:c>
      <x:c r="H209" s="50" t="n">
        <x:v>-196.94</x:v>
      </x:c>
      <x:c r="I209" s="50" t="n">
        <x:v>206.1</x:v>
      </x:c>
      <x:c r="J209" s="50" t="n">
        <x:v>0.12</x:v>
      </x:c>
      <x:c r="K209" s="50" t="n">
        <x:v>0.11</x:v>
      </x:c>
      <x:c r="L209" s="50" t="n">
        <x:v>0.17</x:v>
      </x:c>
      <x:c r="M209" s="50" t="n">
        <x:v>-0.07</x:v>
      </x:c>
      <x:c r="N209" t="str">
        <x:v>RELATÓRIO LEITURAS INCLINOMÉTRICAS - Empreitada THE EDEN, Estoril_ R05_03-11-25.pdf</x:v>
      </x:c>
      <x:c r="O209" t="n">
        <x:v>18</x:v>
      </x:c>
      <x:c r="P209" t="str">
        <x:v>Válida</x:v>
      </x:c>
    </x:row>
    <x:row r="210">
      <x:c r="A210" s="48" t="n">
        <x:v>45944</x:v>
      </x:c>
      <x:c r="B210" t="n">
        <x:v>2</x:v>
      </x:c>
      <x:c r="C210" t="str">
        <x:v>I2</x:v>
      </x:c>
      <x:c r="D210" t="n">
        <x:v>2</x:v>
      </x:c>
      <x:c r="E210" s="50" t="n">
        <x:v>24</x:v>
      </x:c>
      <x:c r="F210" s="50" t="n">
        <x:v>-156.03</x:v>
      </x:c>
      <x:c r="G210" s="50" t="n">
        <x:v>163.17</x:v>
      </x:c>
      <x:c r="H210" s="50" t="n">
        <x:v>-267.03</x:v>
      </x:c>
      <x:c r="I210" s="50" t="n">
        <x:v>260.73</x:v>
      </x:c>
      <x:c r="J210" s="50" t="n">
        <x:v>0.13</x:v>
      </x:c>
      <x:c r="K210" s="50" t="n">
        <x:v>0.16</x:v>
      </x:c>
      <x:c r="L210" s="50" t="n">
        <x:v>0.2</x:v>
      </x:c>
      <x:c r="M210" s="50" t="n">
        <x:v>-0.05</x:v>
      </x:c>
      <x:c r="N210" t="str">
        <x:v>RELATÓRIO LEITURAS INCLINOMÉTRICAS - Empreitada THE EDEN, Estoril_ R05_03-11-25.pdf</x:v>
      </x:c>
      <x:c r="O210" t="n">
        <x:v>18</x:v>
      </x:c>
      <x:c r="P210" t="str">
        <x:v>Válida</x:v>
      </x:c>
    </x:row>
    <x:row r="211">
      <x:c r="A211" s="48" t="n">
        <x:v>45944</x:v>
      </x:c>
      <x:c r="B211" t="n">
        <x:v>2</x:v>
      </x:c>
      <x:c r="C211" t="str">
        <x:v>I2</x:v>
      </x:c>
      <x:c r="D211" t="n">
        <x:v>2</x:v>
      </x:c>
      <x:c r="E211" s="50" t="n">
        <x:v>24.5</x:v>
      </x:c>
      <x:c r="F211" s="50" t="n">
        <x:v>-51.54</x:v>
      </x:c>
      <x:c r="G211" s="50" t="n">
        <x:v>55.27</x:v>
      </x:c>
      <x:c r="H211" s="50" t="n">
        <x:v>-250.08</x:v>
      </x:c>
      <x:c r="I211" s="50" t="n">
        <x:v>241.52</x:v>
      </x:c>
      <x:c r="J211" s="50" t="n">
        <x:v>0.13</x:v>
      </x:c>
      <x:c r="K211" s="50" t="n">
        <x:v>0.05</x:v>
      </x:c>
      <x:c r="L211" s="50" t="n">
        <x:v>0.13</x:v>
      </x:c>
      <x:c r="M211" s="50" t="n">
        <x:v>-0.07</x:v>
      </x:c>
      <x:c r="N211" t="str">
        <x:v>RELATÓRIO LEITURAS INCLINOMÉTRICAS - Empreitada THE EDEN, Estoril_ R05_03-11-25.pdf</x:v>
      </x:c>
      <x:c r="O211" t="n">
        <x:v>18</x:v>
      </x:c>
      <x:c r="P211" t="str">
        <x:v>Válida</x:v>
      </x:c>
    </x:row>
    <x:row r="212">
      <x:c r="A212" s="48" t="n">
        <x:v>45944</x:v>
      </x:c>
      <x:c r="B212" t="n">
        <x:v>2</x:v>
      </x:c>
      <x:c r="C212" t="str">
        <x:v>I2</x:v>
      </x:c>
      <x:c r="D212" t="n">
        <x:v>2</x:v>
      </x:c>
      <x:c r="E212" s="50" t="n">
        <x:v>25</x:v>
      </x:c>
      <x:c r="F212" s="50" t="n">
        <x:v>45.22</x:v>
      </x:c>
      <x:c r="G212" s="50" t="n">
        <x:v>-37.03</x:v>
      </x:c>
      <x:c r="H212" s="50" t="n">
        <x:v>-237.32</x:v>
      </x:c>
      <x:c r="I212" s="50" t="n">
        <x:v>224.08</x:v>
      </x:c>
      <x:c r="J212" s="50" t="n">
        <x:v>0.09</x:v>
      </x:c>
      <x:c r="K212" s="50" t="n">
        <x:v>-0.06</x:v>
      </x:c>
      <x:c r="L212" s="50" t="n">
        <x:v>0.11</x:v>
      </x:c>
      <x:c r="M212" s="50" t="n">
        <x:v>0.06</x:v>
      </x:c>
      <x:c r="N212" t="str">
        <x:v>RELATÓRIO LEITURAS INCLINOMÉTRICAS - Empreitada THE EDEN, Estoril_ R05_03-11-25.pdf</x:v>
      </x:c>
      <x:c r="O212" t="n">
        <x:v>18</x:v>
      </x:c>
      <x:c r="P212" t="str">
        <x:v>Válida</x:v>
      </x:c>
    </x:row>
    <x:row r="213">
      <x:c r="A213" s="48" t="n">
        <x:v>45944</x:v>
      </x:c>
      <x:c r="B213" t="n">
        <x:v>2</x:v>
      </x:c>
      <x:c r="C213" t="str">
        <x:v>I2</x:v>
      </x:c>
      <x:c r="D213" t="n">
        <x:v>2</x:v>
      </x:c>
      <x:c r="E213" s="50" t="n">
        <x:v>25.5</x:v>
      </x:c>
      <x:c r="F213" s="50" t="n">
        <x:v>101.26</x:v>
      </x:c>
      <x:c r="G213" s="50" t="n">
        <x:v>-94.75</x:v>
      </x:c>
      <x:c r="H213" s="50" t="n">
        <x:v>-212.76</x:v>
      </x:c>
      <x:c r="I213" s="50" t="n">
        <x:v>193.12</x:v>
      </x:c>
      <x:c r="J213" s="50" t="n">
        <x:v>0.07</x:v>
      </x:c>
      <x:c r="K213" s="50" t="n">
        <x:v>-0.02</x:v>
      </x:c>
      <x:c r="L213" s="50" t="n">
        <x:v>0.07</x:v>
      </x:c>
      <x:c r="M213" s="50" t="n">
        <x:v>-0.06</x:v>
      </x:c>
      <x:c r="N213" t="str">
        <x:v>RELATÓRIO LEITURAS INCLINOMÉTRICAS - Empreitada THE EDEN, Estoril_ R05_03-11-25.pdf</x:v>
      </x:c>
      <x:c r="O213" t="n">
        <x:v>18</x:v>
      </x:c>
      <x:c r="P213" t="str">
        <x:v>Válida</x:v>
      </x:c>
    </x:row>
    <x:row r="214">
      <x:c r="A214" s="48" t="n">
        <x:v>45944</x:v>
      </x:c>
      <x:c r="B214" t="n">
        <x:v>2</x:v>
      </x:c>
      <x:c r="C214" t="str">
        <x:v>I2</x:v>
      </x:c>
      <x:c r="D214" t="n">
        <x:v>2</x:v>
      </x:c>
      <x:c r="E214" s="50" t="n">
        <x:v>26</x:v>
      </x:c>
      <x:c r="F214" s="50" t="n">
        <x:v>148.32</x:v>
      </x:c>
      <x:c r="G214" s="50" t="n">
        <x:v>-138.49</x:v>
      </x:c>
      <x:c r="H214" s="50" t="n">
        <x:v>-252.02</x:v>
      </x:c>
      <x:c r="I214" s="50" t="n">
        <x:v>245</x:v>
      </x:c>
      <x:c r="J214" s="50" t="n">
        <x:v>0.05</x:v>
      </x:c>
      <x:c r="K214" s="50" t="n">
        <x:v>0.09</x:v>
      </x:c>
      <x:c r="L214" s="50" t="n">
        <x:v>0.1</x:v>
      </x:c>
      <x:c r="M214" s="50" t="n">
        <x:v>-0.14</x:v>
      </x:c>
      <x:c r="N214" t="str">
        <x:v>RELATÓRIO LEITURAS INCLINOMÉTRICAS - Empreitada THE EDEN, Estoril_ R05_03-11-25.pdf</x:v>
      </x:c>
      <x:c r="O214" t="n">
        <x:v>18</x:v>
      </x:c>
      <x:c r="P214" t="str">
        <x:v>Válida</x:v>
      </x:c>
    </x:row>
    <x:row r="215">
      <x:c r="A215" s="48" t="n">
        <x:v>45944</x:v>
      </x:c>
      <x:c r="B215" t="n">
        <x:v>2</x:v>
      </x:c>
      <x:c r="C215" t="str">
        <x:v>I2</x:v>
      </x:c>
      <x:c r="D215" t="n">
        <x:v>2</x:v>
      </x:c>
      <x:c r="E215" s="50" t="n">
        <x:v>26.5</x:v>
      </x:c>
      <x:c r="F215" s="50" t="n">
        <x:v>153.52</x:v>
      </x:c>
      <x:c r="G215" s="50" t="n">
        <x:v>-145.47</x:v>
      </x:c>
      <x:c r="H215" s="50" t="n">
        <x:v>-249.87</x:v>
      </x:c>
      <x:c r="I215" s="50" t="n">
        <x:v>262.6</x:v>
      </x:c>
      <x:c r="J215" s="50" t="n">
        <x:v>0.03</x:v>
      </x:c>
      <x:c r="K215" s="50" t="n">
        <x:v>0.01</x:v>
      </x:c>
      <x:c r="L215" s="50" t="n">
        <x:v>0.03</x:v>
      </x:c>
      <x:c r="M215" s="50" t="n">
        <x:v>-0.1</x:v>
      </x:c>
      <x:c r="N215" t="str">
        <x:v>RELATÓRIO LEITURAS INCLINOMÉTRICAS - Empreitada THE EDEN, Estoril_ R05_03-11-25.pdf</x:v>
      </x:c>
      <x:c r="O215" t="n">
        <x:v>18</x:v>
      </x:c>
      <x:c r="P215" t="str">
        <x:v>Válida</x:v>
      </x:c>
    </x:row>
    <x:row r="216">
      <x:c r="A216" s="48" t="n">
        <x:v>45944</x:v>
      </x:c>
      <x:c r="B216" t="n">
        <x:v>2</x:v>
      </x:c>
      <x:c r="C216" t="str">
        <x:v>I3</x:v>
      </x:c>
      <x:c r="D216" t="n">
        <x:v>1</x:v>
      </x:c>
      <x:c r="E216" s="50" t="n">
        <x:v>0.5</x:v>
      </x:c>
      <x:c r="F216" s="50" t="n">
        <x:v>409.65</x:v>
      </x:c>
      <x:c r="G216" s="50" t="n">
        <x:v>-395.24</x:v>
      </x:c>
      <x:c r="H216" s="50" t="n">
        <x:v>482.04</x:v>
      </x:c>
      <x:c r="I216" s="50" t="n">
        <x:v>-486.52</x:v>
      </x:c>
      <x:c r="J216" s="50" t="n">
        <x:v>-0.28</x:v>
      </x:c>
      <x:c r="K216" s="50" t="n">
        <x:v>-1.32</x:v>
      </x:c>
      <x:c r="L216" s="50" t="n">
        <x:v>1.35</x:v>
      </x:c>
      <x:c r="M216" s="50" t="n">
        <x:v>1.35</x:v>
      </x:c>
      <x:c r="N216" t="str">
        <x:v>RELATÓRIO LEITURAS INCLINOMÉTRICAS - Empreitada THE EDEN, Estoril_ R05_03-11-25.pdf</x:v>
      </x:c>
      <x:c r="O216" t="n">
        <x:v>26</x:v>
      </x:c>
      <x:c r="P216" t="str">
        <x:v>Válida</x:v>
      </x:c>
    </x:row>
    <x:row r="217">
      <x:c r="A217" s="48" t="n">
        <x:v>45944</x:v>
      </x:c>
      <x:c r="B217" t="n">
        <x:v>2</x:v>
      </x:c>
      <x:c r="C217" t="str">
        <x:v>I3</x:v>
      </x:c>
      <x:c r="D217" t="n">
        <x:v>1</x:v>
      </x:c>
      <x:c r="E217" s="50" t="n">
        <x:v>1</x:v>
      </x:c>
      <x:c r="F217" s="50" t="n">
        <x:v>409.5</x:v>
      </x:c>
      <x:c r="G217" s="50" t="n">
        <x:v>-395.18</x:v>
      </x:c>
      <x:c r="H217" s="50" t="n">
        <x:v>482.08</x:v>
      </x:c>
      <x:c r="I217" s="50" t="n">
        <x:v>-486.29</x:v>
      </x:c>
      <x:c r="J217" s="50" t="n">
        <x:v>-0.3</x:v>
      </x:c>
      <x:c r="K217" s="50" t="n">
        <x:v>-1.35</x:v>
      </x:c>
      <x:c r="L217" s="50" t="n">
        <x:v>1.38</x:v>
      </x:c>
      <x:c r="M217" s="50" t="n">
        <x:v>1.38</x:v>
      </x:c>
      <x:c r="N217" t="str">
        <x:v>RELATÓRIO LEITURAS INCLINOMÉTRICAS - Empreitada THE EDEN, Estoril_ R05_03-11-25.pdf</x:v>
      </x:c>
      <x:c r="O217" t="n">
        <x:v>26</x:v>
      </x:c>
      <x:c r="P217" t="str">
        <x:v>Válida</x:v>
      </x:c>
    </x:row>
    <x:row r="218">
      <x:c r="A218" s="48" t="n">
        <x:v>45944</x:v>
      </x:c>
      <x:c r="B218" t="n">
        <x:v>2</x:v>
      </x:c>
      <x:c r="C218" t="str">
        <x:v>I3</x:v>
      </x:c>
      <x:c r="D218" t="n">
        <x:v>1</x:v>
      </x:c>
      <x:c r="E218" s="50" t="n">
        <x:v>1.5</x:v>
      </x:c>
      <x:c r="F218" s="50" t="n">
        <x:v>439.13</x:v>
      </x:c>
      <x:c r="G218" s="50" t="n">
        <x:v>-431.99</x:v>
      </x:c>
      <x:c r="H218" s="50" t="n">
        <x:v>417.91</x:v>
      </x:c>
      <x:c r="I218" s="50" t="n">
        <x:v>-401.92</x:v>
      </x:c>
      <x:c r="J218" s="50" t="n">
        <x:v>-0.31</x:v>
      </x:c>
      <x:c r="K218" s="50" t="n">
        <x:v>-1.37</x:v>
      </x:c>
      <x:c r="L218" s="50" t="n">
        <x:v>1.41</x:v>
      </x:c>
      <x:c r="M218" s="50" t="n">
        <x:v>1.41</x:v>
      </x:c>
      <x:c r="N218" t="str">
        <x:v>RELATÓRIO LEITURAS INCLINOMÉTRICAS - Empreitada THE EDEN, Estoril_ R05_03-11-25.pdf</x:v>
      </x:c>
      <x:c r="O218" t="n">
        <x:v>26</x:v>
      </x:c>
      <x:c r="P218" t="str">
        <x:v>Válida</x:v>
      </x:c>
    </x:row>
    <x:row r="219">
      <x:c r="A219" s="48" t="n">
        <x:v>45944</x:v>
      </x:c>
      <x:c r="B219" t="n">
        <x:v>2</x:v>
      </x:c>
      <x:c r="C219" t="str">
        <x:v>I3</x:v>
      </x:c>
      <x:c r="D219" t="n">
        <x:v>1</x:v>
      </x:c>
      <x:c r="E219" s="50" t="n">
        <x:v>2</x:v>
      </x:c>
      <x:c r="F219" s="50" t="n">
        <x:v>497.12</x:v>
      </x:c>
      <x:c r="G219" s="50" t="n">
        <x:v>-489.98</x:v>
      </x:c>
      <x:c r="H219" s="50" t="n">
        <x:v>236.06</x:v>
      </x:c>
      <x:c r="I219" s="50" t="n">
        <x:v>-223.41</x:v>
      </x:c>
      <x:c r="J219" s="50" t="n">
        <x:v>-0.31</x:v>
      </x:c>
      <x:c r="K219" s="50" t="n">
        <x:v>-1.37</x:v>
      </x:c>
      <x:c r="L219" s="50" t="n">
        <x:v>1.41</x:v>
      </x:c>
      <x:c r="M219" s="50" t="n">
        <x:v>1.41</x:v>
      </x:c>
      <x:c r="N219" t="str">
        <x:v>RELATÓRIO LEITURAS INCLINOMÉTRICAS - Empreitada THE EDEN, Estoril_ R05_03-11-25.pdf</x:v>
      </x:c>
      <x:c r="O219" t="n">
        <x:v>26</x:v>
      </x:c>
      <x:c r="P219" t="str">
        <x:v>Válida</x:v>
      </x:c>
    </x:row>
    <x:row r="220">
      <x:c r="A220" s="48" t="n">
        <x:v>45944</x:v>
      </x:c>
      <x:c r="B220" t="n">
        <x:v>2</x:v>
      </x:c>
      <x:c r="C220" t="str">
        <x:v>I3</x:v>
      </x:c>
      <x:c r="D220" t="n">
        <x:v>1</x:v>
      </x:c>
      <x:c r="E220" s="50" t="n">
        <x:v>2.5</x:v>
      </x:c>
      <x:c r="F220" s="50" t="n">
        <x:v>449.96</x:v>
      </x:c>
      <x:c r="G220" s="50" t="n">
        <x:v>-443.42</x:v>
      </x:c>
      <x:c r="H220" s="50" t="n">
        <x:v>125.57</x:v>
      </x:c>
      <x:c r="I220" s="50" t="n">
        <x:v>-106.35</x:v>
      </x:c>
      <x:c r="J220" s="50" t="n">
        <x:v>-0.28</x:v>
      </x:c>
      <x:c r="K220" s="50" t="n">
        <x:v>-1.63</x:v>
      </x:c>
      <x:c r="L220" s="50" t="n">
        <x:v>1.65</x:v>
      </x:c>
      <x:c r="M220" s="50" t="n">
        <x:v>1.65</x:v>
      </x:c>
      <x:c r="N220" t="str">
        <x:v>RELATÓRIO LEITURAS INCLINOMÉTRICAS - Empreitada THE EDEN, Estoril_ R05_03-11-25.pdf</x:v>
      </x:c>
      <x:c r="O220" t="n">
        <x:v>26</x:v>
      </x:c>
      <x:c r="P220" t="str">
        <x:v>Válida</x:v>
      </x:c>
    </x:row>
    <x:row r="221">
      <x:c r="A221" s="48" t="n">
        <x:v>45944</x:v>
      </x:c>
      <x:c r="B221" t="n">
        <x:v>2</x:v>
      </x:c>
      <x:c r="C221" t="str">
        <x:v>I3</x:v>
      </x:c>
      <x:c r="D221" t="n">
        <x:v>1</x:v>
      </x:c>
      <x:c r="E221" s="50" t="n">
        <x:v>3</x:v>
      </x:c>
      <x:c r="F221" s="50" t="n">
        <x:v>399.5</x:v>
      </x:c>
      <x:c r="G221" s="50" t="n">
        <x:v>-389.83</x:v>
      </x:c>
      <x:c r="H221" s="50" t="n">
        <x:v>-4.07</x:v>
      </x:c>
      <x:c r="I221" s="50" t="n">
        <x:v>15.77</x:v>
      </x:c>
      <x:c r="J221" s="50" t="n">
        <x:v>-0.26</x:v>
      </x:c>
      <x:c r="K221" s="50" t="n">
        <x:v>-1.86</x:v>
      </x:c>
      <x:c r="L221" s="50" t="n">
        <x:v>1.88</x:v>
      </x:c>
      <x:c r="M221" s="50" t="n">
        <x:v>1.88</x:v>
      </x:c>
      <x:c r="N221" t="str">
        <x:v>RELATÓRIO LEITURAS INCLINOMÉTRICAS - Empreitada THE EDEN, Estoril_ R05_03-11-25.pdf</x:v>
      </x:c>
      <x:c r="O221" t="n">
        <x:v>26</x:v>
      </x:c>
      <x:c r="P221" t="str">
        <x:v>Válida</x:v>
      </x:c>
    </x:row>
    <x:row r="222">
      <x:c r="A222" s="48" t="n">
        <x:v>45944</x:v>
      </x:c>
      <x:c r="B222" t="n">
        <x:v>2</x:v>
      </x:c>
      <x:c r="C222" t="str">
        <x:v>I3</x:v>
      </x:c>
      <x:c r="D222" t="n">
        <x:v>1</x:v>
      </x:c>
      <x:c r="E222" s="50" t="n">
        <x:v>3.5</x:v>
      </x:c>
      <x:c r="F222" s="50" t="n">
        <x:v>358.62</x:v>
      </x:c>
      <x:c r="G222" s="50" t="n">
        <x:v>-350.78</x:v>
      </x:c>
      <x:c r="H222" s="50" t="n">
        <x:v>-91.5</x:v>
      </x:c>
      <x:c r="I222" s="50" t="n">
        <x:v>97.76</x:v>
      </x:c>
      <x:c r="J222" s="50" t="n">
        <x:v>-0.23</x:v>
      </x:c>
      <x:c r="K222" s="50" t="n">
        <x:v>-1.98</x:v>
      </x:c>
      <x:c r="L222" s="50" t="n">
        <x:v>1.99</x:v>
      </x:c>
      <x:c r="M222" s="50" t="n">
        <x:v>1.99</x:v>
      </x:c>
      <x:c r="N222" t="str">
        <x:v>RELATÓRIO LEITURAS INCLINOMÉTRICAS - Empreitada THE EDEN, Estoril_ R05_03-11-25.pdf</x:v>
      </x:c>
      <x:c r="O222" t="n">
        <x:v>26</x:v>
      </x:c>
      <x:c r="P222" t="str">
        <x:v>Válida</x:v>
      </x:c>
    </x:row>
    <x:row r="223">
      <x:c r="A223" s="48" t="n">
        <x:v>45944</x:v>
      </x:c>
      <x:c r="B223" t="n">
        <x:v>2</x:v>
      </x:c>
      <x:c r="C223" t="str">
        <x:v>I3</x:v>
      </x:c>
      <x:c r="D223" t="n">
        <x:v>1</x:v>
      </x:c>
      <x:c r="E223" s="50" t="n">
        <x:v>4</x:v>
      </x:c>
      <x:c r="F223" s="50" t="n">
        <x:v>346.3</x:v>
      </x:c>
      <x:c r="G223" s="50" t="n">
        <x:v>-338.36</x:v>
      </x:c>
      <x:c r="H223" s="50" t="n">
        <x:v>-102.34</x:v>
      </x:c>
      <x:c r="I223" s="50" t="n">
        <x:v>120.56</x:v>
      </x:c>
      <x:c r="J223" s="50" t="n">
        <x:v>-0.2</x:v>
      </x:c>
      <x:c r="K223" s="50" t="n">
        <x:v>-1.96</x:v>
      </x:c>
      <x:c r="L223" s="50" t="n">
        <x:v>1.97</x:v>
      </x:c>
      <x:c r="M223" s="50" t="n">
        <x:v>1.97</x:v>
      </x:c>
      <x:c r="N223" t="str">
        <x:v>RELATÓRIO LEITURAS INCLINOMÉTRICAS - Empreitada THE EDEN, Estoril_ R05_03-11-25.pdf</x:v>
      </x:c>
      <x:c r="O223" t="n">
        <x:v>26</x:v>
      </x:c>
      <x:c r="P223" t="str">
        <x:v>Válida</x:v>
      </x:c>
    </x:row>
    <x:row r="224">
      <x:c r="A224" s="48" t="n">
        <x:v>45944</x:v>
      </x:c>
      <x:c r="B224" t="n">
        <x:v>2</x:v>
      </x:c>
      <x:c r="C224" t="str">
        <x:v>I3</x:v>
      </x:c>
      <x:c r="D224" t="n">
        <x:v>1</x:v>
      </x:c>
      <x:c r="E224" s="50" t="n">
        <x:v>4.5</x:v>
      </x:c>
      <x:c r="F224" s="50" t="n">
        <x:v>350.4</x:v>
      </x:c>
      <x:c r="G224" s="50" t="n">
        <x:v>-339.94</x:v>
      </x:c>
      <x:c r="H224" s="50" t="n">
        <x:v>-113.81</x:v>
      </x:c>
      <x:c r="I224" s="50" t="n">
        <x:v>108.44</x:v>
      </x:c>
      <x:c r="J224" s="50" t="n">
        <x:v>-0.18</x:v>
      </x:c>
      <x:c r="K224" s="50" t="n">
        <x:v>-1.92</x:v>
      </x:c>
      <x:c r="L224" s="50" t="n">
        <x:v>1.93</x:v>
      </x:c>
      <x:c r="M224" s="50" t="n">
        <x:v>1.93</x:v>
      </x:c>
      <x:c r="N224" t="str">
        <x:v>RELATÓRIO LEITURAS INCLINOMÉTRICAS - Empreitada THE EDEN, Estoril_ R05_03-11-25.pdf</x:v>
      </x:c>
      <x:c r="O224" t="n">
        <x:v>26</x:v>
      </x:c>
      <x:c r="P224" t="str">
        <x:v>Válida</x:v>
      </x:c>
    </x:row>
    <x:row r="225">
      <x:c r="A225" s="48" t="n">
        <x:v>45944</x:v>
      </x:c>
      <x:c r="B225" t="n">
        <x:v>2</x:v>
      </x:c>
      <x:c r="C225" t="str">
        <x:v>I3</x:v>
      </x:c>
      <x:c r="D225" t="n">
        <x:v>1</x:v>
      </x:c>
      <x:c r="E225" s="50" t="n">
        <x:v>5</x:v>
      </x:c>
      <x:c r="F225" s="50" t="n">
        <x:v>287.92</x:v>
      </x:c>
      <x:c r="G225" s="50" t="n">
        <x:v>-279.24</x:v>
      </x:c>
      <x:c r="H225" s="50" t="n">
        <x:v>-74.24</x:v>
      </x:c>
      <x:c r="I225" s="50" t="n">
        <x:v>65.22</x:v>
      </x:c>
      <x:c r="J225" s="50" t="n">
        <x:v>-0.16</x:v>
      </x:c>
      <x:c r="K225" s="50" t="n">
        <x:v>-1.9</x:v>
      </x:c>
      <x:c r="L225" s="50" t="n">
        <x:v>1.91</x:v>
      </x:c>
      <x:c r="M225" s="50" t="n">
        <x:v>1.91</x:v>
      </x:c>
      <x:c r="N225" t="str">
        <x:v>RELATÓRIO LEITURAS INCLINOMÉTRICAS - Empreitada THE EDEN, Estoril_ R05_03-11-25.pdf</x:v>
      </x:c>
      <x:c r="O225" t="n">
        <x:v>26</x:v>
      </x:c>
      <x:c r="P225" t="str">
        <x:v>Válida</x:v>
      </x:c>
    </x:row>
    <x:row r="226">
      <x:c r="A226" s="48" t="n">
        <x:v>45944</x:v>
      </x:c>
      <x:c r="B226" t="n">
        <x:v>2</x:v>
      </x:c>
      <x:c r="C226" t="str">
        <x:v>I3</x:v>
      </x:c>
      <x:c r="D226" t="n">
        <x:v>1</x:v>
      </x:c>
      <x:c r="E226" s="50" t="n">
        <x:v>5.5</x:v>
      </x:c>
      <x:c r="F226" s="50" t="n">
        <x:v>204.97</x:v>
      </x:c>
      <x:c r="G226" s="50" t="n">
        <x:v>-195.34</x:v>
      </x:c>
      <x:c r="H226" s="50" t="n">
        <x:v>-24.15</x:v>
      </x:c>
      <x:c r="I226" s="50" t="n">
        <x:v>21.44</x:v>
      </x:c>
      <x:c r="J226" s="50" t="n">
        <x:v>-0.13</x:v>
      </x:c>
      <x:c r="K226" s="50" t="n">
        <x:v>-1.89</x:v>
      </x:c>
      <x:c r="L226" s="50" t="n">
        <x:v>1.89</x:v>
      </x:c>
      <x:c r="M226" s="50" t="n">
        <x:v>1.89</x:v>
      </x:c>
      <x:c r="N226" t="str">
        <x:v>RELATÓRIO LEITURAS INCLINOMÉTRICAS - Empreitada THE EDEN, Estoril_ R05_03-11-25.pdf</x:v>
      </x:c>
      <x:c r="O226" t="n">
        <x:v>26</x:v>
      </x:c>
      <x:c r="P226" t="str">
        <x:v>Válida</x:v>
      </x:c>
    </x:row>
    <x:row r="227">
      <x:c r="A227" s="48" t="n">
        <x:v>45944</x:v>
      </x:c>
      <x:c r="B227" t="n">
        <x:v>2</x:v>
      </x:c>
      <x:c r="C227" t="str">
        <x:v>I3</x:v>
      </x:c>
      <x:c r="D227" t="n">
        <x:v>1</x:v>
      </x:c>
      <x:c r="E227" s="50" t="n">
        <x:v>6</x:v>
      </x:c>
      <x:c r="F227" s="50" t="n">
        <x:v>170.67</x:v>
      </x:c>
      <x:c r="G227" s="50" t="n">
        <x:v>-161.3</x:v>
      </x:c>
      <x:c r="H227" s="50" t="n">
        <x:v>20.46</x:v>
      </x:c>
      <x:c r="I227" s="50" t="n">
        <x:v>-20.32</x:v>
      </x:c>
      <x:c r="J227" s="50" t="n">
        <x:v>-0.1</x:v>
      </x:c>
      <x:c r="K227" s="50" t="n">
        <x:v>-1.81</x:v>
      </x:c>
      <x:c r="L227" s="50" t="n">
        <x:v>1.82</x:v>
      </x:c>
      <x:c r="M227" s="50" t="n">
        <x:v>1.82</x:v>
      </x:c>
      <x:c r="N227" t="str">
        <x:v>RELATÓRIO LEITURAS INCLINOMÉTRICAS - Empreitada THE EDEN, Estoril_ R05_03-11-25.pdf</x:v>
      </x:c>
      <x:c r="O227" t="n">
        <x:v>26</x:v>
      </x:c>
      <x:c r="P227" t="str">
        <x:v>Válida</x:v>
      </x:c>
    </x:row>
    <x:row r="228">
      <x:c r="A228" s="48" t="n">
        <x:v>45944</x:v>
      </x:c>
      <x:c r="B228" t="n">
        <x:v>2</x:v>
      </x:c>
      <x:c r="C228" t="str">
        <x:v>I3</x:v>
      </x:c>
      <x:c r="D228" t="n">
        <x:v>1</x:v>
      </x:c>
      <x:c r="E228" s="50" t="n">
        <x:v>6.5</x:v>
      </x:c>
      <x:c r="F228" s="50" t="n">
        <x:v>173.22</x:v>
      </x:c>
      <x:c r="G228" s="50" t="n">
        <x:v>-164.86</x:v>
      </x:c>
      <x:c r="H228" s="50" t="n">
        <x:v>71.02</x:v>
      </x:c>
      <x:c r="I228" s="50" t="n">
        <x:v>-71.66</x:v>
      </x:c>
      <x:c r="J228" s="50" t="n">
        <x:v>-0.07</x:v>
      </x:c>
      <x:c r="K228" s="50" t="n">
        <x:v>-1.88</x:v>
      </x:c>
      <x:c r="L228" s="50" t="n">
        <x:v>1.88</x:v>
      </x:c>
      <x:c r="M228" s="50" t="n">
        <x:v>1.88</x:v>
      </x:c>
      <x:c r="N228" t="str">
        <x:v>RELATÓRIO LEITURAS INCLINOMÉTRICAS - Empreitada THE EDEN, Estoril_ R05_03-11-25.pdf</x:v>
      </x:c>
      <x:c r="O228" t="n">
        <x:v>26</x:v>
      </x:c>
      <x:c r="P228" t="str">
        <x:v>Válida</x:v>
      </x:c>
    </x:row>
    <x:row r="229">
      <x:c r="A229" s="48" t="n">
        <x:v>45944</x:v>
      </x:c>
      <x:c r="B229" t="n">
        <x:v>2</x:v>
      </x:c>
      <x:c r="C229" t="str">
        <x:v>I3</x:v>
      </x:c>
      <x:c r="D229" t="n">
        <x:v>1</x:v>
      </x:c>
      <x:c r="E229" s="50" t="n">
        <x:v>7</x:v>
      </x:c>
      <x:c r="F229" s="50" t="n">
        <x:v>136.31</x:v>
      </x:c>
      <x:c r="G229" s="50" t="n">
        <x:v>-127.84</x:v>
      </x:c>
      <x:c r="H229" s="50" t="n">
        <x:v>133.53</x:v>
      </x:c>
      <x:c r="I229" s="50" t="n">
        <x:v>-136.16</x:v>
      </x:c>
      <x:c r="J229" s="50" t="n">
        <x:v>-0.06</x:v>
      </x:c>
      <x:c r="K229" s="50" t="n">
        <x:v>-1.9</x:v>
      </x:c>
      <x:c r="L229" s="50" t="n">
        <x:v>1.9</x:v>
      </x:c>
      <x:c r="M229" s="50" t="n">
        <x:v>1.9</x:v>
      </x:c>
      <x:c r="N229" t="str">
        <x:v>RELATÓRIO LEITURAS INCLINOMÉTRICAS - Empreitada THE EDEN, Estoril_ R05_03-11-25.pdf</x:v>
      </x:c>
      <x:c r="O229" t="n">
        <x:v>26</x:v>
      </x:c>
      <x:c r="P229" t="str">
        <x:v>Válida</x:v>
      </x:c>
    </x:row>
    <x:row r="230">
      <x:c r="A230" s="48" t="n">
        <x:v>45944</x:v>
      </x:c>
      <x:c r="B230" t="n">
        <x:v>2</x:v>
      </x:c>
      <x:c r="C230" t="str">
        <x:v>I3</x:v>
      </x:c>
      <x:c r="D230" t="n">
        <x:v>1</x:v>
      </x:c>
      <x:c r="E230" s="50" t="n">
        <x:v>7.5</x:v>
      </x:c>
      <x:c r="F230" s="50" t="n">
        <x:v>95.31</x:v>
      </x:c>
      <x:c r="G230" s="50" t="n">
        <x:v>-87.94</x:v>
      </x:c>
      <x:c r="H230" s="50" t="n">
        <x:v>208.26</x:v>
      </x:c>
      <x:c r="I230" s="50" t="n">
        <x:v>-200.68</x:v>
      </x:c>
      <x:c r="J230" s="50" t="n">
        <x:v>-0.04</x:v>
      </x:c>
      <x:c r="K230" s="50" t="n">
        <x:v>-1.89</x:v>
      </x:c>
      <x:c r="L230" s="50" t="n">
        <x:v>1.89</x:v>
      </x:c>
      <x:c r="M230" s="50" t="n">
        <x:v>1.89</x:v>
      </x:c>
      <x:c r="N230" t="str">
        <x:v>RELATÓRIO LEITURAS INCLINOMÉTRICAS - Empreitada THE EDEN, Estoril_ R05_03-11-25.pdf</x:v>
      </x:c>
      <x:c r="O230" t="n">
        <x:v>26</x:v>
      </x:c>
      <x:c r="P230" t="str">
        <x:v>Válida</x:v>
      </x:c>
    </x:row>
    <x:row r="231">
      <x:c r="A231" s="48" t="n">
        <x:v>45944</x:v>
      </x:c>
      <x:c r="B231" t="n">
        <x:v>2</x:v>
      </x:c>
      <x:c r="C231" t="str">
        <x:v>I3</x:v>
      </x:c>
      <x:c r="D231" t="n">
        <x:v>1</x:v>
      </x:c>
      <x:c r="E231" s="50" t="n">
        <x:v>8</x:v>
      </x:c>
      <x:c r="F231" s="50" t="n">
        <x:v>98</x:v>
      </x:c>
      <x:c r="G231" s="50" t="n">
        <x:v>-91.74</x:v>
      </x:c>
      <x:c r="H231" s="50" t="n">
        <x:v>245</x:v>
      </x:c>
      <x:c r="I231" s="50" t="n">
        <x:v>-246.54</x:v>
      </x:c>
      <x:c r="J231" s="50" t="n">
        <x:v>-0.03</x:v>
      </x:c>
      <x:c r="K231" s="50" t="n">
        <x:v>-1.8</x:v>
      </x:c>
      <x:c r="L231" s="50" t="n">
        <x:v>1.8</x:v>
      </x:c>
      <x:c r="M231" s="50" t="n">
        <x:v>1.8</x:v>
      </x:c>
      <x:c r="N231" t="str">
        <x:v>RELATÓRIO LEITURAS INCLINOMÉTRICAS - Empreitada THE EDEN, Estoril_ R05_03-11-25.pdf</x:v>
      </x:c>
      <x:c r="O231" t="n">
        <x:v>26</x:v>
      </x:c>
      <x:c r="P231" t="str">
        <x:v>Válida</x:v>
      </x:c>
    </x:row>
    <x:row r="232">
      <x:c r="A232" s="48" t="n">
        <x:v>45944</x:v>
      </x:c>
      <x:c r="B232" t="n">
        <x:v>2</x:v>
      </x:c>
      <x:c r="C232" t="str">
        <x:v>I3</x:v>
      </x:c>
      <x:c r="D232" t="n">
        <x:v>1</x:v>
      </x:c>
      <x:c r="E232" s="50" t="n">
        <x:v>8.5</x:v>
      </x:c>
      <x:c r="F232" s="50" t="n">
        <x:v>128.26</x:v>
      </x:c>
      <x:c r="G232" s="50" t="n">
        <x:v>-121.72</x:v>
      </x:c>
      <x:c r="H232" s="50" t="n">
        <x:v>329.27</x:v>
      </x:c>
      <x:c r="I232" s="50" t="n">
        <x:v>-314.44</x:v>
      </x:c>
      <x:c r="J232" s="50" t="n">
        <x:v>-0.01</x:v>
      </x:c>
      <x:c r="K232" s="50" t="n">
        <x:v>-1.64</x:v>
      </x:c>
      <x:c r="L232" s="50" t="n">
        <x:v>1.64</x:v>
      </x:c>
      <x:c r="M232" s="50" t="n">
        <x:v>1.64</x:v>
      </x:c>
      <x:c r="N232" t="str">
        <x:v>RELATÓRIO LEITURAS INCLINOMÉTRICAS - Empreitada THE EDEN, Estoril_ R05_03-11-25.pdf</x:v>
      </x:c>
      <x:c r="O232" t="n">
        <x:v>26</x:v>
      </x:c>
      <x:c r="P232" t="str">
        <x:v>Válida</x:v>
      </x:c>
    </x:row>
    <x:row r="233">
      <x:c r="A233" s="48" t="n">
        <x:v>45944</x:v>
      </x:c>
      <x:c r="B233" t="n">
        <x:v>2</x:v>
      </x:c>
      <x:c r="C233" t="str">
        <x:v>I3</x:v>
      </x:c>
      <x:c r="D233" t="n">
        <x:v>1</x:v>
      </x:c>
      <x:c r="E233" s="50" t="n">
        <x:v>9</x:v>
      </x:c>
      <x:c r="F233" s="50" t="n">
        <x:v>177.83</x:v>
      </x:c>
      <x:c r="G233" s="50" t="n">
        <x:v>-170.61</x:v>
      </x:c>
      <x:c r="H233" s="50" t="n">
        <x:v>373.25</x:v>
      </x:c>
      <x:c r="I233" s="50" t="n">
        <x:v>-357.66</x:v>
      </x:c>
      <x:c r="J233" s="50" t="n">
        <x:v>0.02</x:v>
      </x:c>
      <x:c r="K233" s="50" t="n">
        <x:v>-1.41</x:v>
      </x:c>
      <x:c r="L233" s="50" t="n">
        <x:v>1.41</x:v>
      </x:c>
      <x:c r="M233" s="50" t="n">
        <x:v>1.41</x:v>
      </x:c>
      <x:c r="N233" t="str">
        <x:v>RELATÓRIO LEITURAS INCLINOMÉTRICAS - Empreitada THE EDEN, Estoril_ R05_03-11-25.pdf</x:v>
      </x:c>
      <x:c r="O233" t="n">
        <x:v>26</x:v>
      </x:c>
      <x:c r="P233" t="str">
        <x:v>Válida</x:v>
      </x:c>
    </x:row>
    <x:row r="234">
      <x:c r="A234" s="48" t="n">
        <x:v>45944</x:v>
      </x:c>
      <x:c r="B234" t="n">
        <x:v>2</x:v>
      </x:c>
      <x:c r="C234" t="str">
        <x:v>I3</x:v>
      </x:c>
      <x:c r="D234" t="n">
        <x:v>1</x:v>
      </x:c>
      <x:c r="E234" s="50" t="n">
        <x:v>9.5</x:v>
      </x:c>
      <x:c r="F234" s="50" t="n">
        <x:v>161.73</x:v>
      </x:c>
      <x:c r="G234" s="50" t="n">
        <x:v>-161.26</x:v>
      </x:c>
      <x:c r="H234" s="50" t="n">
        <x:v>430.08</x:v>
      </x:c>
      <x:c r="I234" s="50" t="n">
        <x:v>-409.86</x:v>
      </x:c>
      <x:c r="J234" s="50" t="n">
        <x:v>0.01</x:v>
      </x:c>
      <x:c r="K234" s="50" t="n">
        <x:v>-1.38</x:v>
      </x:c>
      <x:c r="L234" s="50" t="n">
        <x:v>1.38</x:v>
      </x:c>
      <x:c r="M234" s="50" t="n">
        <x:v>1.38</x:v>
      </x:c>
      <x:c r="N234" t="str">
        <x:v>RELATÓRIO LEITURAS INCLINOMÉTRICAS - Empreitada THE EDEN, Estoril_ R05_03-11-25.pdf</x:v>
      </x:c>
      <x:c r="O234" t="n">
        <x:v>26</x:v>
      </x:c>
      <x:c r="P234" t="str">
        <x:v>Válida</x:v>
      </x:c>
    </x:row>
    <x:row r="235">
      <x:c r="A235" s="48" t="n">
        <x:v>45944</x:v>
      </x:c>
      <x:c r="B235" t="n">
        <x:v>2</x:v>
      </x:c>
      <x:c r="C235" t="str">
        <x:v>I3</x:v>
      </x:c>
      <x:c r="D235" t="n">
        <x:v>1</x:v>
      </x:c>
      <x:c r="E235" s="50" t="n">
        <x:v>10</x:v>
      </x:c>
      <x:c r="F235" s="50" t="n">
        <x:v>145.37</x:v>
      </x:c>
      <x:c r="G235" s="50" t="n">
        <x:v>-138.73</x:v>
      </x:c>
      <x:c r="H235" s="50" t="n">
        <x:v>445.18</x:v>
      </x:c>
      <x:c r="I235" s="50" t="n">
        <x:v>-430.78</x:v>
      </x:c>
      <x:c r="J235" s="50" t="n">
        <x:v>0</x:v>
      </x:c>
      <x:c r="K235" s="50" t="n">
        <x:v>-1.26</x:v>
      </x:c>
      <x:c r="L235" s="50" t="n">
        <x:v>1.26</x:v>
      </x:c>
      <x:c r="M235" s="50" t="n">
        <x:v>1.26</x:v>
      </x:c>
      <x:c r="N235" t="str">
        <x:v>RELATÓRIO LEITURAS INCLINOMÉTRICAS - Empreitada THE EDEN, Estoril_ R05_03-11-25.pdf</x:v>
      </x:c>
      <x:c r="O235" t="n">
        <x:v>26</x:v>
      </x:c>
      <x:c r="P235" t="str">
        <x:v>Válida</x:v>
      </x:c>
    </x:row>
    <x:row r="236">
      <x:c r="A236" s="48" t="n">
        <x:v>45944</x:v>
      </x:c>
      <x:c r="B236" t="n">
        <x:v>2</x:v>
      </x:c>
      <x:c r="C236" t="str">
        <x:v>I3</x:v>
      </x:c>
      <x:c r="D236" t="n">
        <x:v>1</x:v>
      </x:c>
      <x:c r="E236" s="50" t="n">
        <x:v>10.5</x:v>
      </x:c>
      <x:c r="F236" s="50" t="n">
        <x:v>329.31</x:v>
      </x:c>
      <x:c r="G236" s="50" t="n">
        <x:v>-323.42</x:v>
      </x:c>
      <x:c r="H236" s="50" t="n">
        <x:v>467.43</x:v>
      </x:c>
      <x:c r="I236" s="50" t="n">
        <x:v>-462.03</x:v>
      </x:c>
      <x:c r="J236" s="50" t="n">
        <x:v>0</x:v>
      </x:c>
      <x:c r="K236" s="50" t="n">
        <x:v>-1.35</x:v>
      </x:c>
      <x:c r="L236" s="50" t="n">
        <x:v>1.35</x:v>
      </x:c>
      <x:c r="M236" s="50" t="n">
        <x:v>1.35</x:v>
      </x:c>
      <x:c r="N236" t="str">
        <x:v>RELATÓRIO LEITURAS INCLINOMÉTRICAS - Empreitada THE EDEN, Estoril_ R05_03-11-25.pdf</x:v>
      </x:c>
      <x:c r="O236" t="n">
        <x:v>26</x:v>
      </x:c>
      <x:c r="P236" t="str">
        <x:v>Válida</x:v>
      </x:c>
    </x:row>
    <x:row r="237">
      <x:c r="A237" s="48" t="n">
        <x:v>45944</x:v>
      </x:c>
      <x:c r="B237" t="n">
        <x:v>2</x:v>
      </x:c>
      <x:c r="C237" t="str">
        <x:v>I3</x:v>
      </x:c>
      <x:c r="D237" t="n">
        <x:v>1</x:v>
      </x:c>
      <x:c r="E237" s="50" t="n">
        <x:v>11</x:v>
      </x:c>
      <x:c r="F237" s="50" t="n">
        <x:v>346.25</x:v>
      </x:c>
      <x:c r="G237" s="50" t="n">
        <x:v>-338</x:v>
      </x:c>
      <x:c r="H237" s="50" t="n">
        <x:v>452.25</x:v>
      </x:c>
      <x:c r="I237" s="50" t="n">
        <x:v>-449.55</x:v>
      </x:c>
      <x:c r="J237" s="50" t="n">
        <x:v>0</x:v>
      </x:c>
      <x:c r="K237" s="50" t="n">
        <x:v>-1.26</x:v>
      </x:c>
      <x:c r="L237" s="50" t="n">
        <x:v>1.26</x:v>
      </x:c>
      <x:c r="M237" s="50" t="n">
        <x:v>1.26</x:v>
      </x:c>
      <x:c r="N237" t="str">
        <x:v>RELATÓRIO LEITURAS INCLINOMÉTRICAS - Empreitada THE EDEN, Estoril_ R05_03-11-25.pdf</x:v>
      </x:c>
      <x:c r="O237" t="n">
        <x:v>26</x:v>
      </x:c>
      <x:c r="P237" t="str">
        <x:v>Válida</x:v>
      </x:c>
    </x:row>
    <x:row r="238">
      <x:c r="A238" s="48" t="n">
        <x:v>45944</x:v>
      </x:c>
      <x:c r="B238" t="n">
        <x:v>2</x:v>
      </x:c>
      <x:c r="C238" t="str">
        <x:v>I3</x:v>
      </x:c>
      <x:c r="D238" t="n">
        <x:v>1</x:v>
      </x:c>
      <x:c r="E238" s="50" t="n">
        <x:v>11.5</x:v>
      </x:c>
      <x:c r="F238" s="50" t="n">
        <x:v>320.59</x:v>
      </x:c>
      <x:c r="G238" s="50" t="n">
        <x:v>-307.76</x:v>
      </x:c>
      <x:c r="H238" s="50" t="n">
        <x:v>355.7</x:v>
      </x:c>
      <x:c r="I238" s="50" t="n">
        <x:v>-366.6</x:v>
      </x:c>
      <x:c r="J238" s="50" t="n">
        <x:v>0.01</x:v>
      </x:c>
      <x:c r="K238" s="50" t="n">
        <x:v>-1.3</x:v>
      </x:c>
      <x:c r="L238" s="50" t="n">
        <x:v>1.3</x:v>
      </x:c>
      <x:c r="M238" s="50" t="n">
        <x:v>1.3</x:v>
      </x:c>
      <x:c r="N238" t="str">
        <x:v>RELATÓRIO LEITURAS INCLINOMÉTRICAS - Empreitada THE EDEN, Estoril_ R05_03-11-25.pdf</x:v>
      </x:c>
      <x:c r="O238" t="n">
        <x:v>26</x:v>
      </x:c>
      <x:c r="P238" t="str">
        <x:v>Válida</x:v>
      </x:c>
    </x:row>
    <x:row r="239">
      <x:c r="A239" s="48" t="n">
        <x:v>45944</x:v>
      </x:c>
      <x:c r="B239" t="n">
        <x:v>2</x:v>
      </x:c>
      <x:c r="C239" t="str">
        <x:v>I3</x:v>
      </x:c>
      <x:c r="D239" t="n">
        <x:v>1</x:v>
      </x:c>
      <x:c r="E239" s="50" t="n">
        <x:v>12</x:v>
      </x:c>
      <x:c r="F239" s="50" t="n">
        <x:v>299.58</x:v>
      </x:c>
      <x:c r="G239" s="50" t="n">
        <x:v>-287.58</x:v>
      </x:c>
      <x:c r="H239" s="50" t="n">
        <x:v>255.62</x:v>
      </x:c>
      <x:c r="I239" s="50" t="n">
        <x:v>-270.59</x:v>
      </x:c>
      <x:c r="J239" s="50" t="n">
        <x:v>0.01</x:v>
      </x:c>
      <x:c r="K239" s="50" t="n">
        <x:v>-1.48</x:v>
      </x:c>
      <x:c r="L239" s="50" t="n">
        <x:v>1.48</x:v>
      </x:c>
      <x:c r="M239" s="50" t="n">
        <x:v>1.48</x:v>
      </x:c>
      <x:c r="N239" t="str">
        <x:v>RELATÓRIO LEITURAS INCLINOMÉTRICAS - Empreitada THE EDEN, Estoril_ R05_03-11-25.pdf</x:v>
      </x:c>
      <x:c r="O239" t="n">
        <x:v>26</x:v>
      </x:c>
      <x:c r="P239" t="str">
        <x:v>Válida</x:v>
      </x:c>
    </x:row>
    <x:row r="240">
      <x:c r="A240" s="48" t="n">
        <x:v>45944</x:v>
      </x:c>
      <x:c r="B240" t="n">
        <x:v>2</x:v>
      </x:c>
      <x:c r="C240" t="str">
        <x:v>I3</x:v>
      </x:c>
      <x:c r="D240" t="n">
        <x:v>1</x:v>
      </x:c>
      <x:c r="E240" s="50" t="n">
        <x:v>12.5</x:v>
      </x:c>
      <x:c r="F240" s="50" t="n">
        <x:v>251.32</x:v>
      </x:c>
      <x:c r="G240" s="50" t="n">
        <x:v>-241.99</x:v>
      </x:c>
      <x:c r="H240" s="50" t="n">
        <x:v>178.13</x:v>
      </x:c>
      <x:c r="I240" s="50" t="n">
        <x:v>-178.09</x:v>
      </x:c>
      <x:c r="J240" s="50" t="n">
        <x:v>0.07</x:v>
      </x:c>
      <x:c r="K240" s="50" t="n">
        <x:v>-1.98</x:v>
      </x:c>
      <x:c r="L240" s="50" t="n">
        <x:v>1.98</x:v>
      </x:c>
      <x:c r="M240" s="50" t="n">
        <x:v>1.98</x:v>
      </x:c>
      <x:c r="N240" t="str">
        <x:v>RELATÓRIO LEITURAS INCLINOMÉTRICAS - Empreitada THE EDEN, Estoril_ R05_03-11-25.pdf</x:v>
      </x:c>
      <x:c r="O240" t="n">
        <x:v>26</x:v>
      </x:c>
      <x:c r="P240" t="str">
        <x:v>Válida</x:v>
      </x:c>
    </x:row>
    <x:row r="241">
      <x:c r="A241" s="48" t="n">
        <x:v>45944</x:v>
      </x:c>
      <x:c r="B241" t="n">
        <x:v>2</x:v>
      </x:c>
      <x:c r="C241" t="str">
        <x:v>I3</x:v>
      </x:c>
      <x:c r="D241" t="n">
        <x:v>1</x:v>
      </x:c>
      <x:c r="E241" s="50" t="n">
        <x:v>13</x:v>
      </x:c>
      <x:c r="F241" s="50" t="n">
        <x:v>219.76</x:v>
      </x:c>
      <x:c r="G241" s="50" t="n">
        <x:v>-211.78</x:v>
      </x:c>
      <x:c r="H241" s="50" t="n">
        <x:v>136.02</x:v>
      </x:c>
      <x:c r="I241" s="50" t="n">
        <x:v>-122.1</x:v>
      </x:c>
      <x:c r="J241" s="50" t="n">
        <x:v>0.1</x:v>
      </x:c>
      <x:c r="K241" s="50" t="n">
        <x:v>-2.3</x:v>
      </x:c>
      <x:c r="L241" s="50" t="n">
        <x:v>2.3</x:v>
      </x:c>
      <x:c r="M241" s="50" t="n">
        <x:v>2.3</x:v>
      </x:c>
      <x:c r="N241" t="str">
        <x:v>RELATÓRIO LEITURAS INCLINOMÉTRICAS - Empreitada THE EDEN, Estoril_ R05_03-11-25.pdf</x:v>
      </x:c>
      <x:c r="O241" t="n">
        <x:v>26</x:v>
      </x:c>
      <x:c r="P241" t="str">
        <x:v>Válida</x:v>
      </x:c>
    </x:row>
    <x:row r="242">
      <x:c r="A242" s="48" t="n">
        <x:v>45944</x:v>
      </x:c>
      <x:c r="B242" t="n">
        <x:v>2</x:v>
      </x:c>
      <x:c r="C242" t="str">
        <x:v>I3</x:v>
      </x:c>
      <x:c r="D242" t="n">
        <x:v>1</x:v>
      </x:c>
      <x:c r="E242" s="50" t="n">
        <x:v>13.5</x:v>
      </x:c>
      <x:c r="F242" s="50" t="n">
        <x:v>191.33</x:v>
      </x:c>
      <x:c r="G242" s="50" t="n">
        <x:v>-185.12</x:v>
      </x:c>
      <x:c r="H242" s="50" t="n">
        <x:v>139.71</x:v>
      </x:c>
      <x:c r="I242" s="50" t="n">
        <x:v>-159.51</x:v>
      </x:c>
      <x:c r="J242" s="50" t="n">
        <x:v>0.08</x:v>
      </x:c>
      <x:c r="K242" s="50" t="n">
        <x:v>-2.25</x:v>
      </x:c>
      <x:c r="L242" s="50" t="n">
        <x:v>2.25</x:v>
      </x:c>
      <x:c r="M242" s="50" t="n">
        <x:v>2.25</x:v>
      </x:c>
      <x:c r="N242" t="str">
        <x:v>RELATÓRIO LEITURAS INCLINOMÉTRICAS - Empreitada THE EDEN, Estoril_ R05_03-11-25.pdf</x:v>
      </x:c>
      <x:c r="O242" t="n">
        <x:v>26</x:v>
      </x:c>
      <x:c r="P242" t="str">
        <x:v>Válida</x:v>
      </x:c>
    </x:row>
    <x:row r="243">
      <x:c r="A243" s="48" t="n">
        <x:v>45944</x:v>
      </x:c>
      <x:c r="B243" t="n">
        <x:v>2</x:v>
      </x:c>
      <x:c r="C243" t="str">
        <x:v>I3</x:v>
      </x:c>
      <x:c r="D243" t="n">
        <x:v>1</x:v>
      </x:c>
      <x:c r="E243" s="50" t="n">
        <x:v>14</x:v>
      </x:c>
      <x:c r="F243" s="50" t="n">
        <x:v>149.78</x:v>
      </x:c>
      <x:c r="G243" s="50" t="n">
        <x:v>-143.56</x:v>
      </x:c>
      <x:c r="H243" s="50" t="n">
        <x:v>158.78</x:v>
      </x:c>
      <x:c r="I243" s="50" t="n">
        <x:v>-171.86</x:v>
      </x:c>
      <x:c r="J243" s="50" t="n">
        <x:v>0.04</x:v>
      </x:c>
      <x:c r="K243" s="50" t="n">
        <x:v>-1.71</x:v>
      </x:c>
      <x:c r="L243" s="50" t="n">
        <x:v>1.71</x:v>
      </x:c>
      <x:c r="M243" s="50" t="n">
        <x:v>1.71</x:v>
      </x:c>
      <x:c r="N243" t="str">
        <x:v>RELATÓRIO LEITURAS INCLINOMÉTRICAS - Empreitada THE EDEN, Estoril_ R05_03-11-25.pdf</x:v>
      </x:c>
      <x:c r="O243" t="n">
        <x:v>26</x:v>
      </x:c>
      <x:c r="P243" t="str">
        <x:v>Válida</x:v>
      </x:c>
    </x:row>
    <x:row r="244">
      <x:c r="A244" s="48" t="n">
        <x:v>45944</x:v>
      </x:c>
      <x:c r="B244" t="n">
        <x:v>2</x:v>
      </x:c>
      <x:c r="C244" t="str">
        <x:v>I3</x:v>
      </x:c>
      <x:c r="D244" t="n">
        <x:v>1</x:v>
      </x:c>
      <x:c r="E244" s="50" t="n">
        <x:v>14.5</x:v>
      </x:c>
      <x:c r="F244" s="50" t="n">
        <x:v>144.32</x:v>
      </x:c>
      <x:c r="G244" s="50" t="n">
        <x:v>-136.38</x:v>
      </x:c>
      <x:c r="H244" s="50" t="n">
        <x:v>186.17</x:v>
      </x:c>
      <x:c r="I244" s="50" t="n">
        <x:v>-198.08</x:v>
      </x:c>
      <x:c r="J244" s="50" t="n">
        <x:v>0.11</x:v>
      </x:c>
      <x:c r="K244" s="50" t="n">
        <x:v>-2.02</x:v>
      </x:c>
      <x:c r="L244" s="50" t="n">
        <x:v>2.02</x:v>
      </x:c>
      <x:c r="M244" s="50" t="n">
        <x:v>2.02</x:v>
      </x:c>
      <x:c r="N244" t="str">
        <x:v>RELATÓRIO LEITURAS INCLINOMÉTRICAS - Empreitada THE EDEN, Estoril_ R05_03-11-25.pdf</x:v>
      </x:c>
      <x:c r="O244" t="n">
        <x:v>26</x:v>
      </x:c>
      <x:c r="P244" t="str">
        <x:v>Válida</x:v>
      </x:c>
    </x:row>
    <x:row r="245">
      <x:c r="A245" s="48" t="n">
        <x:v>45944</x:v>
      </x:c>
      <x:c r="B245" t="n">
        <x:v>2</x:v>
      </x:c>
      <x:c r="C245" t="str">
        <x:v>I3</x:v>
      </x:c>
      <x:c r="D245" t="n">
        <x:v>1</x:v>
      </x:c>
      <x:c r="E245" s="50" t="n">
        <x:v>15</x:v>
      </x:c>
      <x:c r="F245" s="50" t="n">
        <x:v>150.45</x:v>
      </x:c>
      <x:c r="G245" s="50" t="n">
        <x:v>-141.49</x:v>
      </x:c>
      <x:c r="H245" s="50" t="n">
        <x:v>265.94</x:v>
      </x:c>
      <x:c r="I245" s="50" t="n">
        <x:v>-263.95</x:v>
      </x:c>
      <x:c r="J245" s="50" t="n">
        <x:v>0.1</x:v>
      </x:c>
      <x:c r="K245" s="50" t="n">
        <x:v>-1.94</x:v>
      </x:c>
      <x:c r="L245" s="50" t="n">
        <x:v>1.94</x:v>
      </x:c>
      <x:c r="M245" s="50" t="n">
        <x:v>1.94</x:v>
      </x:c>
      <x:c r="N245" t="str">
        <x:v>RELATÓRIO LEITURAS INCLINOMÉTRICAS - Empreitada THE EDEN, Estoril_ R05_03-11-25.pdf</x:v>
      </x:c>
      <x:c r="O245" t="n">
        <x:v>26</x:v>
      </x:c>
      <x:c r="P245" t="str">
        <x:v>Válida</x:v>
      </x:c>
    </x:row>
    <x:row r="246">
      <x:c r="A246" s="48" t="n">
        <x:v>45944</x:v>
      </x:c>
      <x:c r="B246" t="n">
        <x:v>2</x:v>
      </x:c>
      <x:c r="C246" t="str">
        <x:v>I3</x:v>
      </x:c>
      <x:c r="D246" t="n">
        <x:v>1</x:v>
      </x:c>
      <x:c r="E246" s="50" t="n">
        <x:v>15.5</x:v>
      </x:c>
      <x:c r="F246" s="50" t="n">
        <x:v>62.02</x:v>
      </x:c>
      <x:c r="G246" s="50" t="n">
        <x:v>-57.01</x:v>
      </x:c>
      <x:c r="H246" s="50" t="n">
        <x:v>360.76</x:v>
      </x:c>
      <x:c r="I246" s="50" t="n">
        <x:v>-340.91</x:v>
      </x:c>
      <x:c r="J246" s="50" t="n">
        <x:v>0.12</x:v>
      </x:c>
      <x:c r="K246" s="50" t="n">
        <x:v>-1.84</x:v>
      </x:c>
      <x:c r="L246" s="50" t="n">
        <x:v>1.84</x:v>
      </x:c>
      <x:c r="M246" s="50" t="n">
        <x:v>1.84</x:v>
      </x:c>
      <x:c r="N246" t="str">
        <x:v>RELATÓRIO LEITURAS INCLINOMÉTRICAS - Empreitada THE EDEN, Estoril_ R05_03-11-25.pdf</x:v>
      </x:c>
      <x:c r="O246" t="n">
        <x:v>26</x:v>
      </x:c>
      <x:c r="P246" t="str">
        <x:v>Válida</x:v>
      </x:c>
    </x:row>
    <x:row r="247">
      <x:c r="A247" s="48" t="n">
        <x:v>45944</x:v>
      </x:c>
      <x:c r="B247" t="n">
        <x:v>2</x:v>
      </x:c>
      <x:c r="C247" t="str">
        <x:v>I3</x:v>
      </x:c>
      <x:c r="D247" t="n">
        <x:v>1</x:v>
      </x:c>
      <x:c r="E247" s="50" t="n">
        <x:v>16</x:v>
      </x:c>
      <x:c r="F247" s="50" t="n">
        <x:v>200.95</x:v>
      </x:c>
      <x:c r="G247" s="50" t="n">
        <x:v>-185.47</x:v>
      </x:c>
      <x:c r="H247" s="50" t="n">
        <x:v>194.82</x:v>
      </x:c>
      <x:c r="I247" s="50" t="n">
        <x:v>-175.79</x:v>
      </x:c>
      <x:c r="J247" s="50" t="n">
        <x:v>0.13</x:v>
      </x:c>
      <x:c r="K247" s="50" t="n">
        <x:v>-1.6</x:v>
      </x:c>
      <x:c r="L247" s="50" t="n">
        <x:v>1.61</x:v>
      </x:c>
      <x:c r="M247" s="50" t="n">
        <x:v>1.61</x:v>
      </x:c>
      <x:c r="N247" t="str">
        <x:v>RELATÓRIO LEITURAS INCLINOMÉTRICAS - Empreitada THE EDEN, Estoril_ R05_03-11-25.pdf</x:v>
      </x:c>
      <x:c r="O247" t="n">
        <x:v>26</x:v>
      </x:c>
      <x:c r="P247" t="str">
        <x:v>Válida</x:v>
      </x:c>
    </x:row>
    <x:row r="248">
      <x:c r="A248" s="48" t="n">
        <x:v>45944</x:v>
      </x:c>
      <x:c r="B248" t="n">
        <x:v>2</x:v>
      </x:c>
      <x:c r="C248" t="str">
        <x:v>I3</x:v>
      </x:c>
      <x:c r="D248" t="n">
        <x:v>1</x:v>
      </x:c>
      <x:c r="E248" s="50" t="n">
        <x:v>16.5</x:v>
      </x:c>
      <x:c r="F248" s="50" t="n">
        <x:v>323.79</x:v>
      </x:c>
      <x:c r="G248" s="50" t="n">
        <x:v>-320.02</x:v>
      </x:c>
      <x:c r="H248" s="50" t="n">
        <x:v>201.35</x:v>
      </x:c>
      <x:c r="I248" s="50" t="n">
        <x:v>-210.35</x:v>
      </x:c>
      <x:c r="J248" s="50" t="n">
        <x:v>0.13</x:v>
      </x:c>
      <x:c r="K248" s="50" t="n">
        <x:v>-1.74</x:v>
      </x:c>
      <x:c r="L248" s="50" t="n">
        <x:v>1.75</x:v>
      </x:c>
      <x:c r="M248" s="50" t="n">
        <x:v>1.75</x:v>
      </x:c>
      <x:c r="N248" t="str">
        <x:v>RELATÓRIO LEITURAS INCLINOMÉTRICAS - Empreitada THE EDEN, Estoril_ R05_03-11-25.pdf</x:v>
      </x:c>
      <x:c r="O248" t="n">
        <x:v>26</x:v>
      </x:c>
      <x:c r="P248" t="str">
        <x:v>Válida</x:v>
      </x:c>
    </x:row>
    <x:row r="249">
      <x:c r="A249" s="48" t="n">
        <x:v>45944</x:v>
      </x:c>
      <x:c r="B249" t="n">
        <x:v>2</x:v>
      </x:c>
      <x:c r="C249" t="str">
        <x:v>I3</x:v>
      </x:c>
      <x:c r="D249" t="n">
        <x:v>1</x:v>
      </x:c>
      <x:c r="E249" s="50" t="n">
        <x:v>17</x:v>
      </x:c>
      <x:c r="F249" s="50" t="n">
        <x:v>385.84</x:v>
      </x:c>
      <x:c r="G249" s="50" t="n">
        <x:v>-375.91</x:v>
      </x:c>
      <x:c r="H249" s="50" t="n">
        <x:v>221.9</x:v>
      </x:c>
      <x:c r="I249" s="50" t="n">
        <x:v>-244.12</x:v>
      </x:c>
      <x:c r="J249" s="50" t="n">
        <x:v>0.13</x:v>
      </x:c>
      <x:c r="K249" s="50" t="n">
        <x:v>-1.4</x:v>
      </x:c>
      <x:c r="L249" s="50" t="n">
        <x:v>1.41</x:v>
      </x:c>
      <x:c r="M249" s="50" t="n">
        <x:v>1.41</x:v>
      </x:c>
      <x:c r="N249" t="str">
        <x:v>RELATÓRIO LEITURAS INCLINOMÉTRICAS - Empreitada THE EDEN, Estoril_ R05_03-11-25.pdf</x:v>
      </x:c>
      <x:c r="O249" t="n">
        <x:v>26</x:v>
      </x:c>
      <x:c r="P249" t="str">
        <x:v>Válida</x:v>
      </x:c>
    </x:row>
    <x:row r="250">
      <x:c r="A250" s="48" t="n">
        <x:v>45944</x:v>
      </x:c>
      <x:c r="B250" t="n">
        <x:v>2</x:v>
      </x:c>
      <x:c r="C250" t="str">
        <x:v>I3</x:v>
      </x:c>
      <x:c r="D250" t="n">
        <x:v>1</x:v>
      </x:c>
      <x:c r="E250" s="50" t="n">
        <x:v>17.5</x:v>
      </x:c>
      <x:c r="F250" s="50" t="n">
        <x:v>381.07</x:v>
      </x:c>
      <x:c r="G250" s="50" t="n">
        <x:v>-375.47</x:v>
      </x:c>
      <x:c r="H250" s="50" t="n">
        <x:v>144.34</x:v>
      </x:c>
      <x:c r="I250" s="50" t="n">
        <x:v>-157.06</x:v>
      </x:c>
      <x:c r="J250" s="50" t="n">
        <x:v>0.13</x:v>
      </x:c>
      <x:c r="K250" s="50" t="n">
        <x:v>-1.51</x:v>
      </x:c>
      <x:c r="L250" s="50" t="n">
        <x:v>1.52</x:v>
      </x:c>
      <x:c r="M250" s="50" t="n">
        <x:v>1.52</x:v>
      </x:c>
      <x:c r="N250" t="str">
        <x:v>RELATÓRIO LEITURAS INCLINOMÉTRICAS - Empreitada THE EDEN, Estoril_ R05_03-11-25.pdf</x:v>
      </x:c>
      <x:c r="O250" t="n">
        <x:v>26</x:v>
      </x:c>
      <x:c r="P250" t="str">
        <x:v>Válida</x:v>
      </x:c>
    </x:row>
    <x:row r="251">
      <x:c r="A251" s="48" t="n">
        <x:v>45944</x:v>
      </x:c>
      <x:c r="B251" t="n">
        <x:v>2</x:v>
      </x:c>
      <x:c r="C251" t="str">
        <x:v>I3</x:v>
      </x:c>
      <x:c r="D251" t="n">
        <x:v>1</x:v>
      </x:c>
      <x:c r="E251" s="50" t="n">
        <x:v>18</x:v>
      </x:c>
      <x:c r="F251" s="50" t="n">
        <x:v>350.05</x:v>
      </x:c>
      <x:c r="G251" s="50" t="n">
        <x:v>-341.25</x:v>
      </x:c>
      <x:c r="H251" s="50" t="n">
        <x:v>105.71</x:v>
      </x:c>
      <x:c r="I251" s="50" t="n">
        <x:v>-100.86</x:v>
      </x:c>
      <x:c r="J251" s="50" t="n">
        <x:v>0.13</x:v>
      </x:c>
      <x:c r="K251" s="50" t="n">
        <x:v>-1.39</x:v>
      </x:c>
      <x:c r="L251" s="50" t="n">
        <x:v>1.39</x:v>
      </x:c>
      <x:c r="M251" s="50" t="n">
        <x:v>1.39</x:v>
      </x:c>
      <x:c r="N251" t="str">
        <x:v>RELATÓRIO LEITURAS INCLINOMÉTRICAS - Empreitada THE EDEN, Estoril_ R05_03-11-25.pdf</x:v>
      </x:c>
      <x:c r="O251" t="n">
        <x:v>26</x:v>
      </x:c>
      <x:c r="P251" t="str">
        <x:v>Válida</x:v>
      </x:c>
    </x:row>
    <x:row r="252">
      <x:c r="A252" s="48" t="n">
        <x:v>45944</x:v>
      </x:c>
      <x:c r="B252" t="n">
        <x:v>2</x:v>
      </x:c>
      <x:c r="C252" t="str">
        <x:v>I3</x:v>
      </x:c>
      <x:c r="D252" t="n">
        <x:v>1</x:v>
      </x:c>
      <x:c r="E252" s="50" t="n">
        <x:v>18.5</x:v>
      </x:c>
      <x:c r="F252" s="50" t="n">
        <x:v>321.5</x:v>
      </x:c>
      <x:c r="G252" s="50" t="n">
        <x:v>-315.51</x:v>
      </x:c>
      <x:c r="H252" s="50" t="n">
        <x:v>69.33</x:v>
      </x:c>
      <x:c r="I252" s="50" t="n">
        <x:v>-75.47</x:v>
      </x:c>
      <x:c r="J252" s="50" t="n">
        <x:v>0.13</x:v>
      </x:c>
      <x:c r="K252" s="50" t="n">
        <x:v>-1.19</x:v>
      </x:c>
      <x:c r="L252" s="50" t="n">
        <x:v>1.2</x:v>
      </x:c>
      <x:c r="M252" s="50" t="n">
        <x:v>1.2</x:v>
      </x:c>
      <x:c r="N252" t="str">
        <x:v>RELATÓRIO LEITURAS INCLINOMÉTRICAS - Empreitada THE EDEN, Estoril_ R05_03-11-25.pdf</x:v>
      </x:c>
      <x:c r="O252" t="n">
        <x:v>26</x:v>
      </x:c>
      <x:c r="P252" t="str">
        <x:v>Válida</x:v>
      </x:c>
    </x:row>
    <x:row r="253">
      <x:c r="A253" s="48" t="n">
        <x:v>45944</x:v>
      </x:c>
      <x:c r="B253" t="n">
        <x:v>2</x:v>
      </x:c>
      <x:c r="C253" t="str">
        <x:v>I3</x:v>
      </x:c>
      <x:c r="D253" t="n">
        <x:v>1</x:v>
      </x:c>
      <x:c r="E253" s="50" t="n">
        <x:v>19</x:v>
      </x:c>
      <x:c r="F253" s="50" t="n">
        <x:v>306.94</x:v>
      </x:c>
      <x:c r="G253" s="50" t="n">
        <x:v>-300.87</x:v>
      </x:c>
      <x:c r="H253" s="50" t="n">
        <x:v>61.95</x:v>
      </x:c>
      <x:c r="I253" s="50" t="n">
        <x:v>-56.32</x:v>
      </x:c>
      <x:c r="J253" s="50" t="n">
        <x:v>0.12</x:v>
      </x:c>
      <x:c r="K253" s="50" t="n">
        <x:v>-1.05</x:v>
      </x:c>
      <x:c r="L253" s="50" t="n">
        <x:v>1.06</x:v>
      </x:c>
      <x:c r="M253" s="50" t="n">
        <x:v>1.06</x:v>
      </x:c>
      <x:c r="N253" t="str">
        <x:v>RELATÓRIO LEITURAS INCLINOMÉTRICAS - Empreitada THE EDEN, Estoril_ R05_03-11-25.pdf</x:v>
      </x:c>
      <x:c r="O253" t="n">
        <x:v>26</x:v>
      </x:c>
      <x:c r="P253" t="str">
        <x:v>Válida</x:v>
      </x:c>
    </x:row>
    <x:row r="254">
      <x:c r="A254" s="48" t="n">
        <x:v>45944</x:v>
      </x:c>
      <x:c r="B254" t="n">
        <x:v>2</x:v>
      </x:c>
      <x:c r="C254" t="str">
        <x:v>I3</x:v>
      </x:c>
      <x:c r="D254" t="n">
        <x:v>1</x:v>
      </x:c>
      <x:c r="E254" s="50" t="n">
        <x:v>19.5</x:v>
      </x:c>
      <x:c r="F254" s="50" t="n">
        <x:v>214.32</x:v>
      </x:c>
      <x:c r="G254" s="50" t="n">
        <x:v>-208.71</x:v>
      </x:c>
      <x:c r="H254" s="50" t="n">
        <x:v>88.43</x:v>
      </x:c>
      <x:c r="I254" s="50" t="n">
        <x:v>-91.82</x:v>
      </x:c>
      <x:c r="J254" s="50" t="n">
        <x:v>0.13</x:v>
      </x:c>
      <x:c r="K254" s="50" t="n">
        <x:v>-0.93</x:v>
      </x:c>
      <x:c r="L254" s="50" t="n">
        <x:v>0.94</x:v>
      </x:c>
      <x:c r="M254" s="50" t="n">
        <x:v>0.94</x:v>
      </x:c>
      <x:c r="N254" t="str">
        <x:v>RELATÓRIO LEITURAS INCLINOMÉTRICAS - Empreitada THE EDEN, Estoril_ R05_03-11-25.pdf</x:v>
      </x:c>
      <x:c r="O254" t="n">
        <x:v>26</x:v>
      </x:c>
      <x:c r="P254" t="str">
        <x:v>Válida</x:v>
      </x:c>
    </x:row>
    <x:row r="255">
      <x:c r="A255" s="48" t="n">
        <x:v>45944</x:v>
      </x:c>
      <x:c r="B255" t="n">
        <x:v>2</x:v>
      </x:c>
      <x:c r="C255" t="str">
        <x:v>I3</x:v>
      </x:c>
      <x:c r="D255" t="n">
        <x:v>1</x:v>
      </x:c>
      <x:c r="E255" s="50" t="n">
        <x:v>20</x:v>
      </x:c>
      <x:c r="F255" s="50" t="n">
        <x:v>145.43</x:v>
      </x:c>
      <x:c r="G255" s="50" t="n">
        <x:v>-138.86</x:v>
      </x:c>
      <x:c r="H255" s="50" t="n">
        <x:v>142.65</x:v>
      </x:c>
      <x:c r="I255" s="50" t="n">
        <x:v>-141.63</x:v>
      </x:c>
      <x:c r="J255" s="50" t="n">
        <x:v>0.09</x:v>
      </x:c>
      <x:c r="K255" s="50" t="n">
        <x:v>-0.72</x:v>
      </x:c>
      <x:c r="L255" s="50" t="n">
        <x:v>0.73</x:v>
      </x:c>
      <x:c r="M255" s="50" t="n">
        <x:v>0.73</x:v>
      </x:c>
      <x:c r="N255" t="str">
        <x:v>RELATÓRIO LEITURAS INCLINOMÉTRICAS - Empreitada THE EDEN, Estoril_ R05_03-11-25.pdf</x:v>
      </x:c>
      <x:c r="O255" t="n">
        <x:v>26</x:v>
      </x:c>
      <x:c r="P255" t="str">
        <x:v>Válida</x:v>
      </x:c>
    </x:row>
    <x:row r="256">
      <x:c r="A256" s="48" t="n">
        <x:v>45944</x:v>
      </x:c>
      <x:c r="B256" t="n">
        <x:v>2</x:v>
      </x:c>
      <x:c r="C256" t="str">
        <x:v>I3</x:v>
      </x:c>
      <x:c r="D256" t="n">
        <x:v>1</x:v>
      </x:c>
      <x:c r="E256" s="50" t="n">
        <x:v>20.5</x:v>
      </x:c>
      <x:c r="F256" s="50" t="n">
        <x:v>155.87</x:v>
      </x:c>
      <x:c r="G256" s="50" t="n">
        <x:v>-149.2</x:v>
      </x:c>
      <x:c r="H256" s="50" t="n">
        <x:v>163.98</x:v>
      </x:c>
      <x:c r="I256" s="50" t="n">
        <x:v>-147.59</x:v>
      </x:c>
      <x:c r="J256" s="50" t="n">
        <x:v>0.06</x:v>
      </x:c>
      <x:c r="K256" s="50" t="n">
        <x:v>-0.6</x:v>
      </x:c>
      <x:c r="L256" s="50" t="n">
        <x:v>0.61</x:v>
      </x:c>
      <x:c r="M256" s="50" t="n">
        <x:v>0.61</x:v>
      </x:c>
      <x:c r="N256" t="str">
        <x:v>RELATÓRIO LEITURAS INCLINOMÉTRICAS - Empreitada THE EDEN, Estoril_ R05_03-11-25.pdf</x:v>
      </x:c>
      <x:c r="O256" t="n">
        <x:v>26</x:v>
      </x:c>
      <x:c r="P256" t="str">
        <x:v>Válida</x:v>
      </x:c>
    </x:row>
    <x:row r="257">
      <x:c r="A257" s="48" t="n">
        <x:v>45944</x:v>
      </x:c>
      <x:c r="B257" t="n">
        <x:v>2</x:v>
      </x:c>
      <x:c r="C257" t="str">
        <x:v>I3</x:v>
      </x:c>
      <x:c r="D257" t="n">
        <x:v>1</x:v>
      </x:c>
      <x:c r="E257" s="50" t="n">
        <x:v>21</x:v>
      </x:c>
      <x:c r="F257" s="50" t="n">
        <x:v>163.98</x:v>
      </x:c>
      <x:c r="G257" s="50" t="n">
        <x:v>-157.93</x:v>
      </x:c>
      <x:c r="H257" s="50" t="n">
        <x:v>172.35</x:v>
      </x:c>
      <x:c r="I257" s="50" t="n">
        <x:v>-174.42</x:v>
      </x:c>
      <x:c r="J257" s="50" t="n">
        <x:v>0.05</x:v>
      </x:c>
      <x:c r="K257" s="50" t="n">
        <x:v>-0.26</x:v>
      </x:c>
      <x:c r="L257" s="50" t="n">
        <x:v>0.27</x:v>
      </x:c>
      <x:c r="M257" s="50" t="n">
        <x:v>0.27</x:v>
      </x:c>
      <x:c r="N257" t="str">
        <x:v>RELATÓRIO LEITURAS INCLINOMÉTRICAS - Empreitada THE EDEN, Estoril_ R05_03-11-25.pdf</x:v>
      </x:c>
      <x:c r="O257" t="n">
        <x:v>26</x:v>
      </x:c>
      <x:c r="P257" t="str">
        <x:v>Válida</x:v>
      </x:c>
    </x:row>
    <x:row r="258">
      <x:c r="A258" s="48" t="n">
        <x:v>45944</x:v>
      </x:c>
      <x:c r="B258" t="n">
        <x:v>2</x:v>
      </x:c>
      <x:c r="C258" t="str">
        <x:v>I3</x:v>
      </x:c>
      <x:c r="D258" t="n">
        <x:v>1</x:v>
      </x:c>
      <x:c r="E258" s="50" t="n">
        <x:v>21.5</x:v>
      </x:c>
      <x:c r="F258" s="50" t="n">
        <x:v>180.87</x:v>
      </x:c>
      <x:c r="G258" s="50" t="n">
        <x:v>-175.1</x:v>
      </x:c>
      <x:c r="H258" s="50" t="n">
        <x:v>164.69</x:v>
      </x:c>
      <x:c r="I258" s="50" t="n">
        <x:v>-172.5</x:v>
      </x:c>
      <x:c r="J258" s="50" t="n">
        <x:v>0.01</x:v>
      </x:c>
      <x:c r="K258" s="50" t="n">
        <x:v>-0.01</x:v>
      </x:c>
      <x:c r="L258" s="50" t="n">
        <x:v>0.01</x:v>
      </x:c>
      <x:c r="M258" s="50" t="n">
        <x:v>0.01</x:v>
      </x:c>
      <x:c r="N258" t="str">
        <x:v>RELATÓRIO LEITURAS INCLINOMÉTRICAS - Empreitada THE EDEN, Estoril_ R05_03-11-25.pdf</x:v>
      </x:c>
      <x:c r="O258" t="n">
        <x:v>26</x:v>
      </x:c>
      <x:c r="P258" t="str">
        <x:v>Válida</x:v>
      </x:c>
    </x:row>
    <x:row r="259">
      <x:c r="A259" s="48" t="n">
        <x:v>45944</x:v>
      </x:c>
      <x:c r="B259" t="n">
        <x:v>2</x:v>
      </x:c>
      <x:c r="C259" t="str">
        <x:v>I3</x:v>
      </x:c>
      <x:c r="D259" t="n">
        <x:v>1</x:v>
      </x:c>
      <x:c r="E259" s="50" t="n">
        <x:v>22</x:v>
      </x:c>
      <x:c r="F259" s="50" t="n">
        <x:v>192.7</x:v>
      </x:c>
      <x:c r="G259" s="50" t="n">
        <x:v>-184.45</x:v>
      </x:c>
      <x:c r="H259" s="50" t="n">
        <x:v>192.63</x:v>
      </x:c>
      <x:c r="I259" s="50" t="n">
        <x:v>-187.79</x:v>
      </x:c>
      <x:c r="J259" s="50" t="n">
        <x:v>-0.02</x:v>
      </x:c>
      <x:c r="K259" s="50" t="n">
        <x:v>0.01</x:v>
      </x:c>
      <x:c r="L259" s="50" t="n">
        <x:v>0.02</x:v>
      </x:c>
      <x:c r="M259" s="50" t="n">
        <x:v>0.02</x:v>
      </x:c>
      <x:c r="N259" t="str">
        <x:v>RELATÓRIO LEITURAS INCLINOMÉTRICAS - Empreitada THE EDEN, Estoril_ R05_03-11-25.pdf</x:v>
      </x:c>
      <x:c r="O259" t="n">
        <x:v>26</x:v>
      </x:c>
      <x:c r="P259" t="str">
        <x:v>Válida</x:v>
      </x:c>
    </x:row>
    <x:row r="260">
      <x:c r="A260" s="48" t="n">
        <x:v>45950</x:v>
      </x:c>
      <x:c r="B260" t="n">
        <x:v>3</x:v>
      </x:c>
      <x:c r="C260" t="str">
        <x:v>I1</x:v>
      </x:c>
      <x:c r="D260" t="n">
        <x:v>3</x:v>
      </x:c>
      <x:c r="E260" s="50" t="n">
        <x:v>0.5</x:v>
      </x:c>
      <x:c r="F260" s="50" t="n">
        <x:v>-385.86</x:v>
      </x:c>
      <x:c r="G260" s="50" t="n">
        <x:v>382.37</x:v>
      </x:c>
      <x:c r="H260" s="50" t="n">
        <x:v>-834.89</x:v>
      </x:c>
      <x:c r="I260" s="50" t="n">
        <x:v>871.48</x:v>
      </x:c>
      <x:c r="J260" s="50" t="n">
        <x:v>0.36</x:v>
      </x:c>
      <x:c r="K260" s="50" t="n">
        <x:v>1.56</x:v>
      </x:c>
      <x:c r="L260" s="50" t="n">
        <x:v>1.6</x:v>
      </x:c>
      <x:c r="M260" s="50" t="n">
        <x:v>-3.5</x:v>
      </x:c>
      <x:c r="N260" t="str">
        <x:v>RELATÓRIO LEITURAS INCLINOMÉTRICAS - Empreitada THE EDEN, Estoril_ R05_03-11-25.pdf</x:v>
      </x:c>
      <x:c r="O260" t="n">
        <x:v>10</x:v>
      </x:c>
      <x:c r="P260" t="str">
        <x:v>Válida</x:v>
      </x:c>
    </x:row>
    <x:row r="261">
      <x:c r="A261" s="48" t="n">
        <x:v>45950</x:v>
      </x:c>
      <x:c r="B261" t="n">
        <x:v>3</x:v>
      </x:c>
      <x:c r="C261" t="str">
        <x:v>I1</x:v>
      </x:c>
      <x:c r="D261" t="n">
        <x:v>3</x:v>
      </x:c>
      <x:c r="E261" s="50" t="n">
        <x:v>1</x:v>
      </x:c>
      <x:c r="F261" s="50" t="n">
        <x:v>-385.73</x:v>
      </x:c>
      <x:c r="G261" s="50" t="n">
        <x:v>382.2</x:v>
      </x:c>
      <x:c r="H261" s="50" t="n">
        <x:v>-834.61</x:v>
      </x:c>
      <x:c r="I261" s="50" t="n">
        <x:v>871.41</x:v>
      </x:c>
      <x:c r="J261" s="50" t="n">
        <x:v>0.85</x:v>
      </x:c>
      <x:c r="K261" s="50" t="n">
        <x:v>2.25</x:v>
      </x:c>
      <x:c r="L261" s="50" t="n">
        <x:v>2.4</x:v>
      </x:c>
      <x:c r="M261" s="50" t="n">
        <x:v>-1.76</x:v>
      </x:c>
      <x:c r="N261" t="str">
        <x:v>RELATÓRIO LEITURAS INCLINOMÉTRICAS - Empreitada THE EDEN, Estoril_ R05_03-11-25.pdf</x:v>
      </x:c>
      <x:c r="O261" t="n">
        <x:v>10</x:v>
      </x:c>
      <x:c r="P261" t="str">
        <x:v>Válida</x:v>
      </x:c>
    </x:row>
    <x:row r="262">
      <x:c r="A262" s="48" t="n">
        <x:v>45950</x:v>
      </x:c>
      <x:c r="B262" t="n">
        <x:v>3</x:v>
      </x:c>
      <x:c r="C262" t="str">
        <x:v>I1</x:v>
      </x:c>
      <x:c r="D262" t="n">
        <x:v>3</x:v>
      </x:c>
      <x:c r="E262" s="50" t="n">
        <x:v>1.5</x:v>
      </x:c>
      <x:c r="F262" s="50" t="n">
        <x:v>-3.88</x:v>
      </x:c>
      <x:c r="G262" s="50" t="n">
        <x:v>16.79</x:v>
      </x:c>
      <x:c r="H262" s="50" t="n">
        <x:v>-270.81</x:v>
      </x:c>
      <x:c r="I262" s="50" t="n">
        <x:v>296.14</x:v>
      </x:c>
      <x:c r="J262" s="50" t="n">
        <x:v>1.38</x:v>
      </x:c>
      <x:c r="K262" s="50" t="n">
        <x:v>2.53</x:v>
      </x:c>
      <x:c r="L262" s="50" t="n">
        <x:v>2.89</x:v>
      </x:c>
      <x:c r="M262" s="50" t="n">
        <x:v>-0.78</x:v>
      </x:c>
      <x:c r="N262" t="str">
        <x:v>RELATÓRIO LEITURAS INCLINOMÉTRICAS - Empreitada THE EDEN, Estoril_ R05_03-11-25.pdf</x:v>
      </x:c>
      <x:c r="O262" t="n">
        <x:v>10</x:v>
      </x:c>
      <x:c r="P262" t="str">
        <x:v>Válida</x:v>
      </x:c>
    </x:row>
    <x:row r="263">
      <x:c r="A263" s="48" t="n">
        <x:v>45950</x:v>
      </x:c>
      <x:c r="B263" t="n">
        <x:v>3</x:v>
      </x:c>
      <x:c r="C263" t="str">
        <x:v>I1</x:v>
      </x:c>
      <x:c r="D263" t="n">
        <x:v>3</x:v>
      </x:c>
      <x:c r="E263" s="50" t="n">
        <x:v>2</x:v>
      </x:c>
      <x:c r="F263" s="50" t="n">
        <x:v>10.14</x:v>
      </x:c>
      <x:c r="G263" s="50" t="n">
        <x:v>-0.92</x:v>
      </x:c>
      <x:c r="H263" s="50" t="n">
        <x:v>-238.29</x:v>
      </x:c>
      <x:c r="I263" s="50" t="n">
        <x:v>241.78</x:v>
      </x:c>
      <x:c r="J263" s="50" t="n">
        <x:v>1.3</x:v>
      </x:c>
      <x:c r="K263" s="50" t="n">
        <x:v>2.42</x:v>
      </x:c>
      <x:c r="L263" s="50" t="n">
        <x:v>2.75</x:v>
      </x:c>
      <x:c r="M263" s="50" t="n">
        <x:v>-0.59</x:v>
      </x:c>
      <x:c r="N263" t="str">
        <x:v>RELATÓRIO LEITURAS INCLINOMÉTRICAS - Empreitada THE EDEN, Estoril_ R05_03-11-25.pdf</x:v>
      </x:c>
      <x:c r="O263" t="n">
        <x:v>10</x:v>
      </x:c>
      <x:c r="P263" t="str">
        <x:v>Válida</x:v>
      </x:c>
    </x:row>
    <x:row r="264">
      <x:c r="A264" s="48" t="n">
        <x:v>45950</x:v>
      </x:c>
      <x:c r="B264" t="n">
        <x:v>3</x:v>
      </x:c>
      <x:c r="C264" t="str">
        <x:v>I1</x:v>
      </x:c>
      <x:c r="D264" t="n">
        <x:v>3</x:v>
      </x:c>
      <x:c r="E264" s="50" t="n">
        <x:v>2.5</x:v>
      </x:c>
      <x:c r="F264" s="50" t="n">
        <x:v>28.8</x:v>
      </x:c>
      <x:c r="G264" s="50" t="n">
        <x:v>-21.88</x:v>
      </x:c>
      <x:c r="H264" s="50" t="n">
        <x:v>-215.77</x:v>
      </x:c>
      <x:c r="I264" s="50" t="n">
        <x:v>224.46</x:v>
      </x:c>
      <x:c r="J264" s="50" t="n">
        <x:v>1.71</x:v>
      </x:c>
      <x:c r="K264" s="50" t="n">
        <x:v>2.38</x:v>
      </x:c>
      <x:c r="L264" s="50" t="n">
        <x:v>2.93</x:v>
      </x:c>
      <x:c r="M264" s="50" t="n">
        <x:v>-0.4</x:v>
      </x:c>
      <x:c r="N264" t="str">
        <x:v>RELATÓRIO LEITURAS INCLINOMÉTRICAS - Empreitada THE EDEN, Estoril_ R05_03-11-25.pdf</x:v>
      </x:c>
      <x:c r="O264" t="n">
        <x:v>10</x:v>
      </x:c>
      <x:c r="P264" t="str">
        <x:v>Válida</x:v>
      </x:c>
    </x:row>
    <x:row r="265">
      <x:c r="A265" s="48" t="n">
        <x:v>45950</x:v>
      </x:c>
      <x:c r="B265" t="n">
        <x:v>3</x:v>
      </x:c>
      <x:c r="C265" t="str">
        <x:v>I1</x:v>
      </x:c>
      <x:c r="D265" t="n">
        <x:v>3</x:v>
      </x:c>
      <x:c r="E265" s="50" t="n">
        <x:v>3</x:v>
      </x:c>
      <x:c r="F265" s="50" t="n">
        <x:v>9.58</x:v>
      </x:c>
      <x:c r="G265" s="50" t="n">
        <x:v>0.52</x:v>
      </x:c>
      <x:c r="H265" s="50" t="n">
        <x:v>-163.21</x:v>
      </x:c>
      <x:c r="I265" s="50" t="n">
        <x:v>177.32</x:v>
      </x:c>
      <x:c r="J265" s="50" t="n">
        <x:v>1.89</x:v>
      </x:c>
      <x:c r="K265" s="50" t="n">
        <x:v>2.14</x:v>
      </x:c>
      <x:c r="L265" s="50" t="n">
        <x:v>2.86</x:v>
      </x:c>
      <x:c r="M265" s="50" t="n">
        <x:v>-0.64</x:v>
      </x:c>
      <x:c r="N265" t="str">
        <x:v>RELATÓRIO LEITURAS INCLINOMÉTRICAS - Empreitada THE EDEN, Estoril_ R05_03-11-25.pdf</x:v>
      </x:c>
      <x:c r="O265" t="n">
        <x:v>10</x:v>
      </x:c>
      <x:c r="P265" t="str">
        <x:v>Válida</x:v>
      </x:c>
    </x:row>
    <x:row r="266">
      <x:c r="A266" s="48" t="n">
        <x:v>45950</x:v>
      </x:c>
      <x:c r="B266" t="n">
        <x:v>3</x:v>
      </x:c>
      <x:c r="C266" t="str">
        <x:v>I1</x:v>
      </x:c>
      <x:c r="D266" t="n">
        <x:v>3</x:v>
      </x:c>
      <x:c r="E266" s="50" t="n">
        <x:v>3.5</x:v>
      </x:c>
      <x:c r="F266" s="50" t="n">
        <x:v>-7.67</x:v>
      </x:c>
      <x:c r="G266" s="50" t="n">
        <x:v>17.46</x:v>
      </x:c>
      <x:c r="H266" s="50" t="n">
        <x:v>-102.7</x:v>
      </x:c>
      <x:c r="I266" s="50" t="n">
        <x:v>107.29</x:v>
      </x:c>
      <x:c r="J266" s="50" t="n">
        <x:v>1.93</x:v>
      </x:c>
      <x:c r="K266" s="50" t="n">
        <x:v>1.78</x:v>
      </x:c>
      <x:c r="L266" s="50" t="n">
        <x:v>2.62</x:v>
      </x:c>
      <x:c r="M266" s="50" t="n">
        <x:v>-1.12</x:v>
      </x:c>
      <x:c r="N266" t="str">
        <x:v>RELATÓRIO LEITURAS INCLINOMÉTRICAS - Empreitada THE EDEN, Estoril_ R05_03-11-25.pdf</x:v>
      </x:c>
      <x:c r="O266" t="n">
        <x:v>10</x:v>
      </x:c>
      <x:c r="P266" t="str">
        <x:v>Válida</x:v>
      </x:c>
    </x:row>
    <x:row r="267">
      <x:c r="A267" s="48" t="n">
        <x:v>45950</x:v>
      </x:c>
      <x:c r="B267" t="n">
        <x:v>3</x:v>
      </x:c>
      <x:c r="C267" t="str">
        <x:v>I1</x:v>
      </x:c>
      <x:c r="D267" t="n">
        <x:v>3</x:v>
      </x:c>
      <x:c r="E267" s="50" t="n">
        <x:v>4</x:v>
      </x:c>
      <x:c r="F267" s="50" t="n">
        <x:v>62.79</x:v>
      </x:c>
      <x:c r="G267" s="50" t="n">
        <x:v>-53.56</x:v>
      </x:c>
      <x:c r="H267" s="50" t="n">
        <x:v>-82.81</x:v>
      </x:c>
      <x:c r="I267" s="50" t="n">
        <x:v>65.77</x:v>
      </x:c>
      <x:c r="J267" s="50" t="n">
        <x:v>1.95</x:v>
      </x:c>
      <x:c r="K267" s="50" t="n">
        <x:v>1.77</x:v>
      </x:c>
      <x:c r="L267" s="50" t="n">
        <x:v>2.64</x:v>
      </x:c>
      <x:c r="M267" s="50" t="n">
        <x:v>-0.95</x:v>
      </x:c>
      <x:c r="N267" t="str">
        <x:v>RELATÓRIO LEITURAS INCLINOMÉTRICAS - Empreitada THE EDEN, Estoril_ R05_03-11-25.pdf</x:v>
      </x:c>
      <x:c r="O267" t="n">
        <x:v>10</x:v>
      </x:c>
      <x:c r="P267" t="str">
        <x:v>Válida</x:v>
      </x:c>
    </x:row>
    <x:row r="268">
      <x:c r="A268" s="48" t="n">
        <x:v>45950</x:v>
      </x:c>
      <x:c r="B268" t="n">
        <x:v>3</x:v>
      </x:c>
      <x:c r="C268" t="str">
        <x:v>I1</x:v>
      </x:c>
      <x:c r="D268" t="n">
        <x:v>3</x:v>
      </x:c>
      <x:c r="E268" s="50" t="n">
        <x:v>4.5</x:v>
      </x:c>
      <x:c r="F268" s="50" t="n">
        <x:v>60.25</x:v>
      </x:c>
      <x:c r="G268" s="50" t="n">
        <x:v>-50.04</x:v>
      </x:c>
      <x:c r="H268" s="50" t="n">
        <x:v>-40.39</x:v>
      </x:c>
      <x:c r="I268" s="50" t="n">
        <x:v>45.02</x:v>
      </x:c>
      <x:c r="J268" s="50" t="n">
        <x:v>2.03</x:v>
      </x:c>
      <x:c r="K268" s="50" t="n">
        <x:v>1.66</x:v>
      </x:c>
      <x:c r="L268" s="50" t="n">
        <x:v>2.63</x:v>
      </x:c>
      <x:c r="M268" s="50" t="n">
        <x:v>-0.87</x:v>
      </x:c>
      <x:c r="N268" t="str">
        <x:v>RELATÓRIO LEITURAS INCLINOMÉTRICAS - Empreitada THE EDEN, Estoril_ R05_03-11-25.pdf</x:v>
      </x:c>
      <x:c r="O268" t="n">
        <x:v>10</x:v>
      </x:c>
      <x:c r="P268" t="str">
        <x:v>Válida</x:v>
      </x:c>
    </x:row>
    <x:row r="269">
      <x:c r="A269" s="48" t="n">
        <x:v>45950</x:v>
      </x:c>
      <x:c r="B269" t="n">
        <x:v>3</x:v>
      </x:c>
      <x:c r="C269" t="str">
        <x:v>I1</x:v>
      </x:c>
      <x:c r="D269" t="n">
        <x:v>3</x:v>
      </x:c>
      <x:c r="E269" s="50" t="n">
        <x:v>5</x:v>
      </x:c>
      <x:c r="F269" s="50" t="n">
        <x:v>4.2</x:v>
      </x:c>
      <x:c r="G269" s="50" t="n">
        <x:v>5.75</x:v>
      </x:c>
      <x:c r="H269" s="50" t="n">
        <x:v>17.15</x:v>
      </x:c>
      <x:c r="I269" s="50" t="n">
        <x:v>-3.83</x:v>
      </x:c>
      <x:c r="J269" s="50" t="n">
        <x:v>2.28</x:v>
      </x:c>
      <x:c r="K269" s="50" t="n">
        <x:v>1.42</x:v>
      </x:c>
      <x:c r="L269" s="50" t="n">
        <x:v>2.69</x:v>
      </x:c>
      <x:c r="M269" s="50" t="n">
        <x:v>-0.93</x:v>
      </x:c>
      <x:c r="N269" t="str">
        <x:v>RELATÓRIO LEITURAS INCLINOMÉTRICAS - Empreitada THE EDEN, Estoril_ R05_03-11-25.pdf</x:v>
      </x:c>
      <x:c r="O269" t="n">
        <x:v>10</x:v>
      </x:c>
      <x:c r="P269" t="str">
        <x:v>Válida</x:v>
      </x:c>
    </x:row>
    <x:row r="270">
      <x:c r="A270" s="48" t="n">
        <x:v>45950</x:v>
      </x:c>
      <x:c r="B270" t="n">
        <x:v>3</x:v>
      </x:c>
      <x:c r="C270" t="str">
        <x:v>I1</x:v>
      </x:c>
      <x:c r="D270" t="n">
        <x:v>3</x:v>
      </x:c>
      <x:c r="E270" s="50" t="n">
        <x:v>5.5</x:v>
      </x:c>
      <x:c r="F270" s="50" t="n">
        <x:v>2.15</x:v>
      </x:c>
      <x:c r="G270" s="50" t="n">
        <x:v>6.42</x:v>
      </x:c>
      <x:c r="H270" s="50" t="n">
        <x:v>3.89</x:v>
      </x:c>
      <x:c r="I270" s="50" t="n">
        <x:v>-19.95</x:v>
      </x:c>
      <x:c r="J270" s="50" t="n">
        <x:v>2.39</x:v>
      </x:c>
      <x:c r="K270" s="50" t="n">
        <x:v>1.26</x:v>
      </x:c>
      <x:c r="L270" s="50" t="n">
        <x:v>2.7</x:v>
      </x:c>
      <x:c r="M270" s="50" t="n">
        <x:v>-0.71</x:v>
      </x:c>
      <x:c r="N270" t="str">
        <x:v>RELATÓRIO LEITURAS INCLINOMÉTRICAS - Empreitada THE EDEN, Estoril_ R05_03-11-25.pdf</x:v>
      </x:c>
      <x:c r="O270" t="n">
        <x:v>10</x:v>
      </x:c>
      <x:c r="P270" t="str">
        <x:v>Válida</x:v>
      </x:c>
    </x:row>
    <x:row r="271">
      <x:c r="A271" s="48" t="n">
        <x:v>45950</x:v>
      </x:c>
      <x:c r="B271" t="n">
        <x:v>3</x:v>
      </x:c>
      <x:c r="C271" t="str">
        <x:v>I1</x:v>
      </x:c>
      <x:c r="D271" t="n">
        <x:v>3</x:v>
      </x:c>
      <x:c r="E271" s="50" t="n">
        <x:v>6</x:v>
      </x:c>
      <x:c r="F271" s="50" t="n">
        <x:v>17.73</x:v>
      </x:c>
      <x:c r="G271" s="50" t="n">
        <x:v>-10.27</x:v>
      </x:c>
      <x:c r="H271" s="50" t="n">
        <x:v>-42.16</x:v>
      </x:c>
      <x:c r="I271" s="50" t="n">
        <x:v>28.53</x:v>
      </x:c>
      <x:c r="J271" s="50" t="n">
        <x:v>2.5</x:v>
      </x:c>
      <x:c r="K271" s="50" t="n">
        <x:v>1.33</x:v>
      </x:c>
      <x:c r="L271" s="50" t="n">
        <x:v>2.83</x:v>
      </x:c>
      <x:c r="M271" s="50" t="n">
        <x:v>-0.42</x:v>
      </x:c>
      <x:c r="N271" t="str">
        <x:v>RELATÓRIO LEITURAS INCLINOMÉTRICAS - Empreitada THE EDEN, Estoril_ R05_03-11-25.pdf</x:v>
      </x:c>
      <x:c r="O271" t="n">
        <x:v>10</x:v>
      </x:c>
      <x:c r="P271" t="str">
        <x:v>Válida</x:v>
      </x:c>
    </x:row>
    <x:row r="272">
      <x:c r="A272" s="48" t="n">
        <x:v>45950</x:v>
      </x:c>
      <x:c r="B272" t="n">
        <x:v>3</x:v>
      </x:c>
      <x:c r="C272" t="str">
        <x:v>I1</x:v>
      </x:c>
      <x:c r="D272" t="n">
        <x:v>3</x:v>
      </x:c>
      <x:c r="E272" s="50" t="n">
        <x:v>6.5</x:v>
      </x:c>
      <x:c r="F272" s="50" t="n">
        <x:v>28.17</x:v>
      </x:c>
      <x:c r="G272" s="50" t="n">
        <x:v>-16.47</x:v>
      </x:c>
      <x:c r="H272" s="50" t="n">
        <x:v>-56.67</x:v>
      </x:c>
      <x:c r="I272" s="50" t="n">
        <x:v>60.69</x:v>
      </x:c>
      <x:c r="J272" s="50" t="n">
        <x:v>2.59</x:v>
      </x:c>
      <x:c r="K272" s="50" t="n">
        <x:v>1.4</x:v>
      </x:c>
      <x:c r="L272" s="50" t="n">
        <x:v>2.94</x:v>
      </x:c>
      <x:c r="M272" s="50" t="n">
        <x:v>-0.04</x:v>
      </x:c>
      <x:c r="N272" t="str">
        <x:v>RELATÓRIO LEITURAS INCLINOMÉTRICAS - Empreitada THE EDEN, Estoril_ R05_03-11-25.pdf</x:v>
      </x:c>
      <x:c r="O272" t="n">
        <x:v>10</x:v>
      </x:c>
      <x:c r="P272" t="str">
        <x:v>Excluir do resumo - calha fora do terreno</x:v>
      </x:c>
    </x:row>
    <x:row r="273">
      <x:c r="A273" s="48" t="n">
        <x:v>45950</x:v>
      </x:c>
      <x:c r="B273" t="n">
        <x:v>3</x:v>
      </x:c>
      <x:c r="C273" t="str">
        <x:v>I1</x:v>
      </x:c>
      <x:c r="D273" t="n">
        <x:v>3</x:v>
      </x:c>
      <x:c r="E273" s="50" t="n">
        <x:v>7</x:v>
      </x:c>
      <x:c r="F273" s="50" t="n">
        <x:v>101.97</x:v>
      </x:c>
      <x:c r="G273" s="50" t="n">
        <x:v>-96.08</x:v>
      </x:c>
      <x:c r="H273" s="50" t="n">
        <x:v>-51.61</x:v>
      </x:c>
      <x:c r="I273" s="50" t="n">
        <x:v>47.23</x:v>
      </x:c>
      <x:c r="J273" s="50" t="n">
        <x:v>2.4</x:v>
      </x:c>
      <x:c r="K273" s="50" t="n">
        <x:v>1.47</x:v>
      </x:c>
      <x:c r="L273" s="50" t="n">
        <x:v>2.81</x:v>
      </x:c>
      <x:c r="M273" s="50" t="n">
        <x:v>0.07</x:v>
      </x:c>
      <x:c r="N273" t="str">
        <x:v>RELATÓRIO LEITURAS INCLINOMÉTRICAS - Empreitada THE EDEN, Estoril_ R05_03-11-25.pdf</x:v>
      </x:c>
      <x:c r="O273" t="n">
        <x:v>10</x:v>
      </x:c>
      <x:c r="P273" t="str">
        <x:v>Excluir do resumo - calha fora do terreno</x:v>
      </x:c>
    </x:row>
    <x:row r="274">
      <x:c r="A274" s="48" t="n">
        <x:v>45950</x:v>
      </x:c>
      <x:c r="B274" t="n">
        <x:v>3</x:v>
      </x:c>
      <x:c r="C274" t="str">
        <x:v>I1</x:v>
      </x:c>
      <x:c r="D274" t="n">
        <x:v>3</x:v>
      </x:c>
      <x:c r="E274" s="50" t="n">
        <x:v>7.5</x:v>
      </x:c>
      <x:c r="F274" s="50" t="n">
        <x:v>63.92</x:v>
      </x:c>
      <x:c r="G274" s="50" t="n">
        <x:v>-57.19</x:v>
      </x:c>
      <x:c r="H274" s="50" t="n">
        <x:v>-42.53</x:v>
      </x:c>
      <x:c r="I274" s="50" t="n">
        <x:v>47.52</x:v>
      </x:c>
      <x:c r="J274" s="50" t="n">
        <x:v>2.33</x:v>
      </x:c>
      <x:c r="K274" s="50" t="n">
        <x:v>1.53</x:v>
      </x:c>
      <x:c r="L274" s="50" t="n">
        <x:v>2.79</x:v>
      </x:c>
      <x:c r="M274" s="50" t="n">
        <x:v>0.3</x:v>
      </x:c>
      <x:c r="N274" t="str">
        <x:v>RELATÓRIO LEITURAS INCLINOMÉTRICAS - Empreitada THE EDEN, Estoril_ R05_03-11-25.pdf</x:v>
      </x:c>
      <x:c r="O274" t="n">
        <x:v>10</x:v>
      </x:c>
      <x:c r="P274" t="str">
        <x:v>Válida</x:v>
      </x:c>
    </x:row>
    <x:row r="275">
      <x:c r="A275" s="48" t="n">
        <x:v>45950</x:v>
      </x:c>
      <x:c r="B275" t="n">
        <x:v>3</x:v>
      </x:c>
      <x:c r="C275" t="str">
        <x:v>I1</x:v>
      </x:c>
      <x:c r="D275" t="n">
        <x:v>3</x:v>
      </x:c>
      <x:c r="E275" s="50" t="n">
        <x:v>8</x:v>
      </x:c>
      <x:c r="F275" s="50" t="n">
        <x:v>42.05</x:v>
      </x:c>
      <x:c r="G275" s="50" t="n">
        <x:v>-32.45</x:v>
      </x:c>
      <x:c r="H275" s="50" t="n">
        <x:v>-34.91</x:v>
      </x:c>
      <x:c r="I275" s="50" t="n">
        <x:v>41.63</x:v>
      </x:c>
      <x:c r="J275" s="50" t="n">
        <x:v>2.18</x:v>
      </x:c>
      <x:c r="K275" s="50" t="n">
        <x:v>1.57</x:v>
      </x:c>
      <x:c r="L275" s="50" t="n">
        <x:v>2.69</x:v>
      </x:c>
      <x:c r="M275" s="50" t="n">
        <x:v>0.42</x:v>
      </x:c>
      <x:c r="N275" t="str">
        <x:v>RELATÓRIO LEITURAS INCLINOMÉTRICAS - Empreitada THE EDEN, Estoril_ R05_03-11-25.pdf</x:v>
      </x:c>
      <x:c r="O275" t="n">
        <x:v>10</x:v>
      </x:c>
      <x:c r="P275" t="str">
        <x:v>Válida</x:v>
      </x:c>
    </x:row>
    <x:row r="276">
      <x:c r="A276" s="48" t="n">
        <x:v>45950</x:v>
      </x:c>
      <x:c r="B276" t="n">
        <x:v>3</x:v>
      </x:c>
      <x:c r="C276" t="str">
        <x:v>I1</x:v>
      </x:c>
      <x:c r="D276" t="n">
        <x:v>3</x:v>
      </x:c>
      <x:c r="E276" s="50" t="n">
        <x:v>8.5</x:v>
      </x:c>
      <x:c r="F276" s="50" t="n">
        <x:v>3.44</x:v>
      </x:c>
      <x:c r="G276" s="50" t="n">
        <x:v>3.56</x:v>
      </x:c>
      <x:c r="H276" s="50" t="n">
        <x:v>-9.53</x:v>
      </x:c>
      <x:c r="I276" s="50" t="n">
        <x:v>13.7</x:v>
      </x:c>
      <x:c r="J276" s="50" t="n">
        <x:v>2.04</x:v>
      </x:c>
      <x:c r="K276" s="50" t="n">
        <x:v>1.47</x:v>
      </x:c>
      <x:c r="L276" s="50" t="n">
        <x:v>2.52</x:v>
      </x:c>
      <x:c r="M276" s="50" t="n">
        <x:v>0.38</x:v>
      </x:c>
      <x:c r="N276" t="str">
        <x:v>RELATÓRIO LEITURAS INCLINOMÉTRICAS - Empreitada THE EDEN, Estoril_ R05_03-11-25.pdf</x:v>
      </x:c>
      <x:c r="O276" t="n">
        <x:v>10</x:v>
      </x:c>
      <x:c r="P276" t="str">
        <x:v>Válida</x:v>
      </x:c>
    </x:row>
    <x:row r="277">
      <x:c r="A277" s="48" t="n">
        <x:v>45950</x:v>
      </x:c>
      <x:c r="B277" t="n">
        <x:v>3</x:v>
      </x:c>
      <x:c r="C277" t="str">
        <x:v>I1</x:v>
      </x:c>
      <x:c r="D277" t="n">
        <x:v>3</x:v>
      </x:c>
      <x:c r="E277" s="50" t="n">
        <x:v>9</x:v>
      </x:c>
      <x:c r="F277" s="50" t="n">
        <x:v>-42.09</x:v>
      </x:c>
      <x:c r="G277" s="50" t="n">
        <x:v>50.24</x:v>
      </x:c>
      <x:c r="H277" s="50" t="n">
        <x:v>4.79</x:v>
      </x:c>
      <x:c r="I277" s="50" t="n">
        <x:v>-7.36</x:v>
      </x:c>
      <x:c r="J277" s="50" t="n">
        <x:v>1.94</x:v>
      </x:c>
      <x:c r="K277" s="50" t="n">
        <x:v>1.47</x:v>
      </x:c>
      <x:c r="L277" s="50" t="n">
        <x:v>2.43</x:v>
      </x:c>
      <x:c r="M277" s="50" t="n">
        <x:v>0.44</x:v>
      </x:c>
      <x:c r="N277" t="str">
        <x:v>RELATÓRIO LEITURAS INCLINOMÉTRICAS - Empreitada THE EDEN, Estoril_ R05_03-11-25.pdf</x:v>
      </x:c>
      <x:c r="O277" t="n">
        <x:v>10</x:v>
      </x:c>
      <x:c r="P277" t="str">
        <x:v>Válida</x:v>
      </x:c>
    </x:row>
    <x:row r="278">
      <x:c r="A278" s="48" t="n">
        <x:v>45950</x:v>
      </x:c>
      <x:c r="B278" t="n">
        <x:v>3</x:v>
      </x:c>
      <x:c r="C278" t="str">
        <x:v>I1</x:v>
      </x:c>
      <x:c r="D278" t="n">
        <x:v>3</x:v>
      </x:c>
      <x:c r="E278" s="50" t="n">
        <x:v>9.5</x:v>
      </x:c>
      <x:c r="F278" s="50" t="n">
        <x:v>-109.35</x:v>
      </x:c>
      <x:c r="G278" s="50" t="n">
        <x:v>113.89</x:v>
      </x:c>
      <x:c r="H278" s="50" t="n">
        <x:v>17.17</x:v>
      </x:c>
      <x:c r="I278" s="50" t="n">
        <x:v>-21.9</x:v>
      </x:c>
      <x:c r="J278" s="50" t="n">
        <x:v>1.87</x:v>
      </x:c>
      <x:c r="K278" s="50" t="n">
        <x:v>1.47</x:v>
      </x:c>
      <x:c r="L278" s="50" t="n">
        <x:v>2.38</x:v>
      </x:c>
      <x:c r="M278" s="50" t="n">
        <x:v>0.5</x:v>
      </x:c>
      <x:c r="N278" t="str">
        <x:v>RELATÓRIO LEITURAS INCLINOMÉTRICAS - Empreitada THE EDEN, Estoril_ R05_03-11-25.pdf</x:v>
      </x:c>
      <x:c r="O278" t="n">
        <x:v>10</x:v>
      </x:c>
      <x:c r="P278" t="str">
        <x:v>Válida</x:v>
      </x:c>
    </x:row>
    <x:row r="279">
      <x:c r="A279" s="48" t="n">
        <x:v>45950</x:v>
      </x:c>
      <x:c r="B279" t="n">
        <x:v>3</x:v>
      </x:c>
      <x:c r="C279" t="str">
        <x:v>I1</x:v>
      </x:c>
      <x:c r="D279" t="n">
        <x:v>3</x:v>
      </x:c>
      <x:c r="E279" s="50" t="n">
        <x:v>10</x:v>
      </x:c>
      <x:c r="F279" s="50" t="n">
        <x:v>-198.25</x:v>
      </x:c>
      <x:c r="G279" s="50" t="n">
        <x:v>207.7</x:v>
      </x:c>
      <x:c r="H279" s="50" t="n">
        <x:v>-51.4</x:v>
      </x:c>
      <x:c r="I279" s="50" t="n">
        <x:v>47.51</x:v>
      </x:c>
      <x:c r="J279" s="50" t="n">
        <x:v>1.73</x:v>
      </x:c>
      <x:c r="K279" s="50" t="n">
        <x:v>1.4</x:v>
      </x:c>
      <x:c r="L279" s="50" t="n">
        <x:v>2.22</x:v>
      </x:c>
      <x:c r="M279" s="50" t="n">
        <x:v>0.47</x:v>
      </x:c>
      <x:c r="N279" t="str">
        <x:v>RELATÓRIO LEITURAS INCLINOMÉTRICAS - Empreitada THE EDEN, Estoril_ R05_03-11-25.pdf</x:v>
      </x:c>
      <x:c r="O279" t="n">
        <x:v>10</x:v>
      </x:c>
      <x:c r="P279" t="str">
        <x:v>Válida</x:v>
      </x:c>
    </x:row>
    <x:row r="280">
      <x:c r="A280" s="48" t="n">
        <x:v>45950</x:v>
      </x:c>
      <x:c r="B280" t="n">
        <x:v>3</x:v>
      </x:c>
      <x:c r="C280" t="str">
        <x:v>I1</x:v>
      </x:c>
      <x:c r="D280" t="n">
        <x:v>3</x:v>
      </x:c>
      <x:c r="E280" s="50" t="n">
        <x:v>10.5</x:v>
      </x:c>
      <x:c r="F280" s="50" t="n">
        <x:v>-193.95</x:v>
      </x:c>
      <x:c r="G280" s="50" t="n">
        <x:v>201.1</x:v>
      </x:c>
      <x:c r="H280" s="50" t="n">
        <x:v>-42.38</x:v>
      </x:c>
      <x:c r="I280" s="50" t="n">
        <x:v>41.13</x:v>
      </x:c>
      <x:c r="J280" s="50" t="n">
        <x:v>1.55</x:v>
      </x:c>
      <x:c r="K280" s="50" t="n">
        <x:v>1.32</x:v>
      </x:c>
      <x:c r="L280" s="50" t="n">
        <x:v>2.03</x:v>
      </x:c>
      <x:c r="M280" s="50" t="n">
        <x:v>0.4</x:v>
      </x:c>
      <x:c r="N280" t="str">
        <x:v>RELATÓRIO LEITURAS INCLINOMÉTRICAS - Empreitada THE EDEN, Estoril_ R05_03-11-25.pdf</x:v>
      </x:c>
      <x:c r="O280" t="n">
        <x:v>10</x:v>
      </x:c>
      <x:c r="P280" t="str">
        <x:v>Válida</x:v>
      </x:c>
    </x:row>
    <x:row r="281">
      <x:c r="A281" s="48" t="n">
        <x:v>45950</x:v>
      </x:c>
      <x:c r="B281" t="n">
        <x:v>3</x:v>
      </x:c>
      <x:c r="C281" t="str">
        <x:v>I1</x:v>
      </x:c>
      <x:c r="D281" t="n">
        <x:v>3</x:v>
      </x:c>
      <x:c r="E281" s="50" t="n">
        <x:v>11</x:v>
      </x:c>
      <x:c r="F281" s="50" t="n">
        <x:v>-171.12</x:v>
      </x:c>
      <x:c r="G281" s="50" t="n">
        <x:v>174.04</x:v>
      </x:c>
      <x:c r="H281" s="50" t="n">
        <x:v>14.17</x:v>
      </x:c>
      <x:c r="I281" s="50" t="n">
        <x:v>-7.43</x:v>
      </x:c>
      <x:c r="J281" s="50" t="n">
        <x:v>1.46</x:v>
      </x:c>
      <x:c r="K281" s="50" t="n">
        <x:v>1.26</x:v>
      </x:c>
      <x:c r="L281" s="50" t="n">
        <x:v>1.93</x:v>
      </x:c>
      <x:c r="M281" s="50" t="n">
        <x:v>0.36</x:v>
      </x:c>
      <x:c r="N281" t="str">
        <x:v>RELATÓRIO LEITURAS INCLINOMÉTRICAS - Empreitada THE EDEN, Estoril_ R05_03-11-25.pdf</x:v>
      </x:c>
      <x:c r="O281" t="n">
        <x:v>10</x:v>
      </x:c>
      <x:c r="P281" t="str">
        <x:v>Válida</x:v>
      </x:c>
    </x:row>
    <x:row r="282">
      <x:c r="A282" s="48" t="n">
        <x:v>45950</x:v>
      </x:c>
      <x:c r="B282" t="n">
        <x:v>3</x:v>
      </x:c>
      <x:c r="C282" t="str">
        <x:v>I1</x:v>
      </x:c>
      <x:c r="D282" t="n">
        <x:v>3</x:v>
      </x:c>
      <x:c r="E282" s="50" t="n">
        <x:v>11.5</x:v>
      </x:c>
      <x:c r="F282" s="50" t="n">
        <x:v>-76.51</x:v>
      </x:c>
      <x:c r="G282" s="50" t="n">
        <x:v>82.08</x:v>
      </x:c>
      <x:c r="H282" s="50" t="n">
        <x:v>9.65</x:v>
      </x:c>
      <x:c r="I282" s="50" t="n">
        <x:v>-20.32</x:v>
      </x:c>
      <x:c r="J282" s="50" t="n">
        <x:v>1.39</x:v>
      </x:c>
      <x:c r="K282" s="50" t="n">
        <x:v>1.4</x:v>
      </x:c>
      <x:c r="L282" s="50" t="n">
        <x:v>1.97</x:v>
      </x:c>
      <x:c r="M282" s="50" t="n">
        <x:v>0.5</x:v>
      </x:c>
      <x:c r="N282" t="str">
        <x:v>RELATÓRIO LEITURAS INCLINOMÉTRICAS - Empreitada THE EDEN, Estoril_ R05_03-11-25.pdf</x:v>
      </x:c>
      <x:c r="O282" t="n">
        <x:v>10</x:v>
      </x:c>
      <x:c r="P282" t="str">
        <x:v>Válida</x:v>
      </x:c>
    </x:row>
    <x:row r="283">
      <x:c r="A283" s="48" t="n">
        <x:v>45950</x:v>
      </x:c>
      <x:c r="B283" t="n">
        <x:v>3</x:v>
      </x:c>
      <x:c r="C283" t="str">
        <x:v>I1</x:v>
      </x:c>
      <x:c r="D283" t="n">
        <x:v>3</x:v>
      </x:c>
      <x:c r="E283" s="50" t="n">
        <x:v>12</x:v>
      </x:c>
      <x:c r="F283" s="50" t="n">
        <x:v>-144.87</x:v>
      </x:c>
      <x:c r="G283" s="50" t="n">
        <x:v>154.83</x:v>
      </x:c>
      <x:c r="H283" s="50" t="n">
        <x:v>-14.78</x:v>
      </x:c>
      <x:c r="I283" s="50" t="n">
        <x:v>8.86</x:v>
      </x:c>
      <x:c r="J283" s="50" t="n">
        <x:v>1.31</x:v>
      </x:c>
      <x:c r="K283" s="50" t="n">
        <x:v>1.5</x:v>
      </x:c>
      <x:c r="L283" s="50" t="n">
        <x:v>1.99</x:v>
      </x:c>
      <x:c r="M283" s="50" t="n">
        <x:v>0.62</x:v>
      </x:c>
      <x:c r="N283" t="str">
        <x:v>RELATÓRIO LEITURAS INCLINOMÉTRICAS - Empreitada THE EDEN, Estoril_ R05_03-11-25.pdf</x:v>
      </x:c>
      <x:c r="O283" t="n">
        <x:v>10</x:v>
      </x:c>
      <x:c r="P283" t="str">
        <x:v>Válida</x:v>
      </x:c>
    </x:row>
    <x:row r="284">
      <x:c r="A284" s="48" t="n">
        <x:v>45950</x:v>
      </x:c>
      <x:c r="B284" t="n">
        <x:v>3</x:v>
      </x:c>
      <x:c r="C284" t="str">
        <x:v>I1</x:v>
      </x:c>
      <x:c r="D284" t="n">
        <x:v>3</x:v>
      </x:c>
      <x:c r="E284" s="50" t="n">
        <x:v>12.5</x:v>
      </x:c>
      <x:c r="F284" s="50" t="n">
        <x:v>-133.92</x:v>
      </x:c>
      <x:c r="G284" s="50" t="n">
        <x:v>139.35</x:v>
      </x:c>
      <x:c r="H284" s="50" t="n">
        <x:v>50.04</x:v>
      </x:c>
      <x:c r="I284" s="50" t="n">
        <x:v>-42.73</x:v>
      </x:c>
      <x:c r="J284" s="50" t="n">
        <x:v>1.28</x:v>
      </x:c>
      <x:c r="K284" s="50" t="n">
        <x:v>1.42</x:v>
      </x:c>
      <x:c r="L284" s="50" t="n">
        <x:v>1.91</x:v>
      </x:c>
      <x:c r="M284" s="50" t="n">
        <x:v>0.56</x:v>
      </x:c>
      <x:c r="N284" t="str">
        <x:v>RELATÓRIO LEITURAS INCLINOMÉTRICAS - Empreitada THE EDEN, Estoril_ R05_03-11-25.pdf</x:v>
      </x:c>
      <x:c r="O284" t="n">
        <x:v>10</x:v>
      </x:c>
      <x:c r="P284" t="str">
        <x:v>Válida</x:v>
      </x:c>
    </x:row>
    <x:row r="285">
      <x:c r="A285" s="48" t="n">
        <x:v>45950</x:v>
      </x:c>
      <x:c r="B285" t="n">
        <x:v>3</x:v>
      </x:c>
      <x:c r="C285" t="str">
        <x:v>I1</x:v>
      </x:c>
      <x:c r="D285" t="n">
        <x:v>3</x:v>
      </x:c>
      <x:c r="E285" s="50" t="n">
        <x:v>13</x:v>
      </x:c>
      <x:c r="F285" s="50" t="n">
        <x:v>-61.7</x:v>
      </x:c>
      <x:c r="G285" s="50" t="n">
        <x:v>69.32</x:v>
      </x:c>
      <x:c r="H285" s="50" t="n">
        <x:v>51.72</x:v>
      </x:c>
      <x:c r="I285" s="50" t="n">
        <x:v>-34.98</x:v>
      </x:c>
      <x:c r="J285" s="50" t="n">
        <x:v>1.22</x:v>
      </x:c>
      <x:c r="K285" s="50" t="n">
        <x:v>1.35</x:v>
      </x:c>
      <x:c r="L285" s="50" t="n">
        <x:v>1.82</x:v>
      </x:c>
      <x:c r="M285" s="50" t="n">
        <x:v>0.52</x:v>
      </x:c>
      <x:c r="N285" t="str">
        <x:v>RELATÓRIO LEITURAS INCLINOMÉTRICAS - Empreitada THE EDEN, Estoril_ R05_03-11-25.pdf</x:v>
      </x:c>
      <x:c r="O285" t="n">
        <x:v>10</x:v>
      </x:c>
      <x:c r="P285" t="str">
        <x:v>Válida</x:v>
      </x:c>
    </x:row>
    <x:row r="286">
      <x:c r="A286" s="48" t="n">
        <x:v>45950</x:v>
      </x:c>
      <x:c r="B286" t="n">
        <x:v>3</x:v>
      </x:c>
      <x:c r="C286" t="str">
        <x:v>I1</x:v>
      </x:c>
      <x:c r="D286" t="n">
        <x:v>3</x:v>
      </x:c>
      <x:c r="E286" s="50" t="n">
        <x:v>13.5</x:v>
      </x:c>
      <x:c r="F286" s="50" t="n">
        <x:v>-48.62</x:v>
      </x:c>
      <x:c r="G286" s="50" t="n">
        <x:v>55.61</x:v>
      </x:c>
      <x:c r="H286" s="50" t="n">
        <x:v>65.5</x:v>
      </x:c>
      <x:c r="I286" s="50" t="n">
        <x:v>-56.18</x:v>
      </x:c>
      <x:c r="J286" s="50" t="n">
        <x:v>1.05</x:v>
      </x:c>
      <x:c r="K286" s="50" t="n">
        <x:v>1.31</x:v>
      </x:c>
      <x:c r="L286" s="50" t="n">
        <x:v>1.68</x:v>
      </x:c>
      <x:c r="M286" s="50" t="n">
        <x:v>0.52</x:v>
      </x:c>
      <x:c r="N286" t="str">
        <x:v>RELATÓRIO LEITURAS INCLINOMÉTRICAS - Empreitada THE EDEN, Estoril_ R05_03-11-25.pdf</x:v>
      </x:c>
      <x:c r="O286" t="n">
        <x:v>10</x:v>
      </x:c>
      <x:c r="P286" t="str">
        <x:v>Válida</x:v>
      </x:c>
    </x:row>
    <x:row r="287">
      <x:c r="A287" s="48" t="n">
        <x:v>45950</x:v>
      </x:c>
      <x:c r="B287" t="n">
        <x:v>3</x:v>
      </x:c>
      <x:c r="C287" t="str">
        <x:v>I1</x:v>
      </x:c>
      <x:c r="D287" t="n">
        <x:v>3</x:v>
      </x:c>
      <x:c r="E287" s="50" t="n">
        <x:v>14</x:v>
      </x:c>
      <x:c r="F287" s="50" t="n">
        <x:v>-48.53</x:v>
      </x:c>
      <x:c r="G287" s="50" t="n">
        <x:v>53.33</x:v>
      </x:c>
      <x:c r="H287" s="50" t="n">
        <x:v>84.27</x:v>
      </x:c>
      <x:c r="I287" s="50" t="n">
        <x:v>-71.79</x:v>
      </x:c>
      <x:c r="J287" s="50" t="n">
        <x:v>0.78</x:v>
      </x:c>
      <x:c r="K287" s="50" t="n">
        <x:v>1.29</x:v>
      </x:c>
      <x:c r="L287" s="50" t="n">
        <x:v>1.51</x:v>
      </x:c>
      <x:c r="M287" s="50" t="n">
        <x:v>0.57</x:v>
      </x:c>
      <x:c r="N287" t="str">
        <x:v>RELATÓRIO LEITURAS INCLINOMÉTRICAS - Empreitada THE EDEN, Estoril_ R05_03-11-25.pdf</x:v>
      </x:c>
      <x:c r="O287" t="n">
        <x:v>10</x:v>
      </x:c>
      <x:c r="P287" t="str">
        <x:v>Válida</x:v>
      </x:c>
    </x:row>
    <x:row r="288">
      <x:c r="A288" s="48" t="n">
        <x:v>45950</x:v>
      </x:c>
      <x:c r="B288" t="n">
        <x:v>3</x:v>
      </x:c>
      <x:c r="C288" t="str">
        <x:v>I1</x:v>
      </x:c>
      <x:c r="D288" t="n">
        <x:v>3</x:v>
      </x:c>
      <x:c r="E288" s="50" t="n">
        <x:v>14.5</x:v>
      </x:c>
      <x:c r="F288" s="50" t="n">
        <x:v>-39</x:v>
      </x:c>
      <x:c r="G288" s="50" t="n">
        <x:v>44.16</x:v>
      </x:c>
      <x:c r="H288" s="50" t="n">
        <x:v>110.68</x:v>
      </x:c>
      <x:c r="I288" s="50" t="n">
        <x:v>-94.93</x:v>
      </x:c>
      <x:c r="J288" s="50" t="n">
        <x:v>0.49</x:v>
      </x:c>
      <x:c r="K288" s="50" t="n">
        <x:v>1.08</x:v>
      </x:c>
      <x:c r="L288" s="50" t="n">
        <x:v>1.19</x:v>
      </x:c>
      <x:c r="M288" s="50" t="n">
        <x:v>0.39</x:v>
      </x:c>
      <x:c r="N288" t="str">
        <x:v>RELATÓRIO LEITURAS INCLINOMÉTRICAS - Empreitada THE EDEN, Estoril_ R05_03-11-25.pdf</x:v>
      </x:c>
      <x:c r="O288" t="n">
        <x:v>10</x:v>
      </x:c>
      <x:c r="P288" t="str">
        <x:v>Válida</x:v>
      </x:c>
    </x:row>
    <x:row r="289">
      <x:c r="A289" s="48" t="n">
        <x:v>45950</x:v>
      </x:c>
      <x:c r="B289" t="n">
        <x:v>3</x:v>
      </x:c>
      <x:c r="C289" t="str">
        <x:v>I1</x:v>
      </x:c>
      <x:c r="D289" t="n">
        <x:v>3</x:v>
      </x:c>
      <x:c r="E289" s="50" t="n">
        <x:v>15</x:v>
      </x:c>
      <x:c r="F289" s="50" t="n">
        <x:v>-7.65</x:v>
      </x:c>
      <x:c r="G289" s="50" t="n">
        <x:v>14.57</x:v>
      </x:c>
      <x:c r="H289" s="50" t="n">
        <x:v>119.8</x:v>
      </x:c>
      <x:c r="I289" s="50" t="n">
        <x:v>-108.55</x:v>
      </x:c>
      <x:c r="J289" s="50" t="n">
        <x:v>0.24</x:v>
      </x:c>
      <x:c r="K289" s="50" t="n">
        <x:v>0.99</x:v>
      </x:c>
      <x:c r="L289" s="50" t="n">
        <x:v>1.02</x:v>
      </x:c>
      <x:c r="M289" s="50" t="n">
        <x:v>0.38</x:v>
      </x:c>
      <x:c r="N289" t="str">
        <x:v>RELATÓRIO LEITURAS INCLINOMÉTRICAS - Empreitada THE EDEN, Estoril_ R05_03-11-25.pdf</x:v>
      </x:c>
      <x:c r="O289" t="n">
        <x:v>10</x:v>
      </x:c>
      <x:c r="P289" t="str">
        <x:v>Válida</x:v>
      </x:c>
    </x:row>
    <x:row r="290">
      <x:c r="A290" s="48" t="n">
        <x:v>45950</x:v>
      </x:c>
      <x:c r="B290" t="n">
        <x:v>3</x:v>
      </x:c>
      <x:c r="C290" t="str">
        <x:v>I1</x:v>
      </x:c>
      <x:c r="D290" t="n">
        <x:v>3</x:v>
      </x:c>
      <x:c r="E290" s="50" t="n">
        <x:v>15.5</x:v>
      </x:c>
      <x:c r="F290" s="50" t="n">
        <x:v>-27.38</x:v>
      </x:c>
      <x:c r="G290" s="50" t="n">
        <x:v>29.27</x:v>
      </x:c>
      <x:c r="H290" s="50" t="n">
        <x:v>141.32</x:v>
      </x:c>
      <x:c r="I290" s="50" t="n">
        <x:v>-111.57</x:v>
      </x:c>
      <x:c r="J290" s="50" t="n">
        <x:v>0.06</x:v>
      </x:c>
      <x:c r="K290" s="50" t="n">
        <x:v>0.83</x:v>
      </x:c>
      <x:c r="L290" s="50" t="n">
        <x:v>0.83</x:v>
      </x:c>
      <x:c r="M290" s="50" t="n">
        <x:v>0.17</x:v>
      </x:c>
      <x:c r="N290" t="str">
        <x:v>RELATÓRIO LEITURAS INCLINOMÉTRICAS - Empreitada THE EDEN, Estoril_ R05_03-11-25.pdf</x:v>
      </x:c>
      <x:c r="O290" t="n">
        <x:v>10</x:v>
      </x:c>
      <x:c r="P290" t="str">
        <x:v>Válida</x:v>
      </x:c>
    </x:row>
    <x:row r="291">
      <x:c r="A291" s="48" t="n">
        <x:v>45950</x:v>
      </x:c>
      <x:c r="B291" t="n">
        <x:v>3</x:v>
      </x:c>
      <x:c r="C291" t="str">
        <x:v>I1</x:v>
      </x:c>
      <x:c r="D291" t="n">
        <x:v>3</x:v>
      </x:c>
      <x:c r="E291" s="50" t="n">
        <x:v>16</x:v>
      </x:c>
      <x:c r="F291" s="50" t="n">
        <x:v>-16.06</x:v>
      </x:c>
      <x:c r="G291" s="50" t="n">
        <x:v>20.78</x:v>
      </x:c>
      <x:c r="H291" s="50" t="n">
        <x:v>-28.54</x:v>
      </x:c>
      <x:c r="I291" s="50" t="n">
        <x:v>33.55</x:v>
      </x:c>
      <x:c r="J291" s="50" t="n">
        <x:v>-0.33</x:v>
      </x:c>
      <x:c r="K291" s="50" t="n">
        <x:v>0.59</x:v>
      </x:c>
      <x:c r="L291" s="50" t="n">
        <x:v>0.67</x:v>
      </x:c>
      <x:c r="M291" s="50" t="n">
        <x:v>0.02</x:v>
      </x:c>
      <x:c r="N291" t="str">
        <x:v>RELATÓRIO LEITURAS INCLINOMÉTRICAS - Empreitada THE EDEN, Estoril_ R05_03-11-25.pdf</x:v>
      </x:c>
      <x:c r="O291" t="n">
        <x:v>10</x:v>
      </x:c>
      <x:c r="P291" t="str">
        <x:v>Válida</x:v>
      </x:c>
    </x:row>
    <x:row r="292">
      <x:c r="A292" s="48" t="n">
        <x:v>45950</x:v>
      </x:c>
      <x:c r="B292" t="n">
        <x:v>3</x:v>
      </x:c>
      <x:c r="C292" t="str">
        <x:v>I1</x:v>
      </x:c>
      <x:c r="D292" t="n">
        <x:v>3</x:v>
      </x:c>
      <x:c r="E292" s="50" t="n">
        <x:v>16.5</x:v>
      </x:c>
      <x:c r="F292" s="50" t="n">
        <x:v>4.69</x:v>
      </x:c>
      <x:c r="G292" s="50" t="n">
        <x:v>0.84</x:v>
      </x:c>
      <x:c r="H292" s="50" t="n">
        <x:v>-8.84</x:v>
      </x:c>
      <x:c r="I292" s="50" t="n">
        <x:v>22.93</x:v>
      </x:c>
      <x:c r="J292" s="50" t="n">
        <x:v>-0.31</x:v>
      </x:c>
      <x:c r="K292" s="50" t="n">
        <x:v>0.61</x:v>
      </x:c>
      <x:c r="L292" s="50" t="n">
        <x:v>0.69</x:v>
      </x:c>
      <x:c r="M292" s="50" t="n">
        <x:v>0.27</x:v>
      </x:c>
      <x:c r="N292" t="str">
        <x:v>RELATÓRIO LEITURAS INCLINOMÉTRICAS - Empreitada THE EDEN, Estoril_ R05_03-11-25.pdf</x:v>
      </x:c>
      <x:c r="O292" t="n">
        <x:v>10</x:v>
      </x:c>
      <x:c r="P292" t="str">
        <x:v>Válida</x:v>
      </x:c>
    </x:row>
    <x:row r="293">
      <x:c r="A293" s="48" t="n">
        <x:v>45950</x:v>
      </x:c>
      <x:c r="B293" t="n">
        <x:v>3</x:v>
      </x:c>
      <x:c r="C293" t="str">
        <x:v>I1</x:v>
      </x:c>
      <x:c r="D293" t="n">
        <x:v>3</x:v>
      </x:c>
      <x:c r="E293" s="50" t="n">
        <x:v>17</x:v>
      </x:c>
      <x:c r="F293" s="50" t="n">
        <x:v>16.11</x:v>
      </x:c>
      <x:c r="G293" s="50" t="n">
        <x:v>-12.28</x:v>
      </x:c>
      <x:c r="H293" s="50" t="n">
        <x:v>6.43</x:v>
      </x:c>
      <x:c r="I293" s="50" t="n">
        <x:v>3.42</x:v>
      </x:c>
      <x:c r="J293" s="50" t="n">
        <x:v>-0.3</x:v>
      </x:c>
      <x:c r="K293" s="50" t="n">
        <x:v>0.63</x:v>
      </x:c>
      <x:c r="L293" s="50" t="n">
        <x:v>0.69</x:v>
      </x:c>
      <x:c r="M293" s="50" t="n">
        <x:v>0.32</x:v>
      </x:c>
      <x:c r="N293" t="str">
        <x:v>RELATÓRIO LEITURAS INCLINOMÉTRICAS - Empreitada THE EDEN, Estoril_ R05_03-11-25.pdf</x:v>
      </x:c>
      <x:c r="O293" t="n">
        <x:v>10</x:v>
      </x:c>
      <x:c r="P293" t="str">
        <x:v>Válida</x:v>
      </x:c>
    </x:row>
    <x:row r="294">
      <x:c r="A294" s="48" t="n">
        <x:v>45950</x:v>
      </x:c>
      <x:c r="B294" t="n">
        <x:v>3</x:v>
      </x:c>
      <x:c r="C294" t="str">
        <x:v>I1</x:v>
      </x:c>
      <x:c r="D294" t="n">
        <x:v>3</x:v>
      </x:c>
      <x:c r="E294" s="50" t="n">
        <x:v>17.5</x:v>
      </x:c>
      <x:c r="F294" s="50" t="n">
        <x:v>-11.92</x:v>
      </x:c>
      <x:c r="G294" s="50" t="n">
        <x:v>16.89</x:v>
      </x:c>
      <x:c r="H294" s="50" t="n">
        <x:v>38.51</x:v>
      </x:c>
      <x:c r="I294" s="50" t="n">
        <x:v>-30.26</x:v>
      </x:c>
      <x:c r="J294" s="50" t="n">
        <x:v>-0.33</x:v>
      </x:c>
      <x:c r="K294" s="50" t="n">
        <x:v>0.74</x:v>
      </x:c>
      <x:c r="L294" s="50" t="n">
        <x:v>0.81</x:v>
      </x:c>
      <x:c r="M294" s="50" t="n">
        <x:v>0.54</x:v>
      </x:c>
      <x:c r="N294" t="str">
        <x:v>RELATÓRIO LEITURAS INCLINOMÉTRICAS - Empreitada THE EDEN, Estoril_ R05_03-11-25.pdf</x:v>
      </x:c>
      <x:c r="O294" t="n">
        <x:v>10</x:v>
      </x:c>
      <x:c r="P294" t="str">
        <x:v>Válida</x:v>
      </x:c>
    </x:row>
    <x:row r="295">
      <x:c r="A295" s="48" t="n">
        <x:v>45950</x:v>
      </x:c>
      <x:c r="B295" t="n">
        <x:v>3</x:v>
      </x:c>
      <x:c r="C295" t="str">
        <x:v>I1</x:v>
      </x:c>
      <x:c r="D295" t="n">
        <x:v>3</x:v>
      </x:c>
      <x:c r="E295" s="50" t="n">
        <x:v>18</x:v>
      </x:c>
      <x:c r="F295" s="50" t="n">
        <x:v>-31.81</x:v>
      </x:c>
      <x:c r="G295" s="50" t="n">
        <x:v>35.4</x:v>
      </x:c>
      <x:c r="H295" s="50" t="n">
        <x:v>55.52</x:v>
      </x:c>
      <x:c r="I295" s="50" t="n">
        <x:v>-31.68</x:v>
      </x:c>
      <x:c r="J295" s="50" t="n">
        <x:v>-0.34</x:v>
      </x:c>
      <x:c r="K295" s="50" t="n">
        <x:v>0.79</x:v>
      </x:c>
      <x:c r="L295" s="50" t="n">
        <x:v>0.86</x:v>
      </x:c>
      <x:c r="M295" s="50" t="n">
        <x:v>0.62</x:v>
      </x:c>
      <x:c r="N295" t="str">
        <x:v>RELATÓRIO LEITURAS INCLINOMÉTRICAS - Empreitada THE EDEN, Estoril_ R05_03-11-25.pdf</x:v>
      </x:c>
      <x:c r="O295" t="n">
        <x:v>10</x:v>
      </x:c>
      <x:c r="P295" t="str">
        <x:v>Válida</x:v>
      </x:c>
    </x:row>
    <x:row r="296">
      <x:c r="A296" s="48" t="n">
        <x:v>45950</x:v>
      </x:c>
      <x:c r="B296" t="n">
        <x:v>3</x:v>
      </x:c>
      <x:c r="C296" t="str">
        <x:v>I1</x:v>
      </x:c>
      <x:c r="D296" t="n">
        <x:v>3</x:v>
      </x:c>
      <x:c r="E296" s="50" t="n">
        <x:v>18.5</x:v>
      </x:c>
      <x:c r="F296" s="50" t="n">
        <x:v>-35.65</x:v>
      </x:c>
      <x:c r="G296" s="50" t="n">
        <x:v>46.46</x:v>
      </x:c>
      <x:c r="H296" s="50" t="n">
        <x:v>79.1</x:v>
      </x:c>
      <x:c r="I296" s="50" t="n">
        <x:v>-51.47</x:v>
      </x:c>
      <x:c r="J296" s="50" t="n">
        <x:v>-0.36</x:v>
      </x:c>
      <x:c r="K296" s="50" t="n">
        <x:v>0.75</x:v>
      </x:c>
      <x:c r="L296" s="50" t="n">
        <x:v>0.83</x:v>
      </x:c>
      <x:c r="M296" s="50" t="n">
        <x:v>0.66</x:v>
      </x:c>
      <x:c r="N296" t="str">
        <x:v>RELATÓRIO LEITURAS INCLINOMÉTRICAS - Empreitada THE EDEN, Estoril_ R05_03-11-25.pdf</x:v>
      </x:c>
      <x:c r="O296" t="n">
        <x:v>10</x:v>
      </x:c>
      <x:c r="P296" t="str">
        <x:v>Válida</x:v>
      </x:c>
    </x:row>
    <x:row r="297">
      <x:c r="A297" s="48" t="n">
        <x:v>45950</x:v>
      </x:c>
      <x:c r="B297" t="n">
        <x:v>3</x:v>
      </x:c>
      <x:c r="C297" t="str">
        <x:v>I1</x:v>
      </x:c>
      <x:c r="D297" t="n">
        <x:v>3</x:v>
      </x:c>
      <x:c r="E297" s="50" t="n">
        <x:v>19</x:v>
      </x:c>
      <x:c r="F297" s="50" t="n">
        <x:v>-138.46</x:v>
      </x:c>
      <x:c r="G297" s="50" t="n">
        <x:v>136.39</x:v>
      </x:c>
      <x:c r="H297" s="50" t="n">
        <x:v>-32.51</x:v>
      </x:c>
      <x:c r="I297" s="50" t="n">
        <x:v>49.34</x:v>
      </x:c>
      <x:c r="J297" s="50" t="n">
        <x:v>-0.37</x:v>
      </x:c>
      <x:c r="K297" s="50" t="n">
        <x:v>0.75</x:v>
      </x:c>
      <x:c r="L297" s="50" t="n">
        <x:v>0.84</x:v>
      </x:c>
      <x:c r="M297" s="50" t="n">
        <x:v>0.6</x:v>
      </x:c>
      <x:c r="N297" t="str">
        <x:v>RELATÓRIO LEITURAS INCLINOMÉTRICAS - Empreitada THE EDEN, Estoril_ R05_03-11-25.pdf</x:v>
      </x:c>
      <x:c r="O297" t="n">
        <x:v>10</x:v>
      </x:c>
      <x:c r="P297" t="str">
        <x:v>Válida</x:v>
      </x:c>
    </x:row>
    <x:row r="298">
      <x:c r="A298" s="48" t="n">
        <x:v>45950</x:v>
      </x:c>
      <x:c r="B298" t="n">
        <x:v>3</x:v>
      </x:c>
      <x:c r="C298" t="str">
        <x:v>I1</x:v>
      </x:c>
      <x:c r="D298" t="n">
        <x:v>3</x:v>
      </x:c>
      <x:c r="E298" s="50" t="n">
        <x:v>19.5</x:v>
      </x:c>
      <x:c r="F298" s="50" t="n">
        <x:v>-132.44</x:v>
      </x:c>
      <x:c r="G298" s="50" t="n">
        <x:v>136.91</x:v>
      </x:c>
      <x:c r="H298" s="50" t="n">
        <x:v>-36.18</x:v>
      </x:c>
      <x:c r="I298" s="50" t="n">
        <x:v>47.26</x:v>
      </x:c>
      <x:c r="J298" s="50" t="n">
        <x:v>-0.4</x:v>
      </x:c>
      <x:c r="K298" s="50" t="n">
        <x:v>0.68</x:v>
      </x:c>
      <x:c r="L298" s="50" t="n">
        <x:v>0.79</x:v>
      </x:c>
      <x:c r="M298" s="50" t="n">
        <x:v>0.56</x:v>
      </x:c>
      <x:c r="N298" t="str">
        <x:v>RELATÓRIO LEITURAS INCLINOMÉTRICAS - Empreitada THE EDEN, Estoril_ R05_03-11-25.pdf</x:v>
      </x:c>
      <x:c r="O298" t="n">
        <x:v>10</x:v>
      </x:c>
      <x:c r="P298" t="str">
        <x:v>Válida</x:v>
      </x:c>
    </x:row>
    <x:row r="299">
      <x:c r="A299" s="48" t="n">
        <x:v>45950</x:v>
      </x:c>
      <x:c r="B299" t="n">
        <x:v>3</x:v>
      </x:c>
      <x:c r="C299" t="str">
        <x:v>I1</x:v>
      </x:c>
      <x:c r="D299" t="n">
        <x:v>3</x:v>
      </x:c>
      <x:c r="E299" s="50" t="n">
        <x:v>20</x:v>
      </x:c>
      <x:c r="F299" s="50" t="n">
        <x:v>-142.15</x:v>
      </x:c>
      <x:c r="G299" s="50" t="n">
        <x:v>145.64</x:v>
      </x:c>
      <x:c r="H299" s="50" t="n">
        <x:v>-39.51</x:v>
      </x:c>
      <x:c r="I299" s="50" t="n">
        <x:v>46.52</x:v>
      </x:c>
      <x:c r="J299" s="50" t="n">
        <x:v>-0.44</x:v>
      </x:c>
      <x:c r="K299" s="50" t="n">
        <x:v>0.57</x:v>
      </x:c>
      <x:c r="L299" s="50" t="n">
        <x:v>0.72</x:v>
      </x:c>
      <x:c r="M299" s="50" t="n">
        <x:v>0.43</x:v>
      </x:c>
      <x:c r="N299" t="str">
        <x:v>RELATÓRIO LEITURAS INCLINOMÉTRICAS - Empreitada THE EDEN, Estoril_ R05_03-11-25.pdf</x:v>
      </x:c>
      <x:c r="O299" t="n">
        <x:v>10</x:v>
      </x:c>
      <x:c r="P299" t="str">
        <x:v>Válida</x:v>
      </x:c>
    </x:row>
    <x:row r="300">
      <x:c r="A300" s="48" t="n">
        <x:v>45950</x:v>
      </x:c>
      <x:c r="B300" t="n">
        <x:v>3</x:v>
      </x:c>
      <x:c r="C300" t="str">
        <x:v>I1</x:v>
      </x:c>
      <x:c r="D300" t="n">
        <x:v>3</x:v>
      </x:c>
      <x:c r="E300" s="50" t="n">
        <x:v>20.5</x:v>
      </x:c>
      <x:c r="F300" s="50" t="n">
        <x:v>-167.21</x:v>
      </x:c>
      <x:c r="G300" s="50" t="n">
        <x:v>170.65</x:v>
      </x:c>
      <x:c r="H300" s="50" t="n">
        <x:v>-26.43</x:v>
      </x:c>
      <x:c r="I300" s="50" t="n">
        <x:v>16.4</x:v>
      </x:c>
      <x:c r="J300" s="50" t="n">
        <x:v>-0.44</x:v>
      </x:c>
      <x:c r="K300" s="50" t="n">
        <x:v>0.43</x:v>
      </x:c>
      <x:c r="L300" s="50" t="n">
        <x:v>0.62</x:v>
      </x:c>
      <x:c r="M300" s="50" t="n">
        <x:v>0.33</x:v>
      </x:c>
      <x:c r="N300" t="str">
        <x:v>RELATÓRIO LEITURAS INCLINOMÉTRICAS - Empreitada THE EDEN, Estoril_ R05_03-11-25.pdf</x:v>
      </x:c>
      <x:c r="O300" t="n">
        <x:v>10</x:v>
      </x:c>
      <x:c r="P300" t="str">
        <x:v>Válida</x:v>
      </x:c>
    </x:row>
    <x:row r="301">
      <x:c r="A301" s="48" t="n">
        <x:v>45950</x:v>
      </x:c>
      <x:c r="B301" t="n">
        <x:v>3</x:v>
      </x:c>
      <x:c r="C301" t="str">
        <x:v>I1</x:v>
      </x:c>
      <x:c r="D301" t="n">
        <x:v>3</x:v>
      </x:c>
      <x:c r="E301" s="50" t="n">
        <x:v>21</x:v>
      </x:c>
      <x:c r="F301" s="50" t="n">
        <x:v>-156.22</x:v>
      </x:c>
      <x:c r="G301" s="50" t="n">
        <x:v>157.96</x:v>
      </x:c>
      <x:c r="H301" s="50" t="n">
        <x:v>-24.87</x:v>
      </x:c>
      <x:c r="I301" s="50" t="n">
        <x:v>17.99</x:v>
      </x:c>
      <x:c r="J301" s="50" t="n">
        <x:v>-0.44</x:v>
      </x:c>
      <x:c r="K301" s="50" t="n">
        <x:v>0.4</x:v>
      </x:c>
      <x:c r="L301" s="50" t="n">
        <x:v>0.59</x:v>
      </x:c>
      <x:c r="M301" s="50" t="n">
        <x:v>0.21</x:v>
      </x:c>
      <x:c r="N301" t="str">
        <x:v>RELATÓRIO LEITURAS INCLINOMÉTRICAS - Empreitada THE EDEN, Estoril_ R05_03-11-25.pdf</x:v>
      </x:c>
      <x:c r="O301" t="n">
        <x:v>10</x:v>
      </x:c>
      <x:c r="P301" t="str">
        <x:v>Válida</x:v>
      </x:c>
    </x:row>
    <x:row r="302">
      <x:c r="A302" s="48" t="n">
        <x:v>45950</x:v>
      </x:c>
      <x:c r="B302" t="n">
        <x:v>3</x:v>
      </x:c>
      <x:c r="C302" t="str">
        <x:v>I1</x:v>
      </x:c>
      <x:c r="D302" t="n">
        <x:v>3</x:v>
      </x:c>
      <x:c r="E302" s="50" t="n">
        <x:v>21.5</x:v>
      </x:c>
      <x:c r="F302" s="50" t="n">
        <x:v>-76.09</x:v>
      </x:c>
      <x:c r="G302" s="50" t="n">
        <x:v>82.13</x:v>
      </x:c>
      <x:c r="H302" s="50" t="n">
        <x:v>-20.22</x:v>
      </x:c>
      <x:c r="I302" s="50" t="n">
        <x:v>22.5</x:v>
      </x:c>
      <x:c r="J302" s="50" t="n">
        <x:v>-0.44</x:v>
      </x:c>
      <x:c r="K302" s="50" t="n">
        <x:v>0.32</x:v>
      </x:c>
      <x:c r="L302" s="50" t="n">
        <x:v>0.54</x:v>
      </x:c>
      <x:c r="M302" s="50" t="n">
        <x:v>0.25</x:v>
      </x:c>
      <x:c r="N302" t="str">
        <x:v>RELATÓRIO LEITURAS INCLINOMÉTRICAS - Empreitada THE EDEN, Estoril_ R05_03-11-25.pdf</x:v>
      </x:c>
      <x:c r="O302" t="n">
        <x:v>10</x:v>
      </x:c>
      <x:c r="P302" t="str">
        <x:v>Válida</x:v>
      </x:c>
    </x:row>
    <x:row r="303">
      <x:c r="A303" s="48" t="n">
        <x:v>45950</x:v>
      </x:c>
      <x:c r="B303" t="n">
        <x:v>3</x:v>
      </x:c>
      <x:c r="C303" t="str">
        <x:v>I1</x:v>
      </x:c>
      <x:c r="D303" t="n">
        <x:v>3</x:v>
      </x:c>
      <x:c r="E303" s="50" t="n">
        <x:v>22</x:v>
      </x:c>
      <x:c r="F303" s="50" t="n">
        <x:v>6.39</x:v>
      </x:c>
      <x:c r="G303" s="50" t="n">
        <x:v>-6.08</x:v>
      </x:c>
      <x:c r="H303" s="50" t="n">
        <x:v>-97.34</x:v>
      </x:c>
      <x:c r="I303" s="50" t="n">
        <x:v>97.16</x:v>
      </x:c>
      <x:c r="J303" s="50" t="n">
        <x:v>-0.47</x:v>
      </x:c>
      <x:c r="K303" s="50" t="n">
        <x:v>0.4</x:v>
      </x:c>
      <x:c r="L303" s="50" t="n">
        <x:v>0.62</x:v>
      </x:c>
      <x:c r="M303" s="50" t="n">
        <x:v>0.37</x:v>
      </x:c>
      <x:c r="N303" t="str">
        <x:v>RELATÓRIO LEITURAS INCLINOMÉTRICAS - Empreitada THE EDEN, Estoril_ R05_03-11-25.pdf</x:v>
      </x:c>
      <x:c r="O303" t="n">
        <x:v>10</x:v>
      </x:c>
      <x:c r="P303" t="str">
        <x:v>Válida</x:v>
      </x:c>
    </x:row>
    <x:row r="304">
      <x:c r="A304" s="48" t="n">
        <x:v>45950</x:v>
      </x:c>
      <x:c r="B304" t="n">
        <x:v>3</x:v>
      </x:c>
      <x:c r="C304" t="str">
        <x:v>I1</x:v>
      </x:c>
      <x:c r="D304" t="n">
        <x:v>3</x:v>
      </x:c>
      <x:c r="E304" s="50" t="n">
        <x:v>22.5</x:v>
      </x:c>
      <x:c r="F304" s="50" t="n">
        <x:v>-23.81</x:v>
      </x:c>
      <x:c r="G304" s="50" t="n">
        <x:v>27.29</x:v>
      </x:c>
      <x:c r="H304" s="50" t="n">
        <x:v>-46.13</x:v>
      </x:c>
      <x:c r="I304" s="50" t="n">
        <x:v>39.69</x:v>
      </x:c>
      <x:c r="J304" s="50" t="n">
        <x:v>-0.49</x:v>
      </x:c>
      <x:c r="K304" s="50" t="n">
        <x:v>0.52</x:v>
      </x:c>
      <x:c r="L304" s="50" t="n">
        <x:v>0.72</x:v>
      </x:c>
      <x:c r="M304" s="50" t="n">
        <x:v>0.46</x:v>
      </x:c>
      <x:c r="N304" t="str">
        <x:v>RELATÓRIO LEITURAS INCLINOMÉTRICAS - Empreitada THE EDEN, Estoril_ R05_03-11-25.pdf</x:v>
      </x:c>
      <x:c r="O304" t="n">
        <x:v>10</x:v>
      </x:c>
      <x:c r="P304" t="str">
        <x:v>Válida</x:v>
      </x:c>
    </x:row>
    <x:row r="305">
      <x:c r="A305" s="48" t="n">
        <x:v>45950</x:v>
      </x:c>
      <x:c r="B305" t="n">
        <x:v>3</x:v>
      </x:c>
      <x:c r="C305" t="str">
        <x:v>I1</x:v>
      </x:c>
      <x:c r="D305" t="n">
        <x:v>3</x:v>
      </x:c>
      <x:c r="E305" s="50" t="n">
        <x:v>23</x:v>
      </x:c>
      <x:c r="F305" s="50" t="n">
        <x:v>-45.58</x:v>
      </x:c>
      <x:c r="G305" s="50" t="n">
        <x:v>48</x:v>
      </x:c>
      <x:c r="H305" s="50" t="n">
        <x:v>-2.56</x:v>
      </x:c>
      <x:c r="I305" s="50" t="n">
        <x:v>4.11</x:v>
      </x:c>
      <x:c r="J305" s="50" t="n">
        <x:v>-0.51</x:v>
      </x:c>
      <x:c r="K305" s="50" t="n">
        <x:v>0.44</x:v>
      </x:c>
      <x:c r="L305" s="50" t="n">
        <x:v>0.67</x:v>
      </x:c>
      <x:c r="M305" s="50" t="n">
        <x:v>0.38</x:v>
      </x:c>
      <x:c r="N305" t="str">
        <x:v>RELATÓRIO LEITURAS INCLINOMÉTRICAS - Empreitada THE EDEN, Estoril_ R05_03-11-25.pdf</x:v>
      </x:c>
      <x:c r="O305" t="n">
        <x:v>10</x:v>
      </x:c>
      <x:c r="P305" t="str">
        <x:v>Válida</x:v>
      </x:c>
    </x:row>
    <x:row r="306">
      <x:c r="A306" s="48" t="n">
        <x:v>45950</x:v>
      </x:c>
      <x:c r="B306" t="n">
        <x:v>3</x:v>
      </x:c>
      <x:c r="C306" t="str">
        <x:v>I1</x:v>
      </x:c>
      <x:c r="D306" t="n">
        <x:v>3</x:v>
      </x:c>
      <x:c r="E306" s="50" t="n">
        <x:v>23.5</x:v>
      </x:c>
      <x:c r="F306" s="50" t="n">
        <x:v>-63.33</x:v>
      </x:c>
      <x:c r="G306" s="50" t="n">
        <x:v>68.14</x:v>
      </x:c>
      <x:c r="H306" s="50" t="n">
        <x:v>21.64</x:v>
      </x:c>
      <x:c r="I306" s="50" t="n">
        <x:v>-18.42</x:v>
      </x:c>
      <x:c r="J306" s="50" t="n">
        <x:v>-0.47</x:v>
      </x:c>
      <x:c r="K306" s="50" t="n">
        <x:v>0.35</x:v>
      </x:c>
      <x:c r="L306" s="50" t="n">
        <x:v>0.59</x:v>
      </x:c>
      <x:c r="M306" s="50" t="n">
        <x:v>0.34</x:v>
      </x:c>
      <x:c r="N306" t="str">
        <x:v>RELATÓRIO LEITURAS INCLINOMÉTRICAS - Empreitada THE EDEN, Estoril_ R05_03-11-25.pdf</x:v>
      </x:c>
      <x:c r="O306" t="n">
        <x:v>10</x:v>
      </x:c>
      <x:c r="P306" t="str">
        <x:v>Válida</x:v>
      </x:c>
    </x:row>
    <x:row r="307">
      <x:c r="A307" s="48" t="n">
        <x:v>45950</x:v>
      </x:c>
      <x:c r="B307" t="n">
        <x:v>3</x:v>
      </x:c>
      <x:c r="C307" t="str">
        <x:v>I1</x:v>
      </x:c>
      <x:c r="D307" t="n">
        <x:v>3</x:v>
      </x:c>
      <x:c r="E307" s="50" t="n">
        <x:v>24</x:v>
      </x:c>
      <x:c r="F307" s="50" t="n">
        <x:v>-88.16</x:v>
      </x:c>
      <x:c r="G307" s="50" t="n">
        <x:v>92.83</x:v>
      </x:c>
      <x:c r="H307" s="50" t="n">
        <x:v>20.03</x:v>
      </x:c>
      <x:c r="I307" s="50" t="n">
        <x:v>-15.5</x:v>
      </x:c>
      <x:c r="J307" s="50" t="n">
        <x:v>-0.41</x:v>
      </x:c>
      <x:c r="K307" s="50" t="n">
        <x:v>0.31</x:v>
      </x:c>
      <x:c r="L307" s="50" t="n">
        <x:v>0.52</x:v>
      </x:c>
      <x:c r="M307" s="50" t="n">
        <x:v>0.32</x:v>
      </x:c>
      <x:c r="N307" t="str">
        <x:v>RELATÓRIO LEITURAS INCLINOMÉTRICAS - Empreitada THE EDEN, Estoril_ R05_03-11-25.pdf</x:v>
      </x:c>
      <x:c r="O307" t="n">
        <x:v>10</x:v>
      </x:c>
      <x:c r="P307" t="str">
        <x:v>Válida</x:v>
      </x:c>
    </x:row>
    <x:row r="308">
      <x:c r="A308" s="48" t="n">
        <x:v>45950</x:v>
      </x:c>
      <x:c r="B308" t="n">
        <x:v>3</x:v>
      </x:c>
      <x:c r="C308" t="str">
        <x:v>I1</x:v>
      </x:c>
      <x:c r="D308" t="n">
        <x:v>3</x:v>
      </x:c>
      <x:c r="E308" s="50" t="n">
        <x:v>24.5</x:v>
      </x:c>
      <x:c r="F308" s="50" t="n">
        <x:v>-119.8</x:v>
      </x:c>
      <x:c r="G308" s="50" t="n">
        <x:v>117.79</x:v>
      </x:c>
      <x:c r="H308" s="50" t="n">
        <x:v>27.08</x:v>
      </x:c>
      <x:c r="I308" s="50" t="n">
        <x:v>-8.26</x:v>
      </x:c>
      <x:c r="J308" s="50" t="n">
        <x:v>-0.41</x:v>
      </x:c>
      <x:c r="K308" s="50" t="n">
        <x:v>0.19</x:v>
      </x:c>
      <x:c r="L308" s="50" t="n">
        <x:v>0.45</x:v>
      </x:c>
      <x:c r="M308" s="50" t="n">
        <x:v>0.08</x:v>
      </x:c>
      <x:c r="N308" t="str">
        <x:v>RELATÓRIO LEITURAS INCLINOMÉTRICAS - Empreitada THE EDEN, Estoril_ R05_03-11-25.pdf</x:v>
      </x:c>
      <x:c r="O308" t="n">
        <x:v>10</x:v>
      </x:c>
      <x:c r="P308" t="str">
        <x:v>Válida</x:v>
      </x:c>
    </x:row>
    <x:row r="309">
      <x:c r="A309" s="48" t="n">
        <x:v>45950</x:v>
      </x:c>
      <x:c r="B309" t="n">
        <x:v>3</x:v>
      </x:c>
      <x:c r="C309" t="str">
        <x:v>I1</x:v>
      </x:c>
      <x:c r="D309" t="n">
        <x:v>3</x:v>
      </x:c>
      <x:c r="E309" s="50" t="n">
        <x:v>25</x:v>
      </x:c>
      <x:c r="F309" s="50" t="n">
        <x:v>-104.84</x:v>
      </x:c>
      <x:c r="G309" s="50" t="n">
        <x:v>113.97</x:v>
      </x:c>
      <x:c r="H309" s="50" t="n">
        <x:v>-29.75</x:v>
      </x:c>
      <x:c r="I309" s="50" t="n">
        <x:v>45.82</x:v>
      </x:c>
      <x:c r="J309" s="50" t="n">
        <x:v>-0.37</x:v>
      </x:c>
      <x:c r="K309" s="50" t="n">
        <x:v>0.33</x:v>
      </x:c>
      <x:c r="L309" s="50" t="n">
        <x:v>0.5</x:v>
      </x:c>
      <x:c r="M309" s="50" t="n">
        <x:v>0.29</x:v>
      </x:c>
      <x:c r="N309" t="str">
        <x:v>RELATÓRIO LEITURAS INCLINOMÉTRICAS - Empreitada THE EDEN, Estoril_ R05_03-11-25.pdf</x:v>
      </x:c>
      <x:c r="O309" t="n">
        <x:v>10</x:v>
      </x:c>
      <x:c r="P309" t="str">
        <x:v>Válida</x:v>
      </x:c>
    </x:row>
    <x:row r="310">
      <x:c r="A310" s="48" t="n">
        <x:v>45950</x:v>
      </x:c>
      <x:c r="B310" t="n">
        <x:v>3</x:v>
      </x:c>
      <x:c r="C310" t="str">
        <x:v>I1</x:v>
      </x:c>
      <x:c r="D310" t="n">
        <x:v>3</x:v>
      </x:c>
      <x:c r="E310" s="50" t="n">
        <x:v>25.5</x:v>
      </x:c>
      <x:c r="F310" s="50" t="n">
        <x:v>-93.47</x:v>
      </x:c>
      <x:c r="G310" s="50" t="n">
        <x:v>98.26</x:v>
      </x:c>
      <x:c r="H310" s="50" t="n">
        <x:v>-44.39</x:v>
      </x:c>
      <x:c r="I310" s="50" t="n">
        <x:v>40.68</x:v>
      </x:c>
      <x:c r="J310" s="50" t="n">
        <x:v>-0.34</x:v>
      </x:c>
      <x:c r="K310" s="50" t="n">
        <x:v>0.33</x:v>
      </x:c>
      <x:c r="L310" s="50" t="n">
        <x:v>0.47</x:v>
      </x:c>
      <x:c r="M310" s="50" t="n">
        <x:v>0.21</x:v>
      </x:c>
      <x:c r="N310" t="str">
        <x:v>RELATÓRIO LEITURAS INCLINOMÉTRICAS - Empreitada THE EDEN, Estoril_ R05_03-11-25.pdf</x:v>
      </x:c>
      <x:c r="O310" t="n">
        <x:v>10</x:v>
      </x:c>
      <x:c r="P310" t="str">
        <x:v>Válida</x:v>
      </x:c>
    </x:row>
    <x:row r="311">
      <x:c r="A311" s="48" t="n">
        <x:v>45950</x:v>
      </x:c>
      <x:c r="B311" t="n">
        <x:v>3</x:v>
      </x:c>
      <x:c r="C311" t="str">
        <x:v>I1</x:v>
      </x:c>
      <x:c r="D311" t="n">
        <x:v>3</x:v>
      </x:c>
      <x:c r="E311" s="50" t="n">
        <x:v>26</x:v>
      </x:c>
      <x:c r="F311" s="50" t="n">
        <x:v>-61.56</x:v>
      </x:c>
      <x:c r="G311" s="50" t="n">
        <x:v>66.57</x:v>
      </x:c>
      <x:c r="H311" s="50" t="n">
        <x:v>-27.77</x:v>
      </x:c>
      <x:c r="I311" s="50" t="n">
        <x:v>33.86</x:v>
      </x:c>
      <x:c r="J311" s="50" t="n">
        <x:v>-0.38</x:v>
      </x:c>
      <x:c r="K311" s="50" t="n">
        <x:v>0.14</x:v>
      </x:c>
      <x:c r="L311" s="50" t="n">
        <x:v>0.41</x:v>
      </x:c>
      <x:c r="M311" s="50" t="n">
        <x:v>0.02</x:v>
      </x:c>
      <x:c r="N311" t="str">
        <x:v>RELATÓRIO LEITURAS INCLINOMÉTRICAS - Empreitada THE EDEN, Estoril_ R05_03-11-25.pdf</x:v>
      </x:c>
      <x:c r="O311" t="n">
        <x:v>10</x:v>
      </x:c>
      <x:c r="P311" t="str">
        <x:v>Válida</x:v>
      </x:c>
    </x:row>
    <x:row r="312">
      <x:c r="A312" s="48" t="n">
        <x:v>45950</x:v>
      </x:c>
      <x:c r="B312" t="n">
        <x:v>3</x:v>
      </x:c>
      <x:c r="C312" t="str">
        <x:v>I1</x:v>
      </x:c>
      <x:c r="D312" t="n">
        <x:v>3</x:v>
      </x:c>
      <x:c r="E312" s="50" t="n">
        <x:v>26.5</x:v>
      </x:c>
      <x:c r="F312" s="50" t="n">
        <x:v>-24.35</x:v>
      </x:c>
      <x:c r="G312" s="50" t="n">
        <x:v>29.32</x:v>
      </x:c>
      <x:c r="H312" s="50" t="n">
        <x:v>7.58</x:v>
      </x:c>
      <x:c r="I312" s="50" t="n">
        <x:v>-6.25</x:v>
      </x:c>
      <x:c r="J312" s="50" t="n">
        <x:v>-0.44</x:v>
      </x:c>
      <x:c r="K312" s="50" t="n">
        <x:v>0.05</x:v>
      </x:c>
      <x:c r="L312" s="50" t="n">
        <x:v>0.44</x:v>
      </x:c>
      <x:c r="M312" s="50" t="n">
        <x:v>0.16</x:v>
      </x:c>
      <x:c r="N312" t="str">
        <x:v>RELATÓRIO LEITURAS INCLINOMÉTRICAS - Empreitada THE EDEN, Estoril_ R05_03-11-25.pdf</x:v>
      </x:c>
      <x:c r="O312" t="n">
        <x:v>10</x:v>
      </x:c>
      <x:c r="P312" t="str">
        <x:v>Válida</x:v>
      </x:c>
    </x:row>
    <x:row r="313">
      <x:c r="A313" s="48" t="n">
        <x:v>45950</x:v>
      </x:c>
      <x:c r="B313" t="n">
        <x:v>3</x:v>
      </x:c>
      <x:c r="C313" t="str">
        <x:v>I1</x:v>
      </x:c>
      <x:c r="D313" t="n">
        <x:v>3</x:v>
      </x:c>
      <x:c r="E313" s="50" t="n">
        <x:v>27</x:v>
      </x:c>
      <x:c r="F313" s="50" t="n">
        <x:v>31.04</x:v>
      </x:c>
      <x:c r="G313" s="50" t="n">
        <x:v>-26.29</x:v>
      </x:c>
      <x:c r="H313" s="50" t="n">
        <x:v>60.34</x:v>
      </x:c>
      <x:c r="I313" s="50" t="n">
        <x:v>-56.84</x:v>
      </x:c>
      <x:c r="J313" s="50" t="n">
        <x:v>-0.32</x:v>
      </x:c>
      <x:c r="K313" s="50" t="n">
        <x:v>-0.02</x:v>
      </x:c>
      <x:c r="L313" s="50" t="n">
        <x:v>0.32</x:v>
      </x:c>
      <x:c r="M313" s="50" t="n">
        <x:v>0.1</x:v>
      </x:c>
      <x:c r="N313" t="str">
        <x:v>RELATÓRIO LEITURAS INCLINOMÉTRICAS - Empreitada THE EDEN, Estoril_ R05_03-11-25.pdf</x:v>
      </x:c>
      <x:c r="O313" t="n">
        <x:v>10</x:v>
      </x:c>
      <x:c r="P313" t="str">
        <x:v>Válida</x:v>
      </x:c>
    </x:row>
    <x:row r="314">
      <x:c r="A314" s="48" t="n">
        <x:v>45950</x:v>
      </x:c>
      <x:c r="B314" t="n">
        <x:v>3</x:v>
      </x:c>
      <x:c r="C314" t="str">
        <x:v>I2</x:v>
      </x:c>
      <x:c r="D314" t="n">
        <x:v>3</x:v>
      </x:c>
      <x:c r="E314" s="50" t="n">
        <x:v>0.5</x:v>
      </x:c>
      <x:c r="F314" s="50" t="n">
        <x:v>-406.14</x:v>
      </x:c>
      <x:c r="G314" s="50" t="n">
        <x:v>406.8</x:v>
      </x:c>
      <x:c r="H314" s="50" t="n">
        <x:v>-134.08</x:v>
      </x:c>
      <x:c r="I314" s="50" t="n">
        <x:v>129.35</x:v>
      </x:c>
      <x:c r="J314" s="50" t="n">
        <x:v>-0.07</x:v>
      </x:c>
      <x:c r="K314" s="50" t="n">
        <x:v>-1.9</x:v>
      </x:c>
      <x:c r="L314" s="50" t="n">
        <x:v>1.9</x:v>
      </x:c>
      <x:c r="M314" s="50" t="n">
        <x:v>-1.29</x:v>
      </x:c>
      <x:c r="N314" t="str">
        <x:v>RELATÓRIO LEITURAS INCLINOMÉTRICAS - Empreitada THE EDEN, Estoril_ R05_03-11-25.pdf</x:v>
      </x:c>
      <x:c r="O314" t="n">
        <x:v>20</x:v>
      </x:c>
      <x:c r="P314" t="str">
        <x:v>Válida</x:v>
      </x:c>
    </x:row>
    <x:row r="315">
      <x:c r="A315" s="48" t="n">
        <x:v>45950</x:v>
      </x:c>
      <x:c r="B315" t="n">
        <x:v>3</x:v>
      </x:c>
      <x:c r="C315" t="str">
        <x:v>I2</x:v>
      </x:c>
      <x:c r="D315" t="n">
        <x:v>3</x:v>
      </x:c>
      <x:c r="E315" s="50" t="n">
        <x:v>1</x:v>
      </x:c>
      <x:c r="F315" s="50" t="n">
        <x:v>-406.11</x:v>
      </x:c>
      <x:c r="G315" s="50" t="n">
        <x:v>406.24</x:v>
      </x:c>
      <x:c r="H315" s="50" t="n">
        <x:v>-134.36</x:v>
      </x:c>
      <x:c r="I315" s="50" t="n">
        <x:v>131.1</x:v>
      </x:c>
      <x:c r="J315" s="50" t="n">
        <x:v>0.19</x:v>
      </x:c>
      <x:c r="K315" s="50" t="n">
        <x:v>-0.85</x:v>
      </x:c>
      <x:c r="L315" s="50" t="n">
        <x:v>0.87</x:v>
      </x:c>
      <x:c r="M315" s="50" t="n">
        <x:v>-1</x:v>
      </x:c>
      <x:c r="N315" t="str">
        <x:v>RELATÓRIO LEITURAS INCLINOMÉTRICAS - Empreitada THE EDEN, Estoril_ R05_03-11-25.pdf</x:v>
      </x:c>
      <x:c r="O315" t="n">
        <x:v>20</x:v>
      </x:c>
      <x:c r="P315" t="str">
        <x:v>Válida</x:v>
      </x:c>
    </x:row>
    <x:row r="316">
      <x:c r="A316" s="48" t="n">
        <x:v>45950</x:v>
      </x:c>
      <x:c r="B316" t="n">
        <x:v>3</x:v>
      </x:c>
      <x:c r="C316" t="str">
        <x:v>I2</x:v>
      </x:c>
      <x:c r="D316" t="n">
        <x:v>3</x:v>
      </x:c>
      <x:c r="E316" s="50" t="n">
        <x:v>1.5</x:v>
      </x:c>
      <x:c r="F316" s="50" t="n">
        <x:v>-375.61</x:v>
      </x:c>
      <x:c r="G316" s="50" t="n">
        <x:v>381.89</x:v>
      </x:c>
      <x:c r="H316" s="50" t="n">
        <x:v>-158.11</x:v>
      </x:c>
      <x:c r="I316" s="50" t="n">
        <x:v>147.17</x:v>
      </x:c>
      <x:c r="J316" s="50" t="n">
        <x:v>0.53</x:v>
      </x:c>
      <x:c r="K316" s="50" t="n">
        <x:v>0.14</x:v>
      </x:c>
      <x:c r="L316" s="50" t="n">
        <x:v>0.54</x:v>
      </x:c>
      <x:c r="M316" s="50" t="n">
        <x:v>-0.2</x:v>
      </x:c>
      <x:c r="N316" t="str">
        <x:v>RELATÓRIO LEITURAS INCLINOMÉTRICAS - Empreitada THE EDEN, Estoril_ R05_03-11-25.pdf</x:v>
      </x:c>
      <x:c r="O316" t="n">
        <x:v>20</x:v>
      </x:c>
      <x:c r="P316" t="str">
        <x:v>Válida</x:v>
      </x:c>
    </x:row>
    <x:row r="317">
      <x:c r="A317" s="48" t="n">
        <x:v>45950</x:v>
      </x:c>
      <x:c r="B317" t="n">
        <x:v>3</x:v>
      </x:c>
      <x:c r="C317" t="str">
        <x:v>I2</x:v>
      </x:c>
      <x:c r="D317" t="n">
        <x:v>3</x:v>
      </x:c>
      <x:c r="E317" s="50" t="n">
        <x:v>2</x:v>
      </x:c>
      <x:c r="F317" s="50" t="n">
        <x:v>-332.88</x:v>
      </x:c>
      <x:c r="G317" s="50" t="n">
        <x:v>343.94</x:v>
      </x:c>
      <x:c r="H317" s="50" t="n">
        <x:v>-214.7</x:v>
      </x:c>
      <x:c r="I317" s="50" t="n">
        <x:v>208.1</x:v>
      </x:c>
      <x:c r="J317" s="50" t="n">
        <x:v>0.65</x:v>
      </x:c>
      <x:c r="K317" s="50" t="n">
        <x:v>0.32</x:v>
      </x:c>
      <x:c r="L317" s="50" t="n">
        <x:v>0.73</x:v>
      </x:c>
      <x:c r="M317" s="50" t="n">
        <x:v>0.19</x:v>
      </x:c>
      <x:c r="N317" t="str">
        <x:v>RELATÓRIO LEITURAS INCLINOMÉTRICAS - Empreitada THE EDEN, Estoril_ R05_03-11-25.pdf</x:v>
      </x:c>
      <x:c r="O317" t="n">
        <x:v>20</x:v>
      </x:c>
      <x:c r="P317" t="str">
        <x:v>Válida</x:v>
      </x:c>
    </x:row>
    <x:row r="318">
      <x:c r="A318" s="48" t="n">
        <x:v>45950</x:v>
      </x:c>
      <x:c r="B318" t="n">
        <x:v>3</x:v>
      </x:c>
      <x:c r="C318" t="str">
        <x:v>I2</x:v>
      </x:c>
      <x:c r="D318" t="n">
        <x:v>3</x:v>
      </x:c>
      <x:c r="E318" s="50" t="n">
        <x:v>2.5</x:v>
      </x:c>
      <x:c r="F318" s="50" t="n">
        <x:v>-305.48</x:v>
      </x:c>
      <x:c r="G318" s="50" t="n">
        <x:v>316.06</x:v>
      </x:c>
      <x:c r="H318" s="50" t="n">
        <x:v>-191.63</x:v>
      </x:c>
      <x:c r="I318" s="50" t="n">
        <x:v>191.65</x:v>
      </x:c>
      <x:c r="J318" s="50" t="n">
        <x:v>0.67</x:v>
      </x:c>
      <x:c r="K318" s="50" t="n">
        <x:v>0.37</x:v>
      </x:c>
      <x:c r="L318" s="50" t="n">
        <x:v>0.76</x:v>
      </x:c>
      <x:c r="M318" s="50" t="n">
        <x:v>0.24</x:v>
      </x:c>
      <x:c r="N318" t="str">
        <x:v>RELATÓRIO LEITURAS INCLINOMÉTRICAS - Empreitada THE EDEN, Estoril_ R05_03-11-25.pdf</x:v>
      </x:c>
      <x:c r="O318" t="n">
        <x:v>20</x:v>
      </x:c>
      <x:c r="P318" t="str">
        <x:v>Válida</x:v>
      </x:c>
    </x:row>
    <x:row r="319">
      <x:c r="A319" s="48" t="n">
        <x:v>45950</x:v>
      </x:c>
      <x:c r="B319" t="n">
        <x:v>3</x:v>
      </x:c>
      <x:c r="C319" t="str">
        <x:v>I2</x:v>
      </x:c>
      <x:c r="D319" t="n">
        <x:v>3</x:v>
      </x:c>
      <x:c r="E319" s="50" t="n">
        <x:v>3</x:v>
      </x:c>
      <x:c r="F319" s="50" t="n">
        <x:v>-269.2</x:v>
      </x:c>
      <x:c r="G319" s="50" t="n">
        <x:v>279.35</x:v>
      </x:c>
      <x:c r="H319" s="50" t="n">
        <x:v>-138.74</x:v>
      </x:c>
      <x:c r="I319" s="50" t="n">
        <x:v>133.63</x:v>
      </x:c>
      <x:c r="J319" s="50" t="n">
        <x:v>0.67</x:v>
      </x:c>
      <x:c r="K319" s="50" t="n">
        <x:v>0.32</x:v>
      </x:c>
      <x:c r="L319" s="50" t="n">
        <x:v>0.74</x:v>
      </x:c>
      <x:c r="M319" s="50" t="n">
        <x:v>0.25</x:v>
      </x:c>
      <x:c r="N319" t="str">
        <x:v>RELATÓRIO LEITURAS INCLINOMÉTRICAS - Empreitada THE EDEN, Estoril_ R05_03-11-25.pdf</x:v>
      </x:c>
      <x:c r="O319" t="n">
        <x:v>20</x:v>
      </x:c>
      <x:c r="P319" t="str">
        <x:v>Válida</x:v>
      </x:c>
    </x:row>
    <x:row r="320">
      <x:c r="A320" s="48" t="n">
        <x:v>45950</x:v>
      </x:c>
      <x:c r="B320" t="n">
        <x:v>3</x:v>
      </x:c>
      <x:c r="C320" t="str">
        <x:v>I2</x:v>
      </x:c>
      <x:c r="D320" t="n">
        <x:v>3</x:v>
      </x:c>
      <x:c r="E320" s="50" t="n">
        <x:v>3.5</x:v>
      </x:c>
      <x:c r="F320" s="50" t="n">
        <x:v>-208.83</x:v>
      </x:c>
      <x:c r="G320" s="50" t="n">
        <x:v>218.98</x:v>
      </x:c>
      <x:c r="H320" s="50" t="n">
        <x:v>-81.03</x:v>
      </x:c>
      <x:c r="I320" s="50" t="n">
        <x:v>74.83</x:v>
      </x:c>
      <x:c r="J320" s="50" t="n">
        <x:v>0.68</x:v>
      </x:c>
      <x:c r="K320" s="50" t="n">
        <x:v>0.37</x:v>
      </x:c>
      <x:c r="L320" s="50" t="n">
        <x:v>0.77</x:v>
      </x:c>
      <x:c r="M320" s="50" t="n">
        <x:v>0.28</x:v>
      </x:c>
      <x:c r="N320" t="str">
        <x:v>RELATÓRIO LEITURAS INCLINOMÉTRICAS - Empreitada THE EDEN, Estoril_ R05_03-11-25.pdf</x:v>
      </x:c>
      <x:c r="O320" t="n">
        <x:v>20</x:v>
      </x:c>
      <x:c r="P320" t="str">
        <x:v>Válida</x:v>
      </x:c>
    </x:row>
    <x:row r="321">
      <x:c r="A321" s="48" t="n">
        <x:v>45950</x:v>
      </x:c>
      <x:c r="B321" t="n">
        <x:v>3</x:v>
      </x:c>
      <x:c r="C321" t="str">
        <x:v>I2</x:v>
      </x:c>
      <x:c r="D321" t="n">
        <x:v>3</x:v>
      </x:c>
      <x:c r="E321" s="50" t="n">
        <x:v>4</x:v>
      </x:c>
      <x:c r="F321" s="50" t="n">
        <x:v>-153.32</x:v>
      </x:c>
      <x:c r="G321" s="50" t="n">
        <x:v>164.3</x:v>
      </x:c>
      <x:c r="H321" s="50" t="n">
        <x:v>-74.73</x:v>
      </x:c>
      <x:c r="I321" s="50" t="n">
        <x:v>60.82</x:v>
      </x:c>
      <x:c r="J321" s="50" t="n">
        <x:v>0.72</x:v>
      </x:c>
      <x:c r="K321" s="50" t="n">
        <x:v>0.58</x:v>
      </x:c>
      <x:c r="L321" s="50" t="n">
        <x:v>0.92</x:v>
      </x:c>
      <x:c r="M321" s="50" t="n">
        <x:v>0.51</x:v>
      </x:c>
      <x:c r="N321" t="str">
        <x:v>RELATÓRIO LEITURAS INCLINOMÉTRICAS - Empreitada THE EDEN, Estoril_ R05_03-11-25.pdf</x:v>
      </x:c>
      <x:c r="O321" t="n">
        <x:v>20</x:v>
      </x:c>
      <x:c r="P321" t="str">
        <x:v>Válida</x:v>
      </x:c>
    </x:row>
    <x:row r="322">
      <x:c r="A322" s="48" t="n">
        <x:v>45950</x:v>
      </x:c>
      <x:c r="B322" t="n">
        <x:v>3</x:v>
      </x:c>
      <x:c r="C322" t="str">
        <x:v>I2</x:v>
      </x:c>
      <x:c r="D322" t="n">
        <x:v>3</x:v>
      </x:c>
      <x:c r="E322" s="50" t="n">
        <x:v>4.5</x:v>
      </x:c>
      <x:c r="F322" s="50" t="n">
        <x:v>-104.92</x:v>
      </x:c>
      <x:c r="G322" s="50" t="n">
        <x:v>113.36</x:v>
      </x:c>
      <x:c r="H322" s="50" t="n">
        <x:v>-119.28</x:v>
      </x:c>
      <x:c r="I322" s="50" t="n">
        <x:v>115.84</x:v>
      </x:c>
      <x:c r="J322" s="50" t="n">
        <x:v>0.73</x:v>
      </x:c>
      <x:c r="K322" s="50" t="n">
        <x:v>0.57</x:v>
      </x:c>
      <x:c r="L322" s="50" t="n">
        <x:v>0.93</x:v>
      </x:c>
      <x:c r="M322" s="50" t="n">
        <x:v>0.51</x:v>
      </x:c>
      <x:c r="N322" t="str">
        <x:v>RELATÓRIO LEITURAS INCLINOMÉTRICAS - Empreitada THE EDEN, Estoril_ R05_03-11-25.pdf</x:v>
      </x:c>
      <x:c r="O322" t="n">
        <x:v>20</x:v>
      </x:c>
      <x:c r="P322" t="str">
        <x:v>Válida</x:v>
      </x:c>
    </x:row>
    <x:row r="323">
      <x:c r="A323" s="48" t="n">
        <x:v>45950</x:v>
      </x:c>
      <x:c r="B323" t="n">
        <x:v>3</x:v>
      </x:c>
      <x:c r="C323" t="str">
        <x:v>I2</x:v>
      </x:c>
      <x:c r="D323" t="n">
        <x:v>3</x:v>
      </x:c>
      <x:c r="E323" s="50" t="n">
        <x:v>5</x:v>
      </x:c>
      <x:c r="F323" s="50" t="n">
        <x:v>-34.84</x:v>
      </x:c>
      <x:c r="G323" s="50" t="n">
        <x:v>43.19</x:v>
      </x:c>
      <x:c r="H323" s="50" t="n">
        <x:v>-155.01</x:v>
      </x:c>
      <x:c r="I323" s="50" t="n">
        <x:v>149.71</x:v>
      </x:c>
      <x:c r="J323" s="50" t="n">
        <x:v>0.75</x:v>
      </x:c>
      <x:c r="K323" s="50" t="n">
        <x:v>0.54</x:v>
      </x:c>
      <x:c r="L323" s="50" t="n">
        <x:v>0.93</x:v>
      </x:c>
      <x:c r="M323" s="50" t="n">
        <x:v>0.52</x:v>
      </x:c>
      <x:c r="N323" t="str">
        <x:v>RELATÓRIO LEITURAS INCLINOMÉTRICAS - Empreitada THE EDEN, Estoril_ R05_03-11-25.pdf</x:v>
      </x:c>
      <x:c r="O323" t="n">
        <x:v>20</x:v>
      </x:c>
      <x:c r="P323" t="str">
        <x:v>Válida</x:v>
      </x:c>
    </x:row>
    <x:row r="324">
      <x:c r="A324" s="48" t="n">
        <x:v>45950</x:v>
      </x:c>
      <x:c r="B324" t="n">
        <x:v>3</x:v>
      </x:c>
      <x:c r="C324" t="str">
        <x:v>I2</x:v>
      </x:c>
      <x:c r="D324" t="n">
        <x:v>3</x:v>
      </x:c>
      <x:c r="E324" s="50" t="n">
        <x:v>5.5</x:v>
      </x:c>
      <x:c r="F324" s="50" t="n">
        <x:v>33.77</x:v>
      </x:c>
      <x:c r="G324" s="50" t="n">
        <x:v>-24.08</x:v>
      </x:c>
      <x:c r="H324" s="50" t="n">
        <x:v>-153.16</x:v>
      </x:c>
      <x:c r="I324" s="50" t="n">
        <x:v>145.67</x:v>
      </x:c>
      <x:c r="J324" s="50" t="n">
        <x:v>0.76</x:v>
      </x:c>
      <x:c r="K324" s="50" t="n">
        <x:v>0.54</x:v>
      </x:c>
      <x:c r="L324" s="50" t="n">
        <x:v>0.93</x:v>
      </x:c>
      <x:c r="M324" s="50" t="n">
        <x:v>0.51</x:v>
      </x:c>
      <x:c r="N324" t="str">
        <x:v>RELATÓRIO LEITURAS INCLINOMÉTRICAS - Empreitada THE EDEN, Estoril_ R05_03-11-25.pdf</x:v>
      </x:c>
      <x:c r="O324" t="n">
        <x:v>20</x:v>
      </x:c>
      <x:c r="P324" t="str">
        <x:v>Válida</x:v>
      </x:c>
    </x:row>
    <x:row r="325">
      <x:c r="A325" s="48" t="n">
        <x:v>45950</x:v>
      </x:c>
      <x:c r="B325" t="n">
        <x:v>3</x:v>
      </x:c>
      <x:c r="C325" t="str">
        <x:v>I2</x:v>
      </x:c>
      <x:c r="D325" t="n">
        <x:v>3</x:v>
      </x:c>
      <x:c r="E325" s="50" t="n">
        <x:v>6</x:v>
      </x:c>
      <x:c r="F325" s="50" t="n">
        <x:v>70.67</x:v>
      </x:c>
      <x:c r="G325" s="50" t="n">
        <x:v>-61.99</x:v>
      </x:c>
      <x:c r="H325" s="50" t="n">
        <x:v>-184.03</x:v>
      </x:c>
      <x:c r="I325" s="50" t="n">
        <x:v>184.03</x:v>
      </x:c>
      <x:c r="J325" s="50" t="n">
        <x:v>0.8</x:v>
      </x:c>
      <x:c r="K325" s="50" t="n">
        <x:v>0.49</x:v>
      </x:c>
      <x:c r="L325" s="50" t="n">
        <x:v>0.94</x:v>
      </x:c>
      <x:c r="M325" s="50" t="n">
        <x:v>0.51</x:v>
      </x:c>
      <x:c r="N325" t="str">
        <x:v>RELATÓRIO LEITURAS INCLINOMÉTRICAS - Empreitada THE EDEN, Estoril_ R05_03-11-25.pdf</x:v>
      </x:c>
      <x:c r="O325" t="n">
        <x:v>20</x:v>
      </x:c>
      <x:c r="P325" t="str">
        <x:v>Excluir do resumo - calha fora do terreno</x:v>
      </x:c>
    </x:row>
    <x:row r="326">
      <x:c r="A326" s="48" t="n">
        <x:v>45950</x:v>
      </x:c>
      <x:c r="B326" t="n">
        <x:v>3</x:v>
      </x:c>
      <x:c r="C326" t="str">
        <x:v>I2</x:v>
      </x:c>
      <x:c r="D326" t="n">
        <x:v>3</x:v>
      </x:c>
      <x:c r="E326" s="50" t="n">
        <x:v>6.5</x:v>
      </x:c>
      <x:c r="F326" s="50" t="n">
        <x:v>172.98</x:v>
      </x:c>
      <x:c r="G326" s="50" t="n">
        <x:v>-163.6</x:v>
      </x:c>
      <x:c r="H326" s="50" t="n">
        <x:v>-188.39</x:v>
      </x:c>
      <x:c r="I326" s="50" t="n">
        <x:v>182</x:v>
      </x:c>
      <x:c r="J326" s="50" t="n">
        <x:v>0.81</x:v>
      </x:c>
      <x:c r="K326" s="50" t="n">
        <x:v>0.58</x:v>
      </x:c>
      <x:c r="L326" s="50" t="n">
        <x:v>1</x:v>
      </x:c>
      <x:c r="M326" s="50" t="n">
        <x:v>0.57</x:v>
      </x:c>
      <x:c r="N326" t="str">
        <x:v>RELATÓRIO LEITURAS INCLINOMÉTRICAS - Empreitada THE EDEN, Estoril_ R05_03-11-25.pdf</x:v>
      </x:c>
      <x:c r="O326" t="n">
        <x:v>20</x:v>
      </x:c>
      <x:c r="P326" t="str">
        <x:v>Excluir do resumo - calha fora do terreno</x:v>
      </x:c>
    </x:row>
    <x:row r="327">
      <x:c r="A327" s="48" t="n">
        <x:v>45950</x:v>
      </x:c>
      <x:c r="B327" t="n">
        <x:v>3</x:v>
      </x:c>
      <x:c r="C327" t="str">
        <x:v>I2</x:v>
      </x:c>
      <x:c r="D327" t="n">
        <x:v>3</x:v>
      </x:c>
      <x:c r="E327" s="50" t="n">
        <x:v>7</x:v>
      </x:c>
      <x:c r="F327" s="50" t="n">
        <x:v>279.08</x:v>
      </x:c>
      <x:c r="G327" s="50" t="n">
        <x:v>-270.86</x:v>
      </x:c>
      <x:c r="H327" s="50" t="n">
        <x:v>-185</x:v>
      </x:c>
      <x:c r="I327" s="50" t="n">
        <x:v>183.03</x:v>
      </x:c>
      <x:c r="J327" s="50" t="n">
        <x:v>0.8</x:v>
      </x:c>
      <x:c r="K327" s="50" t="n">
        <x:v>0.51</x:v>
      </x:c>
      <x:c r="L327" s="50" t="n">
        <x:v>0.95</x:v>
      </x:c>
      <x:c r="M327" s="50" t="n">
        <x:v>0.54</x:v>
      </x:c>
      <x:c r="N327" t="str">
        <x:v>RELATÓRIO LEITURAS INCLINOMÉTRICAS - Empreitada THE EDEN, Estoril_ R05_03-11-25.pdf</x:v>
      </x:c>
      <x:c r="O327" t="n">
        <x:v>20</x:v>
      </x:c>
      <x:c r="P327" t="str">
        <x:v>Válida</x:v>
      </x:c>
    </x:row>
    <x:row r="328">
      <x:c r="A328" s="48" t="n">
        <x:v>45950</x:v>
      </x:c>
      <x:c r="B328" t="n">
        <x:v>3</x:v>
      </x:c>
      <x:c r="C328" t="str">
        <x:v>I2</x:v>
      </x:c>
      <x:c r="D328" t="n">
        <x:v>3</x:v>
      </x:c>
      <x:c r="E328" s="50" t="n">
        <x:v>7.5</x:v>
      </x:c>
      <x:c r="F328" s="50" t="n">
        <x:v>300.58</x:v>
      </x:c>
      <x:c r="G328" s="50" t="n">
        <x:v>-283.76</x:v>
      </x:c>
      <x:c r="H328" s="50" t="n">
        <x:v>-170.54</x:v>
      </x:c>
      <x:c r="I328" s="50" t="n">
        <x:v>167.58</x:v>
      </x:c>
      <x:c r="J328" s="50" t="n">
        <x:v>0.81</x:v>
      </x:c>
      <x:c r="K328" s="50" t="n">
        <x:v>0.6</x:v>
      </x:c>
      <x:c r="L328" s="50" t="n">
        <x:v>1.01</x:v>
      </x:c>
      <x:c r="M328" s="50" t="n">
        <x:v>0.53</x:v>
      </x:c>
      <x:c r="N328" t="str">
        <x:v>RELATÓRIO LEITURAS INCLINOMÉTRICAS - Empreitada THE EDEN, Estoril_ R05_03-11-25.pdf</x:v>
      </x:c>
      <x:c r="O328" t="n">
        <x:v>20</x:v>
      </x:c>
      <x:c r="P328" t="str">
        <x:v>Válida</x:v>
      </x:c>
    </x:row>
    <x:row r="329">
      <x:c r="A329" s="48" t="n">
        <x:v>45950</x:v>
      </x:c>
      <x:c r="B329" t="n">
        <x:v>3</x:v>
      </x:c>
      <x:c r="C329" t="str">
        <x:v>I2</x:v>
      </x:c>
      <x:c r="D329" t="n">
        <x:v>3</x:v>
      </x:c>
      <x:c r="E329" s="50" t="n">
        <x:v>8</x:v>
      </x:c>
      <x:c r="F329" s="50" t="n">
        <x:v>266.46</x:v>
      </x:c>
      <x:c r="G329" s="50" t="n">
        <x:v>-262.75</x:v>
      </x:c>
      <x:c r="H329" s="50" t="n">
        <x:v>-76.29</x:v>
      </x:c>
      <x:c r="I329" s="50" t="n">
        <x:v>72.52</x:v>
      </x:c>
      <x:c r="J329" s="50" t="n">
        <x:v>0.83</x:v>
      </x:c>
      <x:c r="K329" s="50" t="n">
        <x:v>0.47</x:v>
      </x:c>
      <x:c r="L329" s="50" t="n">
        <x:v>0.95</x:v>
      </x:c>
      <x:c r="M329" s="50" t="n">
        <x:v>0.5</x:v>
      </x:c>
      <x:c r="N329" t="str">
        <x:v>RELATÓRIO LEITURAS INCLINOMÉTRICAS - Empreitada THE EDEN, Estoril_ R05_03-11-25.pdf</x:v>
      </x:c>
      <x:c r="O329" t="n">
        <x:v>20</x:v>
      </x:c>
      <x:c r="P329" t="str">
        <x:v>Válida</x:v>
      </x:c>
    </x:row>
    <x:row r="330">
      <x:c r="A330" s="48" t="n">
        <x:v>45950</x:v>
      </x:c>
      <x:c r="B330" t="n">
        <x:v>3</x:v>
      </x:c>
      <x:c r="C330" t="str">
        <x:v>I2</x:v>
      </x:c>
      <x:c r="D330" t="n">
        <x:v>3</x:v>
      </x:c>
      <x:c r="E330" s="50" t="n">
        <x:v>8.5</x:v>
      </x:c>
      <x:c r="F330" s="50" t="n">
        <x:v>333.56</x:v>
      </x:c>
      <x:c r="G330" s="50" t="n">
        <x:v>-321.83</x:v>
      </x:c>
      <x:c r="H330" s="50" t="n">
        <x:v>-8.38</x:v>
      </x:c>
      <x:c r="I330" s="50" t="n">
        <x:v>12.69</x:v>
      </x:c>
      <x:c r="J330" s="50" t="n">
        <x:v>0.82</x:v>
      </x:c>
      <x:c r="K330" s="50" t="n">
        <x:v>0.39</x:v>
      </x:c>
      <x:c r="L330" s="50" t="n">
        <x:v>0.91</x:v>
      </x:c>
      <x:c r="M330" s="50" t="n">
        <x:v>0.54</x:v>
      </x:c>
      <x:c r="N330" t="str">
        <x:v>RELATÓRIO LEITURAS INCLINOMÉTRICAS - Empreitada THE EDEN, Estoril_ R05_03-11-25.pdf</x:v>
      </x:c>
      <x:c r="O330" t="n">
        <x:v>20</x:v>
      </x:c>
      <x:c r="P330" t="str">
        <x:v>Válida</x:v>
      </x:c>
    </x:row>
    <x:row r="331">
      <x:c r="A331" s="48" t="n">
        <x:v>45950</x:v>
      </x:c>
      <x:c r="B331" t="n">
        <x:v>3</x:v>
      </x:c>
      <x:c r="C331" t="str">
        <x:v>I2</x:v>
      </x:c>
      <x:c r="D331" t="n">
        <x:v>3</x:v>
      </x:c>
      <x:c r="E331" s="50" t="n">
        <x:v>9</x:v>
      </x:c>
      <x:c r="F331" s="50" t="n">
        <x:v>314.67</x:v>
      </x:c>
      <x:c r="G331" s="50" t="n">
        <x:v>-305.43</x:v>
      </x:c>
      <x:c r="H331" s="50" t="n">
        <x:v>51.03</x:v>
      </x:c>
      <x:c r="I331" s="50" t="n">
        <x:v>-47.2</x:v>
      </x:c>
      <x:c r="J331" s="50" t="n">
        <x:v>0.75</x:v>
      </x:c>
      <x:c r="K331" s="50" t="n">
        <x:v>0.24</x:v>
      </x:c>
      <x:c r="L331" s="50" t="n">
        <x:v>0.78</x:v>
      </x:c>
      <x:c r="M331" s="50" t="n">
        <x:v>0.52</x:v>
      </x:c>
      <x:c r="N331" t="str">
        <x:v>RELATÓRIO LEITURAS INCLINOMÉTRICAS - Empreitada THE EDEN, Estoril_ R05_03-11-25.pdf</x:v>
      </x:c>
      <x:c r="O331" t="n">
        <x:v>20</x:v>
      </x:c>
      <x:c r="P331" t="str">
        <x:v>Válida</x:v>
      </x:c>
    </x:row>
    <x:row r="332">
      <x:c r="A332" s="48" t="n">
        <x:v>45950</x:v>
      </x:c>
      <x:c r="B332" t="n">
        <x:v>3</x:v>
      </x:c>
      <x:c r="C332" t="str">
        <x:v>I2</x:v>
      </x:c>
      <x:c r="D332" t="n">
        <x:v>3</x:v>
      </x:c>
      <x:c r="E332" s="50" t="n">
        <x:v>9.5</x:v>
      </x:c>
      <x:c r="F332" s="50" t="n">
        <x:v>202.2</x:v>
      </x:c>
      <x:c r="G332" s="50" t="n">
        <x:v>-193.98</x:v>
      </x:c>
      <x:c r="H332" s="50" t="n">
        <x:v>111.59</x:v>
      </x:c>
      <x:c r="I332" s="50" t="n">
        <x:v>-127.96</x:v>
      </x:c>
      <x:c r="J332" s="50" t="n">
        <x:v>0.71</x:v>
      </x:c>
      <x:c r="K332" s="50" t="n">
        <x:v>0.08</x:v>
      </x:c>
      <x:c r="L332" s="50" t="n">
        <x:v>0.72</x:v>
      </x:c>
      <x:c r="M332" s="50" t="n">
        <x:v>0.49</x:v>
      </x:c>
      <x:c r="N332" t="str">
        <x:v>RELATÓRIO LEITURAS INCLINOMÉTRICAS - Empreitada THE EDEN, Estoril_ R05_03-11-25.pdf</x:v>
      </x:c>
      <x:c r="O332" t="n">
        <x:v>20</x:v>
      </x:c>
      <x:c r="P332" t="str">
        <x:v>Válida</x:v>
      </x:c>
    </x:row>
    <x:row r="333">
      <x:c r="A333" s="48" t="n">
        <x:v>45950</x:v>
      </x:c>
      <x:c r="B333" t="n">
        <x:v>3</x:v>
      </x:c>
      <x:c r="C333" t="str">
        <x:v>I2</x:v>
      </x:c>
      <x:c r="D333" t="n">
        <x:v>3</x:v>
      </x:c>
      <x:c r="E333" s="50" t="n">
        <x:v>10</x:v>
      </x:c>
      <x:c r="F333" s="50" t="n">
        <x:v>63.38</x:v>
      </x:c>
      <x:c r="G333" s="50" t="n">
        <x:v>-46.4</x:v>
      </x:c>
      <x:c r="H333" s="50" t="n">
        <x:v>155.02</x:v>
      </x:c>
      <x:c r="I333" s="50" t="n">
        <x:v>-148.47</x:v>
      </x:c>
      <x:c r="J333" s="50" t="n">
        <x:v>0.74</x:v>
      </x:c>
      <x:c r="K333" s="50" t="n">
        <x:v>0.13</x:v>
      </x:c>
      <x:c r="L333" s="50" t="n">
        <x:v>0.75</x:v>
      </x:c>
      <x:c r="M333" s="50" t="n">
        <x:v>0.52</x:v>
      </x:c>
      <x:c r="N333" t="str">
        <x:v>RELATÓRIO LEITURAS INCLINOMÉTRICAS - Empreitada THE EDEN, Estoril_ R05_03-11-25.pdf</x:v>
      </x:c>
      <x:c r="O333" t="n">
        <x:v>20</x:v>
      </x:c>
      <x:c r="P333" t="str">
        <x:v>Válida</x:v>
      </x:c>
    </x:row>
    <x:row r="334">
      <x:c r="A334" s="48" t="n">
        <x:v>45950</x:v>
      </x:c>
      <x:c r="B334" t="n">
        <x:v>3</x:v>
      </x:c>
      <x:c r="C334" t="str">
        <x:v>I2</x:v>
      </x:c>
      <x:c r="D334" t="n">
        <x:v>3</x:v>
      </x:c>
      <x:c r="E334" s="50" t="n">
        <x:v>10.5</x:v>
      </x:c>
      <x:c r="F334" s="50" t="n">
        <x:v>80.43</x:v>
      </x:c>
      <x:c r="G334" s="50" t="n">
        <x:v>-73.8</x:v>
      </x:c>
      <x:c r="H334" s="50" t="n">
        <x:v>69.46</x:v>
      </x:c>
      <x:c r="I334" s="50" t="n">
        <x:v>-76.89</x:v>
      </x:c>
      <x:c r="J334" s="50" t="n">
        <x:v>0.75</x:v>
      </x:c>
      <x:c r="K334" s="50" t="n">
        <x:v>0.03</x:v>
      </x:c>
      <x:c r="L334" s="50" t="n">
        <x:v>0.75</x:v>
      </x:c>
      <x:c r="M334" s="50" t="n">
        <x:v>0.51</x:v>
      </x:c>
      <x:c r="N334" t="str">
        <x:v>RELATÓRIO LEITURAS INCLINOMÉTRICAS - Empreitada THE EDEN, Estoril_ R05_03-11-25.pdf</x:v>
      </x:c>
      <x:c r="O334" t="n">
        <x:v>20</x:v>
      </x:c>
      <x:c r="P334" t="str">
        <x:v>Válida</x:v>
      </x:c>
    </x:row>
    <x:row r="335">
      <x:c r="A335" s="48" t="n">
        <x:v>45950</x:v>
      </x:c>
      <x:c r="B335" t="n">
        <x:v>3</x:v>
      </x:c>
      <x:c r="C335" t="str">
        <x:v>I2</x:v>
      </x:c>
      <x:c r="D335" t="n">
        <x:v>3</x:v>
      </x:c>
      <x:c r="E335" s="50" t="n">
        <x:v>11</x:v>
      </x:c>
      <x:c r="F335" s="50" t="n">
        <x:v>13.41</x:v>
      </x:c>
      <x:c r="G335" s="50" t="n">
        <x:v>-3.64</x:v>
      </x:c>
      <x:c r="H335" s="50" t="n">
        <x:v>30.55</x:v>
      </x:c>
      <x:c r="I335" s="50" t="n">
        <x:v>-35.38</x:v>
      </x:c>
      <x:c r="J335" s="50" t="n">
        <x:v>0.77</x:v>
      </x:c>
      <x:c r="K335" s="50" t="n">
        <x:v>-0.1</x:v>
      </x:c>
      <x:c r="L335" s="50" t="n">
        <x:v>0.78</x:v>
      </x:c>
      <x:c r="M335" s="50" t="n">
        <x:v>0.49</x:v>
      </x:c>
      <x:c r="N335" t="str">
        <x:v>RELATÓRIO LEITURAS INCLINOMÉTRICAS - Empreitada THE EDEN, Estoril_ R05_03-11-25.pdf</x:v>
      </x:c>
      <x:c r="O335" t="n">
        <x:v>20</x:v>
      </x:c>
      <x:c r="P335" t="str">
        <x:v>Válida</x:v>
      </x:c>
    </x:row>
    <x:row r="336">
      <x:c r="A336" s="48" t="n">
        <x:v>45950</x:v>
      </x:c>
      <x:c r="B336" t="n">
        <x:v>3</x:v>
      </x:c>
      <x:c r="C336" t="str">
        <x:v>I2</x:v>
      </x:c>
      <x:c r="D336" t="n">
        <x:v>3</x:v>
      </x:c>
      <x:c r="E336" s="50" t="n">
        <x:v>11.5</x:v>
      </x:c>
      <x:c r="F336" s="50" t="n">
        <x:v>-60.52</x:v>
      </x:c>
      <x:c r="G336" s="50" t="n">
        <x:v>65.46</x:v>
      </x:c>
      <x:c r="H336" s="50" t="n">
        <x:v>12.73</x:v>
      </x:c>
      <x:c r="I336" s="50" t="n">
        <x:v>-8.54</x:v>
      </x:c>
      <x:c r="J336" s="50" t="n">
        <x:v>0.77</x:v>
      </x:c>
      <x:c r="K336" s="50" t="n">
        <x:v>-0.27</x:v>
      </x:c>
      <x:c r="L336" s="50" t="n">
        <x:v>0.81</x:v>
      </x:c>
      <x:c r="M336" s="50" t="n">
        <x:v>0.49</x:v>
      </x:c>
      <x:c r="N336" t="str">
        <x:v>RELATÓRIO LEITURAS INCLINOMÉTRICAS - Empreitada THE EDEN, Estoril_ R05_03-11-25.pdf</x:v>
      </x:c>
      <x:c r="O336" t="n">
        <x:v>20</x:v>
      </x:c>
      <x:c r="P336" t="str">
        <x:v>Válida</x:v>
      </x:c>
    </x:row>
    <x:row r="337">
      <x:c r="A337" s="48" t="n">
        <x:v>45950</x:v>
      </x:c>
      <x:c r="B337" t="n">
        <x:v>3</x:v>
      </x:c>
      <x:c r="C337" t="str">
        <x:v>I2</x:v>
      </x:c>
      <x:c r="D337" t="n">
        <x:v>3</x:v>
      </x:c>
      <x:c r="E337" s="50" t="n">
        <x:v>12</x:v>
      </x:c>
      <x:c r="F337" s="50" t="n">
        <x:v>-74</x:v>
      </x:c>
      <x:c r="G337" s="50" t="n">
        <x:v>85.47</x:v>
      </x:c>
      <x:c r="H337" s="50" t="n">
        <x:v>15.4</x:v>
      </x:c>
      <x:c r="I337" s="50" t="n">
        <x:v>-22.87</x:v>
      </x:c>
      <x:c r="J337" s="50" t="n">
        <x:v>0.77</x:v>
      </x:c>
      <x:c r="K337" s="50" t="n">
        <x:v>-0.15</x:v>
      </x:c>
      <x:c r="L337" s="50" t="n">
        <x:v>0.78</x:v>
      </x:c>
      <x:c r="M337" s="50" t="n">
        <x:v>0.44</x:v>
      </x:c>
      <x:c r="N337" t="str">
        <x:v>RELATÓRIO LEITURAS INCLINOMÉTRICAS - Empreitada THE EDEN, Estoril_ R05_03-11-25.pdf</x:v>
      </x:c>
      <x:c r="O337" t="n">
        <x:v>20</x:v>
      </x:c>
      <x:c r="P337" t="str">
        <x:v>Válida</x:v>
      </x:c>
    </x:row>
    <x:row r="338">
      <x:c r="A338" s="48" t="n">
        <x:v>45950</x:v>
      </x:c>
      <x:c r="B338" t="n">
        <x:v>3</x:v>
      </x:c>
      <x:c r="C338" t="str">
        <x:v>I2</x:v>
      </x:c>
      <x:c r="D338" t="n">
        <x:v>3</x:v>
      </x:c>
      <x:c r="E338" s="50" t="n">
        <x:v>12.5</x:v>
      </x:c>
      <x:c r="F338" s="50" t="n">
        <x:v>-37.12</x:v>
      </x:c>
      <x:c r="G338" s="50" t="n">
        <x:v>46.75</x:v>
      </x:c>
      <x:c r="H338" s="50" t="n">
        <x:v>13.11</x:v>
      </x:c>
      <x:c r="I338" s="50" t="n">
        <x:v>-18.18</x:v>
      </x:c>
      <x:c r="J338" s="50" t="n">
        <x:v>0.75</x:v>
      </x:c>
      <x:c r="K338" s="50" t="n">
        <x:v>-0.07</x:v>
      </x:c>
      <x:c r="L338" s="50" t="n">
        <x:v>0.75</x:v>
      </x:c>
      <x:c r="M338" s="50" t="n">
        <x:v>0.37</x:v>
      </x:c>
      <x:c r="N338" t="str">
        <x:v>RELATÓRIO LEITURAS INCLINOMÉTRICAS - Empreitada THE EDEN, Estoril_ R05_03-11-25.pdf</x:v>
      </x:c>
      <x:c r="O338" t="n">
        <x:v>20</x:v>
      </x:c>
      <x:c r="P338" t="str">
        <x:v>Válida</x:v>
      </x:c>
    </x:row>
    <x:row r="339">
      <x:c r="A339" s="48" t="n">
        <x:v>45950</x:v>
      </x:c>
      <x:c r="B339" t="n">
        <x:v>3</x:v>
      </x:c>
      <x:c r="C339" t="str">
        <x:v>I2</x:v>
      </x:c>
      <x:c r="D339" t="n">
        <x:v>3</x:v>
      </x:c>
      <x:c r="E339" s="50" t="n">
        <x:v>13</x:v>
      </x:c>
      <x:c r="F339" s="50" t="n">
        <x:v>-95.28</x:v>
      </x:c>
      <x:c r="G339" s="50" t="n">
        <x:v>103.32</x:v>
      </x:c>
      <x:c r="H339" s="50" t="n">
        <x:v>-37.16</x:v>
      </x:c>
      <x:c r="I339" s="50" t="n">
        <x:v>37.33</x:v>
      </x:c>
      <x:c r="J339" s="50" t="n">
        <x:v>0.73</x:v>
      </x:c>
      <x:c r="K339" s="50" t="n">
        <x:v>-0.02</x:v>
      </x:c>
      <x:c r="L339" s="50" t="n">
        <x:v>0.73</x:v>
      </x:c>
      <x:c r="M339" s="50" t="n">
        <x:v>0.39</x:v>
      </x:c>
      <x:c r="N339" t="str">
        <x:v>RELATÓRIO LEITURAS INCLINOMÉTRICAS - Empreitada THE EDEN, Estoril_ R05_03-11-25.pdf</x:v>
      </x:c>
      <x:c r="O339" t="n">
        <x:v>20</x:v>
      </x:c>
      <x:c r="P339" t="str">
        <x:v>Válida</x:v>
      </x:c>
    </x:row>
    <x:row r="340">
      <x:c r="A340" s="48" t="n">
        <x:v>45950</x:v>
      </x:c>
      <x:c r="B340" t="n">
        <x:v>3</x:v>
      </x:c>
      <x:c r="C340" t="str">
        <x:v>I2</x:v>
      </x:c>
      <x:c r="D340" t="n">
        <x:v>3</x:v>
      </x:c>
      <x:c r="E340" s="50" t="n">
        <x:v>13.5</x:v>
      </x:c>
      <x:c r="F340" s="50" t="n">
        <x:v>-261.55</x:v>
      </x:c>
      <x:c r="G340" s="50" t="n">
        <x:v>272.8</x:v>
      </x:c>
      <x:c r="H340" s="50" t="n">
        <x:v>-180.3</x:v>
      </x:c>
      <x:c r="I340" s="50" t="n">
        <x:v>180.48</x:v>
      </x:c>
      <x:c r="J340" s="50" t="n">
        <x:v>0.74</x:v>
      </x:c>
      <x:c r="K340" s="50" t="n">
        <x:v>0</x:v>
      </x:c>
      <x:c r="L340" s="50" t="n">
        <x:v>0.74</x:v>
      </x:c>
      <x:c r="M340" s="50" t="n">
        <x:v>0.4</x:v>
      </x:c>
      <x:c r="N340" t="str">
        <x:v>RELATÓRIO LEITURAS INCLINOMÉTRICAS - Empreitada THE EDEN, Estoril_ R05_03-11-25.pdf</x:v>
      </x:c>
      <x:c r="O340" t="n">
        <x:v>20</x:v>
      </x:c>
      <x:c r="P340" t="str">
        <x:v>Válida</x:v>
      </x:c>
    </x:row>
    <x:row r="341">
      <x:c r="A341" s="48" t="n">
        <x:v>45950</x:v>
      </x:c>
      <x:c r="B341" t="n">
        <x:v>3</x:v>
      </x:c>
      <x:c r="C341" t="str">
        <x:v>I2</x:v>
      </x:c>
      <x:c r="D341" t="n">
        <x:v>3</x:v>
      </x:c>
      <x:c r="E341" s="50" t="n">
        <x:v>14</x:v>
      </x:c>
      <x:c r="F341" s="50" t="n">
        <x:v>-293.63</x:v>
      </x:c>
      <x:c r="G341" s="50" t="n">
        <x:v>303.89</x:v>
      </x:c>
      <x:c r="H341" s="50" t="n">
        <x:v>-305.69</x:v>
      </x:c>
      <x:c r="I341" s="50" t="n">
        <x:v>304.24</x:v>
      </x:c>
      <x:c r="J341" s="50" t="n">
        <x:v>0.75</x:v>
      </x:c>
      <x:c r="K341" s="50" t="n">
        <x:v>-0.01</x:v>
      </x:c>
      <x:c r="L341" s="50" t="n">
        <x:v>0.75</x:v>
      </x:c>
      <x:c r="M341" s="50" t="n">
        <x:v>0.39</x:v>
      </x:c>
      <x:c r="N341" t="str">
        <x:v>RELATÓRIO LEITURAS INCLINOMÉTRICAS - Empreitada THE EDEN, Estoril_ R05_03-11-25.pdf</x:v>
      </x:c>
      <x:c r="O341" t="n">
        <x:v>20</x:v>
      </x:c>
      <x:c r="P341" t="str">
        <x:v>Válida</x:v>
      </x:c>
    </x:row>
    <x:row r="342">
      <x:c r="A342" s="48" t="n">
        <x:v>45950</x:v>
      </x:c>
      <x:c r="B342" t="n">
        <x:v>3</x:v>
      </x:c>
      <x:c r="C342" t="str">
        <x:v>I2</x:v>
      </x:c>
      <x:c r="D342" t="n">
        <x:v>3</x:v>
      </x:c>
      <x:c r="E342" s="50" t="n">
        <x:v>14.5</x:v>
      </x:c>
      <x:c r="F342" s="50" t="n">
        <x:v>-259.13</x:v>
      </x:c>
      <x:c r="G342" s="50" t="n">
        <x:v>270.09</x:v>
      </x:c>
      <x:c r="H342" s="50" t="n">
        <x:v>-253.99</x:v>
      </x:c>
      <x:c r="I342" s="50" t="n">
        <x:v>265.75</x:v>
      </x:c>
      <x:c r="J342" s="50" t="n">
        <x:v>0.73</x:v>
      </x:c>
      <x:c r="K342" s="50" t="n">
        <x:v>-0.04</x:v>
      </x:c>
      <x:c r="L342" s="50" t="n">
        <x:v>0.73</x:v>
      </x:c>
      <x:c r="M342" s="50" t="n">
        <x:v>0.37</x:v>
      </x:c>
      <x:c r="N342" t="str">
        <x:v>RELATÓRIO LEITURAS INCLINOMÉTRICAS - Empreitada THE EDEN, Estoril_ R05_03-11-25.pdf</x:v>
      </x:c>
      <x:c r="O342" t="n">
        <x:v>20</x:v>
      </x:c>
      <x:c r="P342" t="str">
        <x:v>Válida</x:v>
      </x:c>
    </x:row>
    <x:row r="343">
      <x:c r="A343" s="48" t="n">
        <x:v>45950</x:v>
      </x:c>
      <x:c r="B343" t="n">
        <x:v>3</x:v>
      </x:c>
      <x:c r="C343" t="str">
        <x:v>I2</x:v>
      </x:c>
      <x:c r="D343" t="n">
        <x:v>3</x:v>
      </x:c>
      <x:c r="E343" s="50" t="n">
        <x:v>15</x:v>
      </x:c>
      <x:c r="F343" s="50" t="n">
        <x:v>-222.32</x:v>
      </x:c>
      <x:c r="G343" s="50" t="n">
        <x:v>234.95</x:v>
      </x:c>
      <x:c r="H343" s="50" t="n">
        <x:v>-204.79</x:v>
      </x:c>
      <x:c r="I343" s="50" t="n">
        <x:v>198.31</x:v>
      </x:c>
      <x:c r="J343" s="50" t="n">
        <x:v>0.68</x:v>
      </x:c>
      <x:c r="K343" s="50" t="n">
        <x:v>-0.1</x:v>
      </x:c>
      <x:c r="L343" s="50" t="n">
        <x:v>0.69</x:v>
      </x:c>
      <x:c r="M343" s="50" t="n">
        <x:v>0.34</x:v>
      </x:c>
      <x:c r="N343" t="str">
        <x:v>RELATÓRIO LEITURAS INCLINOMÉTRICAS - Empreitada THE EDEN, Estoril_ R05_03-11-25.pdf</x:v>
      </x:c>
      <x:c r="O343" t="n">
        <x:v>20</x:v>
      </x:c>
      <x:c r="P343" t="str">
        <x:v>Válida</x:v>
      </x:c>
    </x:row>
    <x:row r="344">
      <x:c r="A344" s="48" t="n">
        <x:v>45950</x:v>
      </x:c>
      <x:c r="B344" t="n">
        <x:v>3</x:v>
      </x:c>
      <x:c r="C344" t="str">
        <x:v>I2</x:v>
      </x:c>
      <x:c r="D344" t="n">
        <x:v>3</x:v>
      </x:c>
      <x:c r="E344" s="50" t="n">
        <x:v>15.5</x:v>
      </x:c>
      <x:c r="F344" s="50" t="n">
        <x:v>-157.68</x:v>
      </x:c>
      <x:c r="G344" s="50" t="n">
        <x:v>164.97</x:v>
      </x:c>
      <x:c r="H344" s="50" t="n">
        <x:v>-193.78</x:v>
      </x:c>
      <x:c r="I344" s="50" t="n">
        <x:v>181.25</x:v>
      </x:c>
      <x:c r="J344" s="50" t="n">
        <x:v>0.65</x:v>
      </x:c>
      <x:c r="K344" s="50" t="n">
        <x:v>-0.09</x:v>
      </x:c>
      <x:c r="L344" s="50" t="n">
        <x:v>0.66</x:v>
      </x:c>
      <x:c r="M344" s="50" t="n">
        <x:v>0.32</x:v>
      </x:c>
      <x:c r="N344" t="str">
        <x:v>RELATÓRIO LEITURAS INCLINOMÉTRICAS - Empreitada THE EDEN, Estoril_ R05_03-11-25.pdf</x:v>
      </x:c>
      <x:c r="O344" t="n">
        <x:v>20</x:v>
      </x:c>
      <x:c r="P344" t="str">
        <x:v>Válida</x:v>
      </x:c>
    </x:row>
    <x:row r="345">
      <x:c r="A345" s="48" t="n">
        <x:v>45950</x:v>
      </x:c>
      <x:c r="B345" t="n">
        <x:v>3</x:v>
      </x:c>
      <x:c r="C345" t="str">
        <x:v>I2</x:v>
      </x:c>
      <x:c r="D345" t="n">
        <x:v>3</x:v>
      </x:c>
      <x:c r="E345" s="50" t="n">
        <x:v>16</x:v>
      </x:c>
      <x:c r="F345" s="50" t="n">
        <x:v>-72.06</x:v>
      </x:c>
      <x:c r="G345" s="50" t="n">
        <x:v>81.04</x:v>
      </x:c>
      <x:c r="H345" s="50" t="n">
        <x:v>-167.78</x:v>
      </x:c>
      <x:c r="I345" s="50" t="n">
        <x:v>170.89</x:v>
      </x:c>
      <x:c r="J345" s="50" t="n">
        <x:v>0.64</x:v>
      </x:c>
      <x:c r="K345" s="50" t="n">
        <x:v>-0.08</x:v>
      </x:c>
      <x:c r="L345" s="50" t="n">
        <x:v>0.65</x:v>
      </x:c>
      <x:c r="M345" s="50" t="n">
        <x:v>0.3</x:v>
      </x:c>
      <x:c r="N345" t="str">
        <x:v>RELATÓRIO LEITURAS INCLINOMÉTRICAS - Empreitada THE EDEN, Estoril_ R05_03-11-25.pdf</x:v>
      </x:c>
      <x:c r="O345" t="n">
        <x:v>20</x:v>
      </x:c>
      <x:c r="P345" t="str">
        <x:v>Válida</x:v>
      </x:c>
    </x:row>
    <x:row r="346">
      <x:c r="A346" s="48" t="n">
        <x:v>45950</x:v>
      </x:c>
      <x:c r="B346" t="n">
        <x:v>3</x:v>
      </x:c>
      <x:c r="C346" t="str">
        <x:v>I2</x:v>
      </x:c>
      <x:c r="D346" t="n">
        <x:v>3</x:v>
      </x:c>
      <x:c r="E346" s="50" t="n">
        <x:v>16.5</x:v>
      </x:c>
      <x:c r="F346" s="50" t="n">
        <x:v>110.77</x:v>
      </x:c>
      <x:c r="G346" s="50" t="n">
        <x:v>-103.59</x:v>
      </x:c>
      <x:c r="H346" s="50" t="n">
        <x:v>-117.54</x:v>
      </x:c>
      <x:c r="I346" s="50" t="n">
        <x:v>114.54</x:v>
      </x:c>
      <x:c r="J346" s="50" t="n">
        <x:v>0.62</x:v>
      </x:c>
      <x:c r="K346" s="50" t="n">
        <x:v>-0.03</x:v>
      </x:c>
      <x:c r="L346" s="50" t="n">
        <x:v>0.62</x:v>
      </x:c>
      <x:c r="M346" s="50" t="n">
        <x:v>0.28</x:v>
      </x:c>
      <x:c r="N346" t="str">
        <x:v>RELATÓRIO LEITURAS INCLINOMÉTRICAS - Empreitada THE EDEN, Estoril_ R05_03-11-25.pdf</x:v>
      </x:c>
      <x:c r="O346" t="n">
        <x:v>20</x:v>
      </x:c>
      <x:c r="P346" t="str">
        <x:v>Válida</x:v>
      </x:c>
    </x:row>
    <x:row r="347">
      <x:c r="A347" s="48" t="n">
        <x:v>45950</x:v>
      </x:c>
      <x:c r="B347" t="n">
        <x:v>3</x:v>
      </x:c>
      <x:c r="C347" t="str">
        <x:v>I2</x:v>
      </x:c>
      <x:c r="D347" t="n">
        <x:v>3</x:v>
      </x:c>
      <x:c r="E347" s="50" t="n">
        <x:v>17</x:v>
      </x:c>
      <x:c r="F347" s="50" t="n">
        <x:v>273.94</x:v>
      </x:c>
      <x:c r="G347" s="50" t="n">
        <x:v>-263.68</x:v>
      </x:c>
      <x:c r="H347" s="50" t="n">
        <x:v>-65.16</x:v>
      </x:c>
      <x:c r="I347" s="50" t="n">
        <x:v>56.85</x:v>
      </x:c>
      <x:c r="J347" s="50" t="n">
        <x:v>0.58</x:v>
      </x:c>
      <x:c r="K347" s="50" t="n">
        <x:v>-0.17</x:v>
      </x:c>
      <x:c r="L347" s="50" t="n">
        <x:v>0.61</x:v>
      </x:c>
      <x:c r="M347" s="50" t="n">
        <x:v>0.2</x:v>
      </x:c>
      <x:c r="N347" t="str">
        <x:v>RELATÓRIO LEITURAS INCLINOMÉTRICAS - Empreitada THE EDEN, Estoril_ R05_03-11-25.pdf</x:v>
      </x:c>
      <x:c r="O347" t="n">
        <x:v>20</x:v>
      </x:c>
      <x:c r="P347" t="str">
        <x:v>Válida</x:v>
      </x:c>
    </x:row>
    <x:row r="348">
      <x:c r="A348" s="48" t="n">
        <x:v>45950</x:v>
      </x:c>
      <x:c r="B348" t="n">
        <x:v>3</x:v>
      </x:c>
      <x:c r="C348" t="str">
        <x:v>I2</x:v>
      </x:c>
      <x:c r="D348" t="n">
        <x:v>3</x:v>
      </x:c>
      <x:c r="E348" s="50" t="n">
        <x:v>17.5</x:v>
      </x:c>
      <x:c r="F348" s="50" t="n">
        <x:v>325.68</x:v>
      </x:c>
      <x:c r="G348" s="50" t="n">
        <x:v>-319.28</x:v>
      </x:c>
      <x:c r="H348" s="50" t="n">
        <x:v>-70.49</x:v>
      </x:c>
      <x:c r="I348" s="50" t="n">
        <x:v>64.89</x:v>
      </x:c>
      <x:c r="J348" s="50" t="n">
        <x:v>0.56</x:v>
      </x:c>
      <x:c r="K348" s="50" t="n">
        <x:v>0</x:v>
      </x:c>
      <x:c r="L348" s="50" t="n">
        <x:v>0.56</x:v>
      </x:c>
      <x:c r="M348" s="50" t="n">
        <x:v>0.2</x:v>
      </x:c>
      <x:c r="N348" t="str">
        <x:v>RELATÓRIO LEITURAS INCLINOMÉTRICAS - Empreitada THE EDEN, Estoril_ R05_03-11-25.pdf</x:v>
      </x:c>
      <x:c r="O348" t="n">
        <x:v>20</x:v>
      </x:c>
      <x:c r="P348" t="str">
        <x:v>Válida</x:v>
      </x:c>
    </x:row>
    <x:row r="349">
      <x:c r="A349" s="48" t="n">
        <x:v>45950</x:v>
      </x:c>
      <x:c r="B349" t="n">
        <x:v>3</x:v>
      </x:c>
      <x:c r="C349" t="str">
        <x:v>I2</x:v>
      </x:c>
      <x:c r="D349" t="n">
        <x:v>3</x:v>
      </x:c>
      <x:c r="E349" s="50" t="n">
        <x:v>18</x:v>
      </x:c>
      <x:c r="F349" s="50" t="n">
        <x:v>395.34</x:v>
      </x:c>
      <x:c r="G349" s="50" t="n">
        <x:v>-385.49</x:v>
      </x:c>
      <x:c r="H349" s="50" t="n">
        <x:v>-108.18</x:v>
      </x:c>
      <x:c r="I349" s="50" t="n">
        <x:v>102.5</x:v>
      </x:c>
      <x:c r="J349" s="50" t="n">
        <x:v>0.54</x:v>
      </x:c>
      <x:c r="K349" s="50" t="n">
        <x:v>0.15</x:v>
      </x:c>
      <x:c r="L349" s="50" t="n">
        <x:v>0.56</x:v>
      </x:c>
      <x:c r="M349" s="50" t="n">
        <x:v>0.23</x:v>
      </x:c>
      <x:c r="N349" t="str">
        <x:v>RELATÓRIO LEITURAS INCLINOMÉTRICAS - Empreitada THE EDEN, Estoril_ R05_03-11-25.pdf</x:v>
      </x:c>
      <x:c r="O349" t="n">
        <x:v>20</x:v>
      </x:c>
      <x:c r="P349" t="str">
        <x:v>Válida</x:v>
      </x:c>
    </x:row>
    <x:row r="350">
      <x:c r="A350" s="48" t="n">
        <x:v>45950</x:v>
      </x:c>
      <x:c r="B350" t="n">
        <x:v>3</x:v>
      </x:c>
      <x:c r="C350" t="str">
        <x:v>I2</x:v>
      </x:c>
      <x:c r="D350" t="n">
        <x:v>3</x:v>
      </x:c>
      <x:c r="E350" s="50" t="n">
        <x:v>18.5</x:v>
      </x:c>
      <x:c r="F350" s="50" t="n">
        <x:v>440.12</x:v>
      </x:c>
      <x:c r="G350" s="50" t="n">
        <x:v>-430.03</x:v>
      </x:c>
      <x:c r="H350" s="50" t="n">
        <x:v>-117.67</x:v>
      </x:c>
      <x:c r="I350" s="50" t="n">
        <x:v>116.81</x:v>
      </x:c>
      <x:c r="J350" s="50" t="n">
        <x:v>0.52</x:v>
      </x:c>
      <x:c r="K350" s="50" t="n">
        <x:v>0.1</x:v>
      </x:c>
      <x:c r="L350" s="50" t="n">
        <x:v>0.53</x:v>
      </x:c>
      <x:c r="M350" s="50" t="n">
        <x:v>0.18</x:v>
      </x:c>
      <x:c r="N350" t="str">
        <x:v>RELATÓRIO LEITURAS INCLINOMÉTRICAS - Empreitada THE EDEN, Estoril_ R05_03-11-25.pdf</x:v>
      </x:c>
      <x:c r="O350" t="n">
        <x:v>20</x:v>
      </x:c>
      <x:c r="P350" t="str">
        <x:v>Válida</x:v>
      </x:c>
    </x:row>
    <x:row r="351">
      <x:c r="A351" s="48" t="n">
        <x:v>45950</x:v>
      </x:c>
      <x:c r="B351" t="n">
        <x:v>3</x:v>
      </x:c>
      <x:c r="C351" t="str">
        <x:v>I2</x:v>
      </x:c>
      <x:c r="D351" t="n">
        <x:v>3</x:v>
      </x:c>
      <x:c r="E351" s="50" t="n">
        <x:v>19</x:v>
      </x:c>
      <x:c r="F351" s="50" t="n">
        <x:v>447.59</x:v>
      </x:c>
      <x:c r="G351" s="50" t="n">
        <x:v>-440.78</x:v>
      </x:c>
      <x:c r="H351" s="50" t="n">
        <x:v>-123.04</x:v>
      </x:c>
      <x:c r="I351" s="50" t="n">
        <x:v>109.07</x:v>
      </x:c>
      <x:c r="J351" s="50" t="n">
        <x:v>0.51</x:v>
      </x:c>
      <x:c r="K351" s="50" t="n">
        <x:v>0.07</x:v>
      </x:c>
      <x:c r="L351" s="50" t="n">
        <x:v>0.52</x:v>
      </x:c>
      <x:c r="M351" s="50" t="n">
        <x:v>0.14</x:v>
      </x:c>
      <x:c r="N351" t="str">
        <x:v>RELATÓRIO LEITURAS INCLINOMÉTRICAS - Empreitada THE EDEN, Estoril_ R05_03-11-25.pdf</x:v>
      </x:c>
      <x:c r="O351" t="n">
        <x:v>20</x:v>
      </x:c>
      <x:c r="P351" t="str">
        <x:v>Válida</x:v>
      </x:c>
    </x:row>
    <x:row r="352">
      <x:c r="A352" s="48" t="n">
        <x:v>45950</x:v>
      </x:c>
      <x:c r="B352" t="n">
        <x:v>3</x:v>
      </x:c>
      <x:c r="C352" t="str">
        <x:v>I2</x:v>
      </x:c>
      <x:c r="D352" t="n">
        <x:v>3</x:v>
      </x:c>
      <x:c r="E352" s="50" t="n">
        <x:v>19.5</x:v>
      </x:c>
      <x:c r="F352" s="50" t="n">
        <x:v>330.28</x:v>
      </x:c>
      <x:c r="G352" s="50" t="n">
        <x:v>-322.34</x:v>
      </x:c>
      <x:c r="H352" s="50" t="n">
        <x:v>-43.82</x:v>
      </x:c>
      <x:c r="I352" s="50" t="n">
        <x:v>49.16</x:v>
      </x:c>
      <x:c r="J352" s="50" t="n">
        <x:v>0.48</x:v>
      </x:c>
      <x:c r="K352" s="50" t="n">
        <x:v>0.16</x:v>
      </x:c>
      <x:c r="L352" s="50" t="n">
        <x:v>0.51</x:v>
      </x:c>
      <x:c r="M352" s="50" t="n">
        <x:v>0.15</x:v>
      </x:c>
      <x:c r="N352" t="str">
        <x:v>RELATÓRIO LEITURAS INCLINOMÉTRICAS - Empreitada THE EDEN, Estoril_ R05_03-11-25.pdf</x:v>
      </x:c>
      <x:c r="O352" t="n">
        <x:v>20</x:v>
      </x:c>
      <x:c r="P352" t="str">
        <x:v>Válida</x:v>
      </x:c>
    </x:row>
    <x:row r="353">
      <x:c r="A353" s="48" t="n">
        <x:v>45950</x:v>
      </x:c>
      <x:c r="B353" t="n">
        <x:v>3</x:v>
      </x:c>
      <x:c r="C353" t="str">
        <x:v>I2</x:v>
      </x:c>
      <x:c r="D353" t="n">
        <x:v>3</x:v>
      </x:c>
      <x:c r="E353" s="50" t="n">
        <x:v>20</x:v>
      </x:c>
      <x:c r="F353" s="50" t="n">
        <x:v>195.03</x:v>
      </x:c>
      <x:c r="G353" s="50" t="n">
        <x:v>-184.96</x:v>
      </x:c>
      <x:c r="H353" s="50" t="n">
        <x:v>-6.06</x:v>
      </x:c>
      <x:c r="I353" s="50" t="n">
        <x:v>11.46</x:v>
      </x:c>
      <x:c r="J353" s="50" t="n">
        <x:v>0.48</x:v>
      </x:c>
      <x:c r="K353" s="50" t="n">
        <x:v>0.23</x:v>
      </x:c>
      <x:c r="L353" s="50" t="n">
        <x:v>0.53</x:v>
      </x:c>
      <x:c r="M353" s="50" t="n">
        <x:v>0.2</x:v>
      </x:c>
      <x:c r="N353" t="str">
        <x:v>RELATÓRIO LEITURAS INCLINOMÉTRICAS - Empreitada THE EDEN, Estoril_ R05_03-11-25.pdf</x:v>
      </x:c>
      <x:c r="O353" t="n">
        <x:v>20</x:v>
      </x:c>
      <x:c r="P353" t="str">
        <x:v>Válida</x:v>
      </x:c>
    </x:row>
    <x:row r="354">
      <x:c r="A354" s="48" t="n">
        <x:v>45950</x:v>
      </x:c>
      <x:c r="B354" t="n">
        <x:v>3</x:v>
      </x:c>
      <x:c r="C354" t="str">
        <x:v>I2</x:v>
      </x:c>
      <x:c r="D354" t="n">
        <x:v>3</x:v>
      </x:c>
      <x:c r="E354" s="50" t="n">
        <x:v>20.5</x:v>
      </x:c>
      <x:c r="F354" s="50" t="n">
        <x:v>159.76</x:v>
      </x:c>
      <x:c r="G354" s="50" t="n">
        <x:v>-152.06</x:v>
      </x:c>
      <x:c r="H354" s="50" t="n">
        <x:v>-14.89</x:v>
      </x:c>
      <x:c r="I354" s="50" t="n">
        <x:v>15.74</x:v>
      </x:c>
      <x:c r="J354" s="50" t="n">
        <x:v>0.4</x:v>
      </x:c>
      <x:c r="K354" s="50" t="n">
        <x:v>0.32</x:v>
      </x:c>
      <x:c r="L354" s="50" t="n">
        <x:v>0.52</x:v>
      </x:c>
      <x:c r="M354" s="50" t="n">
        <x:v>0.26</x:v>
      </x:c>
      <x:c r="N354" t="str">
        <x:v>RELATÓRIO LEITURAS INCLINOMÉTRICAS - Empreitada THE EDEN, Estoril_ R05_03-11-25.pdf</x:v>
      </x:c>
      <x:c r="O354" t="n">
        <x:v>20</x:v>
      </x:c>
      <x:c r="P354" t="str">
        <x:v>Válida</x:v>
      </x:c>
    </x:row>
    <x:row r="355">
      <x:c r="A355" s="48" t="n">
        <x:v>45950</x:v>
      </x:c>
      <x:c r="B355" t="n">
        <x:v>3</x:v>
      </x:c>
      <x:c r="C355" t="str">
        <x:v>I2</x:v>
      </x:c>
      <x:c r="D355" t="n">
        <x:v>3</x:v>
      </x:c>
      <x:c r="E355" s="50" t="n">
        <x:v>21</x:v>
      </x:c>
      <x:c r="F355" s="50" t="n">
        <x:v>120.01</x:v>
      </x:c>
      <x:c r="G355" s="50" t="n">
        <x:v>-110.3</x:v>
      </x:c>
      <x:c r="H355" s="50" t="n">
        <x:v>-13.96</x:v>
      </x:c>
      <x:c r="I355" s="50" t="n">
        <x:v>19.71</x:v>
      </x:c>
      <x:c r="J355" s="50" t="n">
        <x:v>0.4</x:v>
      </x:c>
      <x:c r="K355" s="50" t="n">
        <x:v>0.33</x:v>
      </x:c>
      <x:c r="L355" s="50" t="n">
        <x:v>0.52</x:v>
      </x:c>
      <x:c r="M355" s="50" t="n">
        <x:v>0.2</x:v>
      </x:c>
      <x:c r="N355" t="str">
        <x:v>RELATÓRIO LEITURAS INCLINOMÉTRICAS - Empreitada THE EDEN, Estoril_ R05_03-11-25.pdf</x:v>
      </x:c>
      <x:c r="O355" t="n">
        <x:v>20</x:v>
      </x:c>
      <x:c r="P355" t="str">
        <x:v>Válida</x:v>
      </x:c>
    </x:row>
    <x:row r="356">
      <x:c r="A356" s="48" t="n">
        <x:v>45950</x:v>
      </x:c>
      <x:c r="B356" t="n">
        <x:v>3</x:v>
      </x:c>
      <x:c r="C356" t="str">
        <x:v>I2</x:v>
      </x:c>
      <x:c r="D356" t="n">
        <x:v>3</x:v>
      </x:c>
      <x:c r="E356" s="50" t="n">
        <x:v>21.5</x:v>
      </x:c>
      <x:c r="F356" s="50" t="n">
        <x:v>-9.62</x:v>
      </x:c>
      <x:c r="G356" s="50" t="n">
        <x:v>20.91</x:v>
      </x:c>
      <x:c r="H356" s="50" t="n">
        <x:v>-28.32</x:v>
      </x:c>
      <x:c r="I356" s="50" t="n">
        <x:v>21.9</x:v>
      </x:c>
      <x:c r="J356" s="50" t="n">
        <x:v>0.28</x:v>
      </x:c>
      <x:c r="K356" s="50" t="n">
        <x:v>0.11</x:v>
      </x:c>
      <x:c r="L356" s="50" t="n">
        <x:v>0.3</x:v>
      </x:c>
      <x:c r="M356" s="50" t="n">
        <x:v>0.15</x:v>
      </x:c>
      <x:c r="N356" t="str">
        <x:v>RELATÓRIO LEITURAS INCLINOMÉTRICAS - Empreitada THE EDEN, Estoril_ R05_03-11-25.pdf</x:v>
      </x:c>
      <x:c r="O356" t="n">
        <x:v>20</x:v>
      </x:c>
      <x:c r="P356" t="str">
        <x:v>Válida</x:v>
      </x:c>
    </x:row>
    <x:row r="357">
      <x:c r="A357" s="48" t="n">
        <x:v>45950</x:v>
      </x:c>
      <x:c r="B357" t="n">
        <x:v>3</x:v>
      </x:c>
      <x:c r="C357" t="str">
        <x:v>I2</x:v>
      </x:c>
      <x:c r="D357" t="n">
        <x:v>3</x:v>
      </x:c>
      <x:c r="E357" s="50" t="n">
        <x:v>22</x:v>
      </x:c>
      <x:c r="F357" s="50" t="n">
        <x:v>-56.25</x:v>
      </x:c>
      <x:c r="G357" s="50" t="n">
        <x:v>64.44</x:v>
      </x:c>
      <x:c r="H357" s="50" t="n">
        <x:v>-15.09</x:v>
      </x:c>
      <x:c r="I357" s="50" t="n">
        <x:v>26.15</x:v>
      </x:c>
      <x:c r="J357" s="50" t="n">
        <x:v>0.27</x:v>
      </x:c>
      <x:c r="K357" s="50" t="n">
        <x:v>0.2</x:v>
      </x:c>
      <x:c r="L357" s="50" t="n">
        <x:v>0.34</x:v>
      </x:c>
      <x:c r="M357" s="50" t="n">
        <x:v>0.17</x:v>
      </x:c>
      <x:c r="N357" t="str">
        <x:v>RELATÓRIO LEITURAS INCLINOMÉTRICAS - Empreitada THE EDEN, Estoril_ R05_03-11-25.pdf</x:v>
      </x:c>
      <x:c r="O357" t="n">
        <x:v>20</x:v>
      </x:c>
      <x:c r="P357" t="str">
        <x:v>Válida</x:v>
      </x:c>
    </x:row>
    <x:row r="358">
      <x:c r="A358" s="48" t="n">
        <x:v>45950</x:v>
      </x:c>
      <x:c r="B358" t="n">
        <x:v>3</x:v>
      </x:c>
      <x:c r="C358" t="str">
        <x:v>I2</x:v>
      </x:c>
      <x:c r="D358" t="n">
        <x:v>3</x:v>
      </x:c>
      <x:c r="E358" s="50" t="n">
        <x:v>22.5</x:v>
      </x:c>
      <x:c r="F358" s="50" t="n">
        <x:v>-43.59</x:v>
      </x:c>
      <x:c r="G358" s="50" t="n">
        <x:v>53.43</x:v>
      </x:c>
      <x:c r="H358" s="50" t="n">
        <x:v>-121.67</x:v>
      </x:c>
      <x:c r="I358" s="50" t="n">
        <x:v>123.19</x:v>
      </x:c>
      <x:c r="J358" s="50" t="n">
        <x:v>0.27</x:v>
      </x:c>
      <x:c r="K358" s="50" t="n">
        <x:v>0.16</x:v>
      </x:c>
      <x:c r="L358" s="50" t="n">
        <x:v>0.32</x:v>
      </x:c>
      <x:c r="M358" s="50" t="n">
        <x:v>0.15</x:v>
      </x:c>
      <x:c r="N358" t="str">
        <x:v>RELATÓRIO LEITURAS INCLINOMÉTRICAS - Empreitada THE EDEN, Estoril_ R05_03-11-25.pdf</x:v>
      </x:c>
      <x:c r="O358" t="n">
        <x:v>20</x:v>
      </x:c>
      <x:c r="P358" t="str">
        <x:v>Válida</x:v>
      </x:c>
    </x:row>
    <x:row r="359">
      <x:c r="A359" s="48" t="n">
        <x:v>45950</x:v>
      </x:c>
      <x:c r="B359" t="n">
        <x:v>3</x:v>
      </x:c>
      <x:c r="C359" t="str">
        <x:v>I2</x:v>
      </x:c>
      <x:c r="D359" t="n">
        <x:v>3</x:v>
      </x:c>
      <x:c r="E359" s="50" t="n">
        <x:v>23</x:v>
      </x:c>
      <x:c r="F359" s="50" t="n">
        <x:v>-56.19</x:v>
      </x:c>
      <x:c r="G359" s="50" t="n">
        <x:v>62.92</x:v>
      </x:c>
      <x:c r="H359" s="50" t="n">
        <x:v>-164.68</x:v>
      </x:c>
      <x:c r="I359" s="50" t="n">
        <x:v>166.58</x:v>
      </x:c>
      <x:c r="J359" s="50" t="n">
        <x:v>0.25</x:v>
      </x:c>
      <x:c r="K359" s="50" t="n">
        <x:v>0.15</x:v>
      </x:c>
      <x:c r="L359" s="50" t="n">
        <x:v>0.3</x:v>
      </x:c>
      <x:c r="M359" s="50" t="n">
        <x:v>0.14</x:v>
      </x:c>
      <x:c r="N359" t="str">
        <x:v>RELATÓRIO LEITURAS INCLINOMÉTRICAS - Empreitada THE EDEN, Estoril_ R05_03-11-25.pdf</x:v>
      </x:c>
      <x:c r="O359" t="n">
        <x:v>20</x:v>
      </x:c>
      <x:c r="P359" t="str">
        <x:v>Válida</x:v>
      </x:c>
    </x:row>
    <x:row r="360">
      <x:c r="A360" s="48" t="n">
        <x:v>45950</x:v>
      </x:c>
      <x:c r="B360" t="n">
        <x:v>3</x:v>
      </x:c>
      <x:c r="C360" t="str">
        <x:v>I2</x:v>
      </x:c>
      <x:c r="D360" t="n">
        <x:v>3</x:v>
      </x:c>
      <x:c r="E360" s="50" t="n">
        <x:v>23.5</x:v>
      </x:c>
      <x:c r="F360" s="50" t="n">
        <x:v>-121.91</x:v>
      </x:c>
      <x:c r="G360" s="50" t="n">
        <x:v>134.82</x:v>
      </x:c>
      <x:c r="H360" s="50" t="n">
        <x:v>-201.62</x:v>
      </x:c>
      <x:c r="I360" s="50" t="n">
        <x:v>211.76</x:v>
      </x:c>
      <x:c r="J360" s="50" t="n">
        <x:v>0.22</x:v>
      </x:c>
      <x:c r="K360" s="50" t="n">
        <x:v>0.13</x:v>
      </x:c>
      <x:c r="L360" s="50" t="n">
        <x:v>0.26</x:v>
      </x:c>
      <x:c r="M360" s="50" t="n">
        <x:v>0.09</x:v>
      </x:c>
      <x:c r="N360" t="str">
        <x:v>RELATÓRIO LEITURAS INCLINOMÉTRICAS - Empreitada THE EDEN, Estoril_ R05_03-11-25.pdf</x:v>
      </x:c>
      <x:c r="O360" t="n">
        <x:v>20</x:v>
      </x:c>
      <x:c r="P360" t="str">
        <x:v>Válida</x:v>
      </x:c>
    </x:row>
    <x:row r="361">
      <x:c r="A361" s="48" t="n">
        <x:v>45950</x:v>
      </x:c>
      <x:c r="B361" t="n">
        <x:v>3</x:v>
      </x:c>
      <x:c r="C361" t="str">
        <x:v>I2</x:v>
      </x:c>
      <x:c r="D361" t="n">
        <x:v>3</x:v>
      </x:c>
      <x:c r="E361" s="50" t="n">
        <x:v>24</x:v>
      </x:c>
      <x:c r="F361" s="50" t="n">
        <x:v>-156.08</x:v>
      </x:c>
      <x:c r="G361" s="50" t="n">
        <x:v>164.49</x:v>
      </x:c>
      <x:c r="H361" s="50" t="n">
        <x:v>-261.53</x:v>
      </x:c>
      <x:c r="I361" s="50" t="n">
        <x:v>260.98</x:v>
      </x:c>
      <x:c r="J361" s="50" t="n">
        <x:v>0.22</x:v>
      </x:c>
      <x:c r="K361" s="50" t="n">
        <x:v>0.05</x:v>
      </x:c>
      <x:c r="L361" s="50" t="n">
        <x:v>0.23</x:v>
      </x:c>
      <x:c r="M361" s="50" t="n">
        <x:v>0.02</x:v>
      </x:c>
      <x:c r="N361" t="str">
        <x:v>RELATÓRIO LEITURAS INCLINOMÉTRICAS - Empreitada THE EDEN, Estoril_ R05_03-11-25.pdf</x:v>
      </x:c>
      <x:c r="O361" t="n">
        <x:v>20</x:v>
      </x:c>
      <x:c r="P361" t="str">
        <x:v>Válida</x:v>
      </x:c>
    </x:row>
    <x:row r="362">
      <x:c r="A362" s="48" t="n">
        <x:v>45950</x:v>
      </x:c>
      <x:c r="B362" t="n">
        <x:v>3</x:v>
      </x:c>
      <x:c r="C362" t="str">
        <x:v>I2</x:v>
      </x:c>
      <x:c r="D362" t="n">
        <x:v>3</x:v>
      </x:c>
      <x:c r="E362" s="50" t="n">
        <x:v>24.5</x:v>
      </x:c>
      <x:c r="F362" s="50" t="n">
        <x:v>-52.1</x:v>
      </x:c>
      <x:c r="G362" s="50" t="n">
        <x:v>56.72</x:v>
      </x:c>
      <x:c r="H362" s="50" t="n">
        <x:v>-250.86</x:v>
      </x:c>
      <x:c r="I362" s="50" t="n">
        <x:v>237.91</x:v>
      </x:c>
      <x:c r="J362" s="50" t="n">
        <x:v>0.2</x:v>
      </x:c>
      <x:c r="K362" s="50" t="n">
        <x:v>0.01</x:v>
      </x:c>
      <x:c r="L362" s="50" t="n">
        <x:v>0.2</x:v>
      </x:c>
      <x:c r="M362" s="50" t="n">
        <x:v>0.07</x:v>
      </x:c>
      <x:c r="N362" t="str">
        <x:v>RELATÓRIO LEITURAS INCLINOMÉTRICAS - Empreitada THE EDEN, Estoril_ R05_03-11-25.pdf</x:v>
      </x:c>
      <x:c r="O362" t="n">
        <x:v>20</x:v>
      </x:c>
      <x:c r="P362" t="str">
        <x:v>Válida</x:v>
      </x:c>
    </x:row>
    <x:row r="363">
      <x:c r="A363" s="48" t="n">
        <x:v>45950</x:v>
      </x:c>
      <x:c r="B363" t="n">
        <x:v>3</x:v>
      </x:c>
      <x:c r="C363" t="str">
        <x:v>I2</x:v>
      </x:c>
      <x:c r="D363" t="n">
        <x:v>3</x:v>
      </x:c>
      <x:c r="E363" s="50" t="n">
        <x:v>25</x:v>
      </x:c>
      <x:c r="F363" s="50" t="n">
        <x:v>45.43</x:v>
      </x:c>
      <x:c r="G363" s="50" t="n">
        <x:v>-34.92</x:v>
      </x:c>
      <x:c r="H363" s="50" t="n">
        <x:v>-230.57</x:v>
      </x:c>
      <x:c r="I363" s="50" t="n">
        <x:v>229.54</x:v>
      </x:c>
      <x:c r="J363" s="50" t="n">
        <x:v>0.14</x:v>
      </x:c>
      <x:c r="K363" s="50" t="n">
        <x:v>-0.07</x:v>
      </x:c>
      <x:c r="L363" s="50" t="n">
        <x:v>0.16</x:v>
      </x:c>
      <x:c r="M363" s="50" t="n">
        <x:v>0.05</x:v>
      </x:c>
      <x:c r="N363" t="str">
        <x:v>RELATÓRIO LEITURAS INCLINOMÉTRICAS - Empreitada THE EDEN, Estoril_ R05_03-11-25.pdf</x:v>
      </x:c>
      <x:c r="O363" t="n">
        <x:v>20</x:v>
      </x:c>
      <x:c r="P363" t="str">
        <x:v>Válida</x:v>
      </x:c>
    </x:row>
    <x:row r="364">
      <x:c r="A364" s="48" t="n">
        <x:v>45950</x:v>
      </x:c>
      <x:c r="B364" t="n">
        <x:v>3</x:v>
      </x:c>
      <x:c r="C364" t="str">
        <x:v>I2</x:v>
      </x:c>
      <x:c r="D364" t="n">
        <x:v>3</x:v>
      </x:c>
      <x:c r="E364" s="50" t="n">
        <x:v>25.5</x:v>
      </x:c>
      <x:c r="F364" s="50" t="n">
        <x:v>101.88</x:v>
      </x:c>
      <x:c r="G364" s="50" t="n">
        <x:v>-93.47</x:v>
      </x:c>
      <x:c r="H364" s="50" t="n">
        <x:v>-195.64</x:v>
      </x:c>
      <x:c r="I364" s="50" t="n">
        <x:v>203.39</x:v>
      </x:c>
      <x:c r="J364" s="50" t="n">
        <x:v>0.09</x:v>
      </x:c>
      <x:c r="K364" s="50" t="n">
        <x:v>-0.01</x:v>
      </x:c>
      <x:c r="L364" s="50" t="n">
        <x:v>0.09</x:v>
      </x:c>
      <x:c r="M364" s="50" t="n">
        <x:v>0.03</x:v>
      </x:c>
      <x:c r="N364" t="str">
        <x:v>RELATÓRIO LEITURAS INCLINOMÉTRICAS - Empreitada THE EDEN, Estoril_ R05_03-11-25.pdf</x:v>
      </x:c>
      <x:c r="O364" t="n">
        <x:v>20</x:v>
      </x:c>
      <x:c r="P364" t="str">
        <x:v>Válida</x:v>
      </x:c>
    </x:row>
    <x:row r="365">
      <x:c r="A365" s="48" t="n">
        <x:v>45950</x:v>
      </x:c>
      <x:c r="B365" t="n">
        <x:v>3</x:v>
      </x:c>
      <x:c r="C365" t="str">
        <x:v>I2</x:v>
      </x:c>
      <x:c r="D365" t="n">
        <x:v>3</x:v>
      </x:c>
      <x:c r="E365" s="50" t="n">
        <x:v>26</x:v>
      </x:c>
      <x:c r="F365" s="50" t="n">
        <x:v>148.92</x:v>
      </x:c>
      <x:c r="G365" s="50" t="n">
        <x:v>-137.23</x:v>
      </x:c>
      <x:c r="H365" s="50" t="n">
        <x:v>-244.05</x:v>
      </x:c>
      <x:c r="I365" s="50" t="n">
        <x:v>252.58</x:v>
      </x:c>
      <x:c r="J365" s="50" t="n">
        <x:v>0.07</x:v>
      </x:c>
      <x:c r="K365" s="50" t="n">
        <x:v>0.19</x:v>
      </x:c>
      <x:c r="L365" s="50" t="n">
        <x:v>0.2</x:v>
      </x:c>
      <x:c r="M365" s="50" t="n">
        <x:v>0.09</x:v>
      </x:c>
      <x:c r="N365" t="str">
        <x:v>RELATÓRIO LEITURAS INCLINOMÉTRICAS - Empreitada THE EDEN, Estoril_ R05_03-11-25.pdf</x:v>
      </x:c>
      <x:c r="O365" t="n">
        <x:v>20</x:v>
      </x:c>
      <x:c r="P365" t="str">
        <x:v>Válida</x:v>
      </x:c>
    </x:row>
    <x:row r="366">
      <x:c r="A366" s="48" t="n">
        <x:v>45950</x:v>
      </x:c>
      <x:c r="B366" t="n">
        <x:v>3</x:v>
      </x:c>
      <x:c r="C366" t="str">
        <x:v>I2</x:v>
      </x:c>
      <x:c r="D366" t="n">
        <x:v>3</x:v>
      </x:c>
      <x:c r="E366" s="50" t="n">
        <x:v>26.5</x:v>
      </x:c>
      <x:c r="F366" s="50" t="n">
        <x:v>155.37</x:v>
      </x:c>
      <x:c r="G366" s="50" t="n">
        <x:v>-142.67</x:v>
      </x:c>
      <x:c r="H366" s="50" t="n">
        <x:v>-258.47</x:v>
      </x:c>
      <x:c r="I366" s="50" t="n">
        <x:v>261.84</x:v>
      </x:c>
      <x:c r="J366" s="50" t="n">
        <x:v>0.04</x:v>
      </x:c>
      <x:c r="K366" s="50" t="n">
        <x:v>0.11</x:v>
      </x:c>
      <x:c r="L366" s="50" t="n">
        <x:v>0.11</x:v>
      </x:c>
      <x:c r="M366" s="50" t="n">
        <x:v>0.09</x:v>
      </x:c>
      <x:c r="N366" t="str">
        <x:v>RELATÓRIO LEITURAS INCLINOMÉTRICAS - Empreitada THE EDEN, Estoril_ R05_03-11-25.pdf</x:v>
      </x:c>
      <x:c r="O366" t="n">
        <x:v>20</x:v>
      </x:c>
      <x:c r="P366" t="str">
        <x:v>Válida</x:v>
      </x:c>
    </x:row>
    <x:row r="367">
      <x:c r="A367" s="48" t="n">
        <x:v>45950</x:v>
      </x:c>
      <x:c r="B367" t="n">
        <x:v>3</x:v>
      </x:c>
      <x:c r="C367" t="str">
        <x:v>I3</x:v>
      </x:c>
      <x:c r="D367" t="n">
        <x:v>2</x:v>
      </x:c>
      <x:c r="E367" s="50" t="n">
        <x:v>0.5</x:v>
      </x:c>
      <x:c r="F367" s="50" t="n">
        <x:v>409.04</x:v>
      </x:c>
      <x:c r="G367" s="50" t="n">
        <x:v>-396.9</x:v>
      </x:c>
      <x:c r="H367" s="50" t="n">
        <x:v>476.78</x:v>
      </x:c>
      <x:c r="I367" s="50" t="n">
        <x:v>-475.98</x:v>
      </x:c>
      <x:c r="J367" s="50" t="n">
        <x:v>-0.03</x:v>
      </x:c>
      <x:c r="K367" s="50" t="n">
        <x:v>0.26</x:v>
      </x:c>
      <x:c r="L367" s="50" t="n">
        <x:v>0.26</x:v>
      </x:c>
      <x:c r="M367" s="50" t="n">
        <x:v>-1.09</x:v>
      </x:c>
      <x:c r="N367" t="str">
        <x:v>RELATÓRIO LEITURAS INCLINOMÉTRICAS - Empreitada THE EDEN, Estoril_ R05_03-11-25.pdf</x:v>
      </x:c>
      <x:c r="O367" t="n">
        <x:v>28</x:v>
      </x:c>
      <x:c r="P367" t="str">
        <x:v>Válida</x:v>
      </x:c>
    </x:row>
    <x:row r="368">
      <x:c r="A368" s="48" t="n">
        <x:v>45950</x:v>
      </x:c>
      <x:c r="B368" t="n">
        <x:v>3</x:v>
      </x:c>
      <x:c r="C368" t="str">
        <x:v>I3</x:v>
      </x:c>
      <x:c r="D368" t="n">
        <x:v>2</x:v>
      </x:c>
      <x:c r="E368" s="50" t="n">
        <x:v>1</x:v>
      </x:c>
      <x:c r="F368" s="50" t="n">
        <x:v>409.24</x:v>
      </x:c>
      <x:c r="G368" s="50" t="n">
        <x:v>-397.43</x:v>
      </x:c>
      <x:c r="H368" s="50" t="n">
        <x:v>476.63</x:v>
      </x:c>
      <x:c r="I368" s="50" t="n">
        <x:v>-476.11</x:v>
      </x:c>
      <x:c r="J368" s="50" t="n">
        <x:v>-0.04</x:v>
      </x:c>
      <x:c r="K368" s="50" t="n">
        <x:v>0.04</x:v>
      </x:c>
      <x:c r="L368" s="50" t="n">
        <x:v>0.05</x:v>
      </x:c>
      <x:c r="M368" s="50" t="n">
        <x:v>-1.33</x:v>
      </x:c>
      <x:c r="N368" t="str">
        <x:v>RELATÓRIO LEITURAS INCLINOMÉTRICAS - Empreitada THE EDEN, Estoril_ R05_03-11-25.pdf</x:v>
      </x:c>
      <x:c r="O368" t="n">
        <x:v>28</x:v>
      </x:c>
      <x:c r="P368" t="str">
        <x:v>Válida</x:v>
      </x:c>
    </x:row>
    <x:row r="369">
      <x:c r="A369" s="48" t="n">
        <x:v>45950</x:v>
      </x:c>
      <x:c r="B369" t="n">
        <x:v>3</x:v>
      </x:c>
      <x:c r="C369" t="str">
        <x:v>I3</x:v>
      </x:c>
      <x:c r="D369" t="n">
        <x:v>2</x:v>
      </x:c>
      <x:c r="E369" s="50" t="n">
        <x:v>1.5</x:v>
      </x:c>
      <x:c r="F369" s="50" t="n">
        <x:v>440.23</x:v>
      </x:c>
      <x:c r="G369" s="50" t="n">
        <x:v>-432.54</x:v>
      </x:c>
      <x:c r="H369" s="50" t="n">
        <x:v>413.83</x:v>
      </x:c>
      <x:c r="I369" s="50" t="n">
        <x:v>-399.29</x:v>
      </x:c>
      <x:c r="J369" s="50" t="n">
        <x:v>-0.03</x:v>
      </x:c>
      <x:c r="K369" s="50" t="n">
        <x:v>-0.18</x:v>
      </x:c>
      <x:c r="L369" s="50" t="n">
        <x:v>0.18</x:v>
      </x:c>
      <x:c r="M369" s="50" t="n">
        <x:v>-1.22</x:v>
      </x:c>
      <x:c r="N369" t="str">
        <x:v>RELATÓRIO LEITURAS INCLINOMÉTRICAS - Empreitada THE EDEN, Estoril_ R05_03-11-25.pdf</x:v>
      </x:c>
      <x:c r="O369" t="n">
        <x:v>28</x:v>
      </x:c>
      <x:c r="P369" t="str">
        <x:v>Válida</x:v>
      </x:c>
    </x:row>
    <x:row r="370">
      <x:c r="A370" s="48" t="n">
        <x:v>45950</x:v>
      </x:c>
      <x:c r="B370" t="n">
        <x:v>3</x:v>
      </x:c>
      <x:c r="C370" t="str">
        <x:v>I3</x:v>
      </x:c>
      <x:c r="D370" t="n">
        <x:v>2</x:v>
      </x:c>
      <x:c r="E370" s="50" t="n">
        <x:v>2</x:v>
      </x:c>
      <x:c r="F370" s="50" t="n">
        <x:v>495.69</x:v>
      </x:c>
      <x:c r="G370" s="50" t="n">
        <x:v>-488.91</x:v>
      </x:c>
      <x:c r="H370" s="50" t="n">
        <x:v>247.73</x:v>
      </x:c>
      <x:c r="I370" s="50" t="n">
        <x:v>-236.11</x:v>
      </x:c>
      <x:c r="J370" s="50" t="n">
        <x:v>-0.01</x:v>
      </x:c>
      <x:c r="K370" s="50" t="n">
        <x:v>-0.27</x:v>
      </x:c>
      <x:c r="L370" s="50" t="n">
        <x:v>0.27</x:v>
      </x:c>
      <x:c r="M370" s="50" t="n">
        <x:v>-1.14</x:v>
      </x:c>
      <x:c r="N370" t="str">
        <x:v>RELATÓRIO LEITURAS INCLINOMÉTRICAS - Empreitada THE EDEN, Estoril_ R05_03-11-25.pdf</x:v>
      </x:c>
      <x:c r="O370" t="n">
        <x:v>28</x:v>
      </x:c>
      <x:c r="P370" t="str">
        <x:v>Válida</x:v>
      </x:c>
    </x:row>
    <x:row r="371">
      <x:c r="A371" s="48" t="n">
        <x:v>45950</x:v>
      </x:c>
      <x:c r="B371" t="n">
        <x:v>3</x:v>
      </x:c>
      <x:c r="C371" t="str">
        <x:v>I3</x:v>
      </x:c>
      <x:c r="D371" t="n">
        <x:v>2</x:v>
      </x:c>
      <x:c r="E371" s="50" t="n">
        <x:v>2.5</x:v>
      </x:c>
      <x:c r="F371" s="50" t="n">
        <x:v>449.43</x:v>
      </x:c>
      <x:c r="G371" s="50" t="n">
        <x:v>-442.92</x:v>
      </x:c>
      <x:c r="H371" s="50" t="n">
        <x:v>138.96</x:v>
      </x:c>
      <x:c r="I371" s="50" t="n">
        <x:v>-119.31</x:v>
      </x:c>
      <x:c r="J371" s="50" t="n">
        <x:v>-0.01</x:v>
      </x:c>
      <x:c r="K371" s="50" t="n">
        <x:v>-0.22</x:v>
      </x:c>
      <x:c r="L371" s="50" t="n">
        <x:v>0.22</x:v>
      </x:c>
      <x:c r="M371" s="50" t="n">
        <x:v>-1.43</x:v>
      </x:c>
      <x:c r="N371" t="str">
        <x:v>RELATÓRIO LEITURAS INCLINOMÉTRICAS - Empreitada THE EDEN, Estoril_ R05_03-11-25.pdf</x:v>
      </x:c>
      <x:c r="O371" t="n">
        <x:v>28</x:v>
      </x:c>
      <x:c r="P371" t="str">
        <x:v>Válida</x:v>
      </x:c>
    </x:row>
    <x:row r="372">
      <x:c r="A372" s="48" t="n">
        <x:v>45950</x:v>
      </x:c>
      <x:c r="B372" t="n">
        <x:v>3</x:v>
      </x:c>
      <x:c r="C372" t="str">
        <x:v>I3</x:v>
      </x:c>
      <x:c r="D372" t="n">
        <x:v>2</x:v>
      </x:c>
      <x:c r="E372" s="50" t="n">
        <x:v>3</x:v>
      </x:c>
      <x:c r="F372" s="50" t="n">
        <x:v>398.95</x:v>
      </x:c>
      <x:c r="G372" s="50" t="n">
        <x:v>-389.78</x:v>
      </x:c>
      <x:c r="H372" s="50" t="n">
        <x:v>-6.45</x:v>
      </x:c>
      <x:c r="I372" s="50" t="n">
        <x:v>8.55</x:v>
      </x:c>
      <x:c r="J372" s="50" t="n">
        <x:v>0</x:v>
      </x:c>
      <x:c r="K372" s="50" t="n">
        <x:v>-0.12</x:v>
      </x:c>
      <x:c r="L372" s="50" t="n">
        <x:v>0.12</x:v>
      </x:c>
      <x:c r="M372" s="50" t="n">
        <x:v>-1.76</x:v>
      </x:c>
      <x:c r="N372" t="str">
        <x:v>RELATÓRIO LEITURAS INCLINOMÉTRICAS - Empreitada THE EDEN, Estoril_ R05_03-11-25.pdf</x:v>
      </x:c>
      <x:c r="O372" t="n">
        <x:v>28</x:v>
      </x:c>
      <x:c r="P372" t="str">
        <x:v>Válida</x:v>
      </x:c>
    </x:row>
    <x:row r="373">
      <x:c r="A373" s="48" t="n">
        <x:v>45950</x:v>
      </x:c>
      <x:c r="B373" t="n">
        <x:v>3</x:v>
      </x:c>
      <x:c r="C373" t="str">
        <x:v>I3</x:v>
      </x:c>
      <x:c r="D373" t="n">
        <x:v>2</x:v>
      </x:c>
      <x:c r="E373" s="50" t="n">
        <x:v>3.5</x:v>
      </x:c>
      <x:c r="F373" s="50" t="n">
        <x:v>357.5</x:v>
      </x:c>
      <x:c r="G373" s="50" t="n">
        <x:v>-350.38</x:v>
      </x:c>
      <x:c r="H373" s="50" t="n">
        <x:v>-78.91</x:v>
      </x:c>
      <x:c r="I373" s="50" t="n">
        <x:v>97.36</x:v>
      </x:c>
      <x:c r="J373" s="50" t="n">
        <x:v>0.03</x:v>
      </x:c>
      <x:c r="K373" s="50" t="n">
        <x:v>-0.18</x:v>
      </x:c>
      <x:c r="L373" s="50" t="n">
        <x:v>0.18</x:v>
      </x:c>
      <x:c r="M373" s="50" t="n">
        <x:v>-1.81</x:v>
      </x:c>
      <x:c r="N373" t="str">
        <x:v>RELATÓRIO LEITURAS INCLINOMÉTRICAS - Empreitada THE EDEN, Estoril_ R05_03-11-25.pdf</x:v>
      </x:c>
      <x:c r="O373" t="n">
        <x:v>28</x:v>
      </x:c>
      <x:c r="P373" t="str">
        <x:v>Válida</x:v>
      </x:c>
    </x:row>
    <x:row r="374">
      <x:c r="A374" s="48" t="n">
        <x:v>45950</x:v>
      </x:c>
      <x:c r="B374" t="n">
        <x:v>3</x:v>
      </x:c>
      <x:c r="C374" t="str">
        <x:v>I3</x:v>
      </x:c>
      <x:c r="D374" t="n">
        <x:v>2</x:v>
      </x:c>
      <x:c r="E374" s="50" t="n">
        <x:v>4</x:v>
      </x:c>
      <x:c r="F374" s="50" t="n">
        <x:v>347.28</x:v>
      </x:c>
      <x:c r="G374" s="50" t="n">
        <x:v>-338.54</x:v>
      </x:c>
      <x:c r="H374" s="50" t="n">
        <x:v>-102.79</x:v>
      </x:c>
      <x:c r="I374" s="50" t="n">
        <x:v>120.53</x:v>
      </x:c>
      <x:c r="J374" s="50" t="n">
        <x:v>0.03</x:v>
      </x:c>
      <x:c r="K374" s="50" t="n">
        <x:v>0</x:v>
      </x:c>
      <x:c r="L374" s="50" t="n">
        <x:v>0.03</x:v>
      </x:c>
      <x:c r="M374" s="50" t="n">
        <x:v>-1.93</x:v>
      </x:c>
      <x:c r="N374" t="str">
        <x:v>RELATÓRIO LEITURAS INCLINOMÉTRICAS - Empreitada THE EDEN, Estoril_ R05_03-11-25.pdf</x:v>
      </x:c>
      <x:c r="O374" t="n">
        <x:v>28</x:v>
      </x:c>
      <x:c r="P374" t="str">
        <x:v>Válida</x:v>
      </x:c>
    </x:row>
    <x:row r="375">
      <x:c r="A375" s="48" t="n">
        <x:v>45950</x:v>
      </x:c>
      <x:c r="B375" t="n">
        <x:v>3</x:v>
      </x:c>
      <x:c r="C375" t="str">
        <x:v>I3</x:v>
      </x:c>
      <x:c r="D375" t="n">
        <x:v>2</x:v>
      </x:c>
      <x:c r="E375" s="50" t="n">
        <x:v>4.5</x:v>
      </x:c>
      <x:c r="F375" s="50" t="n">
        <x:v>350.49</x:v>
      </x:c>
      <x:c r="G375" s="50" t="n">
        <x:v>-340.68</x:v>
      </x:c>
      <x:c r="H375" s="50" t="n">
        <x:v>-109.01</x:v>
      </x:c>
      <x:c r="I375" s="50" t="n">
        <x:v>121.19</x:v>
      </x:c>
      <x:c r="J375" s="50" t="n">
        <x:v>0.07</x:v>
      </x:c>
      <x:c r="K375" s="50" t="n">
        <x:v>0.04</x:v>
      </x:c>
      <x:c r="L375" s="50" t="n">
        <x:v>0.08</x:v>
      </x:c>
      <x:c r="M375" s="50" t="n">
        <x:v>-1.85</x:v>
      </x:c>
      <x:c r="N375" t="str">
        <x:v>RELATÓRIO LEITURAS INCLINOMÉTRICAS - Empreitada THE EDEN, Estoril_ R05_03-11-25.pdf</x:v>
      </x:c>
      <x:c r="O375" t="n">
        <x:v>28</x:v>
      </x:c>
      <x:c r="P375" t="str">
        <x:v>Válida</x:v>
      </x:c>
    </x:row>
    <x:row r="376">
      <x:c r="A376" s="48" t="n">
        <x:v>45950</x:v>
      </x:c>
      <x:c r="B376" t="n">
        <x:v>3</x:v>
      </x:c>
      <x:c r="C376" t="str">
        <x:v>I3</x:v>
      </x:c>
      <x:c r="D376" t="n">
        <x:v>2</x:v>
      </x:c>
      <x:c r="E376" s="50" t="n">
        <x:v>5</x:v>
      </x:c>
      <x:c r="F376" s="50" t="n">
        <x:v>287.54</x:v>
      </x:c>
      <x:c r="G376" s="50" t="n">
        <x:v>-280.15</x:v>
      </x:c>
      <x:c r="H376" s="50" t="n">
        <x:v>-75.78</x:v>
      </x:c>
      <x:c r="I376" s="50" t="n">
        <x:v>68.77</x:v>
      </x:c>
      <x:c r="J376" s="50" t="n">
        <x:v>0.1</x:v>
      </x:c>
      <x:c r="K376" s="50" t="n">
        <x:v>-0.04</x:v>
      </x:c>
      <x:c r="L376" s="50" t="n">
        <x:v>0.11</x:v>
      </x:c>
      <x:c r="M376" s="50" t="n">
        <x:v>-1.8</x:v>
      </x:c>
      <x:c r="N376" t="str">
        <x:v>RELATÓRIO LEITURAS INCLINOMÉTRICAS - Empreitada THE EDEN, Estoril_ R05_03-11-25.pdf</x:v>
      </x:c>
      <x:c r="O376" t="n">
        <x:v>28</x:v>
      </x:c>
      <x:c r="P376" t="str">
        <x:v>Válida</x:v>
      </x:c>
    </x:row>
    <x:row r="377">
      <x:c r="A377" s="48" t="n">
        <x:v>45950</x:v>
      </x:c>
      <x:c r="B377" t="n">
        <x:v>3</x:v>
      </x:c>
      <x:c r="C377" t="str">
        <x:v>I3</x:v>
      </x:c>
      <x:c r="D377" t="n">
        <x:v>2</x:v>
      </x:c>
      <x:c r="E377" s="50" t="n">
        <x:v>5.5</x:v>
      </x:c>
      <x:c r="F377" s="50" t="n">
        <x:v>204.91</x:v>
      </x:c>
      <x:c r="G377" s="50" t="n">
        <x:v>-195.75</x:v>
      </x:c>
      <x:c r="H377" s="50" t="n">
        <x:v>-23.57</x:v>
      </x:c>
      <x:c r="I377" s="50" t="n">
        <x:v>24.4</x:v>
      </x:c>
      <x:c r="J377" s="50" t="n">
        <x:v>0.13</x:v>
      </x:c>
      <x:c r="K377" s="50" t="n">
        <x:v>-0.09</x:v>
      </x:c>
      <x:c r="L377" s="50" t="n">
        <x:v>0.16</x:v>
      </x:c>
      <x:c r="M377" s="50" t="n">
        <x:v>-1.73</x:v>
      </x:c>
      <x:c r="N377" t="str">
        <x:v>RELATÓRIO LEITURAS INCLINOMÉTRICAS - Empreitada THE EDEN, Estoril_ R05_03-11-25.pdf</x:v>
      </x:c>
      <x:c r="O377" t="n">
        <x:v>28</x:v>
      </x:c>
      <x:c r="P377" t="str">
        <x:v>Válida</x:v>
      </x:c>
    </x:row>
    <x:row r="378">
      <x:c r="A378" s="48" t="n">
        <x:v>45950</x:v>
      </x:c>
      <x:c r="B378" t="n">
        <x:v>3</x:v>
      </x:c>
      <x:c r="C378" t="str">
        <x:v>I3</x:v>
      </x:c>
      <x:c r="D378" t="n">
        <x:v>2</x:v>
      </x:c>
      <x:c r="E378" s="50" t="n">
        <x:v>6</x:v>
      </x:c>
      <x:c r="F378" s="50" t="n">
        <x:v>170.59</x:v>
      </x:c>
      <x:c r="G378" s="50" t="n">
        <x:v>-161.74</x:v>
      </x:c>
      <x:c r="H378" s="50" t="n">
        <x:v>18.79</x:v>
      </x:c>
      <x:c r="I378" s="50" t="n">
        <x:v>-22.28</x:v>
      </x:c>
      <x:c r="J378" s="50" t="n">
        <x:v>0.17</x:v>
      </x:c>
      <x:c r="K378" s="50" t="n">
        <x:v>-0.05</x:v>
      </x:c>
      <x:c r="L378" s="50" t="n">
        <x:v>0.17</x:v>
      </x:c>
      <x:c r="M378" s="50" t="n">
        <x:v>-1.64</x:v>
      </x:c>
      <x:c r="N378" t="str">
        <x:v>RELATÓRIO LEITURAS INCLINOMÉTRICAS - Empreitada THE EDEN, Estoril_ R05_03-11-25.pdf</x:v>
      </x:c>
      <x:c r="O378" t="n">
        <x:v>28</x:v>
      </x:c>
      <x:c r="P378" t="str">
        <x:v>Excluir do resumo - calha fora do terreno</x:v>
      </x:c>
    </x:row>
    <x:row r="379">
      <x:c r="A379" s="48" t="n">
        <x:v>45950</x:v>
      </x:c>
      <x:c r="B379" t="n">
        <x:v>3</x:v>
      </x:c>
      <x:c r="C379" t="str">
        <x:v>I3</x:v>
      </x:c>
      <x:c r="D379" t="n">
        <x:v>2</x:v>
      </x:c>
      <x:c r="E379" s="50" t="n">
        <x:v>6.5</x:v>
      </x:c>
      <x:c r="F379" s="50" t="n">
        <x:v>173.69</x:v>
      </x:c>
      <x:c r="G379" s="50" t="n">
        <x:v>-165.25</x:v>
      </x:c>
      <x:c r="H379" s="50" t="n">
        <x:v>72.38</x:v>
      </x:c>
      <x:c r="I379" s="50" t="n">
        <x:v>-76.45</x:v>
      </x:c>
      <x:c r="J379" s="50" t="n">
        <x:v>0.2</x:v>
      </x:c>
      <x:c r="K379" s="50" t="n">
        <x:v>-0.11</x:v>
      </x:c>
      <x:c r="L379" s="50" t="n">
        <x:v>0.23</x:v>
      </x:c>
      <x:c r="M379" s="50" t="n">
        <x:v>-1.65</x:v>
      </x:c>
      <x:c r="N379" t="str">
        <x:v>RELATÓRIO LEITURAS INCLINOMÉTRICAS - Empreitada THE EDEN, Estoril_ R05_03-11-25.pdf</x:v>
      </x:c>
      <x:c r="O379" t="n">
        <x:v>28</x:v>
      </x:c>
      <x:c r="P379" t="str">
        <x:v>Excluir do resumo - calha fora do terreno</x:v>
      </x:c>
    </x:row>
    <x:row r="380">
      <x:c r="A380" s="48" t="n">
        <x:v>45950</x:v>
      </x:c>
      <x:c r="B380" t="n">
        <x:v>3</x:v>
      </x:c>
      <x:c r="C380" t="str">
        <x:v>I3</x:v>
      </x:c>
      <x:c r="D380" t="n">
        <x:v>2</x:v>
      </x:c>
      <x:c r="E380" s="50" t="n">
        <x:v>7</x:v>
      </x:c>
      <x:c r="F380" s="50" t="n">
        <x:v>136.85</x:v>
      </x:c>
      <x:c r="G380" s="50" t="n">
        <x:v>-128.28</x:v>
      </x:c>
      <x:c r="H380" s="50" t="n">
        <x:v>133.08</x:v>
      </x:c>
      <x:c r="I380" s="50" t="n">
        <x:v>-126.08</x:v>
      </x:c>
      <x:c r="J380" s="50" t="n">
        <x:v>0.23</x:v>
      </x:c>
      <x:c r="K380" s="50" t="n">
        <x:v>-0.05</x:v>
      </x:c>
      <x:c r="L380" s="50" t="n">
        <x:v>0.23</x:v>
      </x:c>
      <x:c r="M380" s="50" t="n">
        <x:v>-1.67</x:v>
      </x:c>
      <x:c r="N380" t="str">
        <x:v>RELATÓRIO LEITURAS INCLINOMÉTRICAS - Empreitada THE EDEN, Estoril_ R05_03-11-25.pdf</x:v>
      </x:c>
      <x:c r="O380" t="n">
        <x:v>28</x:v>
      </x:c>
      <x:c r="P380" t="str">
        <x:v>Válida</x:v>
      </x:c>
    </x:row>
    <x:row r="381">
      <x:c r="A381" s="48" t="n">
        <x:v>45950</x:v>
      </x:c>
      <x:c r="B381" t="n">
        <x:v>3</x:v>
      </x:c>
      <x:c r="C381" t="str">
        <x:v>I3</x:v>
      </x:c>
      <x:c r="D381" t="n">
        <x:v>2</x:v>
      </x:c>
      <x:c r="E381" s="50" t="n">
        <x:v>7.5</x:v>
      </x:c>
      <x:c r="F381" s="50" t="n">
        <x:v>95.71</x:v>
      </x:c>
      <x:c r="G381" s="50" t="n">
        <x:v>-88.67</x:v>
      </x:c>
      <x:c r="H381" s="50" t="n">
        <x:v>210.78</x:v>
      </x:c>
      <x:c r="I381" s="50" t="n">
        <x:v>-184.21</x:v>
      </x:c>
      <x:c r="J381" s="50" t="n">
        <x:v>0.25</x:v>
      </x:c>
      <x:c r="K381" s="50" t="n">
        <x:v>-0.18</x:v>
      </x:c>
      <x:c r="L381" s="50" t="n">
        <x:v>0.31</x:v>
      </x:c>
      <x:c r="M381" s="50" t="n">
        <x:v>-1.58</x:v>
      </x:c>
      <x:c r="N381" t="str">
        <x:v>RELATÓRIO LEITURAS INCLINOMÉTRICAS - Empreitada THE EDEN, Estoril_ R05_03-11-25.pdf</x:v>
      </x:c>
      <x:c r="O381" t="n">
        <x:v>28</x:v>
      </x:c>
      <x:c r="P381" t="str">
        <x:v>Válida</x:v>
      </x:c>
    </x:row>
    <x:row r="382">
      <x:c r="A382" s="48" t="n">
        <x:v>45950</x:v>
      </x:c>
      <x:c r="B382" t="n">
        <x:v>3</x:v>
      </x:c>
      <x:c r="C382" t="str">
        <x:v>I3</x:v>
      </x:c>
      <x:c r="D382" t="n">
        <x:v>2</x:v>
      </x:c>
      <x:c r="E382" s="50" t="n">
        <x:v>8</x:v>
      </x:c>
      <x:c r="F382" s="50" t="n">
        <x:v>97.41</x:v>
      </x:c>
      <x:c r="G382" s="50" t="n">
        <x:v>-93.88</x:v>
      </x:c>
      <x:c r="H382" s="50" t="n">
        <x:v>236.7</x:v>
      </x:c>
      <x:c r="I382" s="50" t="n">
        <x:v>-213.72</x:v>
      </x:c>
      <x:c r="J382" s="50" t="n">
        <x:v>0.28</x:v>
      </x:c>
      <x:c r="K382" s="50" t="n">
        <x:v>-0.27</x:v>
      </x:c>
      <x:c r="L382" s="50" t="n">
        <x:v>0.39</x:v>
      </x:c>
      <x:c r="M382" s="50" t="n">
        <x:v>-1.42</x:v>
      </x:c>
      <x:c r="N382" t="str">
        <x:v>RELATÓRIO LEITURAS INCLINOMÉTRICAS - Empreitada THE EDEN, Estoril_ R05_03-11-25.pdf</x:v>
      </x:c>
      <x:c r="O382" t="n">
        <x:v>28</x:v>
      </x:c>
      <x:c r="P382" t="str">
        <x:v>Válida</x:v>
      </x:c>
    </x:row>
    <x:row r="383">
      <x:c r="A383" s="48" t="n">
        <x:v>45950</x:v>
      </x:c>
      <x:c r="B383" t="n">
        <x:v>3</x:v>
      </x:c>
      <x:c r="C383" t="str">
        <x:v>I3</x:v>
      </x:c>
      <x:c r="D383" t="n">
        <x:v>2</x:v>
      </x:c>
      <x:c r="E383" s="50" t="n">
        <x:v>8.5</x:v>
      </x:c>
      <x:c r="F383" s="50" t="n">
        <x:v>128.12</x:v>
      </x:c>
      <x:c r="G383" s="50" t="n">
        <x:v>-122.42</x:v>
      </x:c>
      <x:c r="H383" s="50" t="n">
        <x:v>322.88</x:v>
      </x:c>
      <x:c r="I383" s="50" t="n">
        <x:v>-290.43</x:v>
      </x:c>
      <x:c r="J383" s="50" t="n">
        <x:v>0.33</x:v>
      </x:c>
      <x:c r="K383" s="50" t="n">
        <x:v>-0.62</x:v>
      </x:c>
      <x:c r="L383" s="50" t="n">
        <x:v>0.7</x:v>
      </x:c>
      <x:c r="M383" s="50" t="n">
        <x:v>-0.94</x:v>
      </x:c>
      <x:c r="N383" t="str">
        <x:v>RELATÓRIO LEITURAS INCLINOMÉTRICAS - Empreitada THE EDEN, Estoril_ R05_03-11-25.pdf</x:v>
      </x:c>
      <x:c r="O383" t="n">
        <x:v>28</x:v>
      </x:c>
      <x:c r="P383" t="str">
        <x:v>Válida</x:v>
      </x:c>
    </x:row>
    <x:row r="384">
      <x:c r="A384" s="48" t="n">
        <x:v>45950</x:v>
      </x:c>
      <x:c r="B384" t="n">
        <x:v>3</x:v>
      </x:c>
      <x:c r="C384" t="str">
        <x:v>I3</x:v>
      </x:c>
      <x:c r="D384" t="n">
        <x:v>2</x:v>
      </x:c>
      <x:c r="E384" s="50" t="n">
        <x:v>9</x:v>
      </x:c>
      <x:c r="F384" s="50" t="n">
        <x:v>179.97</x:v>
      </x:c>
      <x:c r="G384" s="50" t="n">
        <x:v>-169.65</x:v>
      </x:c>
      <x:c r="H384" s="50" t="n">
        <x:v>371.49</x:v>
      </x:c>
      <x:c r="I384" s="50" t="n">
        <x:v>-353.17</x:v>
      </x:c>
      <x:c r="J384" s="50" t="n">
        <x:v>0.36</x:v>
      </x:c>
      <x:c r="K384" s="50" t="n">
        <x:v>-0.77</x:v>
      </x:c>
      <x:c r="L384" s="50" t="n">
        <x:v>0.85</x:v>
      </x:c>
      <x:c r="M384" s="50" t="n">
        <x:v>-0.56</x:v>
      </x:c>
      <x:c r="N384" t="str">
        <x:v>RELATÓRIO LEITURAS INCLINOMÉTRICAS - Empreitada THE EDEN, Estoril_ R05_03-11-25.pdf</x:v>
      </x:c>
      <x:c r="O384" t="n">
        <x:v>28</x:v>
      </x:c>
      <x:c r="P384" t="str">
        <x:v>Válida</x:v>
      </x:c>
    </x:row>
    <x:row r="385">
      <x:c r="A385" s="48" t="n">
        <x:v>45950</x:v>
      </x:c>
      <x:c r="B385" t="n">
        <x:v>3</x:v>
      </x:c>
      <x:c r="C385" t="str">
        <x:v>I3</x:v>
      </x:c>
      <x:c r="D385" t="n">
        <x:v>2</x:v>
      </x:c>
      <x:c r="E385" s="50" t="n">
        <x:v>9.5</x:v>
      </x:c>
      <x:c r="F385" s="50" t="n">
        <x:v>160.59</x:v>
      </x:c>
      <x:c r="G385" s="50" t="n">
        <x:v>-161.5</x:v>
      </x:c>
      <x:c r="H385" s="50" t="n">
        <x:v>428.22</x:v>
      </x:c>
      <x:c r="I385" s="50" t="n">
        <x:v>-402.72</x:v>
      </x:c>
      <x:c r="J385" s="50" t="n">
        <x:v>0.37</x:v>
      </x:c>
      <x:c r="K385" s="50" t="n">
        <x:v>-0.81</x:v>
      </x:c>
      <x:c r="L385" s="50" t="n">
        <x:v>0.89</x:v>
      </x:c>
      <x:c r="M385" s="50" t="n">
        <x:v>-0.49</x:v>
      </x:c>
      <x:c r="N385" t="str">
        <x:v>RELATÓRIO LEITURAS INCLINOMÉTRICAS - Empreitada THE EDEN, Estoril_ R05_03-11-25.pdf</x:v>
      </x:c>
      <x:c r="O385" t="n">
        <x:v>28</x:v>
      </x:c>
      <x:c r="P385" t="str">
        <x:v>Válida</x:v>
      </x:c>
    </x:row>
    <x:row r="386">
      <x:c r="A386" s="48" t="n">
        <x:v>45950</x:v>
      </x:c>
      <x:c r="B386" t="n">
        <x:v>3</x:v>
      </x:c>
      <x:c r="C386" t="str">
        <x:v>I3</x:v>
      </x:c>
      <x:c r="D386" t="n">
        <x:v>2</x:v>
      </x:c>
      <x:c r="E386" s="50" t="n">
        <x:v>10</x:v>
      </x:c>
      <x:c r="F386" s="50" t="n">
        <x:v>144.84</x:v>
      </x:c>
      <x:c r="G386" s="50" t="n">
        <x:v>-138.61</x:v>
      </x:c>
      <x:c r="H386" s="50" t="n">
        <x:v>452.13</x:v>
      </x:c>
      <x:c r="I386" s="50" t="n">
        <x:v>-431.41</x:v>
      </x:c>
      <x:c r="J386" s="50" t="n">
        <x:v>0.35</x:v>
      </x:c>
      <x:c r="K386" s="50" t="n">
        <x:v>-0.8</x:v>
      </x:c>
      <x:c r="L386" s="50" t="n">
        <x:v>0.87</x:v>
      </x:c>
      <x:c r="M386" s="50" t="n">
        <x:v>-0.38</x:v>
      </x:c>
      <x:c r="N386" t="str">
        <x:v>RELATÓRIO LEITURAS INCLINOMÉTRICAS - Empreitada THE EDEN, Estoril_ R05_03-11-25.pdf</x:v>
      </x:c>
      <x:c r="O386" t="n">
        <x:v>28</x:v>
      </x:c>
      <x:c r="P386" t="str">
        <x:v>Válida</x:v>
      </x:c>
    </x:row>
    <x:row r="387">
      <x:c r="A387" s="48" t="n">
        <x:v>45950</x:v>
      </x:c>
      <x:c r="B387" t="n">
        <x:v>3</x:v>
      </x:c>
      <x:c r="C387" t="str">
        <x:v>I3</x:v>
      </x:c>
      <x:c r="D387" t="n">
        <x:v>2</x:v>
      </x:c>
      <x:c r="E387" s="50" t="n">
        <x:v>10.5</x:v>
      </x:c>
      <x:c r="F387" s="50" t="n">
        <x:v>328.94</x:v>
      </x:c>
      <x:c r="G387" s="50" t="n">
        <x:v>-324.53</x:v>
      </x:c>
      <x:c r="H387" s="50" t="n">
        <x:v>460.19</x:v>
      </x:c>
      <x:c r="I387" s="50" t="n">
        <x:v>-422.4</x:v>
      </x:c>
      <x:c r="J387" s="50" t="n">
        <x:v>0.34</x:v>
      </x:c>
      <x:c r="K387" s="50" t="n">
        <x:v>-0.8</x:v>
      </x:c>
      <x:c r="L387" s="50" t="n">
        <x:v>0.87</x:v>
      </x:c>
      <x:c r="M387" s="50" t="n">
        <x:v>-0.48</x:v>
      </x:c>
      <x:c r="N387" t="str">
        <x:v>RELATÓRIO LEITURAS INCLINOMÉTRICAS - Empreitada THE EDEN, Estoril_ R05_03-11-25.pdf</x:v>
      </x:c>
      <x:c r="O387" t="n">
        <x:v>28</x:v>
      </x:c>
      <x:c r="P387" t="str">
        <x:v>Válida</x:v>
      </x:c>
    </x:row>
    <x:row r="388">
      <x:c r="A388" s="48" t="n">
        <x:v>45950</x:v>
      </x:c>
      <x:c r="B388" t="n">
        <x:v>3</x:v>
      </x:c>
      <x:c r="C388" t="str">
        <x:v>I3</x:v>
      </x:c>
      <x:c r="D388" t="n">
        <x:v>2</x:v>
      </x:c>
      <x:c r="E388" s="50" t="n">
        <x:v>11</x:v>
      </x:c>
      <x:c r="F388" s="50" t="n">
        <x:v>346.87</x:v>
      </x:c>
      <x:c r="G388" s="50" t="n">
        <x:v>-337.59</x:v>
      </x:c>
      <x:c r="H388" s="50" t="n">
        <x:v>459.57</x:v>
      </x:c>
      <x:c r="I388" s="50" t="n">
        <x:v>-450.55</x:v>
      </x:c>
      <x:c r="J388" s="50" t="n">
        <x:v>0.34</x:v>
      </x:c>
      <x:c r="K388" s="50" t="n">
        <x:v>-1.29</x:v>
      </x:c>
      <x:c r="L388" s="50" t="n">
        <x:v>1.34</x:v>
      </x:c>
      <x:c r="M388" s="50" t="n">
        <x:v>0.08</x:v>
      </x:c>
      <x:c r="N388" t="str">
        <x:v>RELATÓRIO LEITURAS INCLINOMÉTRICAS - Empreitada THE EDEN, Estoril_ R05_03-11-25.pdf</x:v>
      </x:c>
      <x:c r="O388" t="n">
        <x:v>28</x:v>
      </x:c>
      <x:c r="P388" t="str">
        <x:v>Válida</x:v>
      </x:c>
    </x:row>
    <x:row r="389">
      <x:c r="A389" s="48" t="n">
        <x:v>45950</x:v>
      </x:c>
      <x:c r="B389" t="n">
        <x:v>3</x:v>
      </x:c>
      <x:c r="C389" t="str">
        <x:v>I3</x:v>
      </x:c>
      <x:c r="D389" t="n">
        <x:v>2</x:v>
      </x:c>
      <x:c r="E389" s="50" t="n">
        <x:v>11.5</x:v>
      </x:c>
      <x:c r="F389" s="50" t="n">
        <x:v>320.51</x:v>
      </x:c>
      <x:c r="G389" s="50" t="n">
        <x:v>-307.45</x:v>
      </x:c>
      <x:c r="H389" s="50" t="n">
        <x:v>374.34</x:v>
      </x:c>
      <x:c r="I389" s="50" t="n">
        <x:v>-366.11</x:v>
      </x:c>
      <x:c r="J389" s="50" t="n">
        <x:v>0.35</x:v>
      </x:c>
      <x:c r="K389" s="50" t="n">
        <x:v>-1.23</x:v>
      </x:c>
      <x:c r="L389" s="50" t="n">
        <x:v>1.28</x:v>
      </x:c>
      <x:c r="M389" s="50" t="n">
        <x:v>-0.02</x:v>
      </x:c>
      <x:c r="N389" t="str">
        <x:v>RELATÓRIO LEITURAS INCLINOMÉTRICAS - Empreitada THE EDEN, Estoril_ R05_03-11-25.pdf</x:v>
      </x:c>
      <x:c r="O389" t="n">
        <x:v>28</x:v>
      </x:c>
      <x:c r="P389" t="str">
        <x:v>Válida</x:v>
      </x:c>
    </x:row>
    <x:row r="390">
      <x:c r="A390" s="48" t="n">
        <x:v>45950</x:v>
      </x:c>
      <x:c r="B390" t="n">
        <x:v>3</x:v>
      </x:c>
      <x:c r="C390" t="str">
        <x:v>I3</x:v>
      </x:c>
      <x:c r="D390" t="n">
        <x:v>2</x:v>
      </x:c>
      <x:c r="E390" s="50" t="n">
        <x:v>12</x:v>
      </x:c>
      <x:c r="F390" s="50" t="n">
        <x:v>297.85</x:v>
      </x:c>
      <x:c r="G390" s="50" t="n">
        <x:v>-287.28</x:v>
      </x:c>
      <x:c r="H390" s="50" t="n">
        <x:v>264.93</x:v>
      </x:c>
      <x:c r="I390" s="50" t="n">
        <x:v>-270</x:v>
      </x:c>
      <x:c r="J390" s="50" t="n">
        <x:v>0.35</x:v>
      </x:c>
      <x:c r="K390" s="50" t="n">
        <x:v>-1.18</x:v>
      </x:c>
      <x:c r="L390" s="50" t="n">
        <x:v>1.24</x:v>
      </x:c>
      <x:c r="M390" s="50" t="n">
        <x:v>-0.24</x:v>
      </x:c>
      <x:c r="N390" t="str">
        <x:v>RELATÓRIO LEITURAS INCLINOMÉTRICAS - Empreitada THE EDEN, Estoril_ R05_03-11-25.pdf</x:v>
      </x:c>
      <x:c r="O390" t="n">
        <x:v>28</x:v>
      </x:c>
      <x:c r="P390" t="str">
        <x:v>Válida</x:v>
      </x:c>
    </x:row>
    <x:row r="391">
      <x:c r="A391" s="48" t="n">
        <x:v>45950</x:v>
      </x:c>
      <x:c r="B391" t="n">
        <x:v>3</x:v>
      </x:c>
      <x:c r="C391" t="str">
        <x:v>I3</x:v>
      </x:c>
      <x:c r="D391" t="n">
        <x:v>2</x:v>
      </x:c>
      <x:c r="E391" s="50" t="n">
        <x:v>12.5</x:v>
      </x:c>
      <x:c r="F391" s="50" t="n">
        <x:v>250.42</x:v>
      </x:c>
      <x:c r="G391" s="50" t="n">
        <x:v>-242.75</x:v>
      </x:c>
      <x:c r="H391" s="50" t="n">
        <x:v>198.13</x:v>
      </x:c>
      <x:c r="I391" s="50" t="n">
        <x:v>-178.06</x:v>
      </x:c>
      <x:c r="J391" s="50" t="n">
        <x:v>0.38</x:v>
      </x:c>
      <x:c r="K391" s="50" t="n">
        <x:v>-1.58</x:v>
      </x:c>
      <x:c r="L391" s="50" t="n">
        <x:v>1.63</x:v>
      </x:c>
      <x:c r="M391" s="50" t="n">
        <x:v>-0.36</x:v>
      </x:c>
      <x:c r="N391" t="str">
        <x:v>RELATÓRIO LEITURAS INCLINOMÉTRICAS - Empreitada THE EDEN, Estoril_ R05_03-11-25.pdf</x:v>
      </x:c>
      <x:c r="O391" t="n">
        <x:v>28</x:v>
      </x:c>
      <x:c r="P391" t="str">
        <x:v>Válida</x:v>
      </x:c>
    </x:row>
    <x:row r="392">
      <x:c r="A392" s="48" t="n">
        <x:v>45950</x:v>
      </x:c>
      <x:c r="B392" t="n">
        <x:v>3</x:v>
      </x:c>
      <x:c r="C392" t="str">
        <x:v>I3</x:v>
      </x:c>
      <x:c r="D392" t="n">
        <x:v>2</x:v>
      </x:c>
      <x:c r="E392" s="50" t="n">
        <x:v>13</x:v>
      </x:c>
      <x:c r="F392" s="50" t="n">
        <x:v>219.43</x:v>
      </x:c>
      <x:c r="G392" s="50" t="n">
        <x:v>-211.97</x:v>
      </x:c>
      <x:c r="H392" s="50" t="n">
        <x:v>136.7</x:v>
      </x:c>
      <x:c r="I392" s="50" t="n">
        <x:v>-116.39</x:v>
      </x:c>
      <x:c r="J392" s="50" t="n">
        <x:v>0.41</x:v>
      </x:c>
      <x:c r="K392" s="50" t="n">
        <x:v>-1.65</x:v>
      </x:c>
      <x:c r="L392" s="50" t="n">
        <x:v>1.7</x:v>
      </x:c>
      <x:c r="M392" s="50" t="n">
        <x:v>-0.6</x:v>
      </x:c>
      <x:c r="N392" t="str">
        <x:v>RELATÓRIO LEITURAS INCLINOMÉTRICAS - Empreitada THE EDEN, Estoril_ R05_03-11-25.pdf</x:v>
      </x:c>
      <x:c r="O392" t="n">
        <x:v>28</x:v>
      </x:c>
      <x:c r="P392" t="str">
        <x:v>Válida</x:v>
      </x:c>
    </x:row>
    <x:row r="393">
      <x:c r="A393" s="48" t="n">
        <x:v>45950</x:v>
      </x:c>
      <x:c r="B393" t="n">
        <x:v>3</x:v>
      </x:c>
      <x:c r="C393" t="str">
        <x:v>I3</x:v>
      </x:c>
      <x:c r="D393" t="n">
        <x:v>2</x:v>
      </x:c>
      <x:c r="E393" s="50" t="n">
        <x:v>13.5</x:v>
      </x:c>
      <x:c r="F393" s="50" t="n">
        <x:v>189.85</x:v>
      </x:c>
      <x:c r="G393" s="50" t="n">
        <x:v>-185.04</x:v>
      </x:c>
      <x:c r="H393" s="50" t="n">
        <x:v>144.47</x:v>
      </x:c>
      <x:c r="I393" s="50" t="n">
        <x:v>-146.57</x:v>
      </x:c>
      <x:c r="J393" s="50" t="n">
        <x:v>0.39</x:v>
      </x:c>
      <x:c r="K393" s="50" t="n">
        <x:v>-1.66</x:v>
      </x:c>
      <x:c r="L393" s="50" t="n">
        <x:v>1.7</x:v>
      </x:c>
      <x:c r="M393" s="50" t="n">
        <x:v>-0.54</x:v>
      </x:c>
      <x:c r="N393" t="str">
        <x:v>RELATÓRIO LEITURAS INCLINOMÉTRICAS - Empreitada THE EDEN, Estoril_ R05_03-11-25.pdf</x:v>
      </x:c>
      <x:c r="O393" t="n">
        <x:v>28</x:v>
      </x:c>
      <x:c r="P393" t="str">
        <x:v>Válida</x:v>
      </x:c>
    </x:row>
    <x:row r="394">
      <x:c r="A394" s="48" t="n">
        <x:v>45950</x:v>
      </x:c>
      <x:c r="B394" t="n">
        <x:v>3</x:v>
      </x:c>
      <x:c r="C394" t="str">
        <x:v>I3</x:v>
      </x:c>
      <x:c r="D394" t="n">
        <x:v>2</x:v>
      </x:c>
      <x:c r="E394" s="50" t="n">
        <x:v>14</x:v>
      </x:c>
      <x:c r="F394" s="50" t="n">
        <x:v>148.74</x:v>
      </x:c>
      <x:c r="G394" s="50" t="n">
        <x:v>-142.95</x:v>
      </x:c>
      <x:c r="H394" s="50" t="n">
        <x:v>161.1</x:v>
      </x:c>
      <x:c r="I394" s="50" t="n">
        <x:v>-163.8</x:v>
      </x:c>
      <x:c r="J394" s="50" t="n">
        <x:v>0.33</x:v>
      </x:c>
      <x:c r="K394" s="50" t="n">
        <x:v>-1.22</x:v>
      </x:c>
      <x:c r="L394" s="50" t="n">
        <x:v>1.27</x:v>
      </x:c>
      <x:c r="M394" s="50" t="n">
        <x:v>-0.44</x:v>
      </x:c>
      <x:c r="N394" t="str">
        <x:v>RELATÓRIO LEITURAS INCLINOMÉTRICAS - Empreitada THE EDEN, Estoril_ R05_03-11-25.pdf</x:v>
      </x:c>
      <x:c r="O394" t="n">
        <x:v>28</x:v>
      </x:c>
      <x:c r="P394" t="str">
        <x:v>Válida</x:v>
      </x:c>
    </x:row>
    <x:row r="395">
      <x:c r="A395" s="48" t="n">
        <x:v>45950</x:v>
      </x:c>
      <x:c r="B395" t="n">
        <x:v>3</x:v>
      </x:c>
      <x:c r="C395" t="str">
        <x:v>I3</x:v>
      </x:c>
      <x:c r="D395" t="n">
        <x:v>2</x:v>
      </x:c>
      <x:c r="E395" s="50" t="n">
        <x:v>14.5</x:v>
      </x:c>
      <x:c r="F395" s="50" t="n">
        <x:v>142.61</x:v>
      </x:c>
      <x:c r="G395" s="50" t="n">
        <x:v>-136.21</x:v>
      </x:c>
      <x:c r="H395" s="50" t="n">
        <x:v>186.53</x:v>
      </x:c>
      <x:c r="I395" s="50" t="n">
        <x:v>-181.05</x:v>
      </x:c>
      <x:c r="J395" s="50" t="n">
        <x:v>0.38</x:v>
      </x:c>
      <x:c r="K395" s="50" t="n">
        <x:v>-1.6</x:v>
      </x:c>
      <x:c r="L395" s="50" t="n">
        <x:v>1.65</x:v>
      </x:c>
      <x:c r="M395" s="50" t="n">
        <x:v>-0.37</x:v>
      </x:c>
      <x:c r="N395" t="str">
        <x:v>RELATÓRIO LEITURAS INCLINOMÉTRICAS - Empreitada THE EDEN, Estoril_ R05_03-11-25.pdf</x:v>
      </x:c>
      <x:c r="O395" t="n">
        <x:v>28</x:v>
      </x:c>
      <x:c r="P395" t="str">
        <x:v>Válida</x:v>
      </x:c>
    </x:row>
    <x:row r="396">
      <x:c r="A396" s="48" t="n">
        <x:v>45950</x:v>
      </x:c>
      <x:c r="B396" t="n">
        <x:v>3</x:v>
      </x:c>
      <x:c r="C396" t="str">
        <x:v>I3</x:v>
      </x:c>
      <x:c r="D396" t="n">
        <x:v>2</x:v>
      </x:c>
      <x:c r="E396" s="50" t="n">
        <x:v>15</x:v>
      </x:c>
      <x:c r="F396" s="50" t="n">
        <x:v>147.77</x:v>
      </x:c>
      <x:c r="G396" s="50" t="n">
        <x:v>-143</x:v>
      </x:c>
      <x:c r="H396" s="50" t="n">
        <x:v>263.4</x:v>
      </x:c>
      <x:c r="I396" s="50" t="n">
        <x:v>-225.27</x:v>
      </x:c>
      <x:c r="J396" s="50" t="n">
        <x:v>0.35</x:v>
      </x:c>
      <x:c r="K396" s="50" t="n">
        <x:v>-1.74</x:v>
      </x:c>
      <x:c r="L396" s="50" t="n">
        <x:v>1.77</x:v>
      </x:c>
      <x:c r="M396" s="50" t="n">
        <x:v>-0.17</x:v>
      </x:c>
      <x:c r="N396" t="str">
        <x:v>RELATÓRIO LEITURAS INCLINOMÉTRICAS - Empreitada THE EDEN, Estoril_ R05_03-11-25.pdf</x:v>
      </x:c>
      <x:c r="O396" t="n">
        <x:v>28</x:v>
      </x:c>
      <x:c r="P396" t="str">
        <x:v>Válida</x:v>
      </x:c>
    </x:row>
    <x:row r="397">
      <x:c r="A397" s="48" t="n">
        <x:v>45950</x:v>
      </x:c>
      <x:c r="B397" t="n">
        <x:v>3</x:v>
      </x:c>
      <x:c r="C397" t="str">
        <x:v>I3</x:v>
      </x:c>
      <x:c r="D397" t="n">
        <x:v>2</x:v>
      </x:c>
      <x:c r="E397" s="50" t="n">
        <x:v>15.5</x:v>
      </x:c>
      <x:c r="F397" s="50" t="n">
        <x:v>59.45</x:v>
      </x:c>
      <x:c r="G397" s="50" t="n">
        <x:v>-57.46</x:v>
      </x:c>
      <x:c r="H397" s="50" t="n">
        <x:v>340.12</x:v>
      </x:c>
      <x:c r="I397" s="50" t="n">
        <x:v>-336.58</x:v>
      </x:c>
      <x:c r="J397" s="50" t="n">
        <x:v>0.35</x:v>
      </x:c>
      <x:c r="K397" s="50" t="n">
        <x:v>-2.15</x:v>
      </x:c>
      <x:c r="L397" s="50" t="n">
        <x:v>2.17</x:v>
      </x:c>
      <x:c r="M397" s="50" t="n">
        <x:v>0.33</x:v>
      </x:c>
      <x:c r="N397" t="str">
        <x:v>RELATÓRIO LEITURAS INCLINOMÉTRICAS - Empreitada THE EDEN, Estoril_ R05_03-11-25.pdf</x:v>
      </x:c>
      <x:c r="O397" t="n">
        <x:v>28</x:v>
      </x:c>
      <x:c r="P397" t="str">
        <x:v>Válida</x:v>
      </x:c>
    </x:row>
    <x:row r="398">
      <x:c r="A398" s="48" t="n">
        <x:v>45950</x:v>
      </x:c>
      <x:c r="B398" t="n">
        <x:v>3</x:v>
      </x:c>
      <x:c r="C398" t="str">
        <x:v>I3</x:v>
      </x:c>
      <x:c r="D398" t="n">
        <x:v>2</x:v>
      </x:c>
      <x:c r="E398" s="50" t="n">
        <x:v>16</x:v>
      </x:c>
      <x:c r="F398" s="50" t="n">
        <x:v>199.73</x:v>
      </x:c>
      <x:c r="G398" s="50" t="n">
        <x:v>-186.2</x:v>
      </x:c>
      <x:c r="H398" s="50" t="n">
        <x:v>209.93</x:v>
      </x:c>
      <x:c r="I398" s="50" t="n">
        <x:v>-201.52</x:v>
      </x:c>
      <x:c r="J398" s="50" t="n">
        <x:v>0.34</x:v>
      </x:c>
      <x:c r="K398" s="50" t="n">
        <x:v>-2.22</x:v>
      </x:c>
      <x:c r="L398" s="50" t="n">
        <x:v>2.25</x:v>
      </x:c>
      <x:c r="M398" s="50" t="n">
        <x:v>0.64</x:v>
      </x:c>
      <x:c r="N398" t="str">
        <x:v>RELATÓRIO LEITURAS INCLINOMÉTRICAS - Empreitada THE EDEN, Estoril_ R05_03-11-25.pdf</x:v>
      </x:c>
      <x:c r="O398" t="n">
        <x:v>28</x:v>
      </x:c>
      <x:c r="P398" t="str">
        <x:v>Válida</x:v>
      </x:c>
    </x:row>
    <x:row r="399">
      <x:c r="A399" s="48" t="n">
        <x:v>45950</x:v>
      </x:c>
      <x:c r="B399" t="n">
        <x:v>3</x:v>
      </x:c>
      <x:c r="C399" t="str">
        <x:v>I3</x:v>
      </x:c>
      <x:c r="D399" t="n">
        <x:v>2</x:v>
      </x:c>
      <x:c r="E399" s="50" t="n">
        <x:v>16.5</x:v>
      </x:c>
      <x:c r="F399" s="50" t="n">
        <x:v>322.41</x:v>
      </x:c>
      <x:c r="G399" s="50" t="n">
        <x:v>-319.68</x:v>
      </x:c>
      <x:c r="H399" s="50" t="n">
        <x:v>203.25</x:v>
      </x:c>
      <x:c r="I399" s="50" t="n">
        <x:v>-185.59</x:v>
      </x:c>
      <x:c r="J399" s="50" t="n">
        <x:v>0.33</x:v>
      </x:c>
      <x:c r="K399" s="50" t="n">
        <x:v>-1.85</x:v>
      </x:c>
      <x:c r="L399" s="50" t="n">
        <x:v>1.88</x:v>
      </x:c>
      <x:c r="M399" s="50" t="n">
        <x:v>0.13</x:v>
      </x:c>
      <x:c r="N399" t="str">
        <x:v>RELATÓRIO LEITURAS INCLINOMÉTRICAS - Empreitada THE EDEN, Estoril_ R05_03-11-25.pdf</x:v>
      </x:c>
      <x:c r="O399" t="n">
        <x:v>28</x:v>
      </x:c>
      <x:c r="P399" t="str">
        <x:v>Válida</x:v>
      </x:c>
    </x:row>
    <x:row r="400">
      <x:c r="A400" s="48" t="n">
        <x:v>45950</x:v>
      </x:c>
      <x:c r="B400" t="n">
        <x:v>3</x:v>
      </x:c>
      <x:c r="C400" t="str">
        <x:v>I3</x:v>
      </x:c>
      <x:c r="D400" t="n">
        <x:v>2</x:v>
      </x:c>
      <x:c r="E400" s="50" t="n">
        <x:v>17</x:v>
      </x:c>
      <x:c r="F400" s="50" t="n">
        <x:v>385.44</x:v>
      </x:c>
      <x:c r="G400" s="50" t="n">
        <x:v>-376.48</x:v>
      </x:c>
      <x:c r="H400" s="50" t="n">
        <x:v>249.65</x:v>
      </x:c>
      <x:c r="I400" s="50" t="n">
        <x:v>-242.63</x:v>
      </x:c>
      <x:c r="J400" s="50" t="n">
        <x:v>0.32</x:v>
      </x:c>
      <x:c r="K400" s="50" t="n">
        <x:v>-1.8</x:v>
      </x:c>
      <x:c r="L400" s="50" t="n">
        <x:v>1.82</x:v>
      </x:c>
      <x:c r="M400" s="50" t="n">
        <x:v>0.42</x:v>
      </x:c>
      <x:c r="N400" t="str">
        <x:v>RELATÓRIO LEITURAS INCLINOMÉTRICAS - Empreitada THE EDEN, Estoril_ R05_03-11-25.pdf</x:v>
      </x:c>
      <x:c r="O400" t="n">
        <x:v>28</x:v>
      </x:c>
      <x:c r="P400" t="str">
        <x:v>Válida</x:v>
      </x:c>
    </x:row>
    <x:row r="401">
      <x:c r="A401" s="48" t="n">
        <x:v>45950</x:v>
      </x:c>
      <x:c r="B401" t="n">
        <x:v>3</x:v>
      </x:c>
      <x:c r="C401" t="str">
        <x:v>I3</x:v>
      </x:c>
      <x:c r="D401" t="n">
        <x:v>2</x:v>
      </x:c>
      <x:c r="E401" s="50" t="n">
        <x:v>17.5</x:v>
      </x:c>
      <x:c r="F401" s="50" t="n">
        <x:v>381.29</x:v>
      </x:c>
      <x:c r="G401" s="50" t="n">
        <x:v>-375.93</x:v>
      </x:c>
      <x:c r="H401" s="50" t="n">
        <x:v>161.13</x:v>
      </x:c>
      <x:c r="I401" s="50" t="n">
        <x:v>-154.53</x:v>
      </x:c>
      <x:c r="J401" s="50" t="n">
        <x:v>0.31</x:v>
      </x:c>
      <x:c r="K401" s="50" t="n">
        <x:v>-1.58</x:v>
      </x:c>
      <x:c r="L401" s="50" t="n">
        <x:v>1.61</x:v>
      </x:c>
      <x:c r="M401" s="50" t="n">
        <x:v>0.09</x:v>
      </x:c>
      <x:c r="N401" t="str">
        <x:v>RELATÓRIO LEITURAS INCLINOMÉTRICAS - Empreitada THE EDEN, Estoril_ R05_03-11-25.pdf</x:v>
      </x:c>
      <x:c r="O401" t="n">
        <x:v>28</x:v>
      </x:c>
      <x:c r="P401" t="str">
        <x:v>Válida</x:v>
      </x:c>
    </x:row>
    <x:row r="402">
      <x:c r="A402" s="48" t="n">
        <x:v>45950</x:v>
      </x:c>
      <x:c r="B402" t="n">
        <x:v>3</x:v>
      </x:c>
      <x:c r="C402" t="str">
        <x:v>I3</x:v>
      </x:c>
      <x:c r="D402" t="n">
        <x:v>2</x:v>
      </x:c>
      <x:c r="E402" s="50" t="n">
        <x:v>18</x:v>
      </x:c>
      <x:c r="F402" s="50" t="n">
        <x:v>349.63</x:v>
      </x:c>
      <x:c r="G402" s="50" t="n">
        <x:v>-341.27</x:v>
      </x:c>
      <x:c r="H402" s="50" t="n">
        <x:v>107.09</x:v>
      </x:c>
      <x:c r="I402" s="50" t="n">
        <x:v>-94.26</x:v>
      </x:c>
      <x:c r="J402" s="50" t="n">
        <x:v>0.32</x:v>
      </x:c>
      <x:c r="K402" s="50" t="n">
        <x:v>-1.28</x:v>
      </x:c>
      <x:c r="L402" s="50" t="n">
        <x:v>1.32</x:v>
      </x:c>
      <x:c r="M402" s="50" t="n">
        <x:v>-0.08</x:v>
      </x:c>
      <x:c r="N402" t="str">
        <x:v>RELATÓRIO LEITURAS INCLINOMÉTRICAS - Empreitada THE EDEN, Estoril_ R05_03-11-25.pdf</x:v>
      </x:c>
      <x:c r="O402" t="n">
        <x:v>28</x:v>
      </x:c>
      <x:c r="P402" t="str">
        <x:v>Válida</x:v>
      </x:c>
    </x:row>
    <x:row r="403">
      <x:c r="A403" s="48" t="n">
        <x:v>45950</x:v>
      </x:c>
      <x:c r="B403" t="n">
        <x:v>3</x:v>
      </x:c>
      <x:c r="C403" t="str">
        <x:v>I3</x:v>
      </x:c>
      <x:c r="D403" t="n">
        <x:v>2</x:v>
      </x:c>
      <x:c r="E403" s="50" t="n">
        <x:v>18.5</x:v>
      </x:c>
      <x:c r="F403" s="50" t="n">
        <x:v>320.05</x:v>
      </x:c>
      <x:c r="G403" s="50" t="n">
        <x:v>-313.92</x:v>
      </x:c>
      <x:c r="H403" s="50" t="n">
        <x:v>65.69</x:v>
      </x:c>
      <x:c r="I403" s="50" t="n">
        <x:v>-58.97</x:v>
      </x:c>
      <x:c r="J403" s="50" t="n">
        <x:v>0.32</x:v>
      </x:c>
      <x:c r="K403" s="50" t="n">
        <x:v>-1.15</x:v>
      </x:c>
      <x:c r="L403" s="50" t="n">
        <x:v>1.19</x:v>
      </x:c>
      <x:c r="M403" s="50" t="n">
        <x:v>-0.01</x:v>
      </x:c>
      <x:c r="N403" t="str">
        <x:v>RELATÓRIO LEITURAS INCLINOMÉTRICAS - Empreitada THE EDEN, Estoril_ R05_03-11-25.pdf</x:v>
      </x:c>
      <x:c r="O403" t="n">
        <x:v>28</x:v>
      </x:c>
      <x:c r="P403" t="str">
        <x:v>Válida</x:v>
      </x:c>
    </x:row>
    <x:row r="404">
      <x:c r="A404" s="48" t="n">
        <x:v>45950</x:v>
      </x:c>
      <x:c r="B404" t="n">
        <x:v>3</x:v>
      </x:c>
      <x:c r="C404" t="str">
        <x:v>I3</x:v>
      </x:c>
      <x:c r="D404" t="n">
        <x:v>2</x:v>
      </x:c>
      <x:c r="E404" s="50" t="n">
        <x:v>19</x:v>
      </x:c>
      <x:c r="F404" s="50" t="n">
        <x:v>305.24</x:v>
      </x:c>
      <x:c r="G404" s="50" t="n">
        <x:v>-300.2</x:v>
      </x:c>
      <x:c r="H404" s="50" t="n">
        <x:v>58.17</x:v>
      </x:c>
      <x:c r="I404" s="50" t="n">
        <x:v>-52.12</x:v>
      </x:c>
      <x:c r="J404" s="50" t="n">
        <x:v>0.27</x:v>
      </x:c>
      <x:c r="K404" s="50" t="n">
        <x:v>-1.26</x:v>
      </x:c>
      <x:c r="L404" s="50" t="n">
        <x:v>1.28</x:v>
      </x:c>
      <x:c r="M404" s="50" t="n">
        <x:v>0.23</x:v>
      </x:c>
      <x:c r="N404" t="str">
        <x:v>RELATÓRIO LEITURAS INCLINOMÉTRICAS - Empreitada THE EDEN, Estoril_ R05_03-11-25.pdf</x:v>
      </x:c>
      <x:c r="O404" t="n">
        <x:v>28</x:v>
      </x:c>
      <x:c r="P404" t="str">
        <x:v>Válida</x:v>
      </x:c>
    </x:row>
    <x:row r="405">
      <x:c r="A405" s="48" t="n">
        <x:v>45950</x:v>
      </x:c>
      <x:c r="B405" t="n">
        <x:v>3</x:v>
      </x:c>
      <x:c r="C405" t="str">
        <x:v>I3</x:v>
      </x:c>
      <x:c r="D405" t="n">
        <x:v>2</x:v>
      </x:c>
      <x:c r="E405" s="50" t="n">
        <x:v>19.5</x:v>
      </x:c>
      <x:c r="F405" s="50" t="n">
        <x:v>213.63</x:v>
      </x:c>
      <x:c r="G405" s="50" t="n">
        <x:v>-208.36</x:v>
      </x:c>
      <x:c r="H405" s="50" t="n">
        <x:v>92.47</x:v>
      </x:c>
      <x:c r="I405" s="50" t="n">
        <x:v>-86.53</x:v>
      </x:c>
      <x:c r="J405" s="50" t="n">
        <x:v>0.25</x:v>
      </x:c>
      <x:c r="K405" s="50" t="n">
        <x:v>-1.24</x:v>
      </x:c>
      <x:c r="L405" s="50" t="n">
        <x:v>1.26</x:v>
      </x:c>
      <x:c r="M405" s="50" t="n">
        <x:v>0.32</x:v>
      </x:c>
      <x:c r="N405" t="str">
        <x:v>RELATÓRIO LEITURAS INCLINOMÉTRICAS - Empreitada THE EDEN, Estoril_ R05_03-11-25.pdf</x:v>
      </x:c>
      <x:c r="O405" t="n">
        <x:v>28</x:v>
      </x:c>
      <x:c r="P405" t="str">
        <x:v>Válida</x:v>
      </x:c>
    </x:row>
    <x:row r="406">
      <x:c r="A406" s="48" t="n">
        <x:v>45950</x:v>
      </x:c>
      <x:c r="B406" t="n">
        <x:v>3</x:v>
      </x:c>
      <x:c r="C406" t="str">
        <x:v>I3</x:v>
      </x:c>
      <x:c r="D406" t="n">
        <x:v>2</x:v>
      </x:c>
      <x:c r="E406" s="50" t="n">
        <x:v>20</x:v>
      </x:c>
      <x:c r="F406" s="50" t="n">
        <x:v>145.57</x:v>
      </x:c>
      <x:c r="G406" s="50" t="n">
        <x:v>-138.26</x:v>
      </x:c>
      <x:c r="H406" s="50" t="n">
        <x:v>153.57</x:v>
      </x:c>
      <x:c r="I406" s="50" t="n">
        <x:v>-130.7</x:v>
      </x:c>
      <x:c r="J406" s="50" t="n">
        <x:v>0.2</x:v>
      </x:c>
      <x:c r="K406" s="50" t="n">
        <x:v>-1.04</x:v>
      </x:c>
      <x:c r="L406" s="50" t="n">
        <x:v>1.06</x:v>
      </x:c>
      <x:c r="M406" s="50" t="n">
        <x:v>0.34</x:v>
      </x:c>
      <x:c r="N406" t="str">
        <x:v>RELATÓRIO LEITURAS INCLINOMÉTRICAS - Empreitada THE EDEN, Estoril_ R05_03-11-25.pdf</x:v>
      </x:c>
      <x:c r="O406" t="n">
        <x:v>28</x:v>
      </x:c>
      <x:c r="P406" t="str">
        <x:v>Válida</x:v>
      </x:c>
    </x:row>
    <x:row r="407">
      <x:c r="A407" s="48" t="n">
        <x:v>45950</x:v>
      </x:c>
      <x:c r="B407" t="n">
        <x:v>3</x:v>
      </x:c>
      <x:c r="C407" t="str">
        <x:v>I3</x:v>
      </x:c>
      <x:c r="D407" t="n">
        <x:v>2</x:v>
      </x:c>
      <x:c r="E407" s="50" t="n">
        <x:v>20.5</x:v>
      </x:c>
      <x:c r="F407" s="50" t="n">
        <x:v>153.81</x:v>
      </x:c>
      <x:c r="G407" s="50" t="n">
        <x:v>-149.54</x:v>
      </x:c>
      <x:c r="H407" s="50" t="n">
        <x:v>162.58</x:v>
      </x:c>
      <x:c r="I407" s="50" t="n">
        <x:v>-158.41</x:v>
      </x:c>
      <x:c r="J407" s="50" t="n">
        <x:v>0.16</x:v>
      </x:c>
      <x:c r="K407" s="50" t="n">
        <x:v>-0.93</x:v>
      </x:c>
      <x:c r="L407" s="50" t="n">
        <x:v>0.94</x:v>
      </x:c>
      <x:c r="M407" s="50" t="n">
        <x:v>0.33</x:v>
      </x:c>
      <x:c r="N407" t="str">
        <x:v>RELATÓRIO LEITURAS INCLINOMÉTRICAS - Empreitada THE EDEN, Estoril_ R05_03-11-25.pdf</x:v>
      </x:c>
      <x:c r="O407" t="n">
        <x:v>28</x:v>
      </x:c>
      <x:c r="P407" t="str">
        <x:v>Válida</x:v>
      </x:c>
    </x:row>
    <x:row r="408">
      <x:c r="A408" s="48" t="n">
        <x:v>45950</x:v>
      </x:c>
      <x:c r="B408" t="n">
        <x:v>3</x:v>
      </x:c>
      <x:c r="C408" t="str">
        <x:v>I3</x:v>
      </x:c>
      <x:c r="D408" t="n">
        <x:v>2</x:v>
      </x:c>
      <x:c r="E408" s="50" t="n">
        <x:v>21</x:v>
      </x:c>
      <x:c r="F408" s="50" t="n">
        <x:v>162.43</x:v>
      </x:c>
      <x:c r="G408" s="50" t="n">
        <x:v>-157.66</x:v>
      </x:c>
      <x:c r="H408" s="50" t="n">
        <x:v>173.63</x:v>
      </x:c>
      <x:c r="I408" s="50" t="n">
        <x:v>-169.88</x:v>
      </x:c>
      <x:c r="J408" s="50" t="n">
        <x:v>0.13</x:v>
      </x:c>
      <x:c r="K408" s="50" t="n">
        <x:v>-0.47</x:v>
      </x:c>
      <x:c r="L408" s="50" t="n">
        <x:v>0.48</x:v>
      </x:c>
      <x:c r="M408" s="50" t="n">
        <x:v>0.22</x:v>
      </x:c>
      <x:c r="N408" t="str">
        <x:v>RELATÓRIO LEITURAS INCLINOMÉTRICAS - Empreitada THE EDEN, Estoril_ R05_03-11-25.pdf</x:v>
      </x:c>
      <x:c r="O408" t="n">
        <x:v>28</x:v>
      </x:c>
      <x:c r="P408" t="str">
        <x:v>Válida</x:v>
      </x:c>
    </x:row>
    <x:row r="409">
      <x:c r="A409" s="48" t="n">
        <x:v>45950</x:v>
      </x:c>
      <x:c r="B409" t="n">
        <x:v>3</x:v>
      </x:c>
      <x:c r="C409" t="str">
        <x:v>I3</x:v>
      </x:c>
      <x:c r="D409" t="n">
        <x:v>2</x:v>
      </x:c>
      <x:c r="E409" s="50" t="n">
        <x:v>21.5</x:v>
      </x:c>
      <x:c r="F409" s="50" t="n">
        <x:v>178.58</x:v>
      </x:c>
      <x:c r="G409" s="50" t="n">
        <x:v>-174.84</x:v>
      </x:c>
      <x:c r="H409" s="50" t="n">
        <x:v>182.73</x:v>
      </x:c>
      <x:c r="I409" s="50" t="n">
        <x:v>-174.68</x:v>
      </x:c>
      <x:c r="J409" s="50" t="n">
        <x:v>0.07</x:v>
      </x:c>
      <x:c r="K409" s="50" t="n">
        <x:v>-0.25</x:v>
      </x:c>
      <x:c r="L409" s="50" t="n">
        <x:v>0.26</x:v>
      </x:c>
      <x:c r="M409" s="50" t="n">
        <x:v>0.25</x:v>
      </x:c>
      <x:c r="N409" t="str">
        <x:v>RELATÓRIO LEITURAS INCLINOMÉTRICAS - Empreitada THE EDEN, Estoril_ R05_03-11-25.pdf</x:v>
      </x:c>
      <x:c r="O409" t="n">
        <x:v>28</x:v>
      </x:c>
      <x:c r="P409" t="str">
        <x:v>Válida</x:v>
      </x:c>
    </x:row>
    <x:row r="410">
      <x:c r="A410" s="48" t="n">
        <x:v>45950</x:v>
      </x:c>
      <x:c r="B410" t="n">
        <x:v>3</x:v>
      </x:c>
      <x:c r="C410" t="str">
        <x:v>I3</x:v>
      </x:c>
      <x:c r="D410" t="n">
        <x:v>2</x:v>
      </x:c>
      <x:c r="E410" s="50" t="n">
        <x:v>22</x:v>
      </x:c>
      <x:c r="F410" s="50" t="n">
        <x:v>191.05</x:v>
      </x:c>
      <x:c r="G410" s="50" t="n">
        <x:v>-184.17</x:v>
      </x:c>
      <x:c r="H410" s="50" t="n">
        <x:v>193.71</x:v>
      </x:c>
      <x:c r="I410" s="50" t="n">
        <x:v>-186.12</x:v>
      </x:c>
      <x:c r="J410" s="50" t="n">
        <x:v>0.01</x:v>
      </x:c>
      <x:c r="K410" s="50" t="n">
        <x:v>0.02</x:v>
      </x:c>
      <x:c r="L410" s="50" t="n">
        <x:v>0.02</x:v>
      </x:c>
      <x:c r="M410" s="50" t="n">
        <x:v>0</x:v>
      </x:c>
      <x:c r="N410" t="str">
        <x:v>RELATÓRIO LEITURAS INCLINOMÉTRICAS - Empreitada THE EDEN, Estoril_ R05_03-11-25.pdf</x:v>
      </x:c>
      <x:c r="O410" t="n">
        <x:v>28</x:v>
      </x:c>
      <x:c r="P410" t="str">
        <x:v>Válida</x:v>
      </x:c>
    </x:row>
    <x:row r="411">
      <x:c r="A411" s="48" t="n">
        <x:v>45959</x:v>
      </x:c>
      <x:c r="B411" t="n">
        <x:v>4</x:v>
      </x:c>
      <x:c r="C411" t="str">
        <x:v>I1</x:v>
      </x:c>
      <x:c r="D411" t="n">
        <x:v>4</x:v>
      </x:c>
      <x:c r="E411" s="50" t="n">
        <x:v>0.5</x:v>
      </x:c>
      <x:c r="F411" s="50" t="n">
        <x:v>-385.45</x:v>
      </x:c>
      <x:c r="G411" s="50" t="n">
        <x:v>375</x:v>
      </x:c>
      <x:c r="H411" s="50" t="n">
        <x:v>-830.74</x:v>
      </x:c>
      <x:c r="I411" s="50" t="n">
        <x:v>880.19</x:v>
      </x:c>
      <x:c r="J411" s="50" t="n">
        <x:v>0.93</x:v>
      </x:c>
      <x:c r="K411" s="50" t="n">
        <x:v>0.89</x:v>
      </x:c>
      <x:c r="L411" s="50" t="n">
        <x:v>1.29</x:v>
      </x:c>
      <x:c r="M411" s="50" t="n">
        <x:v>-0.32</x:v>
      </x:c>
      <x:c r="N411" t="str">
        <x:v>RELATÓRIO LEITURAS INCLINOMÉTRICAS - Empreitada THE EDEN, Estoril_ R05_03-11-25.pdf</x:v>
      </x:c>
      <x:c r="O411" t="n">
        <x:v>12</x:v>
      </x:c>
      <x:c r="P411" t="str">
        <x:v>Válida</x:v>
      </x:c>
    </x:row>
    <x:row r="412">
      <x:c r="A412" s="48" t="n">
        <x:v>45959</x:v>
      </x:c>
      <x:c r="B412" t="n">
        <x:v>4</x:v>
      </x:c>
      <x:c r="C412" t="str">
        <x:v>I1</x:v>
      </x:c>
      <x:c r="D412" t="n">
        <x:v>4</x:v>
      </x:c>
      <x:c r="E412" s="50" t="n">
        <x:v>1</x:v>
      </x:c>
      <x:c r="F412" s="50" t="n">
        <x:v>-385.69</x:v>
      </x:c>
      <x:c r="G412" s="50" t="n">
        <x:v>379.16</x:v>
      </x:c>
      <x:c r="H412" s="50" t="n">
        <x:v>-817.81</x:v>
      </x:c>
      <x:c r="I412" s="50" t="n">
        <x:v>878.75</x:v>
      </x:c>
      <x:c r="J412" s="50" t="n">
        <x:v>1.51</x:v>
      </x:c>
      <x:c r="K412" s="50" t="n">
        <x:v>1.52</x:v>
      </x:c>
      <x:c r="L412" s="50" t="n">
        <x:v>2.14</x:v>
      </x:c>
      <x:c r="M412" s="50" t="n">
        <x:v>-0.26</x:v>
      </x:c>
      <x:c r="N412" t="str">
        <x:v>RELATÓRIO LEITURAS INCLINOMÉTRICAS - Empreitada THE EDEN, Estoril_ R05_03-11-25.pdf</x:v>
      </x:c>
      <x:c r="O412" t="n">
        <x:v>12</x:v>
      </x:c>
      <x:c r="P412" t="str">
        <x:v>Válida</x:v>
      </x:c>
    </x:row>
    <x:row r="413">
      <x:c r="A413" s="48" t="n">
        <x:v>45959</x:v>
      </x:c>
      <x:c r="B413" t="n">
        <x:v>4</x:v>
      </x:c>
      <x:c r="C413" t="str">
        <x:v>I1</x:v>
      </x:c>
      <x:c r="D413" t="n">
        <x:v>4</x:v>
      </x:c>
      <x:c r="E413" s="50" t="n">
        <x:v>1.5</x:v>
      </x:c>
      <x:c r="F413" s="50" t="n">
        <x:v>-3.62</x:v>
      </x:c>
      <x:c r="G413" s="50" t="n">
        <x:v>17.48</x:v>
      </x:c>
      <x:c r="H413" s="50" t="n">
        <x:v>-278.76</x:v>
      </x:c>
      <x:c r="I413" s="50" t="n">
        <x:v>280.69</x:v>
      </x:c>
      <x:c r="J413" s="50" t="n">
        <x:v>2.09</x:v>
      </x:c>
      <x:c r="K413" s="50" t="n">
        <x:v>1.92</x:v>
      </x:c>
      <x:c r="L413" s="50" t="n">
        <x:v>2.84</x:v>
      </x:c>
      <x:c r="M413" s="50" t="n">
        <x:v>-0.05</x:v>
      </x:c>
      <x:c r="N413" t="str">
        <x:v>RELATÓRIO LEITURAS INCLINOMÉTRICAS - Empreitada THE EDEN, Estoril_ R05_03-11-25.pdf</x:v>
      </x:c>
      <x:c r="O413" t="n">
        <x:v>12</x:v>
      </x:c>
      <x:c r="P413" t="str">
        <x:v>Válida</x:v>
      </x:c>
    </x:row>
    <x:row r="414">
      <x:c r="A414" s="48" t="n">
        <x:v>45959</x:v>
      </x:c>
      <x:c r="B414" t="n">
        <x:v>4</x:v>
      </x:c>
      <x:c r="C414" t="str">
        <x:v>I1</x:v>
      </x:c>
      <x:c r="D414" t="n">
        <x:v>4</x:v>
      </x:c>
      <x:c r="E414" s="50" t="n">
        <x:v>2</x:v>
      </x:c>
      <x:c r="F414" s="50" t="n">
        <x:v>10.73</x:v>
      </x:c>
      <x:c r="G414" s="50" t="n">
        <x:v>-1.29</x:v>
      </x:c>
      <x:c r="H414" s="50" t="n">
        <x:v>-232.46</x:v>
      </x:c>
      <x:c r="I414" s="50" t="n">
        <x:v>238.31</x:v>
      </x:c>
      <x:c r="J414" s="50" t="n">
        <x:v>2</x:v>
      </x:c>
      <x:c r="K414" s="50" t="n">
        <x:v>1.9</x:v>
      </x:c>
      <x:c r="L414" s="50" t="n">
        <x:v>2.76</x:v>
      </x:c>
      <x:c r="M414" s="50" t="n">
        <x:v>0.01</x:v>
      </x:c>
      <x:c r="N414" t="str">
        <x:v>RELATÓRIO LEITURAS INCLINOMÉTRICAS - Empreitada THE EDEN, Estoril_ R05_03-11-25.pdf</x:v>
      </x:c>
      <x:c r="O414" t="n">
        <x:v>12</x:v>
      </x:c>
      <x:c r="P414" t="str">
        <x:v>Válida</x:v>
      </x:c>
    </x:row>
    <x:row r="415">
      <x:c r="A415" s="48" t="n">
        <x:v>45959</x:v>
      </x:c>
      <x:c r="B415" t="n">
        <x:v>4</x:v>
      </x:c>
      <x:c r="C415" t="str">
        <x:v>I1</x:v>
      </x:c>
      <x:c r="D415" t="n">
        <x:v>4</x:v>
      </x:c>
      <x:c r="E415" s="50" t="n">
        <x:v>2.5</x:v>
      </x:c>
      <x:c r="F415" s="50" t="n">
        <x:v>30.64</x:v>
      </x:c>
      <x:c r="G415" s="50" t="n">
        <x:v>-22.13</x:v>
      </x:c>
      <x:c r="H415" s="50" t="n">
        <x:v>-212.87</x:v>
      </x:c>
      <x:c r="I415" s="50" t="n">
        <x:v>228.19</x:v>
      </x:c>
      <x:c r="J415" s="50" t="n">
        <x:v>2.42</x:v>
      </x:c>
      <x:c r="K415" s="50" t="n">
        <x:v>1.97</x:v>
      </x:c>
      <x:c r="L415" s="50" t="n">
        <x:v>3.12</x:v>
      </x:c>
      <x:c r="M415" s="50" t="n">
        <x:v>0.2</x:v>
      </x:c>
      <x:c r="N415" t="str">
        <x:v>RELATÓRIO LEITURAS INCLINOMÉTRICAS - Empreitada THE EDEN, Estoril_ R05_03-11-25.pdf</x:v>
      </x:c>
      <x:c r="O415" t="n">
        <x:v>12</x:v>
      </x:c>
      <x:c r="P415" t="str">
        <x:v>Válida</x:v>
      </x:c>
    </x:row>
    <x:row r="416">
      <x:c r="A416" s="48" t="n">
        <x:v>45959</x:v>
      </x:c>
      <x:c r="B416" t="n">
        <x:v>4</x:v>
      </x:c>
      <x:c r="C416" t="str">
        <x:v>I1</x:v>
      </x:c>
      <x:c r="D416" t="n">
        <x:v>4</x:v>
      </x:c>
      <x:c r="E416" s="50" t="n">
        <x:v>3</x:v>
      </x:c>
      <x:c r="F416" s="50" t="n">
        <x:v>11</x:v>
      </x:c>
      <x:c r="G416" s="50" t="n">
        <x:v>-1.1</x:v>
      </x:c>
      <x:c r="H416" s="50" t="n">
        <x:v>-161.6</x:v>
      </x:c>
      <x:c r="I416" s="50" t="n">
        <x:v>173.16</x:v>
      </x:c>
      <x:c r="J416" s="50" t="n">
        <x:v>2.63</x:v>
      </x:c>
      <x:c r="K416" s="50" t="n">
        <x:v>1.73</x:v>
      </x:c>
      <x:c r="L416" s="50" t="n">
        <x:v>3.14</x:v>
      </x:c>
      <x:c r="M416" s="50" t="n">
        <x:v>0.29</x:v>
      </x:c>
      <x:c r="N416" t="str">
        <x:v>RELATÓRIO LEITURAS INCLINOMÉTRICAS - Empreitada THE EDEN, Estoril_ R05_03-11-25.pdf</x:v>
      </x:c>
      <x:c r="O416" t="n">
        <x:v>12</x:v>
      </x:c>
      <x:c r="P416" t="str">
        <x:v>Válida</x:v>
      </x:c>
    </x:row>
    <x:row r="417">
      <x:c r="A417" s="48" t="n">
        <x:v>45959</x:v>
      </x:c>
      <x:c r="B417" t="n">
        <x:v>4</x:v>
      </x:c>
      <x:c r="C417" t="str">
        <x:v>I1</x:v>
      </x:c>
      <x:c r="D417" t="n">
        <x:v>4</x:v>
      </x:c>
      <x:c r="E417" s="50" t="n">
        <x:v>3.5</x:v>
      </x:c>
      <x:c r="F417" s="50" t="n">
        <x:v>-6.63</x:v>
      </x:c>
      <x:c r="G417" s="50" t="n">
        <x:v>16.33</x:v>
      </x:c>
      <x:c r="H417" s="50" t="n">
        <x:v>-102.16</x:v>
      </x:c>
      <x:c r="I417" s="50" t="n">
        <x:v>109.81</x:v>
      </x:c>
      <x:c r="J417" s="50" t="n">
        <x:v>2.7</x:v>
      </x:c>
      <x:c r="K417" s="50" t="n">
        <x:v>1.43</x:v>
      </x:c>
      <x:c r="L417" s="50" t="n">
        <x:v>3.06</x:v>
      </x:c>
      <x:c r="M417" s="50" t="n">
        <x:v>0.44</x:v>
      </x:c>
      <x:c r="N417" t="str">
        <x:v>RELATÓRIO LEITURAS INCLINOMÉTRICAS - Empreitada THE EDEN, Estoril_ R05_03-11-25.pdf</x:v>
      </x:c>
      <x:c r="O417" t="n">
        <x:v>12</x:v>
      </x:c>
      <x:c r="P417" t="str">
        <x:v>Válida</x:v>
      </x:c>
    </x:row>
    <x:row r="418">
      <x:c r="A418" s="48" t="n">
        <x:v>45959</x:v>
      </x:c>
      <x:c r="B418" t="n">
        <x:v>4</x:v>
      </x:c>
      <x:c r="C418" t="str">
        <x:v>I1</x:v>
      </x:c>
      <x:c r="D418" t="n">
        <x:v>4</x:v>
      </x:c>
      <x:c r="E418" s="50" t="n">
        <x:v>4</x:v>
      </x:c>
      <x:c r="F418" s="50" t="n">
        <x:v>61.62</x:v>
      </x:c>
      <x:c r="G418" s="50" t="n">
        <x:v>-53.2</x:v>
      </x:c>
      <x:c r="H418" s="50" t="n">
        <x:v>-87.68</x:v>
      </x:c>
      <x:c r="I418" s="50" t="n">
        <x:v>76.42</x:v>
      </x:c>
      <x:c r="J418" s="50" t="n">
        <x:v>2.76</x:v>
      </x:c>
      <x:c r="K418" s="50" t="n">
        <x:v>1.41</x:v>
      </x:c>
      <x:c r="L418" s="50" t="n">
        <x:v>3.09</x:v>
      </x:c>
      <x:c r="M418" s="50" t="n">
        <x:v>0.46</x:v>
      </x:c>
      <x:c r="N418" t="str">
        <x:v>RELATÓRIO LEITURAS INCLINOMÉTRICAS - Empreitada THE EDEN, Estoril_ R05_03-11-25.pdf</x:v>
      </x:c>
      <x:c r="O418" t="n">
        <x:v>12</x:v>
      </x:c>
      <x:c r="P418" t="str">
        <x:v>Válida</x:v>
      </x:c>
    </x:row>
    <x:row r="419">
      <x:c r="A419" s="48" t="n">
        <x:v>45959</x:v>
      </x:c>
      <x:c r="B419" t="n">
        <x:v>4</x:v>
      </x:c>
      <x:c r="C419" t="str">
        <x:v>I1</x:v>
      </x:c>
      <x:c r="D419" t="n">
        <x:v>4</x:v>
      </x:c>
      <x:c r="E419" s="50" t="n">
        <x:v>4.5</x:v>
      </x:c>
      <x:c r="F419" s="50" t="n">
        <x:v>59.01</x:v>
      </x:c>
      <x:c r="G419" s="50" t="n">
        <x:v>-49.78</x:v>
      </x:c>
      <x:c r="H419" s="50" t="n">
        <x:v>-46.44</x:v>
      </x:c>
      <x:c r="I419" s="50" t="n">
        <x:v>43.5</x:v>
      </x:c>
      <x:c r="J419" s="50" t="n">
        <x:v>2.82</x:v>
      </x:c>
      <x:c r="K419" s="50" t="n">
        <x:v>1.1</x:v>
      </x:c>
      <x:c r="L419" s="50" t="n">
        <x:v>3.02</x:v>
      </x:c>
      <x:c r="M419" s="50" t="n">
        <x:v>0.4</x:v>
      </x:c>
      <x:c r="N419" t="str">
        <x:v>RELATÓRIO LEITURAS INCLINOMÉTRICAS - Empreitada THE EDEN, Estoril_ R05_03-11-25.pdf</x:v>
      </x:c>
      <x:c r="O419" t="n">
        <x:v>12</x:v>
      </x:c>
      <x:c r="P419" t="str">
        <x:v>Válida</x:v>
      </x:c>
    </x:row>
    <x:row r="420">
      <x:c r="A420" s="48" t="n">
        <x:v>45959</x:v>
      </x:c>
      <x:c r="B420" t="n">
        <x:v>4</x:v>
      </x:c>
      <x:c r="C420" t="str">
        <x:v>I1</x:v>
      </x:c>
      <x:c r="D420" t="n">
        <x:v>4</x:v>
      </x:c>
      <x:c r="E420" s="50" t="n">
        <x:v>5</x:v>
      </x:c>
      <x:c r="F420" s="50" t="n">
        <x:v>2.51</x:v>
      </x:c>
      <x:c r="G420" s="50" t="n">
        <x:v>6.51</x:v>
      </x:c>
      <x:c r="H420" s="50" t="n">
        <x:v>20.02</x:v>
      </x:c>
      <x:c r="I420" s="50" t="n">
        <x:v>-15.08</x:v>
      </x:c>
      <x:c r="J420" s="50" t="n">
        <x:v>3.05</x:v>
      </x:c>
      <x:c r="K420" s="50" t="n">
        <x:v>0.8</x:v>
      </x:c>
      <x:c r="L420" s="50" t="n">
        <x:v>3.15</x:v>
      </x:c>
      <x:c r="M420" s="50" t="n">
        <x:v>0.46</x:v>
      </x:c>
      <x:c r="N420" t="str">
        <x:v>RELATÓRIO LEITURAS INCLINOMÉTRICAS - Empreitada THE EDEN, Estoril_ R05_03-11-25.pdf</x:v>
      </x:c>
      <x:c r="O420" t="n">
        <x:v>12</x:v>
      </x:c>
      <x:c r="P420" t="str">
        <x:v>Válida</x:v>
      </x:c>
    </x:row>
    <x:row r="421">
      <x:c r="A421" s="48" t="n">
        <x:v>45959</x:v>
      </x:c>
      <x:c r="B421" t="n">
        <x:v>4</x:v>
      </x:c>
      <x:c r="C421" t="str">
        <x:v>I1</x:v>
      </x:c>
      <x:c r="D421" t="n">
        <x:v>4</x:v>
      </x:c>
      <x:c r="E421" s="50" t="n">
        <x:v>5.5</x:v>
      </x:c>
      <x:c r="F421" s="50" t="n">
        <x:v>2.49</x:v>
      </x:c>
      <x:c r="G421" s="50" t="n">
        <x:v>6.54</x:v>
      </x:c>
      <x:c r="H421" s="50" t="n">
        <x:v>12.62</x:v>
      </x:c>
      <x:c r="I421" s="50" t="n">
        <x:v>-13.24</x:v>
      </x:c>
      <x:c r="J421" s="50" t="n">
        <x:v>3.13</x:v>
      </x:c>
      <x:c r="K421" s="50" t="n">
        <x:v>0.82</x:v>
      </x:c>
      <x:c r="L421" s="50" t="n">
        <x:v>3.23</x:v>
      </x:c>
      <x:c r="M421" s="50" t="n">
        <x:v>0.53</x:v>
      </x:c>
      <x:c r="N421" t="str">
        <x:v>RELATÓRIO LEITURAS INCLINOMÉTRICAS - Empreitada THE EDEN, Estoril_ R05_03-11-25.pdf</x:v>
      </x:c>
      <x:c r="O421" t="n">
        <x:v>12</x:v>
      </x:c>
      <x:c r="P421" t="str">
        <x:v>Válida</x:v>
      </x:c>
    </x:row>
    <x:row r="422">
      <x:c r="A422" s="48" t="n">
        <x:v>45959</x:v>
      </x:c>
      <x:c r="B422" t="n">
        <x:v>4</x:v>
      </x:c>
      <x:c r="C422" t="str">
        <x:v>I1</x:v>
      </x:c>
      <x:c r="D422" t="n">
        <x:v>4</x:v>
      </x:c>
      <x:c r="E422" s="50" t="n">
        <x:v>6</x:v>
      </x:c>
      <x:c r="F422" s="50" t="n">
        <x:v>16.66</x:v>
      </x:c>
      <x:c r="G422" s="50" t="n">
        <x:v>-9.28</x:v>
      </x:c>
      <x:c r="H422" s="50" t="n">
        <x:v>-21.46</x:v>
      </x:c>
      <x:c r="I422" s="50" t="n">
        <x:v>33.7</x:v>
      </x:c>
      <x:c r="J422" s="50" t="n">
        <x:v>3.23</x:v>
      </x:c>
      <x:c r="K422" s="50" t="n">
        <x:v>0.91</x:v>
      </x:c>
      <x:c r="L422" s="50" t="n">
        <x:v>3.36</x:v>
      </x:c>
      <x:c r="M422" s="50" t="n">
        <x:v>0.53</x:v>
      </x:c>
      <x:c r="N422" t="str">
        <x:v>RELATÓRIO LEITURAS INCLINOMÉTRICAS - Empreitada THE EDEN, Estoril_ R05_03-11-25.pdf</x:v>
      </x:c>
      <x:c r="O422" t="n">
        <x:v>12</x:v>
      </x:c>
      <x:c r="P422" t="str">
        <x:v>Válida</x:v>
      </x:c>
    </x:row>
    <x:row r="423">
      <x:c r="A423" s="48" t="n">
        <x:v>45959</x:v>
      </x:c>
      <x:c r="B423" t="n">
        <x:v>4</x:v>
      </x:c>
      <x:c r="C423" t="str">
        <x:v>I1</x:v>
      </x:c>
      <x:c r="D423" t="n">
        <x:v>4</x:v>
      </x:c>
      <x:c r="E423" s="50" t="n">
        <x:v>6.5</x:v>
      </x:c>
      <x:c r="F423" s="50" t="n">
        <x:v>23.82</x:v>
      </x:c>
      <x:c r="G423" s="50" t="n">
        <x:v>-12.54</x:v>
      </x:c>
      <x:c r="H423" s="50" t="n">
        <x:v>-68.88</x:v>
      </x:c>
      <x:c r="I423" s="50" t="n">
        <x:v>72.58</x:v>
      </x:c>
      <x:c r="J423" s="50" t="n">
        <x:v>3.3</x:v>
      </x:c>
      <x:c r="K423" s="50" t="n">
        <x:v>1.18</x:v>
      </x:c>
      <x:c r="L423" s="50" t="n">
        <x:v>3.5</x:v>
      </x:c>
      <x:c r="M423" s="50" t="n">
        <x:v>0.56</x:v>
      </x:c>
      <x:c r="N423" t="str">
        <x:v>RELATÓRIO LEITURAS INCLINOMÉTRICAS - Empreitada THE EDEN, Estoril_ R05_03-11-25.pdf</x:v>
      </x:c>
      <x:c r="O423" t="n">
        <x:v>12</x:v>
      </x:c>
      <x:c r="P423" t="str">
        <x:v>Válida</x:v>
      </x:c>
    </x:row>
    <x:row r="424">
      <x:c r="A424" s="48" t="n">
        <x:v>45959</x:v>
      </x:c>
      <x:c r="B424" t="n">
        <x:v>4</x:v>
      </x:c>
      <x:c r="C424" t="str">
        <x:v>I1</x:v>
      </x:c>
      <x:c r="D424" t="n">
        <x:v>4</x:v>
      </x:c>
      <x:c r="E424" s="50" t="n">
        <x:v>7</x:v>
      </x:c>
      <x:c r="F424" s="50" t="n">
        <x:v>100.24</x:v>
      </x:c>
      <x:c r="G424" s="50" t="n">
        <x:v>-94.11</x:v>
      </x:c>
      <x:c r="H424" s="50" t="n">
        <x:v>-52.73</x:v>
      </x:c>
      <x:c r="I424" s="50" t="n">
        <x:v>53.33</x:v>
      </x:c>
      <x:c r="J424" s="50" t="n">
        <x:v>3.01</x:v>
      </x:c>
      <x:c r="K424" s="50" t="n">
        <x:v>0.94</x:v>
      </x:c>
      <x:c r="L424" s="50" t="n">
        <x:v>3.15</x:v>
      </x:c>
      <x:c r="M424" s="50" t="n">
        <x:v>0.34</x:v>
      </x:c>
      <x:c r="N424" t="str">
        <x:v>RELATÓRIO LEITURAS INCLINOMÉTRICAS - Empreitada THE EDEN, Estoril_ R05_03-11-25.pdf</x:v>
      </x:c>
      <x:c r="O424" t="n">
        <x:v>12</x:v>
      </x:c>
      <x:c r="P424" t="str">
        <x:v>Válida</x:v>
      </x:c>
    </x:row>
    <x:row r="425">
      <x:c r="A425" s="48" t="n">
        <x:v>45959</x:v>
      </x:c>
      <x:c r="B425" t="n">
        <x:v>4</x:v>
      </x:c>
      <x:c r="C425" t="str">
        <x:v>I1</x:v>
      </x:c>
      <x:c r="D425" t="n">
        <x:v>4</x:v>
      </x:c>
      <x:c r="E425" s="50" t="n">
        <x:v>7.5</x:v>
      </x:c>
      <x:c r="F425" s="50" t="n">
        <x:v>60.16</x:v>
      </x:c>
      <x:c r="G425" s="50" t="n">
        <x:v>-55.57</x:v>
      </x:c>
      <x:c r="H425" s="50" t="n">
        <x:v>-56.51</x:v>
      </x:c>
      <x:c r="I425" s="50" t="n">
        <x:v>43.68</x:v>
      </x:c>
      <x:c r="J425" s="50" t="n">
        <x:v>2.9</x:v>
      </x:c>
      <x:c r="K425" s="50" t="n">
        <x:v>0.92</x:v>
      </x:c>
      <x:c r="L425" s="50" t="n">
        <x:v>3.04</x:v>
      </x:c>
      <x:c r="M425" s="50" t="n">
        <x:v>0.25</x:v>
      </x:c>
      <x:c r="N425" t="str">
        <x:v>RELATÓRIO LEITURAS INCLINOMÉTRICAS - Empreitada THE EDEN, Estoril_ R05_03-11-25.pdf</x:v>
      </x:c>
      <x:c r="O425" t="n">
        <x:v>12</x:v>
      </x:c>
      <x:c r="P425" t="str">
        <x:v>Válida</x:v>
      </x:c>
    </x:row>
    <x:row r="426">
      <x:c r="A426" s="48" t="n">
        <x:v>45959</x:v>
      </x:c>
      <x:c r="B426" t="n">
        <x:v>4</x:v>
      </x:c>
      <x:c r="C426" t="str">
        <x:v>I1</x:v>
      </x:c>
      <x:c r="D426" t="n">
        <x:v>4</x:v>
      </x:c>
      <x:c r="E426" s="50" t="n">
        <x:v>8</x:v>
      </x:c>
      <x:c r="F426" s="50" t="n">
        <x:v>39.29</x:v>
      </x:c>
      <x:c r="G426" s="50" t="n">
        <x:v>-31.26</x:v>
      </x:c>
      <x:c r="H426" s="50" t="n">
        <x:v>-45.17</x:v>
      </x:c>
      <x:c r="I426" s="50" t="n">
        <x:v>34.99</x:v>
      </x:c>
      <x:c r="J426" s="50" t="n">
        <x:v>2.67</x:v>
      </x:c>
      <x:c r="K426" s="50" t="n">
        <x:v>0.83</x:v>
      </x:c>
      <x:c r="L426" s="50" t="n">
        <x:v>2.8</x:v>
      </x:c>
      <x:c r="M426" s="50" t="n">
        <x:v>0.11</x:v>
      </x:c>
      <x:c r="N426" t="str">
        <x:v>RELATÓRIO LEITURAS INCLINOMÉTRICAS - Empreitada THE EDEN, Estoril_ R05_03-11-25.pdf</x:v>
      </x:c>
      <x:c r="O426" t="n">
        <x:v>12</x:v>
      </x:c>
      <x:c r="P426" t="str">
        <x:v>Válida</x:v>
      </x:c>
    </x:row>
    <x:row r="427">
      <x:c r="A427" s="48" t="n">
        <x:v>45959</x:v>
      </x:c>
      <x:c r="B427" t="n">
        <x:v>4</x:v>
      </x:c>
      <x:c r="C427" t="str">
        <x:v>I1</x:v>
      </x:c>
      <x:c r="D427" t="n">
        <x:v>4</x:v>
      </x:c>
      <x:c r="E427" s="50" t="n">
        <x:v>8.5</x:v>
      </x:c>
      <x:c r="F427" s="50" t="n">
        <x:v>1.76</x:v>
      </x:c>
      <x:c r="G427" s="50" t="n">
        <x:v>3.42</x:v>
      </x:c>
      <x:c r="H427" s="50" t="n">
        <x:v>-19.14</x:v>
      </x:c>
      <x:c r="I427" s="50" t="n">
        <x:v>4.02</x:v>
      </x:c>
      <x:c r="J427" s="50" t="n">
        <x:v>2.49</x:v>
      </x:c>
      <x:c r="K427" s="50" t="n">
        <x:v>0.68</x:v>
      </x:c>
      <x:c r="L427" s="50" t="n">
        <x:v>2.58</x:v>
      </x:c>
      <x:c r="M427" s="50" t="n">
        <x:v>0.06</x:v>
      </x:c>
      <x:c r="N427" t="str">
        <x:v>RELATÓRIO LEITURAS INCLINOMÉTRICAS - Empreitada THE EDEN, Estoril_ R05_03-11-25.pdf</x:v>
      </x:c>
      <x:c r="O427" t="n">
        <x:v>12</x:v>
      </x:c>
      <x:c r="P427" t="str">
        <x:v>Válida</x:v>
      </x:c>
    </x:row>
    <x:row r="428">
      <x:c r="A428" s="48" t="n">
        <x:v>45959</x:v>
      </x:c>
      <x:c r="B428" t="n">
        <x:v>4</x:v>
      </x:c>
      <x:c r="C428" t="str">
        <x:v>I1</x:v>
      </x:c>
      <x:c r="D428" t="n">
        <x:v>4</x:v>
      </x:c>
      <x:c r="E428" s="50" t="n">
        <x:v>9</x:v>
      </x:c>
      <x:c r="F428" s="50" t="n">
        <x:v>-43.39</x:v>
      </x:c>
      <x:c r="G428" s="50" t="n">
        <x:v>49.63</x:v>
      </x:c>
      <x:c r="H428" s="50" t="n">
        <x:v>0.94</x:v>
      </x:c>
      <x:c r="I428" s="50" t="n">
        <x:v>-9.14</x:v>
      </x:c>
      <x:c r="J428" s="50" t="n">
        <x:v>2.37</x:v>
      </x:c>
      <x:c r="K428" s="50" t="n">
        <x:v>0.68</x:v>
      </x:c>
      <x:c r="L428" s="50" t="n">
        <x:v>2.47</x:v>
      </x:c>
      <x:c r="M428" s="50" t="n">
        <x:v>0.03</x:v>
      </x:c>
      <x:c r="N428" t="str">
        <x:v>RELATÓRIO LEITURAS INCLINOMÉTRICAS - Empreitada THE EDEN, Estoril_ R05_03-11-25.pdf</x:v>
      </x:c>
      <x:c r="O428" t="n">
        <x:v>12</x:v>
      </x:c>
      <x:c r="P428" t="str">
        <x:v>Válida</x:v>
      </x:c>
    </x:row>
    <x:row r="429">
      <x:c r="A429" s="48" t="n">
        <x:v>45959</x:v>
      </x:c>
      <x:c r="B429" t="n">
        <x:v>4</x:v>
      </x:c>
      <x:c r="C429" t="str">
        <x:v>I1</x:v>
      </x:c>
      <x:c r="D429" t="n">
        <x:v>4</x:v>
      </x:c>
      <x:c r="E429" s="50" t="n">
        <x:v>9.5</x:v>
      </x:c>
      <x:c r="F429" s="50" t="n">
        <x:v>-110.28</x:v>
      </x:c>
      <x:c r="G429" s="50" t="n">
        <x:v>114.88</x:v>
      </x:c>
      <x:c r="H429" s="50" t="n">
        <x:v>29.9</x:v>
      </x:c>
      <x:c r="I429" s="50" t="n">
        <x:v>-19.14</x:v>
      </x:c>
      <x:c r="J429" s="50" t="n">
        <x:v>2.29</x:v>
      </x:c>
      <x:c r="K429" s="50" t="n">
        <x:v>0.66</x:v>
      </x:c>
      <x:c r="L429" s="50" t="n">
        <x:v>2.39</x:v>
      </x:c>
      <x:c r="M429" s="50" t="n">
        <x:v>0</x:v>
      </x:c>
      <x:c r="N429" t="str">
        <x:v>RELATÓRIO LEITURAS INCLINOMÉTRICAS - Empreitada THE EDEN, Estoril_ R05_03-11-25.pdf</x:v>
      </x:c>
      <x:c r="O429" t="n">
        <x:v>12</x:v>
      </x:c>
      <x:c r="P429" t="str">
        <x:v>Válida</x:v>
      </x:c>
    </x:row>
    <x:row r="430">
      <x:c r="A430" s="48" t="n">
        <x:v>45959</x:v>
      </x:c>
      <x:c r="B430" t="n">
        <x:v>4</x:v>
      </x:c>
      <x:c r="C430" t="str">
        <x:v>I1</x:v>
      </x:c>
      <x:c r="D430" t="n">
        <x:v>4</x:v>
      </x:c>
      <x:c r="E430" s="50" t="n">
        <x:v>10</x:v>
      </x:c>
      <x:c r="F430" s="50" t="n">
        <x:v>-201.06</x:v>
      </x:c>
      <x:c r="G430" s="50" t="n">
        <x:v>209.49</x:v>
      </x:c>
      <x:c r="H430" s="50" t="n">
        <x:v>-58.98</x:v>
      </x:c>
      <x:c r="I430" s="50" t="n">
        <x:v>57.17</x:v>
      </x:c>
      <x:c r="J430" s="50" t="n">
        <x:v>2.12</x:v>
      </x:c>
      <x:c r="K430" s="50" t="n">
        <x:v>0.71</x:v>
      </x:c>
      <x:c r="L430" s="50" t="n">
        <x:v>2.24</x:v>
      </x:c>
      <x:c r="M430" s="50" t="n">
        <x:v>0.02</x:v>
      </x:c>
      <x:c r="N430" t="str">
        <x:v>RELATÓRIO LEITURAS INCLINOMÉTRICAS - Empreitada THE EDEN, Estoril_ R05_03-11-25.pdf</x:v>
      </x:c>
      <x:c r="O430" t="n">
        <x:v>12</x:v>
      </x:c>
      <x:c r="P430" t="str">
        <x:v>Válida</x:v>
      </x:c>
    </x:row>
    <x:row r="431">
      <x:c r="A431" s="48" t="n">
        <x:v>45959</x:v>
      </x:c>
      <x:c r="B431" t="n">
        <x:v>4</x:v>
      </x:c>
      <x:c r="C431" t="str">
        <x:v>I1</x:v>
      </x:c>
      <x:c r="D431" t="n">
        <x:v>4</x:v>
      </x:c>
      <x:c r="E431" s="50" t="n">
        <x:v>10.5</x:v>
      </x:c>
      <x:c r="F431" s="50" t="n">
        <x:v>-194.56</x:v>
      </x:c>
      <x:c r="G431" s="50" t="n">
        <x:v>201.27</x:v>
      </x:c>
      <x:c r="H431" s="50" t="n">
        <x:v>-42.92</x:v>
      </x:c>
      <x:c r="I431" s="50" t="n">
        <x:v>36</x:v>
      </x:c>
      <x:c r="J431" s="50" t="n">
        <x:v>1.89</x:v>
      </x:c>
      <x:c r="K431" s="50" t="n">
        <x:v>0.41</x:v>
      </x:c>
      <x:c r="L431" s="50" t="n">
        <x:v>1.93</x:v>
      </x:c>
      <x:c r="M431" s="50" t="n">
        <x:v>-0.1</x:v>
      </x:c>
      <x:c r="N431" t="str">
        <x:v>RELATÓRIO LEITURAS INCLINOMÉTRICAS - Empreitada THE EDEN, Estoril_ R05_03-11-25.pdf</x:v>
      </x:c>
      <x:c r="O431" t="n">
        <x:v>12</x:v>
      </x:c>
      <x:c r="P431" t="str">
        <x:v>Excluir do resumo - calha fora do terreno</x:v>
      </x:c>
    </x:row>
    <x:row r="432">
      <x:c r="A432" s="48" t="n">
        <x:v>45959</x:v>
      </x:c>
      <x:c r="B432" t="n">
        <x:v>4</x:v>
      </x:c>
      <x:c r="C432" t="str">
        <x:v>I1</x:v>
      </x:c>
      <x:c r="D432" t="n">
        <x:v>4</x:v>
      </x:c>
      <x:c r="E432" s="50" t="n">
        <x:v>11</x:v>
      </x:c>
      <x:c r="F432" s="50" t="n">
        <x:v>-172.12</x:v>
      </x:c>
      <x:c r="G432" s="50" t="n">
        <x:v>173.33</x:v>
      </x:c>
      <x:c r="H432" s="50" t="n">
        <x:v>9.98</x:v>
      </x:c>
      <x:c r="I432" s="50" t="n">
        <x:v>-13.43</x:v>
      </x:c>
      <x:c r="J432" s="50" t="n">
        <x:v>1.79</x:v>
      </x:c>
      <x:c r="K432" s="50" t="n">
        <x:v>0.41</x:v>
      </x:c>
      <x:c r="L432" s="50" t="n">
        <x:v>1.84</x:v>
      </x:c>
      <x:c r="M432" s="50" t="n">
        <x:v>-0.09</x:v>
      </x:c>
      <x:c r="N432" t="str">
        <x:v>RELATÓRIO LEITURAS INCLINOMÉTRICAS - Empreitada THE EDEN, Estoril_ R05_03-11-25.pdf</x:v>
      </x:c>
      <x:c r="O432" t="n">
        <x:v>12</x:v>
      </x:c>
      <x:c r="P432" t="str">
        <x:v>Excluir do resumo - calha fora do terreno</x:v>
      </x:c>
    </x:row>
    <x:row r="433">
      <x:c r="A433" s="48" t="n">
        <x:v>45959</x:v>
      </x:c>
      <x:c r="B433" t="n">
        <x:v>4</x:v>
      </x:c>
      <x:c r="C433" t="str">
        <x:v>I1</x:v>
      </x:c>
      <x:c r="D433" t="n">
        <x:v>4</x:v>
      </x:c>
      <x:c r="E433" s="50" t="n">
        <x:v>11.5</x:v>
      </x:c>
      <x:c r="F433" s="50" t="n">
        <x:v>-76.65</x:v>
      </x:c>
      <x:c r="G433" s="50" t="n">
        <x:v>80.74</x:v>
      </x:c>
      <x:c r="H433" s="50" t="n">
        <x:v>22.12</x:v>
      </x:c>
      <x:c r="I433" s="50" t="n">
        <x:v>-27.84</x:v>
      </x:c>
      <x:c r="J433" s="50" t="n">
        <x:v>1.71</x:v>
      </x:c>
      <x:c r="K433" s="50" t="n">
        <x:v>0.58</x:v>
      </x:c>
      <x:c r="L433" s="50" t="n">
        <x:v>1.81</x:v>
      </x:c>
      <x:c r="M433" s="50" t="n">
        <x:v>-0.17</x:v>
      </x:c>
      <x:c r="N433" t="str">
        <x:v>RELATÓRIO LEITURAS INCLINOMÉTRICAS - Empreitada THE EDEN, Estoril_ R05_03-11-25.pdf</x:v>
      </x:c>
      <x:c r="O433" t="n">
        <x:v>12</x:v>
      </x:c>
      <x:c r="P433" t="str">
        <x:v>Válida</x:v>
      </x:c>
    </x:row>
    <x:row r="434">
      <x:c r="A434" s="48" t="n">
        <x:v>45959</x:v>
      </x:c>
      <x:c r="B434" t="n">
        <x:v>4</x:v>
      </x:c>
      <x:c r="C434" t="str">
        <x:v>I1</x:v>
      </x:c>
      <x:c r="D434" t="n">
        <x:v>4</x:v>
      </x:c>
      <x:c r="E434" s="50" t="n">
        <x:v>12</x:v>
      </x:c>
      <x:c r="F434" s="50" t="n">
        <x:v>-145.73</x:v>
      </x:c>
      <x:c r="G434" s="50" t="n">
        <x:v>154.25</x:v>
      </x:c>
      <x:c r="H434" s="50" t="n">
        <x:v>-17.08</x:v>
      </x:c>
      <x:c r="I434" s="50" t="n">
        <x:v>6.84</x:v>
      </x:c>
      <x:c r="J434" s="50" t="n">
        <x:v>1.65</x:v>
      </x:c>
      <x:c r="K434" s="50" t="n">
        <x:v>0.93</x:v>
      </x:c>
      <x:c r="L434" s="50" t="n">
        <x:v>1.89</x:v>
      </x:c>
      <x:c r="M434" s="50" t="n">
        <x:v>-0.1</x:v>
      </x:c>
      <x:c r="N434" t="str">
        <x:v>RELATÓRIO LEITURAS INCLINOMÉTRICAS - Empreitada THE EDEN, Estoril_ R05_03-11-25.pdf</x:v>
      </x:c>
      <x:c r="O434" t="n">
        <x:v>12</x:v>
      </x:c>
      <x:c r="P434" t="str">
        <x:v>Válida</x:v>
      </x:c>
    </x:row>
    <x:row r="435">
      <x:c r="A435" s="48" t="n">
        <x:v>45959</x:v>
      </x:c>
      <x:c r="B435" t="n">
        <x:v>4</x:v>
      </x:c>
      <x:c r="C435" t="str">
        <x:v>I1</x:v>
      </x:c>
      <x:c r="D435" t="n">
        <x:v>4</x:v>
      </x:c>
      <x:c r="E435" s="50" t="n">
        <x:v>12.5</x:v>
      </x:c>
      <x:c r="F435" s="50" t="n">
        <x:v>-134.28</x:v>
      </x:c>
      <x:c r="G435" s="50" t="n">
        <x:v>138.6</x:v>
      </x:c>
      <x:c r="H435" s="50" t="n">
        <x:v>49.89</x:v>
      </x:c>
      <x:c r="I435" s="50" t="n">
        <x:v>-43.79</x:v>
      </x:c>
      <x:c r="J435" s="50" t="n">
        <x:v>1.62</x:v>
      </x:c>
      <x:c r="K435" s="50" t="n">
        <x:v>0.84</x:v>
      </x:c>
      <x:c r="L435" s="50" t="n">
        <x:v>1.82</x:v>
      </x:c>
      <x:c r="M435" s="50" t="n">
        <x:v>-0.09</x:v>
      </x:c>
      <x:c r="N435" t="str">
        <x:v>RELATÓRIO LEITURAS INCLINOMÉTRICAS - Empreitada THE EDEN, Estoril_ R05_03-11-25.pdf</x:v>
      </x:c>
      <x:c r="O435" t="n">
        <x:v>12</x:v>
      </x:c>
      <x:c r="P435" t="str">
        <x:v>Válida</x:v>
      </x:c>
    </x:row>
    <x:row r="436">
      <x:c r="A436" s="48" t="n">
        <x:v>45959</x:v>
      </x:c>
      <x:c r="B436" t="n">
        <x:v>4</x:v>
      </x:c>
      <x:c r="C436" t="str">
        <x:v>I1</x:v>
      </x:c>
      <x:c r="D436" t="n">
        <x:v>4</x:v>
      </x:c>
      <x:c r="E436" s="50" t="n">
        <x:v>13</x:v>
      </x:c>
      <x:c r="F436" s="50" t="n">
        <x:v>-62.97</x:v>
      </x:c>
      <x:c r="G436" s="50" t="n">
        <x:v>69.97</x:v>
      </x:c>
      <x:c r="H436" s="50" t="n">
        <x:v>49.67</x:v>
      </x:c>
      <x:c r="I436" s="50" t="n">
        <x:v>-33.52</x:v>
      </x:c>
      <x:c r="J436" s="50" t="n">
        <x:v>1.56</x:v>
      </x:c>
      <x:c r="K436" s="50" t="n">
        <x:v>0.78</x:v>
      </x:c>
      <x:c r="L436" s="50" t="n">
        <x:v>1.75</x:v>
      </x:c>
      <x:c r="M436" s="50" t="n">
        <x:v>-0.07</x:v>
      </x:c>
      <x:c r="N436" t="str">
        <x:v>RELATÓRIO LEITURAS INCLINOMÉTRICAS - Empreitada THE EDEN, Estoril_ R05_03-11-25.pdf</x:v>
      </x:c>
      <x:c r="O436" t="n">
        <x:v>12</x:v>
      </x:c>
      <x:c r="P436" t="str">
        <x:v>Válida</x:v>
      </x:c>
    </x:row>
    <x:row r="437">
      <x:c r="A437" s="48" t="n">
        <x:v>45959</x:v>
      </x:c>
      <x:c r="B437" t="n">
        <x:v>4</x:v>
      </x:c>
      <x:c r="C437" t="str">
        <x:v>I1</x:v>
      </x:c>
      <x:c r="D437" t="n">
        <x:v>4</x:v>
      </x:c>
      <x:c r="E437" s="50" t="n">
        <x:v>13.5</x:v>
      </x:c>
      <x:c r="F437" s="50" t="n">
        <x:v>-50.41</x:v>
      </x:c>
      <x:c r="G437" s="50" t="n">
        <x:v>57.1</x:v>
      </x:c>
      <x:c r="H437" s="50" t="n">
        <x:v>62.71</x:v>
      </x:c>
      <x:c r="I437" s="50" t="n">
        <x:v>-55.76</x:v>
      </x:c>
      <x:c r="J437" s="50" t="n">
        <x:v>1.36</x:v>
      </x:c>
      <x:c r="K437" s="50" t="n">
        <x:v>0.71</x:v>
      </x:c>
      <x:c r="L437" s="50" t="n">
        <x:v>1.54</x:v>
      </x:c>
      <x:c r="M437" s="50" t="n">
        <x:v>-0.14</x:v>
      </x:c>
      <x:c r="N437" t="str">
        <x:v>RELATÓRIO LEITURAS INCLINOMÉTRICAS - Empreitada THE EDEN, Estoril_ R05_03-11-25.pdf</x:v>
      </x:c>
      <x:c r="O437" t="n">
        <x:v>12</x:v>
      </x:c>
      <x:c r="P437" t="str">
        <x:v>Válida</x:v>
      </x:c>
    </x:row>
    <x:row r="438">
      <x:c r="A438" s="48" t="n">
        <x:v>45959</x:v>
      </x:c>
      <x:c r="B438" t="n">
        <x:v>4</x:v>
      </x:c>
      <x:c r="C438" t="str">
        <x:v>I1</x:v>
      </x:c>
      <x:c r="D438" t="n">
        <x:v>4</x:v>
      </x:c>
      <x:c r="E438" s="50" t="n">
        <x:v>14</x:v>
      </x:c>
      <x:c r="F438" s="50" t="n">
        <x:v>-50.53</x:v>
      </x:c>
      <x:c r="G438" s="50" t="n">
        <x:v>55.56</x:v>
      </x:c>
      <x:c r="H438" s="50" t="n">
        <x:v>81.49</x:v>
      </x:c>
      <x:c r="I438" s="50" t="n">
        <x:v>-79.3</x:v>
      </x:c>
      <x:c r="J438" s="50" t="n">
        <x:v>1.06</x:v>
      </x:c>
      <x:c r="K438" s="50" t="n">
        <x:v>0.64</x:v>
      </x:c>
      <x:c r="L438" s="50" t="n">
        <x:v>1.24</x:v>
      </x:c>
      <x:c r="M438" s="50" t="n">
        <x:v>-0.27</x:v>
      </x:c>
      <x:c r="N438" t="str">
        <x:v>RELATÓRIO LEITURAS INCLINOMÉTRICAS - Empreitada THE EDEN, Estoril_ R05_03-11-25.pdf</x:v>
      </x:c>
      <x:c r="O438" t="n">
        <x:v>12</x:v>
      </x:c>
      <x:c r="P438" t="str">
        <x:v>Válida</x:v>
      </x:c>
    </x:row>
    <x:row r="439">
      <x:c r="A439" s="48" t="n">
        <x:v>45959</x:v>
      </x:c>
      <x:c r="B439" t="n">
        <x:v>4</x:v>
      </x:c>
      <x:c r="C439" t="str">
        <x:v>I1</x:v>
      </x:c>
      <x:c r="D439" t="n">
        <x:v>4</x:v>
      </x:c>
      <x:c r="E439" s="50" t="n">
        <x:v>14.5</x:v>
      </x:c>
      <x:c r="F439" s="50" t="n">
        <x:v>-40.68</x:v>
      </x:c>
      <x:c r="G439" s="50" t="n">
        <x:v>46.23</x:v>
      </x:c>
      <x:c r="H439" s="50" t="n">
        <x:v>105.82</x:v>
      </x:c>
      <x:c r="I439" s="50" t="n">
        <x:v>-98.32</x:v>
      </x:c>
      <x:c r="J439" s="50" t="n">
        <x:v>0.71</x:v>
      </x:c>
      <x:c r="K439" s="50" t="n">
        <x:v>0.49</x:v>
      </x:c>
      <x:c r="L439" s="50" t="n">
        <x:v>0.87</x:v>
      </x:c>
      <x:c r="M439" s="50" t="n">
        <x:v>-0.32</x:v>
      </x:c>
      <x:c r="N439" t="str">
        <x:v>RELATÓRIO LEITURAS INCLINOMÉTRICAS - Empreitada THE EDEN, Estoril_ R05_03-11-25.pdf</x:v>
      </x:c>
      <x:c r="O439" t="n">
        <x:v>12</x:v>
      </x:c>
      <x:c r="P439" t="str">
        <x:v>Válida</x:v>
      </x:c>
    </x:row>
    <x:row r="440">
      <x:c r="A440" s="48" t="n">
        <x:v>45959</x:v>
      </x:c>
      <x:c r="B440" t="n">
        <x:v>4</x:v>
      </x:c>
      <x:c r="C440" t="str">
        <x:v>I1</x:v>
      </x:c>
      <x:c r="D440" t="n">
        <x:v>4</x:v>
      </x:c>
      <x:c r="E440" s="50" t="n">
        <x:v>15</x:v>
      </x:c>
      <x:c r="F440" s="50" t="n">
        <x:v>-8.48</x:v>
      </x:c>
      <x:c r="G440" s="50" t="n">
        <x:v>15.82</x:v>
      </x:c>
      <x:c r="H440" s="50" t="n">
        <x:v>115.23</x:v>
      </x:c>
      <x:c r="I440" s="50" t="n">
        <x:v>-115.67</x:v>
      </x:c>
      <x:c r="J440" s="50" t="n">
        <x:v>0.41</x:v>
      </x:c>
      <x:c r="K440" s="50" t="n">
        <x:v>0.38</x:v>
      </x:c>
      <x:c r="L440" s="50" t="n">
        <x:v>0.56</x:v>
      </x:c>
      <x:c r="M440" s="50" t="n">
        <x:v>-0.46</x:v>
      </x:c>
      <x:c r="N440" t="str">
        <x:v>RELATÓRIO LEITURAS INCLINOMÉTRICAS - Empreitada THE EDEN, Estoril_ R05_03-11-25.pdf</x:v>
      </x:c>
      <x:c r="O440" t="n">
        <x:v>12</x:v>
      </x:c>
      <x:c r="P440" t="str">
        <x:v>Válida</x:v>
      </x:c>
    </x:row>
    <x:row r="441">
      <x:c r="A441" s="48" t="n">
        <x:v>45959</x:v>
      </x:c>
      <x:c r="B441" t="n">
        <x:v>4</x:v>
      </x:c>
      <x:c r="C441" t="str">
        <x:v>I1</x:v>
      </x:c>
      <x:c r="D441" t="n">
        <x:v>4</x:v>
      </x:c>
      <x:c r="E441" s="50" t="n">
        <x:v>15.5</x:v>
      </x:c>
      <x:c r="F441" s="50" t="n">
        <x:v>-32.68</x:v>
      </x:c>
      <x:c r="G441" s="50" t="n">
        <x:v>35.1</x:v>
      </x:c>
      <x:c r="H441" s="50" t="n">
        <x:v>135.95</x:v>
      </x:c>
      <x:c r="I441" s="50" t="n">
        <x:v>-107.92</x:v>
      </x:c>
      <x:c r="J441" s="50" t="n">
        <x:v>0.21</x:v>
      </x:c>
      <x:c r="K441" s="50" t="n">
        <x:v>0.26</x:v>
      </x:c>
      <x:c r="L441" s="50" t="n">
        <x:v>0.33</x:v>
      </x:c>
      <x:c r="M441" s="50" t="n">
        <x:v>-0.5</x:v>
      </x:c>
      <x:c r="N441" t="str">
        <x:v>RELATÓRIO LEITURAS INCLINOMÉTRICAS - Empreitada THE EDEN, Estoril_ R05_03-11-25.pdf</x:v>
      </x:c>
      <x:c r="O441" t="n">
        <x:v>12</x:v>
      </x:c>
      <x:c r="P441" t="str">
        <x:v>Válida</x:v>
      </x:c>
    </x:row>
    <x:row r="442">
      <x:c r="A442" s="48" t="n">
        <x:v>45959</x:v>
      </x:c>
      <x:c r="B442" t="n">
        <x:v>4</x:v>
      </x:c>
      <x:c r="C442" t="str">
        <x:v>I1</x:v>
      </x:c>
      <x:c r="D442" t="n">
        <x:v>4</x:v>
      </x:c>
      <x:c r="E442" s="50" t="n">
        <x:v>16</x:v>
      </x:c>
      <x:c r="F442" s="50" t="n">
        <x:v>-15.1</x:v>
      </x:c>
      <x:c r="G442" s="50" t="n">
        <x:v>20.97</x:v>
      </x:c>
      <x:c r="H442" s="50" t="n">
        <x:v>-20.96</x:v>
      </x:c>
      <x:c r="I442" s="50" t="n">
        <x:v>34.19</x:v>
      </x:c>
      <x:c r="J442" s="50" t="n">
        <x:v>-0.32</x:v>
      </x:c>
      <x:c r="K442" s="50" t="n">
        <x:v>-0.1</x:v>
      </x:c>
      <x:c r="L442" s="50" t="n">
        <x:v>0.33</x:v>
      </x:c>
      <x:c r="M442" s="50" t="n">
        <x:v>-0.34</x:v>
      </x:c>
      <x:c r="N442" t="str">
        <x:v>RELATÓRIO LEITURAS INCLINOMÉTRICAS - Empreitada THE EDEN, Estoril_ R05_03-11-25.pdf</x:v>
      </x:c>
      <x:c r="O442" t="n">
        <x:v>12</x:v>
      </x:c>
      <x:c r="P442" t="str">
        <x:v>Válida</x:v>
      </x:c>
    </x:row>
    <x:row r="443">
      <x:c r="A443" s="48" t="n">
        <x:v>45959</x:v>
      </x:c>
      <x:c r="B443" t="n">
        <x:v>4</x:v>
      </x:c>
      <x:c r="C443" t="str">
        <x:v>I1</x:v>
      </x:c>
      <x:c r="D443" t="n">
        <x:v>4</x:v>
      </x:c>
      <x:c r="E443" s="50" t="n">
        <x:v>16.5</x:v>
      </x:c>
      <x:c r="F443" s="50" t="n">
        <x:v>5.11</x:v>
      </x:c>
      <x:c r="G443" s="50" t="n">
        <x:v>0.61</x:v>
      </x:c>
      <x:c r="H443" s="50" t="n">
        <x:v>-9.45</x:v>
      </x:c>
      <x:c r="I443" s="50" t="n">
        <x:v>22.69</x:v>
      </x:c>
      <x:c r="J443" s="50" t="n">
        <x:v>-0.3</x:v>
      </x:c>
      <x:c r="K443" s="50" t="n">
        <x:v>0.01</x:v>
      </x:c>
      <x:c r="L443" s="50" t="n">
        <x:v>0.3</x:v>
      </x:c>
      <x:c r="M443" s="50" t="n">
        <x:v>-0.39</x:v>
      </x:c>
      <x:c r="N443" t="str">
        <x:v>RELATÓRIO LEITURAS INCLINOMÉTRICAS - Empreitada THE EDEN, Estoril_ R05_03-11-25.pdf</x:v>
      </x:c>
      <x:c r="O443" t="n">
        <x:v>12</x:v>
      </x:c>
      <x:c r="P443" t="str">
        <x:v>Válida</x:v>
      </x:c>
    </x:row>
    <x:row r="444">
      <x:c r="A444" s="48" t="n">
        <x:v>45959</x:v>
      </x:c>
      <x:c r="B444" t="n">
        <x:v>4</x:v>
      </x:c>
      <x:c r="C444" t="str">
        <x:v>I1</x:v>
      </x:c>
      <x:c r="D444" t="n">
        <x:v>4</x:v>
      </x:c>
      <x:c r="E444" s="50" t="n">
        <x:v>17</x:v>
      </x:c>
      <x:c r="F444" s="50" t="n">
        <x:v>16.92</x:v>
      </x:c>
      <x:c r="G444" s="50" t="n">
        <x:v>-11.95</x:v>
      </x:c>
      <x:c r="H444" s="50" t="n">
        <x:v>5.18</x:v>
      </x:c>
      <x:c r="I444" s="50" t="n">
        <x:v>-0.73</x:v>
      </x:c>
      <x:c r="J444" s="50" t="n">
        <x:v>-0.27</x:v>
      </x:c>
      <x:c r="K444" s="50" t="n">
        <x:v>0.02</x:v>
      </x:c>
      <x:c r="L444" s="50" t="n">
        <x:v>0.27</x:v>
      </x:c>
      <x:c r="M444" s="50" t="n">
        <x:v>-0.42</x:v>
      </x:c>
      <x:c r="N444" t="str">
        <x:v>RELATÓRIO LEITURAS INCLINOMÉTRICAS - Empreitada THE EDEN, Estoril_ R05_03-11-25.pdf</x:v>
      </x:c>
      <x:c r="O444" t="n">
        <x:v>12</x:v>
      </x:c>
      <x:c r="P444" t="str">
        <x:v>Válida</x:v>
      </x:c>
    </x:row>
    <x:row r="445">
      <x:c r="A445" s="48" t="n">
        <x:v>45959</x:v>
      </x:c>
      <x:c r="B445" t="n">
        <x:v>4</x:v>
      </x:c>
      <x:c r="C445" t="str">
        <x:v>I1</x:v>
      </x:c>
      <x:c r="D445" t="n">
        <x:v>4</x:v>
      </x:c>
      <x:c r="E445" s="50" t="n">
        <x:v>17.5</x:v>
      </x:c>
      <x:c r="F445" s="50" t="n">
        <x:v>-10.89</x:v>
      </x:c>
      <x:c r="G445" s="50" t="n">
        <x:v>16.17</x:v>
      </x:c>
      <x:c r="H445" s="50" t="n">
        <x:v>36.29</x:v>
      </x:c>
      <x:c r="I445" s="50" t="n">
        <x:v>-28.69</x:v>
      </x:c>
      <x:c r="J445" s="50" t="n">
        <x:v>-0.3</x:v>
      </x:c>
      <x:c r="K445" s="50" t="n">
        <x:v>0.17</x:v>
      </x:c>
      <x:c r="L445" s="50" t="n">
        <x:v>0.34</x:v>
      </x:c>
      <x:c r="M445" s="50" t="n">
        <x:v>-0.47</x:v>
      </x:c>
      <x:c r="N445" t="str">
        <x:v>RELATÓRIO LEITURAS INCLINOMÉTRICAS - Empreitada THE EDEN, Estoril_ R05_03-11-25.pdf</x:v>
      </x:c>
      <x:c r="O445" t="n">
        <x:v>12</x:v>
      </x:c>
      <x:c r="P445" t="str">
        <x:v>Válida</x:v>
      </x:c>
    </x:row>
    <x:row r="446">
      <x:c r="A446" s="48" t="n">
        <x:v>45959</x:v>
      </x:c>
      <x:c r="B446" t="n">
        <x:v>4</x:v>
      </x:c>
      <x:c r="C446" t="str">
        <x:v>I1</x:v>
      </x:c>
      <x:c r="D446" t="n">
        <x:v>4</x:v>
      </x:c>
      <x:c r="E446" s="50" t="n">
        <x:v>18</x:v>
      </x:c>
      <x:c r="F446" s="50" t="n">
        <x:v>-31.29</x:v>
      </x:c>
      <x:c r="G446" s="50" t="n">
        <x:v>35.41</x:v>
      </x:c>
      <x:c r="H446" s="50" t="n">
        <x:v>57.51</x:v>
      </x:c>
      <x:c r="I446" s="50" t="n">
        <x:v>-42.41</x:v>
      </x:c>
      <x:c r="J446" s="50" t="n">
        <x:v>-0.29</x:v>
      </x:c>
      <x:c r="K446" s="50" t="n">
        <x:v>0.17</x:v>
      </x:c>
      <x:c r="L446" s="50" t="n">
        <x:v>0.33</x:v>
      </x:c>
      <x:c r="M446" s="50" t="n">
        <x:v>-0.53</x:v>
      </x:c>
      <x:c r="N446" t="str">
        <x:v>RELATÓRIO LEITURAS INCLINOMÉTRICAS - Empreitada THE EDEN, Estoril_ R05_03-11-25.pdf</x:v>
      </x:c>
      <x:c r="O446" t="n">
        <x:v>12</x:v>
      </x:c>
      <x:c r="P446" t="str">
        <x:v>Válida</x:v>
      </x:c>
    </x:row>
    <x:row r="447">
      <x:c r="A447" s="48" t="n">
        <x:v>45959</x:v>
      </x:c>
      <x:c r="B447" t="n">
        <x:v>4</x:v>
      </x:c>
      <x:c r="C447" t="str">
        <x:v>I1</x:v>
      </x:c>
      <x:c r="D447" t="n">
        <x:v>4</x:v>
      </x:c>
      <x:c r="E447" s="50" t="n">
        <x:v>18.5</x:v>
      </x:c>
      <x:c r="F447" s="50" t="n">
        <x:v>-34.84</x:v>
      </x:c>
      <x:c r="G447" s="50" t="n">
        <x:v>46.41</x:v>
      </x:c>
      <x:c r="H447" s="50" t="n">
        <x:v>73.2</x:v>
      </x:c>
      <x:c r="I447" s="50" t="n">
        <x:v>-50.4</x:v>
      </x:c>
      <x:c r="J447" s="50" t="n">
        <x:v>-0.29</x:v>
      </x:c>
      <x:c r="K447" s="50" t="n">
        <x:v>0.3</x:v>
      </x:c>
      <x:c r="L447" s="50" t="n">
        <x:v>0.42</x:v>
      </x:c>
      <x:c r="M447" s="50" t="n">
        <x:v>-0.42</x:v>
      </x:c>
      <x:c r="N447" t="str">
        <x:v>RELATÓRIO LEITURAS INCLINOMÉTRICAS - Empreitada THE EDEN, Estoril_ R05_03-11-25.pdf</x:v>
      </x:c>
      <x:c r="O447" t="n">
        <x:v>12</x:v>
      </x:c>
      <x:c r="P447" t="str">
        <x:v>Válida</x:v>
      </x:c>
    </x:row>
    <x:row r="448">
      <x:c r="A448" s="48" t="n">
        <x:v>45959</x:v>
      </x:c>
      <x:c r="B448" t="n">
        <x:v>4</x:v>
      </x:c>
      <x:c r="C448" t="str">
        <x:v>I1</x:v>
      </x:c>
      <x:c r="D448" t="n">
        <x:v>4</x:v>
      </x:c>
      <x:c r="E448" s="50" t="n">
        <x:v>19</x:v>
      </x:c>
      <x:c r="F448" s="50" t="n">
        <x:v>-139.32</x:v>
      </x:c>
      <x:c r="G448" s="50" t="n">
        <x:v>136.46</x:v>
      </x:c>
      <x:c r="H448" s="50" t="n">
        <x:v>-33.52</x:v>
      </x:c>
      <x:c r="I448" s="50" t="n">
        <x:v>48.98</x:v>
      </x:c>
      <x:c r="J448" s="50" t="n">
        <x:v>-0.29</x:v>
      </x:c>
      <x:c r="K448" s="50" t="n">
        <x:v>0.21</x:v>
      </x:c>
      <x:c r="L448" s="50" t="n">
        <x:v>0.36</x:v>
      </x:c>
      <x:c r="M448" s="50" t="n">
        <x:v>-0.48</x:v>
      </x:c>
      <x:c r="N448" t="str">
        <x:v>RELATÓRIO LEITURAS INCLINOMÉTRICAS - Empreitada THE EDEN, Estoril_ R05_03-11-25.pdf</x:v>
      </x:c>
      <x:c r="O448" t="n">
        <x:v>12</x:v>
      </x:c>
      <x:c r="P448" t="str">
        <x:v>Válida</x:v>
      </x:c>
    </x:row>
    <x:row r="449">
      <x:c r="A449" s="48" t="n">
        <x:v>45959</x:v>
      </x:c>
      <x:c r="B449" t="n">
        <x:v>4</x:v>
      </x:c>
      <x:c r="C449" t="str">
        <x:v>I1</x:v>
      </x:c>
      <x:c r="D449" t="n">
        <x:v>4</x:v>
      </x:c>
      <x:c r="E449" s="50" t="n">
        <x:v>19.5</x:v>
      </x:c>
      <x:c r="F449" s="50" t="n">
        <x:v>-133.27</x:v>
      </x:c>
      <x:c r="G449" s="50" t="n">
        <x:v>137.44</x:v>
      </x:c>
      <x:c r="H449" s="50" t="n">
        <x:v>-23.29</x:v>
      </x:c>
      <x:c r="I449" s="50" t="n">
        <x:v>39.78</x:v>
      </x:c>
      <x:c r="J449" s="50" t="n">
        <x:v>-0.34</x:v>
      </x:c>
      <x:c r="K449" s="50" t="n">
        <x:v>0.13</x:v>
      </x:c>
      <x:c r="L449" s="50" t="n">
        <x:v>0.36</x:v>
      </x:c>
      <x:c r="M449" s="50" t="n">
        <x:v>-0.43</x:v>
      </x:c>
      <x:c r="N449" t="str">
        <x:v>RELATÓRIO LEITURAS INCLINOMÉTRICAS - Empreitada THE EDEN, Estoril_ R05_03-11-25.pdf</x:v>
      </x:c>
      <x:c r="O449" t="n">
        <x:v>12</x:v>
      </x:c>
      <x:c r="P449" t="str">
        <x:v>Válida</x:v>
      </x:c>
    </x:row>
    <x:row r="450">
      <x:c r="A450" s="48" t="n">
        <x:v>45959</x:v>
      </x:c>
      <x:c r="B450" t="n">
        <x:v>4</x:v>
      </x:c>
      <x:c r="C450" t="str">
        <x:v>I1</x:v>
      </x:c>
      <x:c r="D450" t="n">
        <x:v>4</x:v>
      </x:c>
      <x:c r="E450" s="50" t="n">
        <x:v>20</x:v>
      </x:c>
      <x:c r="F450" s="50" t="n">
        <x:v>-142.8</x:v>
      </x:c>
      <x:c r="G450" s="50" t="n">
        <x:v>146.57</x:v>
      </x:c>
      <x:c r="H450" s="50" t="n">
        <x:v>-44.08</x:v>
      </x:c>
      <x:c r="I450" s="50" t="n">
        <x:v>40.53</x:v>
      </x:c>
      <x:c r="J450" s="50" t="n">
        <x:v>-0.4</x:v>
      </x:c>
      <x:c r="K450" s="50" t="n">
        <x:v>0.27</x:v>
      </x:c>
      <x:c r="L450" s="50" t="n">
        <x:v>0.48</x:v>
      </x:c>
      <x:c r="M450" s="50" t="n">
        <x:v>-0.24</x:v>
      </x:c>
      <x:c r="N450" t="str">
        <x:v>RELATÓRIO LEITURAS INCLINOMÉTRICAS - Empreitada THE EDEN, Estoril_ R05_03-11-25.pdf</x:v>
      </x:c>
      <x:c r="O450" t="n">
        <x:v>12</x:v>
      </x:c>
      <x:c r="P450" t="str">
        <x:v>Válida</x:v>
      </x:c>
    </x:row>
    <x:row r="451">
      <x:c r="A451" s="48" t="n">
        <x:v>45959</x:v>
      </x:c>
      <x:c r="B451" t="n">
        <x:v>4</x:v>
      </x:c>
      <x:c r="C451" t="str">
        <x:v>I1</x:v>
      </x:c>
      <x:c r="D451" t="n">
        <x:v>4</x:v>
      </x:c>
      <x:c r="E451" s="50" t="n">
        <x:v>20.5</x:v>
      </x:c>
      <x:c r="F451" s="50" t="n">
        <x:v>-167.88</x:v>
      </x:c>
      <x:c r="G451" s="50" t="n">
        <x:v>171.64</x:v>
      </x:c>
      <x:c r="H451" s="50" t="n">
        <x:v>-26.7</x:v>
      </x:c>
      <x:c r="I451" s="50" t="n">
        <x:v>13.78</x:v>
      </x:c>
      <x:c r="J451" s="50" t="n">
        <x:v>-0.42</x:v>
      </x:c>
      <x:c r="K451" s="50" t="n">
        <x:v>0.15</x:v>
      </x:c>
      <x:c r="L451" s="50" t="n">
        <x:v>0.44</x:v>
      </x:c>
      <x:c r="M451" s="50" t="n">
        <x:v>-0.17</x:v>
      </x:c>
      <x:c r="N451" t="str">
        <x:v>RELATÓRIO LEITURAS INCLINOMÉTRICAS - Empreitada THE EDEN, Estoril_ R05_03-11-25.pdf</x:v>
      </x:c>
      <x:c r="O451" t="n">
        <x:v>12</x:v>
      </x:c>
      <x:c r="P451" t="str">
        <x:v>Válida</x:v>
      </x:c>
    </x:row>
    <x:row r="452">
      <x:c r="A452" s="48" t="n">
        <x:v>45959</x:v>
      </x:c>
      <x:c r="B452" t="n">
        <x:v>4</x:v>
      </x:c>
      <x:c r="C452" t="str">
        <x:v>I1</x:v>
      </x:c>
      <x:c r="D452" t="n">
        <x:v>4</x:v>
      </x:c>
      <x:c r="E452" s="50" t="n">
        <x:v>21</x:v>
      </x:c>
      <x:c r="F452" s="50" t="n">
        <x:v>-155.93</x:v>
      </x:c>
      <x:c r="G452" s="50" t="n">
        <x:v>158.34</x:v>
      </x:c>
      <x:c r="H452" s="50" t="n">
        <x:v>-5.58</x:v>
      </x:c>
      <x:c r="I452" s="50" t="n">
        <x:v>2.69</x:v>
      </x:c>
      <x:c r="J452" s="50" t="n">
        <x:v>-0.44</x:v>
      </x:c>
      <x:c r="K452" s="50" t="n">
        <x:v>0.15</x:v>
      </x:c>
      <x:c r="L452" s="50" t="n">
        <x:v>0.46</x:v>
      </x:c>
      <x:c r="M452" s="50" t="n">
        <x:v>-0.13</x:v>
      </x:c>
      <x:c r="N452" t="str">
        <x:v>RELATÓRIO LEITURAS INCLINOMÉTRICAS - Empreitada THE EDEN, Estoril_ R05_03-11-25.pdf</x:v>
      </x:c>
      <x:c r="O452" t="n">
        <x:v>12</x:v>
      </x:c>
      <x:c r="P452" t="str">
        <x:v>Válida</x:v>
      </x:c>
    </x:row>
    <x:row r="453">
      <x:c r="A453" s="48" t="n">
        <x:v>45959</x:v>
      </x:c>
      <x:c r="B453" t="n">
        <x:v>4</x:v>
      </x:c>
      <x:c r="C453" t="str">
        <x:v>I1</x:v>
      </x:c>
      <x:c r="D453" t="n">
        <x:v>4</x:v>
      </x:c>
      <x:c r="E453" s="50" t="n">
        <x:v>21.5</x:v>
      </x:c>
      <x:c r="F453" s="50" t="n">
        <x:v>-75.71</x:v>
      </x:c>
      <x:c r="G453" s="50" t="n">
        <x:v>83.2</x:v>
      </x:c>
      <x:c r="H453" s="50" t="n">
        <x:v>-16.26</x:v>
      </x:c>
      <x:c r="I453" s="50" t="n">
        <x:v>25.51</x:v>
      </x:c>
      <x:c r="J453" s="50" t="n">
        <x:v>-0.44</x:v>
      </x:c>
      <x:c r="K453" s="50" t="n">
        <x:v>0.5</x:v>
      </x:c>
      <x:c r="L453" s="50" t="n">
        <x:v>0.66</x:v>
      </x:c>
      <x:c r="M453" s="50" t="n">
        <x:v>0.12</x:v>
      </x:c>
      <x:c r="N453" t="str">
        <x:v>RELATÓRIO LEITURAS INCLINOMÉTRICAS - Empreitada THE EDEN, Estoril_ R05_03-11-25.pdf</x:v>
      </x:c>
      <x:c r="O453" t="n">
        <x:v>12</x:v>
      </x:c>
      <x:c r="P453" t="str">
        <x:v>Válida</x:v>
      </x:c>
    </x:row>
    <x:row r="454">
      <x:c r="A454" s="48" t="n">
        <x:v>45959</x:v>
      </x:c>
      <x:c r="B454" t="n">
        <x:v>4</x:v>
      </x:c>
      <x:c r="C454" t="str">
        <x:v>I1</x:v>
      </x:c>
      <x:c r="D454" t="n">
        <x:v>4</x:v>
      </x:c>
      <x:c r="E454" s="50" t="n">
        <x:v>22</x:v>
      </x:c>
      <x:c r="F454" s="50" t="n">
        <x:v>5.07</x:v>
      </x:c>
      <x:c r="G454" s="50" t="n">
        <x:v>-4.32</x:v>
      </x:c>
      <x:c r="H454" s="50" t="n">
        <x:v>-106.42</x:v>
      </x:c>
      <x:c r="I454" s="50" t="n">
        <x:v>103.48</x:v>
      </x:c>
      <x:c r="J454" s="50" t="n">
        <x:v>-0.48</x:v>
      </x:c>
      <x:c r="K454" s="50" t="n">
        <x:v>0.59</x:v>
      </x:c>
      <x:c r="L454" s="50" t="n">
        <x:v>0.76</x:v>
      </x:c>
      <x:c r="M454" s="50" t="n">
        <x:v>0.14</x:v>
      </x:c>
      <x:c r="N454" t="str">
        <x:v>RELATÓRIO LEITURAS INCLINOMÉTRICAS - Empreitada THE EDEN, Estoril_ R05_03-11-25.pdf</x:v>
      </x:c>
      <x:c r="O454" t="n">
        <x:v>12</x:v>
      </x:c>
      <x:c r="P454" t="str">
        <x:v>Válida</x:v>
      </x:c>
    </x:row>
    <x:row r="455">
      <x:c r="A455" s="48" t="n">
        <x:v>45959</x:v>
      </x:c>
      <x:c r="B455" t="n">
        <x:v>4</x:v>
      </x:c>
      <x:c r="C455" t="str">
        <x:v>I1</x:v>
      </x:c>
      <x:c r="D455" t="n">
        <x:v>4</x:v>
      </x:c>
      <x:c r="E455" s="50" t="n">
        <x:v>22.5</x:v>
      </x:c>
      <x:c r="F455" s="50" t="n">
        <x:v>-24.73</x:v>
      </x:c>
      <x:c r="G455" s="50" t="n">
        <x:v>28.23</x:v>
      </x:c>
      <x:c r="H455" s="50" t="n">
        <x:v>-52.7</x:v>
      </x:c>
      <x:c r="I455" s="50" t="n">
        <x:v>38.36</x:v>
      </x:c>
      <x:c r="J455" s="50" t="n">
        <x:v>-0.54</x:v>
      </x:c>
      <x:c r="K455" s="50" t="n">
        <x:v>0.52</x:v>
      </x:c>
      <x:c r="L455" s="50" t="n">
        <x:v>0.75</x:v>
      </x:c>
      <x:c r="M455" s="50" t="n">
        <x:v>0.03</x:v>
      </x:c>
      <x:c r="N455" t="str">
        <x:v>RELATÓRIO LEITURAS INCLINOMÉTRICAS - Empreitada THE EDEN, Estoril_ R05_03-11-25.pdf</x:v>
      </x:c>
      <x:c r="O455" t="n">
        <x:v>12</x:v>
      </x:c>
      <x:c r="P455" t="str">
        <x:v>Válida</x:v>
      </x:c>
    </x:row>
    <x:row r="456">
      <x:c r="A456" s="48" t="n">
        <x:v>45959</x:v>
      </x:c>
      <x:c r="B456" t="n">
        <x:v>4</x:v>
      </x:c>
      <x:c r="C456" t="str">
        <x:v>I1</x:v>
      </x:c>
      <x:c r="D456" t="n">
        <x:v>4</x:v>
      </x:c>
      <x:c r="E456" s="50" t="n">
        <x:v>23</x:v>
      </x:c>
      <x:c r="F456" s="50" t="n">
        <x:v>-46.09</x:v>
      </x:c>
      <x:c r="G456" s="50" t="n">
        <x:v>48.94</x:v>
      </x:c>
      <x:c r="H456" s="50" t="n">
        <x:v>-7.01</x:v>
      </x:c>
      <x:c r="I456" s="50" t="n">
        <x:v>1.55</x:v>
      </x:c>
      <x:c r="J456" s="50" t="n">
        <x:v>-0.57</x:v>
      </x:c>
      <x:c r="K456" s="50" t="n">
        <x:v>0.37</x:v>
      </x:c>
      <x:c r="L456" s="50" t="n">
        <x:v>0.68</x:v>
      </x:c>
      <x:c r="M456" s="50" t="n">
        <x:v>0.02</x:v>
      </x:c>
      <x:c r="N456" t="str">
        <x:v>RELATÓRIO LEITURAS INCLINOMÉTRICAS - Empreitada THE EDEN, Estoril_ R05_03-11-25.pdf</x:v>
      </x:c>
      <x:c r="O456" t="n">
        <x:v>12</x:v>
      </x:c>
      <x:c r="P456" t="str">
        <x:v>Válida</x:v>
      </x:c>
    </x:row>
    <x:row r="457">
      <x:c r="A457" s="48" t="n">
        <x:v>45959</x:v>
      </x:c>
      <x:c r="B457" t="n">
        <x:v>4</x:v>
      </x:c>
      <x:c r="C457" t="str">
        <x:v>I1</x:v>
      </x:c>
      <x:c r="D457" t="n">
        <x:v>4</x:v>
      </x:c>
      <x:c r="E457" s="50" t="n">
        <x:v>23.5</x:v>
      </x:c>
      <x:c r="F457" s="50" t="n">
        <x:v>-63.49</x:v>
      </x:c>
      <x:c r="G457" s="50" t="n">
        <x:v>68.87</x:v>
      </x:c>
      <x:c r="H457" s="50" t="n">
        <x:v>20.11</x:v>
      </x:c>
      <x:c r="I457" s="50" t="n">
        <x:v>-23.97</x:v>
      </x:c>
      <x:c r="J457" s="50" t="n">
        <x:v>-0.55</x:v>
      </x:c>
      <x:c r="K457" s="50" t="n">
        <x:v>0.26</x:v>
      </x:c>
      <x:c r="L457" s="50" t="n">
        <x:v>0.61</x:v>
      </x:c>
      <x:c r="M457" s="50" t="n">
        <x:v>0.03</x:v>
      </x:c>
      <x:c r="N457" t="str">
        <x:v>RELATÓRIO LEITURAS INCLINOMÉTRICAS - Empreitada THE EDEN, Estoril_ R05_03-11-25.pdf</x:v>
      </x:c>
      <x:c r="O457" t="n">
        <x:v>12</x:v>
      </x:c>
      <x:c r="P457" t="str">
        <x:v>Válida</x:v>
      </x:c>
    </x:row>
    <x:row r="458">
      <x:c r="A458" s="48" t="n">
        <x:v>45959</x:v>
      </x:c>
      <x:c r="B458" t="n">
        <x:v>4</x:v>
      </x:c>
      <x:c r="C458" t="str">
        <x:v>I1</x:v>
      </x:c>
      <x:c r="D458" t="n">
        <x:v>4</x:v>
      </x:c>
      <x:c r="E458" s="50" t="n">
        <x:v>24</x:v>
      </x:c>
      <x:c r="F458" s="50" t="n">
        <x:v>-88.14</x:v>
      </x:c>
      <x:c r="G458" s="50" t="n">
        <x:v>93.27</x:v>
      </x:c>
      <x:c r="H458" s="50" t="n">
        <x:v>20.17</x:v>
      </x:c>
      <x:c r="I458" s="50" t="n">
        <x:v>-24.79</x:v>
      </x:c>
      <x:c r="J458" s="50" t="n">
        <x:v>-0.51</x:v>
      </x:c>
      <x:c r="K458" s="50" t="n">
        <x:v>0.27</x:v>
      </x:c>
      <x:c r="L458" s="50" t="n">
        <x:v>0.58</x:v>
      </x:c>
      <x:c r="M458" s="50" t="n">
        <x:v>0.06</x:v>
      </x:c>
      <x:c r="N458" t="str">
        <x:v>RELATÓRIO LEITURAS INCLINOMÉTRICAS - Empreitada THE EDEN, Estoril_ R05_03-11-25.pdf</x:v>
      </x:c>
      <x:c r="O458" t="n">
        <x:v>12</x:v>
      </x:c>
      <x:c r="P458" t="str">
        <x:v>Válida</x:v>
      </x:c>
    </x:row>
    <x:row r="459">
      <x:c r="A459" s="48" t="n">
        <x:v>45959</x:v>
      </x:c>
      <x:c r="B459" t="n">
        <x:v>4</x:v>
      </x:c>
      <x:c r="C459" t="str">
        <x:v>I1</x:v>
      </x:c>
      <x:c r="D459" t="n">
        <x:v>4</x:v>
      </x:c>
      <x:c r="E459" s="50" t="n">
        <x:v>24.5</x:v>
      </x:c>
      <x:c r="F459" s="50" t="n">
        <x:v>-119.85</x:v>
      </x:c>
      <x:c r="G459" s="50" t="n">
        <x:v>109.72</x:v>
      </x:c>
      <x:c r="H459" s="50" t="n">
        <x:v>32.48</x:v>
      </x:c>
      <x:c r="I459" s="50" t="n">
        <x:v>-11.91</x:v>
      </x:c>
      <x:c r="J459" s="50" t="n">
        <x:v>-0.51</x:v>
      </x:c>
      <x:c r="K459" s="50" t="n">
        <x:v>0.27</x:v>
      </x:c>
      <x:c r="L459" s="50" t="n">
        <x:v>0.57</x:v>
      </x:c>
      <x:c r="M459" s="50" t="n">
        <x:v>0.13</x:v>
      </x:c>
      <x:c r="N459" t="str">
        <x:v>RELATÓRIO LEITURAS INCLINOMÉTRICAS - Empreitada THE EDEN, Estoril_ R05_03-11-25.pdf</x:v>
      </x:c>
      <x:c r="O459" t="n">
        <x:v>12</x:v>
      </x:c>
      <x:c r="P459" t="str">
        <x:v>Válida</x:v>
      </x:c>
    </x:row>
    <x:row r="460">
      <x:c r="A460" s="48" t="n">
        <x:v>45959</x:v>
      </x:c>
      <x:c r="B460" t="n">
        <x:v>4</x:v>
      </x:c>
      <x:c r="C460" t="str">
        <x:v>I1</x:v>
      </x:c>
      <x:c r="D460" t="n">
        <x:v>4</x:v>
      </x:c>
      <x:c r="E460" s="50" t="n">
        <x:v>25</x:v>
      </x:c>
      <x:c r="F460" s="50" t="n">
        <x:v>-105.04</x:v>
      </x:c>
      <x:c r="G460" s="50" t="n">
        <x:v>117.08</x:v>
      </x:c>
      <x:c r="H460" s="50" t="n">
        <x:v>-28.04</x:v>
      </x:c>
      <x:c r="I460" s="50" t="n">
        <x:v>52.02</x:v>
      </x:c>
      <x:c r="J460" s="50" t="n">
        <x:v>-0.37</x:v>
      </x:c>
      <x:c r="K460" s="50" t="n">
        <x:v>0.53</x:v>
      </x:c>
      <x:c r="L460" s="50" t="n">
        <x:v>0.64</x:v>
      </x:c>
      <x:c r="M460" s="50" t="n">
        <x:v>0.15</x:v>
      </x:c>
      <x:c r="N460" t="str">
        <x:v>RELATÓRIO LEITURAS INCLINOMÉTRICAS - Empreitada THE EDEN, Estoril_ R05_03-11-25.pdf</x:v>
      </x:c>
      <x:c r="O460" t="n">
        <x:v>12</x:v>
      </x:c>
      <x:c r="P460" t="str">
        <x:v>Válida</x:v>
      </x:c>
    </x:row>
    <x:row r="461">
      <x:c r="A461" s="48" t="n">
        <x:v>45959</x:v>
      </x:c>
      <x:c r="B461" t="n">
        <x:v>4</x:v>
      </x:c>
      <x:c r="C461" t="str">
        <x:v>I1</x:v>
      </x:c>
      <x:c r="D461" t="n">
        <x:v>4</x:v>
      </x:c>
      <x:c r="E461" s="50" t="n">
        <x:v>25.5</x:v>
      </x:c>
      <x:c r="F461" s="50" t="n">
        <x:v>-94.19</x:v>
      </x:c>
      <x:c r="G461" s="50" t="n">
        <x:v>99.13</x:v>
      </x:c>
      <x:c r="H461" s="50" t="n">
        <x:v>-40.65</x:v>
      </x:c>
      <x:c r="I461" s="50" t="n">
        <x:v>52.35</x:v>
      </x:c>
      <x:c r="J461" s="50" t="n">
        <x:v>-0.38</x:v>
      </x:c>
      <x:c r="K461" s="50" t="n">
        <x:v>0.47</x:v>
      </x:c>
      <x:c r="L461" s="50" t="n">
        <x:v>0.6</x:v>
      </x:c>
      <x:c r="M461" s="50" t="n">
        <x:v>0.13</x:v>
      </x:c>
      <x:c r="N461" t="str">
        <x:v>RELATÓRIO LEITURAS INCLINOMÉTRICAS - Empreitada THE EDEN, Estoril_ R05_03-11-25.pdf</x:v>
      </x:c>
      <x:c r="O461" t="n">
        <x:v>12</x:v>
      </x:c>
      <x:c r="P461" t="str">
        <x:v>Válida</x:v>
      </x:c>
    </x:row>
    <x:row r="462">
      <x:c r="A462" s="48" t="n">
        <x:v>45959</x:v>
      </x:c>
      <x:c r="B462" t="n">
        <x:v>4</x:v>
      </x:c>
      <x:c r="C462" t="str">
        <x:v>I1</x:v>
      </x:c>
      <x:c r="D462" t="n">
        <x:v>4</x:v>
      </x:c>
      <x:c r="E462" s="50" t="n">
        <x:v>26</x:v>
      </x:c>
      <x:c r="F462" s="50" t="n">
        <x:v>-61.15</x:v>
      </x:c>
      <x:c r="G462" s="50" t="n">
        <x:v>67.77</x:v>
      </x:c>
      <x:c r="H462" s="50" t="n">
        <x:v>-27.06</x:v>
      </x:c>
      <x:c r="I462" s="50" t="n">
        <x:v>27.2</x:v>
      </x:c>
      <x:c r="J462" s="50" t="n">
        <x:v>-0.45</x:v>
      </x:c>
      <x:c r="K462" s="50" t="n">
        <x:v>0.18</x:v>
      </x:c>
      <x:c r="L462" s="50" t="n">
        <x:v>0.48</x:v>
      </x:c>
      <x:c r="M462" s="50" t="n">
        <x:v>0.07</x:v>
      </x:c>
      <x:c r="N462" t="str">
        <x:v>RELATÓRIO LEITURAS INCLINOMÉTRICAS - Empreitada THE EDEN, Estoril_ R05_03-11-25.pdf</x:v>
      </x:c>
      <x:c r="O462" t="n">
        <x:v>12</x:v>
      </x:c>
      <x:c r="P462" t="str">
        <x:v>Válida</x:v>
      </x:c>
    </x:row>
    <x:row r="463">
      <x:c r="A463" s="48" t="n">
        <x:v>45959</x:v>
      </x:c>
      <x:c r="B463" t="n">
        <x:v>4</x:v>
      </x:c>
      <x:c r="C463" t="str">
        <x:v>I1</x:v>
      </x:c>
      <x:c r="D463" t="n">
        <x:v>4</x:v>
      </x:c>
      <x:c r="E463" s="50" t="n">
        <x:v>26.5</x:v>
      </x:c>
      <x:c r="F463" s="50" t="n">
        <x:v>-22.14</x:v>
      </x:c>
      <x:c r="G463" s="50" t="n">
        <x:v>28.18</x:v>
      </x:c>
      <x:c r="H463" s="50" t="n">
        <x:v>8.66</x:v>
      </x:c>
      <x:c r="I463" s="50" t="n">
        <x:v>-5.43</x:v>
      </x:c>
      <x:c r="J463" s="50" t="n">
        <x:v>-0.51</x:v>
      </x:c>
      <x:c r="K463" s="50" t="n">
        <x:v>0.18</x:v>
      </x:c>
      <x:c r="L463" s="50" t="n">
        <x:v>0.54</x:v>
      </x:c>
      <x:c r="M463" s="50" t="n">
        <x:v>0.1</x:v>
      </x:c>
      <x:c r="N463" t="str">
        <x:v>RELATÓRIO LEITURAS INCLINOMÉTRICAS - Empreitada THE EDEN, Estoril_ R05_03-11-25.pdf</x:v>
      </x:c>
      <x:c r="O463" t="n">
        <x:v>12</x:v>
      </x:c>
      <x:c r="P463" t="str">
        <x:v>Válida</x:v>
      </x:c>
    </x:row>
    <x:row r="464">
      <x:c r="A464" s="48" t="n">
        <x:v>45959</x:v>
      </x:c>
      <x:c r="B464" t="n">
        <x:v>4</x:v>
      </x:c>
      <x:c r="C464" t="str">
        <x:v>I1</x:v>
      </x:c>
      <x:c r="D464" t="n">
        <x:v>4</x:v>
      </x:c>
      <x:c r="E464" s="50" t="n">
        <x:v>27</x:v>
      </x:c>
      <x:c r="F464" s="50" t="n">
        <x:v>32.7</x:v>
      </x:c>
      <x:c r="G464" s="50" t="n">
        <x:v>-27.16</x:v>
      </x:c>
      <x:c r="H464" s="50" t="n">
        <x:v>74.89</x:v>
      </x:c>
      <x:c r="I464" s="50" t="n">
        <x:v>-31.67</x:v>
      </x:c>
      <x:c r="J464" s="50" t="n">
        <x:v>-0.35</x:v>
      </x:c>
      <x:c r="K464" s="50" t="n">
        <x:v>0.12</x:v>
      </x:c>
      <x:c r="L464" s="50" t="n">
        <x:v>0.37</x:v>
      </x:c>
      <x:c r="M464" s="50" t="n">
        <x:v>0.05</x:v>
      </x:c>
      <x:c r="N464" t="str">
        <x:v>RELATÓRIO LEITURAS INCLINOMÉTRICAS - Empreitada THE EDEN, Estoril_ R05_03-11-25.pdf</x:v>
      </x:c>
      <x:c r="O464" t="n">
        <x:v>12</x:v>
      </x:c>
      <x:c r="P464" t="str">
        <x:v>Válida</x:v>
      </x:c>
    </x:row>
    <x:row r="465">
      <x:c r="A465" s="48" t="n">
        <x:v>45959</x:v>
      </x:c>
      <x:c r="B465" t="n">
        <x:v>4</x:v>
      </x:c>
      <x:c r="C465" t="str">
        <x:v>I2</x:v>
      </x:c>
      <x:c r="D465" t="n">
        <x:v>4</x:v>
      </x:c>
      <x:c r="E465" s="50" t="n">
        <x:v>0.5</x:v>
      </x:c>
      <x:c r="F465" s="50" t="n">
        <x:v>-391.92</x:v>
      </x:c>
      <x:c r="G465" s="50" t="n">
        <x:v>384.19</x:v>
      </x:c>
      <x:c r="H465" s="50" t="n">
        <x:v>-96.61</x:v>
      </x:c>
      <x:c r="I465" s="50" t="n">
        <x:v>156.07</x:v>
      </x:c>
      <x:c r="J465" s="50" t="n">
        <x:v>0.06</x:v>
      </x:c>
      <x:c r="K465" s="50" t="n">
        <x:v>-3.64</x:v>
      </x:c>
      <x:c r="L465" s="50" t="n">
        <x:v>3.64</x:v>
      </x:c>
      <x:c r="M465" s="50" t="n">
        <x:v>1.73</x:v>
      </x:c>
      <x:c r="N465" t="str">
        <x:v>RELATÓRIO LEITURAS INCLINOMÉTRICAS - Empreitada THE EDEN, Estoril_ R05_03-11-25.pdf</x:v>
      </x:c>
      <x:c r="O465" t="n">
        <x:v>22</x:v>
      </x:c>
      <x:c r="P465" t="str">
        <x:v>Válida</x:v>
      </x:c>
    </x:row>
    <x:row r="466">
      <x:c r="A466" s="48" t="n">
        <x:v>45959</x:v>
      </x:c>
      <x:c r="B466" t="n">
        <x:v>4</x:v>
      </x:c>
      <x:c r="C466" t="str">
        <x:v>I2</x:v>
      </x:c>
      <x:c r="D466" t="n">
        <x:v>4</x:v>
      </x:c>
      <x:c r="E466" s="50" t="n">
        <x:v>1</x:v>
      </x:c>
      <x:c r="F466" s="50" t="n">
        <x:v>-395.98</x:v>
      </x:c>
      <x:c r="G466" s="50" t="n">
        <x:v>391.87</x:v>
      </x:c>
      <x:c r="H466" s="50" t="n">
        <x:v>-122.68</x:v>
      </x:c>
      <x:c r="I466" s="50" t="n">
        <x:v>129.68</x:v>
      </x:c>
      <x:c r="J466" s="50" t="n">
        <x:v>0.78</x:v>
      </x:c>
      <x:c r="K466" s="50" t="n">
        <x:v>-2.45</x:v>
      </x:c>
      <x:c r="L466" s="50" t="n">
        <x:v>2.57</x:v>
      </x:c>
      <x:c r="M466" s="50" t="n">
        <x:v>1.7</x:v>
      </x:c>
      <x:c r="N466" t="str">
        <x:v>RELATÓRIO LEITURAS INCLINOMÉTRICAS - Empreitada THE EDEN, Estoril_ R05_03-11-25.pdf</x:v>
      </x:c>
      <x:c r="O466" t="n">
        <x:v>22</x:v>
      </x:c>
      <x:c r="P466" t="str">
        <x:v>Válida</x:v>
      </x:c>
    </x:row>
    <x:row r="467">
      <x:c r="A467" s="48" t="n">
        <x:v>45959</x:v>
      </x:c>
      <x:c r="B467" t="n">
        <x:v>4</x:v>
      </x:c>
      <x:c r="C467" t="str">
        <x:v>I2</x:v>
      </x:c>
      <x:c r="D467" t="n">
        <x:v>4</x:v>
      </x:c>
      <x:c r="E467" s="50" t="n">
        <x:v>1.5</x:v>
      </x:c>
      <x:c r="F467" s="50" t="n">
        <x:v>-374.3</x:v>
      </x:c>
      <x:c r="G467" s="50" t="n">
        <x:v>381.9</x:v>
      </x:c>
      <x:c r="H467" s="50" t="n">
        <x:v>-137.77</x:v>
      </x:c>
      <x:c r="I467" s="50" t="n">
        <x:v>147</x:v>
      </x:c>
      <x:c r="J467" s="50" t="n">
        <x:v>1.42</x:v>
      </x:c>
      <x:c r="K467" s="50" t="n">
        <x:v>-1.3</x:v>
      </x:c>
      <x:c r="L467" s="50" t="n">
        <x:v>1.93</x:v>
      </x:c>
      <x:c r="M467" s="50" t="n">
        <x:v>1.38</x:v>
      </x:c>
      <x:c r="N467" t="str">
        <x:v>RELATÓRIO LEITURAS INCLINOMÉTRICAS - Empreitada THE EDEN, Estoril_ R05_03-11-25.pdf</x:v>
      </x:c>
      <x:c r="O467" t="n">
        <x:v>22</x:v>
      </x:c>
      <x:c r="P467" t="str">
        <x:v>Válida</x:v>
      </x:c>
    </x:row>
    <x:row r="468">
      <x:c r="A468" s="48" t="n">
        <x:v>45959</x:v>
      </x:c>
      <x:c r="B468" t="n">
        <x:v>4</x:v>
      </x:c>
      <x:c r="C468" t="str">
        <x:v>I2</x:v>
      </x:c>
      <x:c r="D468" t="n">
        <x:v>4</x:v>
      </x:c>
      <x:c r="E468" s="50" t="n">
        <x:v>2</x:v>
      </x:c>
      <x:c r="F468" s="50" t="n">
        <x:v>-331.31</x:v>
      </x:c>
      <x:c r="G468" s="50" t="n">
        <x:v>341.26</x:v>
      </x:c>
      <x:c r="H468" s="50" t="n">
        <x:v>-208.8</x:v>
      </x:c>
      <x:c r="I468" s="50" t="n">
        <x:v>212.15</x:v>
      </x:c>
      <x:c r="J468" s="50" t="n">
        <x:v>1.56</x:v>
      </x:c>
      <x:c r="K468" s="50" t="n">
        <x:v>-0.86</x:v>
      </x:c>
      <x:c r="L468" s="50" t="n">
        <x:v>1.79</x:v>
      </x:c>
      <x:c r="M468" s="50" t="n">
        <x:v>1.06</x:v>
      </x:c>
      <x:c r="N468" t="str">
        <x:v>RELATÓRIO LEITURAS INCLINOMÉTRICAS - Empreitada THE EDEN, Estoril_ R05_03-11-25.pdf</x:v>
      </x:c>
      <x:c r="O468" t="n">
        <x:v>22</x:v>
      </x:c>
      <x:c r="P468" t="str">
        <x:v>Válida</x:v>
      </x:c>
    </x:row>
    <x:row r="469">
      <x:c r="A469" s="48" t="n">
        <x:v>45959</x:v>
      </x:c>
      <x:c r="B469" t="n">
        <x:v>4</x:v>
      </x:c>
      <x:c r="C469" t="str">
        <x:v>I2</x:v>
      </x:c>
      <x:c r="D469" t="n">
        <x:v>4</x:v>
      </x:c>
      <x:c r="E469" s="50" t="n">
        <x:v>2.5</x:v>
      </x:c>
      <x:c r="F469" s="50" t="n">
        <x:v>-304.69</x:v>
      </x:c>
      <x:c r="G469" s="50" t="n">
        <x:v>313.96</x:v>
      </x:c>
      <x:c r="H469" s="50" t="n">
        <x:v>-189.19</x:v>
      </x:c>
      <x:c r="I469" s="50" t="n">
        <x:v>193.95</x:v>
      </x:c>
      <x:c r="J469" s="50" t="n">
        <x:v>1.63</x:v>
      </x:c>
      <x:c r="K469" s="50" t="n">
        <x:v>-0.79</x:v>
      </x:c>
      <x:c r="L469" s="50" t="n">
        <x:v>1.81</x:v>
      </x:c>
      <x:c r="M469" s="50" t="n">
        <x:v>1.05</x:v>
      </x:c>
      <x:c r="N469" t="str">
        <x:v>RELATÓRIO LEITURAS INCLINOMÉTRICAS - Empreitada THE EDEN, Estoril_ R05_03-11-25.pdf</x:v>
      </x:c>
      <x:c r="O469" t="n">
        <x:v>22</x:v>
      </x:c>
      <x:c r="P469" t="str">
        <x:v>Válida</x:v>
      </x:c>
    </x:row>
    <x:row r="470">
      <x:c r="A470" s="48" t="n">
        <x:v>45959</x:v>
      </x:c>
      <x:c r="B470" t="n">
        <x:v>4</x:v>
      </x:c>
      <x:c r="C470" t="str">
        <x:v>I2</x:v>
      </x:c>
      <x:c r="D470" t="n">
        <x:v>4</x:v>
      </x:c>
      <x:c r="E470" s="50" t="n">
        <x:v>3</x:v>
      </x:c>
      <x:c r="F470" s="50" t="n">
        <x:v>-267.32</x:v>
      </x:c>
      <x:c r="G470" s="50" t="n">
        <x:v>277.21</x:v>
      </x:c>
      <x:c r="H470" s="50" t="n">
        <x:v>-135.42</x:v>
      </x:c>
      <x:c r="I470" s="50" t="n">
        <x:v>147.06</x:v>
      </x:c>
      <x:c r="J470" s="50" t="n">
        <x:v>1.67</x:v>
      </x:c>
      <x:c r="K470" s="50" t="n">
        <x:v>-0.83</x:v>
      </x:c>
      <x:c r="L470" s="50" t="n">
        <x:v>1.87</x:v>
      </x:c>
      <x:c r="M470" s="50" t="n">
        <x:v>1.12</x:v>
      </x:c>
      <x:c r="N470" t="str">
        <x:v>RELATÓRIO LEITURAS INCLINOMÉTRICAS - Empreitada THE EDEN, Estoril_ R05_03-11-25.pdf</x:v>
      </x:c>
      <x:c r="O470" t="n">
        <x:v>22</x:v>
      </x:c>
      <x:c r="P470" t="str">
        <x:v>Válida</x:v>
      </x:c>
    </x:row>
    <x:row r="471">
      <x:c r="A471" s="48" t="n">
        <x:v>45959</x:v>
      </x:c>
      <x:c r="B471" t="n">
        <x:v>4</x:v>
      </x:c>
      <x:c r="C471" t="str">
        <x:v>I2</x:v>
      </x:c>
      <x:c r="D471" t="n">
        <x:v>4</x:v>
      </x:c>
      <x:c r="E471" s="50" t="n">
        <x:v>3.5</x:v>
      </x:c>
      <x:c r="F471" s="50" t="n">
        <x:v>-205.77</x:v>
      </x:c>
      <x:c r="G471" s="50" t="n">
        <x:v>214.88</x:v>
      </x:c>
      <x:c r="H471" s="50" t="n">
        <x:v>-77.86</x:v>
      </x:c>
      <x:c r="I471" s="50" t="n">
        <x:v>77.14</x:v>
      </x:c>
      <x:c r="J471" s="50" t="n">
        <x:v>1.73</x:v>
      </x:c>
      <x:c r="K471" s="50" t="n">
        <x:v>-0.92</x:v>
      </x:c>
      <x:c r="L471" s="50" t="n">
        <x:v>1.96</x:v>
      </x:c>
      <x:c r="M471" s="50" t="n">
        <x:v>1.19</x:v>
      </x:c>
      <x:c r="N471" t="str">
        <x:v>RELATÓRIO LEITURAS INCLINOMÉTRICAS - Empreitada THE EDEN, Estoril_ R05_03-11-25.pdf</x:v>
      </x:c>
      <x:c r="O471" t="n">
        <x:v>22</x:v>
      </x:c>
      <x:c r="P471" t="str">
        <x:v>Válida</x:v>
      </x:c>
    </x:row>
    <x:row r="472">
      <x:c r="A472" s="48" t="n">
        <x:v>45959</x:v>
      </x:c>
      <x:c r="B472" t="n">
        <x:v>4</x:v>
      </x:c>
      <x:c r="C472" t="str">
        <x:v>I2</x:v>
      </x:c>
      <x:c r="D472" t="n">
        <x:v>4</x:v>
      </x:c>
      <x:c r="E472" s="50" t="n">
        <x:v>4</x:v>
      </x:c>
      <x:c r="F472" s="50" t="n">
        <x:v>-148.87</x:v>
      </x:c>
      <x:c r="G472" s="50" t="n">
        <x:v>160.19</x:v>
      </x:c>
      <x:c r="H472" s="50" t="n">
        <x:v>-63.94</x:v>
      </x:c>
      <x:c r="I472" s="50" t="n">
        <x:v>65.4</x:v>
      </x:c>
      <x:c r="J472" s="50" t="n">
        <x:v>1.86</x:v>
      </x:c>
      <x:c r="K472" s="50" t="n">
        <x:v>-0.69</x:v>
      </x:c>
      <x:c r="L472" s="50" t="n">
        <x:v>1.98</x:v>
      </x:c>
      <x:c r="M472" s="50" t="n">
        <x:v>1.06</x:v>
      </x:c>
      <x:c r="N472" t="str">
        <x:v>RELATÓRIO LEITURAS INCLINOMÉTRICAS - Empreitada THE EDEN, Estoril_ R05_03-11-25.pdf</x:v>
      </x:c>
      <x:c r="O472" t="n">
        <x:v>22</x:v>
      </x:c>
      <x:c r="P472" t="str">
        <x:v>Válida</x:v>
      </x:c>
    </x:row>
    <x:row r="473">
      <x:c r="A473" s="48" t="n">
        <x:v>45959</x:v>
      </x:c>
      <x:c r="B473" t="n">
        <x:v>4</x:v>
      </x:c>
      <x:c r="C473" t="str">
        <x:v>I2</x:v>
      </x:c>
      <x:c r="D473" t="n">
        <x:v>4</x:v>
      </x:c>
      <x:c r="E473" s="50" t="n">
        <x:v>4.5</x:v>
      </x:c>
      <x:c r="F473" s="50" t="n">
        <x:v>-101.84</x:v>
      </x:c>
      <x:c r="G473" s="50" t="n">
        <x:v>109.73</x:v>
      </x:c>
      <x:c r="H473" s="50" t="n">
        <x:v>-115.71</x:v>
      </x:c>
      <x:c r="I473" s="50" t="n">
        <x:v>117.47</x:v>
      </x:c>
      <x:c r="J473" s="50" t="n">
        <x:v>1.98</x:v>
      </x:c>
      <x:c r="K473" s="50" t="n">
        <x:v>-0.63</x:v>
      </x:c>
      <x:c r="L473" s="50" t="n">
        <x:v>2.08</x:v>
      </x:c>
      <x:c r="M473" s="50" t="n">
        <x:v>1.15</x:v>
      </x:c>
      <x:c r="N473" t="str">
        <x:v>RELATÓRIO LEITURAS INCLINOMÉTRICAS - Empreitada THE EDEN, Estoril_ R05_03-11-25.pdf</x:v>
      </x:c>
      <x:c r="O473" t="n">
        <x:v>22</x:v>
      </x:c>
      <x:c r="P473" t="str">
        <x:v>Válida</x:v>
      </x:c>
    </x:row>
    <x:row r="474">
      <x:c r="A474" s="48" t="n">
        <x:v>45959</x:v>
      </x:c>
      <x:c r="B474" t="n">
        <x:v>4</x:v>
      </x:c>
      <x:c r="C474" t="str">
        <x:v>I2</x:v>
      </x:c>
      <x:c r="D474" t="n">
        <x:v>4</x:v>
      </x:c>
      <x:c r="E474" s="50" t="n">
        <x:v>5</x:v>
      </x:c>
      <x:c r="F474" s="50" t="n">
        <x:v>-27.71</x:v>
      </x:c>
      <x:c r="G474" s="50" t="n">
        <x:v>35.99</x:v>
      </x:c>
      <x:c r="H474" s="50" t="n">
        <x:v>-151.88</x:v>
      </x:c>
      <x:c r="I474" s="50" t="n">
        <x:v>145.25</x:v>
      </x:c>
      <x:c r="J474" s="50" t="n">
        <x:v>2.08</x:v>
      </x:c>
      <x:c r="K474" s="50" t="n">
        <x:v>-0.63</x:v>
      </x:c>
      <x:c r="L474" s="50" t="n">
        <x:v>2.18</x:v>
      </x:c>
      <x:c r="M474" s="50" t="n">
        <x:v>1.25</x:v>
      </x:c>
      <x:c r="N474" t="str">
        <x:v>RELATÓRIO LEITURAS INCLINOMÉTRICAS - Empreitada THE EDEN, Estoril_ R05_03-11-25.pdf</x:v>
      </x:c>
      <x:c r="O474" t="n">
        <x:v>22</x:v>
      </x:c>
      <x:c r="P474" t="str">
        <x:v>Válida</x:v>
      </x:c>
    </x:row>
    <x:row r="475">
      <x:c r="A475" s="48" t="n">
        <x:v>45959</x:v>
      </x:c>
      <x:c r="B475" t="n">
        <x:v>4</x:v>
      </x:c>
      <x:c r="C475" t="str">
        <x:v>I2</x:v>
      </x:c>
      <x:c r="D475" t="n">
        <x:v>4</x:v>
      </x:c>
      <x:c r="E475" s="50" t="n">
        <x:v>5.5</x:v>
      </x:c>
      <x:c r="F475" s="50" t="n">
        <x:v>38.62</x:v>
      </x:c>
      <x:c r="G475" s="50" t="n">
        <x:v>-28.75</x:v>
      </x:c>
      <x:c r="H475" s="50" t="n">
        <x:v>-152.33</x:v>
      </x:c>
      <x:c r="I475" s="50" t="n">
        <x:v>149.13</x:v>
      </x:c>
      <x:c r="J475" s="50" t="n">
        <x:v>2.27</x:v>
      </x:c>
      <x:c r="K475" s="50" t="n">
        <x:v>-0.54</x:v>
      </x:c>
      <x:c r="L475" s="50" t="n">
        <x:v>2.33</x:v>
      </x:c>
      <x:c r="M475" s="50" t="n">
        <x:v>1.4</x:v>
      </x:c>
      <x:c r="N475" t="str">
        <x:v>RELATÓRIO LEITURAS INCLINOMÉTRICAS - Empreitada THE EDEN, Estoril_ R05_03-11-25.pdf</x:v>
      </x:c>
      <x:c r="O475" t="n">
        <x:v>22</x:v>
      </x:c>
      <x:c r="P475" t="str">
        <x:v>Válida</x:v>
      </x:c>
    </x:row>
    <x:row r="476">
      <x:c r="A476" s="48" t="n">
        <x:v>45959</x:v>
      </x:c>
      <x:c r="B476" t="n">
        <x:v>4</x:v>
      </x:c>
      <x:c r="C476" t="str">
        <x:v>I2</x:v>
      </x:c>
      <x:c r="D476" t="n">
        <x:v>4</x:v>
      </x:c>
      <x:c r="E476" s="50" t="n">
        <x:v>6</x:v>
      </x:c>
      <x:c r="F476" s="50" t="n">
        <x:v>72.56</x:v>
      </x:c>
      <x:c r="G476" s="50" t="n">
        <x:v>-63.44</x:v>
      </x:c>
      <x:c r="H476" s="50" t="n">
        <x:v>-187.55</x:v>
      </x:c>
      <x:c r="I476" s="50" t="n">
        <x:v>194.99</x:v>
      </x:c>
      <x:c r="J476" s="50" t="n">
        <x:v>2.43</x:v>
      </x:c>
      <x:c r="K476" s="50" t="n">
        <x:v>-0.61</x:v>
      </x:c>
      <x:c r="L476" s="50" t="n">
        <x:v>2.5</x:v>
      </x:c>
      <x:c r="M476" s="50" t="n">
        <x:v>1.57</x:v>
      </x:c>
      <x:c r="N476" t="str">
        <x:v>RELATÓRIO LEITURAS INCLINOMÉTRICAS - Empreitada THE EDEN, Estoril_ R05_03-11-25.pdf</x:v>
      </x:c>
      <x:c r="O476" t="n">
        <x:v>22</x:v>
      </x:c>
      <x:c r="P476" t="str">
        <x:v>Válida</x:v>
      </x:c>
    </x:row>
    <x:row r="477">
      <x:c r="A477" s="48" t="n">
        <x:v>45959</x:v>
      </x:c>
      <x:c r="B477" t="n">
        <x:v>4</x:v>
      </x:c>
      <x:c r="C477" t="str">
        <x:v>I2</x:v>
      </x:c>
      <x:c r="D477" t="n">
        <x:v>4</x:v>
      </x:c>
      <x:c r="E477" s="50" t="n">
        <x:v>6.5</x:v>
      </x:c>
      <x:c r="F477" s="50" t="n">
        <x:v>175.66</x:v>
      </x:c>
      <x:c r="G477" s="50" t="n">
        <x:v>-165.9</x:v>
      </x:c>
      <x:c r="H477" s="50" t="n">
        <x:v>-179.85</x:v>
      </x:c>
      <x:c r="I477" s="50" t="n">
        <x:v>182.32</x:v>
      </x:c>
      <x:c r="J477" s="50" t="n">
        <x:v>2.48</x:v>
      </x:c>
      <x:c r="K477" s="50" t="n">
        <x:v>-0.71</x:v>
      </x:c>
      <x:c r="L477" s="50" t="n">
        <x:v>2.58</x:v>
      </x:c>
      <x:c r="M477" s="50" t="n">
        <x:v>1.58</x:v>
      </x:c>
      <x:c r="N477" t="str">
        <x:v>RELATÓRIO LEITURAS INCLINOMÉTRICAS - Empreitada THE EDEN, Estoril_ R05_03-11-25.pdf</x:v>
      </x:c>
      <x:c r="O477" t="n">
        <x:v>22</x:v>
      </x:c>
      <x:c r="P477" t="str">
        <x:v>Válida</x:v>
      </x:c>
    </x:row>
    <x:row r="478">
      <x:c r="A478" s="48" t="n">
        <x:v>45959</x:v>
      </x:c>
      <x:c r="B478" t="n">
        <x:v>4</x:v>
      </x:c>
      <x:c r="C478" t="str">
        <x:v>I2</x:v>
      </x:c>
      <x:c r="D478" t="n">
        <x:v>4</x:v>
      </x:c>
      <x:c r="E478" s="50" t="n">
        <x:v>7</x:v>
      </x:c>
      <x:c r="F478" s="50" t="n">
        <x:v>280.6</x:v>
      </x:c>
      <x:c r="G478" s="50" t="n">
        <x:v>-270.94</x:v>
      </x:c>
      <x:c r="H478" s="50" t="n">
        <x:v>-170.29</x:v>
      </x:c>
      <x:c r="I478" s="50" t="n">
        <x:v>180.24</x:v>
      </x:c>
      <x:c r="J478" s="50" t="n">
        <x:v>2.54</x:v>
      </x:c>
      <x:c r="K478" s="50" t="n">
        <x:v>-0.67</x:v>
      </x:c>
      <x:c r="L478" s="50" t="n">
        <x:v>2.62</x:v>
      </x:c>
      <x:c r="M478" s="50" t="n">
        <x:v>1.67</x:v>
      </x:c>
      <x:c r="N478" t="str">
        <x:v>RELATÓRIO LEITURAS INCLINOMÉTRICAS - Empreitada THE EDEN, Estoril_ R05_03-11-25.pdf</x:v>
      </x:c>
      <x:c r="O478" t="n">
        <x:v>22</x:v>
      </x:c>
      <x:c r="P478" t="str">
        <x:v>Válida</x:v>
      </x:c>
    </x:row>
    <x:row r="479">
      <x:c r="A479" s="48" t="n">
        <x:v>45959</x:v>
      </x:c>
      <x:c r="B479" t="n">
        <x:v>4</x:v>
      </x:c>
      <x:c r="C479" t="str">
        <x:v>I2</x:v>
      </x:c>
      <x:c r="D479" t="n">
        <x:v>4</x:v>
      </x:c>
      <x:c r="E479" s="50" t="n">
        <x:v>7.5</x:v>
      </x:c>
      <x:c r="F479" s="50" t="n">
        <x:v>303.35</x:v>
      </x:c>
      <x:c r="G479" s="50" t="n">
        <x:v>-288.76</x:v>
      </x:c>
      <x:c r="H479" s="50" t="n">
        <x:v>-167.41</x:v>
      </x:c>
      <x:c r="I479" s="50" t="n">
        <x:v>185.99</x:v>
      </x:c>
      <x:c r="J479" s="50" t="n">
        <x:v>2.57</x:v>
      </x:c>
      <x:c r="K479" s="50" t="n">
        <x:v>-0.37</x:v>
      </x:c>
      <x:c r="L479" s="50" t="n">
        <x:v>2.59</x:v>
      </x:c>
      <x:c r="M479" s="50" t="n">
        <x:v>1.59</x:v>
      </x:c>
      <x:c r="N479" t="str">
        <x:v>RELATÓRIO LEITURAS INCLINOMÉTRICAS - Empreitada THE EDEN, Estoril_ R05_03-11-25.pdf</x:v>
      </x:c>
      <x:c r="O479" t="n">
        <x:v>22</x:v>
      </x:c>
      <x:c r="P479" t="str">
        <x:v>Válida</x:v>
      </x:c>
    </x:row>
    <x:row r="480">
      <x:c r="A480" s="48" t="n">
        <x:v>45959</x:v>
      </x:c>
      <x:c r="B480" t="n">
        <x:v>4</x:v>
      </x:c>
      <x:c r="C480" t="str">
        <x:v>I2</x:v>
      </x:c>
      <x:c r="D480" t="n">
        <x:v>4</x:v>
      </x:c>
      <x:c r="E480" s="50" t="n">
        <x:v>8</x:v>
      </x:c>
      <x:c r="F480" s="50" t="n">
        <x:v>268.99</x:v>
      </x:c>
      <x:c r="G480" s="50" t="n">
        <x:v>-266.24</x:v>
      </x:c>
      <x:c r="H480" s="50" t="n">
        <x:v>-71.9</x:v>
      </x:c>
      <x:c r="I480" s="50" t="n">
        <x:v>96.21</x:v>
      </x:c>
      <x:c r="J480" s="50" t="n">
        <x:v>2.68</x:v>
      </x:c>
      <x:c r="K480" s="50" t="n">
        <x:v>-0.69</x:v>
      </x:c>
      <x:c r="L480" s="50" t="n">
        <x:v>2.76</x:v>
      </x:c>
      <x:c r="M480" s="50" t="n">
        <x:v>1.81</x:v>
      </x:c>
      <x:c r="N480" t="str">
        <x:v>RELATÓRIO LEITURAS INCLINOMÉTRICAS - Empreitada THE EDEN, Estoril_ R05_03-11-25.pdf</x:v>
      </x:c>
      <x:c r="O480" t="n">
        <x:v>22</x:v>
      </x:c>
      <x:c r="P480" t="str">
        <x:v>Válida</x:v>
      </x:c>
    </x:row>
    <x:row r="481">
      <x:c r="A481" s="48" t="n">
        <x:v>45959</x:v>
      </x:c>
      <x:c r="B481" t="n">
        <x:v>4</x:v>
      </x:c>
      <x:c r="C481" t="str">
        <x:v>I2</x:v>
      </x:c>
      <x:c r="D481" t="n">
        <x:v>4</x:v>
      </x:c>
      <x:c r="E481" s="50" t="n">
        <x:v>8.5</x:v>
      </x:c>
      <x:c r="F481" s="50" t="n">
        <x:v>333.21</x:v>
      </x:c>
      <x:c r="G481" s="50" t="n">
        <x:v>-322.28</x:v>
      </x:c>
      <x:c r="H481" s="50" t="n">
        <x:v>-7.94</x:v>
      </x:c>
      <x:c r="I481" s="50" t="n">
        <x:v>20.13</x:v>
      </x:c>
      <x:c r="J481" s="50" t="n">
        <x:v>2.75</x:v>
      </x:c>
      <x:c r="K481" s="50" t="n">
        <x:v>-1.01</x:v>
      </x:c>
      <x:c r="L481" s="50" t="n">
        <x:v>2.93</x:v>
      </x:c>
      <x:c r="M481" s="50" t="n">
        <x:v>2.02</x:v>
      </x:c>
      <x:c r="N481" t="str">
        <x:v>RELATÓRIO LEITURAS INCLINOMÉTRICAS - Empreitada THE EDEN, Estoril_ R05_03-11-25.pdf</x:v>
      </x:c>
      <x:c r="O481" t="n">
        <x:v>22</x:v>
      </x:c>
      <x:c r="P481" t="str">
        <x:v>Válida</x:v>
      </x:c>
    </x:row>
    <x:row r="482">
      <x:c r="A482" s="48" t="n">
        <x:v>45959</x:v>
      </x:c>
      <x:c r="B482" t="n">
        <x:v>4</x:v>
      </x:c>
      <x:c r="C482" t="str">
        <x:v>I2</x:v>
      </x:c>
      <x:c r="D482" t="n">
        <x:v>4</x:v>
      </x:c>
      <x:c r="E482" s="50" t="n">
        <x:v>9</x:v>
      </x:c>
      <x:c r="F482" s="50" t="n">
        <x:v>317.38</x:v>
      </x:c>
      <x:c r="G482" s="50" t="n">
        <x:v>-307.63</x:v>
      </x:c>
      <x:c r="H482" s="50" t="n">
        <x:v>51.55</x:v>
      </x:c>
      <x:c r="I482" s="50" t="n">
        <x:v>-29.91</x:v>
      </x:c>
      <x:c r="J482" s="50" t="n">
        <x:v>2.67</x:v>
      </x:c>
      <x:c r="K482" s="50" t="n">
        <x:v>-1.24</x:v>
      </x:c>
      <x:c r="L482" s="50" t="n">
        <x:v>2.95</x:v>
      </x:c>
      <x:c r="M482" s="50" t="n">
        <x:v>2.16</x:v>
      </x:c>
      <x:c r="N482" t="str">
        <x:v>RELATÓRIO LEITURAS INCLINOMÉTRICAS - Empreitada THE EDEN, Estoril_ R05_03-11-25.pdf</x:v>
      </x:c>
      <x:c r="O482" t="n">
        <x:v>22</x:v>
      </x:c>
      <x:c r="P482" t="str">
        <x:v>Válida</x:v>
      </x:c>
    </x:row>
    <x:row r="483">
      <x:c r="A483" s="48" t="n">
        <x:v>45959</x:v>
      </x:c>
      <x:c r="B483" t="n">
        <x:v>4</x:v>
      </x:c>
      <x:c r="C483" t="str">
        <x:v>I2</x:v>
      </x:c>
      <x:c r="D483" t="n">
        <x:v>4</x:v>
      </x:c>
      <x:c r="E483" s="50" t="n">
        <x:v>9.5</x:v>
      </x:c>
      <x:c r="F483" s="50" t="n">
        <x:v>204.21</x:v>
      </x:c>
      <x:c r="G483" s="50" t="n">
        <x:v>-198.99</x:v>
      </x:c>
      <x:c r="H483" s="50" t="n">
        <x:v>109.46</x:v>
      </x:c>
      <x:c r="I483" s="50" t="n">
        <x:v>-86.18</x:v>
      </x:c>
      <x:c r="J483" s="50" t="n">
        <x:v>2.7</x:v>
      </x:c>
      <x:c r="K483" s="50" t="n">
        <x:v>-1.62</x:v>
      </x:c>
      <x:c r="L483" s="50" t="n">
        <x:v>3.15</x:v>
      </x:c>
      <x:c r="M483" s="50" t="n">
        <x:v>2.43</x:v>
      </x:c>
      <x:c r="N483" t="str">
        <x:v>RELATÓRIO LEITURAS INCLINOMÉTRICAS - Empreitada THE EDEN, Estoril_ R05_03-11-25.pdf</x:v>
      </x:c>
      <x:c r="O483" t="n">
        <x:v>22</x:v>
      </x:c>
      <x:c r="P483" t="str">
        <x:v>Válida</x:v>
      </x:c>
    </x:row>
    <x:row r="484">
      <x:c r="A484" s="48" t="n">
        <x:v>45959</x:v>
      </x:c>
      <x:c r="B484" t="n">
        <x:v>4</x:v>
      </x:c>
      <x:c r="C484" t="str">
        <x:v>I2</x:v>
      </x:c>
      <x:c r="D484" t="n">
        <x:v>4</x:v>
      </x:c>
      <x:c r="E484" s="50" t="n">
        <x:v>10</x:v>
      </x:c>
      <x:c r="F484" s="50" t="n">
        <x:v>60.07</x:v>
      </x:c>
      <x:c r="G484" s="50" t="n">
        <x:v>-43.13</x:v>
      </x:c>
      <x:c r="H484" s="50" t="n">
        <x:v>157.31</x:v>
      </x:c>
      <x:c r="I484" s="50" t="n">
        <x:v>-149.62</x:v>
      </x:c>
      <x:c r="J484" s="50" t="n">
        <x:v>2.81</x:v>
      </x:c>
      <x:c r="K484" s="50" t="n">
        <x:v>-2.12</x:v>
      </x:c>
      <x:c r="L484" s="50" t="n">
        <x:v>3.52</x:v>
      </x:c>
      <x:c r="M484" s="50" t="n">
        <x:v>2.77</x:v>
      </x:c>
      <x:c r="N484" t="str">
        <x:v>RELATÓRIO LEITURAS INCLINOMÉTRICAS - Empreitada THE EDEN, Estoril_ R05_03-11-25.pdf</x:v>
      </x:c>
      <x:c r="O484" t="n">
        <x:v>22</x:v>
      </x:c>
      <x:c r="P484" t="str">
        <x:v>Excluir do resumo - calha fora do terreno</x:v>
      </x:c>
    </x:row>
    <x:row r="485">
      <x:c r="A485" s="48" t="n">
        <x:v>45959</x:v>
      </x:c>
      <x:c r="B485" t="n">
        <x:v>4</x:v>
      </x:c>
      <x:c r="C485" t="str">
        <x:v>I2</x:v>
      </x:c>
      <x:c r="D485" t="n">
        <x:v>4</x:v>
      </x:c>
      <x:c r="E485" s="50" t="n">
        <x:v>10.5</x:v>
      </x:c>
      <x:c r="F485" s="50" t="n">
        <x:v>77.55</x:v>
      </x:c>
      <x:c r="G485" s="50" t="n">
        <x:v>-70.18</x:v>
      </x:c>
      <x:c r="H485" s="50" t="n">
        <x:v>78.57</x:v>
      </x:c>
      <x:c r="I485" s="50" t="n">
        <x:v>-76.89</x:v>
      </x:c>
      <x:c r="J485" s="50" t="n">
        <x:v>2.74</x:v>
      </x:c>
      <x:c r="K485" s="50" t="n">
        <x:v>-2.17</x:v>
      </x:c>
      <x:c r="L485" s="50" t="n">
        <x:v>3.5</x:v>
      </x:c>
      <x:c r="M485" s="50" t="n">
        <x:v>2.75</x:v>
      </x:c>
      <x:c r="N485" t="str">
        <x:v>RELATÓRIO LEITURAS INCLINOMÉTRICAS - Empreitada THE EDEN, Estoril_ R05_03-11-25.pdf</x:v>
      </x:c>
      <x:c r="O485" t="n">
        <x:v>22</x:v>
      </x:c>
      <x:c r="P485" t="str">
        <x:v>Excluir do resumo - calha fora do terreno</x:v>
      </x:c>
    </x:row>
    <x:row r="486">
      <x:c r="A486" s="48" t="n">
        <x:v>45959</x:v>
      </x:c>
      <x:c r="B486" t="n">
        <x:v>4</x:v>
      </x:c>
      <x:c r="C486" t="str">
        <x:v>I2</x:v>
      </x:c>
      <x:c r="D486" t="n">
        <x:v>4</x:v>
      </x:c>
      <x:c r="E486" s="50" t="n">
        <x:v>11</x:v>
      </x:c>
      <x:c r="F486" s="50" t="n">
        <x:v>6.96</x:v>
      </x:c>
      <x:c r="G486" s="50" t="n">
        <x:v>3.19</x:v>
      </x:c>
      <x:c r="H486" s="50" t="n">
        <x:v>44.62</x:v>
      </x:c>
      <x:c r="I486" s="50" t="n">
        <x:v>-37.25</x:v>
      </x:c>
      <x:c r="J486" s="50" t="n">
        <x:v>2.68</x:v>
      </x:c>
      <x:c r="K486" s="50" t="n">
        <x:v>-2.19</x:v>
      </x:c>
      <x:c r="L486" s="50" t="n">
        <x:v>3.46</x:v>
      </x:c>
      <x:c r="M486" s="50" t="n">
        <x:v>2.69</x:v>
      </x:c>
      <x:c r="N486" t="str">
        <x:v>RELATÓRIO LEITURAS INCLINOMÉTRICAS - Empreitada THE EDEN, Estoril_ R05_03-11-25.pdf</x:v>
      </x:c>
      <x:c r="O486" t="n">
        <x:v>22</x:v>
      </x:c>
      <x:c r="P486" t="str">
        <x:v>Válida</x:v>
      </x:c>
    </x:row>
    <x:row r="487">
      <x:c r="A487" s="48" t="n">
        <x:v>45959</x:v>
      </x:c>
      <x:c r="B487" t="n">
        <x:v>4</x:v>
      </x:c>
      <x:c r="C487" t="str">
        <x:v>I2</x:v>
      </x:c>
      <x:c r="D487" t="n">
        <x:v>4</x:v>
      </x:c>
      <x:c r="E487" s="50" t="n">
        <x:v>11.5</x:v>
      </x:c>
      <x:c r="F487" s="50" t="n">
        <x:v>-71.08</x:v>
      </x:c>
      <x:c r="G487" s="50" t="n">
        <x:v>76.74</x:v>
      </x:c>
      <x:c r="H487" s="50" t="n">
        <x:v>27.78</x:v>
      </x:c>
      <x:c r="I487" s="50" t="n">
        <x:v>-9.11</x:v>
      </x:c>
      <x:c r="J487" s="50" t="n">
        <x:v>2.52</x:v>
      </x:c>
      <x:c r="K487" s="50" t="n">
        <x:v>-2.16</x:v>
      </x:c>
      <x:c r="L487" s="50" t="n">
        <x:v>3.32</x:v>
      </x:c>
      <x:c r="M487" s="50" t="n">
        <x:v>2.5</x:v>
      </x:c>
      <x:c r="N487" t="str">
        <x:v>RELATÓRIO LEITURAS INCLINOMÉTRICAS - Empreitada THE EDEN, Estoril_ R05_03-11-25.pdf</x:v>
      </x:c>
      <x:c r="O487" t="n">
        <x:v>22</x:v>
      </x:c>
      <x:c r="P487" t="str">
        <x:v>Válida</x:v>
      </x:c>
    </x:row>
    <x:row r="488">
      <x:c r="A488" s="48" t="n">
        <x:v>45959</x:v>
      </x:c>
      <x:c r="B488" t="n">
        <x:v>4</x:v>
      </x:c>
      <x:c r="C488" t="str">
        <x:v>I2</x:v>
      </x:c>
      <x:c r="D488" t="n">
        <x:v>4</x:v>
      </x:c>
      <x:c r="E488" s="50" t="n">
        <x:v>12</x:v>
      </x:c>
      <x:c r="F488" s="50" t="n">
        <x:v>-84.99</x:v>
      </x:c>
      <x:c r="G488" s="50" t="n">
        <x:v>98.28</x:v>
      </x:c>
      <x:c r="H488" s="50" t="n">
        <x:v>20.05</x:v>
      </x:c>
      <x:c r="I488" s="50" t="n">
        <x:v>-5.69</x:v>
      </x:c>
      <x:c r="J488" s="50" t="n">
        <x:v>2.24</x:v>
      </x:c>
      <x:c r="K488" s="50" t="n">
        <x:v>-1.85</x:v>
      </x:c>
      <x:c r="L488" s="50" t="n">
        <x:v>2.91</x:v>
      </x:c>
      <x:c r="M488" s="50" t="n">
        <x:v>2.12</x:v>
      </x:c>
      <x:c r="N488" t="str">
        <x:v>RELATÓRIO LEITURAS INCLINOMÉTRICAS - Empreitada THE EDEN, Estoril_ R05_03-11-25.pdf</x:v>
      </x:c>
      <x:c r="O488" t="n">
        <x:v>22</x:v>
      </x:c>
      <x:c r="P488" t="str">
        <x:v>Válida</x:v>
      </x:c>
    </x:row>
    <x:row r="489">
      <x:c r="A489" s="48" t="n">
        <x:v>45959</x:v>
      </x:c>
      <x:c r="B489" t="n">
        <x:v>4</x:v>
      </x:c>
      <x:c r="C489" t="str">
        <x:v>I2</x:v>
      </x:c>
      <x:c r="D489" t="n">
        <x:v>4</x:v>
      </x:c>
      <x:c r="E489" s="50" t="n">
        <x:v>12.5</x:v>
      </x:c>
      <x:c r="F489" s="50" t="n">
        <x:v>-42.97</x:v>
      </x:c>
      <x:c r="G489" s="50" t="n">
        <x:v>52.89</x:v>
      </x:c>
      <x:c r="H489" s="50" t="n">
        <x:v>33.62</x:v>
      </x:c>
      <x:c r="I489" s="50" t="n">
        <x:v>-17.45</x:v>
      </x:c>
      <x:c r="J489" s="50" t="n">
        <x:v>1.92</x:v>
      </x:c>
      <x:c r="K489" s="50" t="n">
        <x:v>-1.92</x:v>
      </x:c>
      <x:c r="L489" s="50" t="n">
        <x:v>2.72</x:v>
      </x:c>
      <x:c r="M489" s="50" t="n">
        <x:v>1.97</x:v>
      </x:c>
      <x:c r="N489" t="str">
        <x:v>RELATÓRIO LEITURAS INCLINOMÉTRICAS - Empreitada THE EDEN, Estoril_ R05_03-11-25.pdf</x:v>
      </x:c>
      <x:c r="O489" t="n">
        <x:v>22</x:v>
      </x:c>
      <x:c r="P489" t="str">
        <x:v>Válida</x:v>
      </x:c>
    </x:row>
    <x:row r="490">
      <x:c r="A490" s="48" t="n">
        <x:v>45959</x:v>
      </x:c>
      <x:c r="B490" t="n">
        <x:v>4</x:v>
      </x:c>
      <x:c r="C490" t="str">
        <x:v>I2</x:v>
      </x:c>
      <x:c r="D490" t="n">
        <x:v>4</x:v>
      </x:c>
      <x:c r="E490" s="50" t="n">
        <x:v>13</x:v>
      </x:c>
      <x:c r="F490" s="50" t="n">
        <x:v>-96.69</x:v>
      </x:c>
      <x:c r="G490" s="50" t="n">
        <x:v>106.02</x:v>
      </x:c>
      <x:c r="H490" s="50" t="n">
        <x:v>-26.66</x:v>
      </x:c>
      <x:c r="I490" s="50" t="n">
        <x:v>37.77</x:v>
      </x:c>
      <x:c r="J490" s="50" t="n">
        <x:v>1.76</x:v>
      </x:c>
      <x:c r="K490" s="50" t="n">
        <x:v>-1.63</x:v>
      </x:c>
      <x:c r="L490" s="50" t="n">
        <x:v>2.4</x:v>
      </x:c>
      <x:c r="M490" s="50" t="n">
        <x:v>1.66</x:v>
      </x:c>
      <x:c r="N490" t="str">
        <x:v>RELATÓRIO LEITURAS INCLINOMÉTRICAS - Empreitada THE EDEN, Estoril_ R05_03-11-25.pdf</x:v>
      </x:c>
      <x:c r="O490" t="n">
        <x:v>22</x:v>
      </x:c>
      <x:c r="P490" t="str">
        <x:v>Válida</x:v>
      </x:c>
    </x:row>
    <x:row r="491">
      <x:c r="A491" s="48" t="n">
        <x:v>45959</x:v>
      </x:c>
      <x:c r="B491" t="n">
        <x:v>4</x:v>
      </x:c>
      <x:c r="C491" t="str">
        <x:v>I2</x:v>
      </x:c>
      <x:c r="D491" t="n">
        <x:v>4</x:v>
      </x:c>
      <x:c r="E491" s="50" t="n">
        <x:v>13.5</x:v>
      </x:c>
      <x:c r="F491" s="50" t="n">
        <x:v>-262.36</x:v>
      </x:c>
      <x:c r="G491" s="50" t="n">
        <x:v>274.34</x:v>
      </x:c>
      <x:c r="H491" s="50" t="n">
        <x:v>-161.95</x:v>
      </x:c>
      <x:c r="I491" s="50" t="n">
        <x:v>179.13</x:v>
      </x:c>
      <x:c r="J491" s="50" t="n">
        <x:v>1.72</x:v>
      </x:c>
      <x:c r="K491" s="50" t="n">
        <x:v>-1.48</x:v>
      </x:c>
      <x:c r="L491" s="50" t="n">
        <x:v>2.26</x:v>
      </x:c>
      <x:c r="M491" s="50" t="n">
        <x:v>1.52</x:v>
      </x:c>
      <x:c r="N491" t="str">
        <x:v>RELATÓRIO LEITURAS INCLINOMÉTRICAS - Empreitada THE EDEN, Estoril_ R05_03-11-25.pdf</x:v>
      </x:c>
      <x:c r="O491" t="n">
        <x:v>22</x:v>
      </x:c>
      <x:c r="P491" t="str">
        <x:v>Válida</x:v>
      </x:c>
    </x:row>
    <x:row r="492">
      <x:c r="A492" s="48" t="n">
        <x:v>45959</x:v>
      </x:c>
      <x:c r="B492" t="n">
        <x:v>4</x:v>
      </x:c>
      <x:c r="C492" t="str">
        <x:v>I2</x:v>
      </x:c>
      <x:c r="D492" t="n">
        <x:v>4</x:v>
      </x:c>
      <x:c r="E492" s="50" t="n">
        <x:v>14</x:v>
      </x:c>
      <x:c r="F492" s="50" t="n">
        <x:v>-294.48</x:v>
      </x:c>
      <x:c r="G492" s="50" t="n">
        <x:v>303.66</x:v>
      </x:c>
      <x:c r="H492" s="50" t="n">
        <x:v>-300.87</x:v>
      </x:c>
      <x:c r="I492" s="50" t="n">
        <x:v>300.32</x:v>
      </x:c>
      <x:c r="J492" s="50" t="n">
        <x:v>1.7</x:v>
      </x:c>
      <x:c r="K492" s="50" t="n">
        <x:v>-1.24</x:v>
      </x:c>
      <x:c r="L492" s="50" t="n">
        <x:v>2.1</x:v>
      </x:c>
      <x:c r="M492" s="50" t="n">
        <x:v>1.35</x:v>
      </x:c>
      <x:c r="N492" t="str">
        <x:v>RELATÓRIO LEITURAS INCLINOMÉTRICAS - Empreitada THE EDEN, Estoril_ R05_03-11-25.pdf</x:v>
      </x:c>
      <x:c r="O492" t="n">
        <x:v>22</x:v>
      </x:c>
      <x:c r="P492" t="str">
        <x:v>Válida</x:v>
      </x:c>
    </x:row>
    <x:row r="493">
      <x:c r="A493" s="48" t="n">
        <x:v>45959</x:v>
      </x:c>
      <x:c r="B493" t="n">
        <x:v>4</x:v>
      </x:c>
      <x:c r="C493" t="str">
        <x:v>I2</x:v>
      </x:c>
      <x:c r="D493" t="n">
        <x:v>4</x:v>
      </x:c>
      <x:c r="E493" s="50" t="n">
        <x:v>14.5</x:v>
      </x:c>
      <x:c r="F493" s="50" t="n">
        <x:v>-262.41</x:v>
      </x:c>
      <x:c r="G493" s="50" t="n">
        <x:v>272.08</x:v>
      </x:c>
      <x:c r="H493" s="50" t="n">
        <x:v>-254.51</x:v>
      </x:c>
      <x:c r="I493" s="50" t="n">
        <x:v>259.02</x:v>
      </x:c>
      <x:c r="J493" s="50" t="n">
        <x:v>1.67</x:v>
      </x:c>
      <x:c r="K493" s="50" t="n">
        <x:v>-1.16</x:v>
      </x:c>
      <x:c r="L493" s="50" t="n">
        <x:v>2.03</x:v>
      </x:c>
      <x:c r="M493" s="50" t="n">
        <x:v>1.3</x:v>
      </x:c>
      <x:c r="N493" t="str">
        <x:v>RELATÓRIO LEITURAS INCLINOMÉTRICAS - Empreitada THE EDEN, Estoril_ R05_03-11-25.pdf</x:v>
      </x:c>
      <x:c r="O493" t="n">
        <x:v>22</x:v>
      </x:c>
      <x:c r="P493" t="str">
        <x:v>Válida</x:v>
      </x:c>
    </x:row>
    <x:row r="494">
      <x:c r="A494" s="48" t="n">
        <x:v>45959</x:v>
      </x:c>
      <x:c r="B494" t="n">
        <x:v>4</x:v>
      </x:c>
      <x:c r="C494" t="str">
        <x:v>I2</x:v>
      </x:c>
      <x:c r="D494" t="n">
        <x:v>4</x:v>
      </x:c>
      <x:c r="E494" s="50" t="n">
        <x:v>15</x:v>
      </x:c>
      <x:c r="F494" s="50" t="n">
        <x:v>-225.63</x:v>
      </x:c>
      <x:c r="G494" s="50" t="n">
        <x:v>237.44</x:v>
      </x:c>
      <x:c r="H494" s="50" t="n">
        <x:v>-195.84</x:v>
      </x:c>
      <x:c r="I494" s="50" t="n">
        <x:v>194.13</x:v>
      </x:c>
      <x:c r="J494" s="50" t="n">
        <x:v>1.56</x:v>
      </x:c>
      <x:c r="K494" s="50" t="n">
        <x:v>-1.14</x:v>
      </x:c>
      <x:c r="L494" s="50" t="n">
        <x:v>1.93</x:v>
      </x:c>
      <x:c r="M494" s="50" t="n">
        <x:v>1.24</x:v>
      </x:c>
      <x:c r="N494" t="str">
        <x:v>RELATÓRIO LEITURAS INCLINOMÉTRICAS - Empreitada THE EDEN, Estoril_ R05_03-11-25.pdf</x:v>
      </x:c>
      <x:c r="O494" t="n">
        <x:v>22</x:v>
      </x:c>
      <x:c r="P494" t="str">
        <x:v>Válida</x:v>
      </x:c>
    </x:row>
    <x:row r="495">
      <x:c r="A495" s="48" t="n">
        <x:v>45959</x:v>
      </x:c>
      <x:c r="B495" t="n">
        <x:v>4</x:v>
      </x:c>
      <x:c r="C495" t="str">
        <x:v>I2</x:v>
      </x:c>
      <x:c r="D495" t="n">
        <x:v>4</x:v>
      </x:c>
      <x:c r="E495" s="50" t="n">
        <x:v>15.5</x:v>
      </x:c>
      <x:c r="F495" s="50" t="n">
        <x:v>-160.73</x:v>
      </x:c>
      <x:c r="G495" s="50" t="n">
        <x:v>166.45</x:v>
      </x:c>
      <x:c r="H495" s="50" t="n">
        <x:v>-191.95</x:v>
      </x:c>
      <x:c r="I495" s="50" t="n">
        <x:v>180.48</x:v>
      </x:c>
      <x:c r="J495" s="50" t="n">
        <x:v>1.45</x:v>
      </x:c>
      <x:c r="K495" s="50" t="n">
        <x:v>-0.97</x:v>
      </x:c>
      <x:c r="L495" s="50" t="n">
        <x:v>1.75</x:v>
      </x:c>
      <x:c r="M495" s="50" t="n">
        <x:v>1.09</x:v>
      </x:c>
      <x:c r="N495" t="str">
        <x:v>RELATÓRIO LEITURAS INCLINOMÉTRICAS - Empreitada THE EDEN, Estoril_ R05_03-11-25.pdf</x:v>
      </x:c>
      <x:c r="O495" t="n">
        <x:v>22</x:v>
      </x:c>
      <x:c r="P495" t="str">
        <x:v>Válida</x:v>
      </x:c>
    </x:row>
    <x:row r="496">
      <x:c r="A496" s="48" t="n">
        <x:v>45959</x:v>
      </x:c>
      <x:c r="B496" t="n">
        <x:v>4</x:v>
      </x:c>
      <x:c r="C496" t="str">
        <x:v>I2</x:v>
      </x:c>
      <x:c r="D496" t="n">
        <x:v>4</x:v>
      </x:c>
      <x:c r="E496" s="50" t="n">
        <x:v>16</x:v>
      </x:c>
      <x:c r="F496" s="50" t="n">
        <x:v>-74.87</x:v>
      </x:c>
      <x:c r="G496" s="50" t="n">
        <x:v>83.32</x:v>
      </x:c>
      <x:c r="H496" s="50" t="n">
        <x:v>-158.44</x:v>
      </x:c>
      <x:c r="I496" s="50" t="n">
        <x:v>181.23</x:v>
      </x:c>
      <x:c r="J496" s="50" t="n">
        <x:v>1.39</x:v>
      </x:c>
      <x:c r="K496" s="50" t="n">
        <x:v>-0.93</x:v>
      </x:c>
      <x:c r="L496" s="50" t="n">
        <x:v>1.67</x:v>
      </x:c>
      <x:c r="M496" s="50" t="n">
        <x:v>1.02</x:v>
      </x:c>
      <x:c r="N496" t="str">
        <x:v>RELATÓRIO LEITURAS INCLINOMÉTRICAS - Empreitada THE EDEN, Estoril_ R05_03-11-25.pdf</x:v>
      </x:c>
      <x:c r="O496" t="n">
        <x:v>22</x:v>
      </x:c>
      <x:c r="P496" t="str">
        <x:v>Válida</x:v>
      </x:c>
    </x:row>
    <x:row r="497">
      <x:c r="A497" s="48" t="n">
        <x:v>45959</x:v>
      </x:c>
      <x:c r="B497" t="n">
        <x:v>4</x:v>
      </x:c>
      <x:c r="C497" t="str">
        <x:v>I2</x:v>
      </x:c>
      <x:c r="D497" t="n">
        <x:v>4</x:v>
      </x:c>
      <x:c r="E497" s="50" t="n">
        <x:v>16.5</x:v>
      </x:c>
      <x:c r="F497" s="50" t="n">
        <x:v>109.43</x:v>
      </x:c>
      <x:c r="G497" s="50" t="n">
        <x:v>-98.49</x:v>
      </x:c>
      <x:c r="H497" s="50" t="n">
        <x:v>-106.87</x:v>
      </x:c>
      <x:c r="I497" s="50" t="n">
        <x:v>143.72</x:v>
      </x:c>
      <x:c r="J497" s="50" t="n">
        <x:v>1.3</x:v>
      </x:c>
      <x:c r="K497" s="50" t="n">
        <x:v>-0.89</x:v>
      </x:c>
      <x:c r="L497" s="50" t="n">
        <x:v>1.57</x:v>
      </x:c>
      <x:c r="M497" s="50" t="n">
        <x:v>0.96</x:v>
      </x:c>
      <x:c r="N497" t="str">
        <x:v>RELATÓRIO LEITURAS INCLINOMÉTRICAS - Empreitada THE EDEN, Estoril_ R05_03-11-25.pdf</x:v>
      </x:c>
      <x:c r="O497" t="n">
        <x:v>22</x:v>
      </x:c>
      <x:c r="P497" t="str">
        <x:v>Válida</x:v>
      </x:c>
    </x:row>
    <x:row r="498">
      <x:c r="A498" s="48" t="n">
        <x:v>45959</x:v>
      </x:c>
      <x:c r="B498" t="n">
        <x:v>4</x:v>
      </x:c>
      <x:c r="C498" t="str">
        <x:v>I2</x:v>
      </x:c>
      <x:c r="D498" t="n">
        <x:v>4</x:v>
      </x:c>
      <x:c r="E498" s="50" t="n">
        <x:v>17</x:v>
      </x:c>
      <x:c r="F498" s="50" t="n">
        <x:v>270.47</x:v>
      </x:c>
      <x:c r="G498" s="50" t="n">
        <x:v>-261.5</x:v>
      </x:c>
      <x:c r="H498" s="50" t="n">
        <x:v>-58.69</x:v>
      </x:c>
      <x:c r="I498" s="50" t="n">
        <x:v>57.34</x:v>
      </x:c>
      <x:c r="J498" s="50" t="n">
        <x:v>1.18</x:v>
      </x:c>
      <x:c r="K498" s="50" t="n">
        <x:v>-1.27</x:v>
      </x:c>
      <x:c r="L498" s="50" t="n">
        <x:v>1.73</x:v>
      </x:c>
      <x:c r="M498" s="50" t="n">
        <x:v>1.12</x:v>
      </x:c>
      <x:c r="N498" t="str">
        <x:v>RELATÓRIO LEITURAS INCLINOMÉTRICAS - Empreitada THE EDEN, Estoril_ R05_03-11-25.pdf</x:v>
      </x:c>
      <x:c r="O498" t="n">
        <x:v>22</x:v>
      </x:c>
      <x:c r="P498" t="str">
        <x:v>Válida</x:v>
      </x:c>
    </x:row>
    <x:row r="499">
      <x:c r="A499" s="48" t="n">
        <x:v>45959</x:v>
      </x:c>
      <x:c r="B499" t="n">
        <x:v>4</x:v>
      </x:c>
      <x:c r="C499" t="str">
        <x:v>I2</x:v>
      </x:c>
      <x:c r="D499" t="n">
        <x:v>4</x:v>
      </x:c>
      <x:c r="E499" s="50" t="n">
        <x:v>17.5</x:v>
      </x:c>
      <x:c r="F499" s="50" t="n">
        <x:v>323.31</x:v>
      </x:c>
      <x:c r="G499" s="50" t="n">
        <x:v>-317.18</x:v>
      </x:c>
      <x:c r="H499" s="50" t="n">
        <x:v>-60.93</x:v>
      </x:c>
      <x:c r="I499" s="50" t="n">
        <x:v>63.2</x:v>
      </x:c>
      <x:c r="J499" s="50" t="n">
        <x:v>1.08</x:v>
      </x:c>
      <x:c r="K499" s="50" t="n">
        <x:v>-1.02</x:v>
      </x:c>
      <x:c r="L499" s="50" t="n">
        <x:v>1.49</x:v>
      </x:c>
      <x:c r="M499" s="50" t="n">
        <x:v>0.93</x:v>
      </x:c>
      <x:c r="N499" t="str">
        <x:v>RELATÓRIO LEITURAS INCLINOMÉTRICAS - Empreitada THE EDEN, Estoril_ R05_03-11-25.pdf</x:v>
      </x:c>
      <x:c r="O499" t="n">
        <x:v>22</x:v>
      </x:c>
      <x:c r="P499" t="str">
        <x:v>Válida</x:v>
      </x:c>
    </x:row>
    <x:row r="500">
      <x:c r="A500" s="48" t="n">
        <x:v>45959</x:v>
      </x:c>
      <x:c r="B500" t="n">
        <x:v>4</x:v>
      </x:c>
      <x:c r="C500" t="str">
        <x:v>I2</x:v>
      </x:c>
      <x:c r="D500" t="n">
        <x:v>4</x:v>
      </x:c>
      <x:c r="E500" s="50" t="n">
        <x:v>18</x:v>
      </x:c>
      <x:c r="F500" s="50" t="n">
        <x:v>393</x:v>
      </x:c>
      <x:c r="G500" s="50" t="n">
        <x:v>-383.64</x:v>
      </x:c>
      <x:c r="H500" s="50" t="n">
        <x:v>-106.22</x:v>
      </x:c>
      <x:c r="I500" s="50" t="n">
        <x:v>103.23</x:v>
      </x:c>
      <x:c r="J500" s="50" t="n">
        <x:v>1.01</x:v>
      </x:c>
      <x:c r="K500" s="50" t="n">
        <x:v>-0.73</x:v>
      </x:c>
      <x:c r="L500" s="50" t="n">
        <x:v>1.25</x:v>
      </x:c>
      <x:c r="M500" s="50" t="n">
        <x:v>0.69</x:v>
      </x:c>
      <x:c r="N500" t="str">
        <x:v>RELATÓRIO LEITURAS INCLINOMÉTRICAS - Empreitada THE EDEN, Estoril_ R05_03-11-25.pdf</x:v>
      </x:c>
      <x:c r="O500" t="n">
        <x:v>22</x:v>
      </x:c>
      <x:c r="P500" t="str">
        <x:v>Válida</x:v>
      </x:c>
    </x:row>
    <x:row r="501">
      <x:c r="A501" s="48" t="n">
        <x:v>45959</x:v>
      </x:c>
      <x:c r="B501" t="n">
        <x:v>4</x:v>
      </x:c>
      <x:c r="C501" t="str">
        <x:v>I2</x:v>
      </x:c>
      <x:c r="D501" t="n">
        <x:v>4</x:v>
      </x:c>
      <x:c r="E501" s="50" t="n">
        <x:v>18.5</x:v>
      </x:c>
      <x:c r="F501" s="50" t="n">
        <x:v>438.71</x:v>
      </x:c>
      <x:c r="G501" s="50" t="n">
        <x:v>-430.73</x:v>
      </x:c>
      <x:c r="H501" s="50" t="n">
        <x:v>-119.27</x:v>
      </x:c>
      <x:c r="I501" s="50" t="n">
        <x:v>119.58</x:v>
      </x:c>
      <x:c r="J501" s="50" t="n">
        <x:v>0.94</x:v>
      </x:c>
      <x:c r="K501" s="50" t="n">
        <x:v>-0.77</x:v>
      </x:c>
      <x:c r="L501" s="50" t="n">
        <x:v>1.21</x:v>
      </x:c>
      <x:c r="M501" s="50" t="n">
        <x:v>0.68</x:v>
      </x:c>
      <x:c r="N501" t="str">
        <x:v>RELATÓRIO LEITURAS INCLINOMÉTRICAS - Empreitada THE EDEN, Estoril_ R05_03-11-25.pdf</x:v>
      </x:c>
      <x:c r="O501" t="n">
        <x:v>22</x:v>
      </x:c>
      <x:c r="P501" t="str">
        <x:v>Válida</x:v>
      </x:c>
    </x:row>
    <x:row r="502">
      <x:c r="A502" s="48" t="n">
        <x:v>45959</x:v>
      </x:c>
      <x:c r="B502" t="n">
        <x:v>4</x:v>
      </x:c>
      <x:c r="C502" t="str">
        <x:v>I2</x:v>
      </x:c>
      <x:c r="D502" t="n">
        <x:v>4</x:v>
      </x:c>
      <x:c r="E502" s="50" t="n">
        <x:v>19</x:v>
      </x:c>
      <x:c r="F502" s="50" t="n">
        <x:v>446.09</x:v>
      </x:c>
      <x:c r="G502" s="50" t="n">
        <x:v>-438.99</x:v>
      </x:c>
      <x:c r="H502" s="50" t="n">
        <x:v>-113.73</x:v>
      </x:c>
      <x:c r="I502" s="50" t="n">
        <x:v>113.47</x:v>
      </x:c>
      <x:c r="J502" s="50" t="n">
        <x:v>0.92</x:v>
      </x:c>
      <x:c r="K502" s="50" t="n">
        <x:v>-0.84</x:v>
      </x:c>
      <x:c r="L502" s="50" t="n">
        <x:v>1.25</x:v>
      </x:c>
      <x:c r="M502" s="50" t="n">
        <x:v>0.73</x:v>
      </x:c>
      <x:c r="N502" t="str">
        <x:v>RELATÓRIO LEITURAS INCLINOMÉTRICAS - Empreitada THE EDEN, Estoril_ R05_03-11-25.pdf</x:v>
      </x:c>
      <x:c r="O502" t="n">
        <x:v>22</x:v>
      </x:c>
      <x:c r="P502" t="str">
        <x:v>Válida</x:v>
      </x:c>
    </x:row>
    <x:row r="503">
      <x:c r="A503" s="48" t="n">
        <x:v>45959</x:v>
      </x:c>
      <x:c r="B503" t="n">
        <x:v>4</x:v>
      </x:c>
      <x:c r="C503" t="str">
        <x:v>I2</x:v>
      </x:c>
      <x:c r="D503" t="n">
        <x:v>4</x:v>
      </x:c>
      <x:c r="E503" s="50" t="n">
        <x:v>19.5</x:v>
      </x:c>
      <x:c r="F503" s="50" t="n">
        <x:v>329.71</x:v>
      </x:c>
      <x:c r="G503" s="50" t="n">
        <x:v>-320.88</x:v>
      </x:c>
      <x:c r="H503" s="50" t="n">
        <x:v>-43.61</x:v>
      </x:c>
      <x:c r="I503" s="50" t="n">
        <x:v>54.18</x:v>
      </x:c>
      <x:c r="J503" s="50" t="n">
        <x:v>0.85</x:v>
      </x:c>
      <x:c r="K503" s="50" t="n">
        <x:v>-0.7</x:v>
      </x:c>
      <x:c r="L503" s="50" t="n">
        <x:v>1.1</x:v>
      </x:c>
      <x:c r="M503" s="50" t="n">
        <x:v>0.59</x:v>
      </x:c>
      <x:c r="N503" t="str">
        <x:v>RELATÓRIO LEITURAS INCLINOMÉTRICAS - Empreitada THE EDEN, Estoril_ R05_03-11-25.pdf</x:v>
      </x:c>
      <x:c r="O503" t="n">
        <x:v>22</x:v>
      </x:c>
      <x:c r="P503" t="str">
        <x:v>Válida</x:v>
      </x:c>
    </x:row>
    <x:row r="504">
      <x:c r="A504" s="48" t="n">
        <x:v>45959</x:v>
      </x:c>
      <x:c r="B504" t="n">
        <x:v>4</x:v>
      </x:c>
      <x:c r="C504" t="str">
        <x:v>I2</x:v>
      </x:c>
      <x:c r="D504" t="n">
        <x:v>4</x:v>
      </x:c>
      <x:c r="E504" s="50" t="n">
        <x:v>20</x:v>
      </x:c>
      <x:c r="F504" s="50" t="n">
        <x:v>193.04</x:v>
      </x:c>
      <x:c r="G504" s="50" t="n">
        <x:v>-183.53</x:v>
      </x:c>
      <x:c r="H504" s="50" t="n">
        <x:v>-1.19</x:v>
      </x:c>
      <x:c r="I504" s="50" t="n">
        <x:v>13.57</x:v>
      </x:c>
      <x:c r="J504" s="50" t="n">
        <x:v>0.83</x:v>
      </x:c>
      <x:c r="K504" s="50" t="n">
        <x:v>-0.69</x:v>
      </x:c>
      <x:c r="L504" s="50" t="n">
        <x:v>1.07</x:v>
      </x:c>
      <x:c r="M504" s="50" t="n">
        <x:v>0.54</x:v>
      </x:c>
      <x:c r="N504" t="str">
        <x:v>RELATÓRIO LEITURAS INCLINOMÉTRICAS - Empreitada THE EDEN, Estoril_ R05_03-11-25.pdf</x:v>
      </x:c>
      <x:c r="O504" t="n">
        <x:v>22</x:v>
      </x:c>
      <x:c r="P504" t="str">
        <x:v>Válida</x:v>
      </x:c>
    </x:row>
    <x:row r="505">
      <x:c r="A505" s="48" t="n">
        <x:v>45959</x:v>
      </x:c>
      <x:c r="B505" t="n">
        <x:v>4</x:v>
      </x:c>
      <x:c r="C505" t="str">
        <x:v>I2</x:v>
      </x:c>
      <x:c r="D505" t="n">
        <x:v>4</x:v>
      </x:c>
      <x:c r="E505" s="50" t="n">
        <x:v>20.5</x:v>
      </x:c>
      <x:c r="F505" s="50" t="n">
        <x:v>158.25</x:v>
      </x:c>
      <x:c r="G505" s="50" t="n">
        <x:v>-150.31</x:v>
      </x:c>
      <x:c r="H505" s="50" t="n">
        <x:v>-5.38</x:v>
      </x:c>
      <x:c r="I505" s="50" t="n">
        <x:v>22.97</x:v>
      </x:c>
      <x:c r="J505" s="50" t="n">
        <x:v>0.71</x:v>
      </x:c>
      <x:c r="K505" s="50" t="n">
        <x:v>-0.56</x:v>
      </x:c>
      <x:c r="L505" s="50" t="n">
        <x:v>0.9</x:v>
      </x:c>
      <x:c r="M505" s="50" t="n">
        <x:v>0.38</x:v>
      </x:c>
      <x:c r="N505" t="str">
        <x:v>RELATÓRIO LEITURAS INCLINOMÉTRICAS - Empreitada THE EDEN, Estoril_ R05_03-11-25.pdf</x:v>
      </x:c>
      <x:c r="O505" t="n">
        <x:v>22</x:v>
      </x:c>
      <x:c r="P505" t="str">
        <x:v>Válida</x:v>
      </x:c>
    </x:row>
    <x:row r="506">
      <x:c r="A506" s="48" t="n">
        <x:v>45959</x:v>
      </x:c>
      <x:c r="B506" t="n">
        <x:v>4</x:v>
      </x:c>
      <x:c r="C506" t="str">
        <x:v>I2</x:v>
      </x:c>
      <x:c r="D506" t="n">
        <x:v>4</x:v>
      </x:c>
      <x:c r="E506" s="50" t="n">
        <x:v>21</x:v>
      </x:c>
      <x:c r="F506" s="50" t="n">
        <x:v>118.64</x:v>
      </x:c>
      <x:c r="G506" s="50" t="n">
        <x:v>-108.42</x:v>
      </x:c>
      <x:c r="H506" s="50" t="n">
        <x:v>-3.43</x:v>
      </x:c>
      <x:c r="I506" s="50" t="n">
        <x:v>18.81</x:v>
      </x:c>
      <x:c r="J506" s="50" t="n">
        <x:v>0.66</x:v>
      </x:c>
      <x:c r="K506" s="50" t="n">
        <x:v>-0.52</x:v>
      </x:c>
      <x:c r="L506" s="50" t="n">
        <x:v>0.84</x:v>
      </x:c>
      <x:c r="M506" s="50" t="n">
        <x:v>0.32</x:v>
      </x:c>
      <x:c r="N506" t="str">
        <x:v>RELATÓRIO LEITURAS INCLINOMÉTRICAS - Empreitada THE EDEN, Estoril_ R05_03-11-25.pdf</x:v>
      </x:c>
      <x:c r="O506" t="n">
        <x:v>22</x:v>
      </x:c>
      <x:c r="P506" t="str">
        <x:v>Válida</x:v>
      </x:c>
    </x:row>
    <x:row r="507">
      <x:c r="A507" s="48" t="n">
        <x:v>45959</x:v>
      </x:c>
      <x:c r="B507" t="n">
        <x:v>4</x:v>
      </x:c>
      <x:c r="C507" t="str">
        <x:v>I2</x:v>
      </x:c>
      <x:c r="D507" t="n">
        <x:v>4</x:v>
      </x:c>
      <x:c r="E507" s="50" t="n">
        <x:v>21.5</x:v>
      </x:c>
      <x:c r="F507" s="50" t="n">
        <x:v>-10.36</x:v>
      </x:c>
      <x:c r="G507" s="50" t="n">
        <x:v>21.77</x:v>
      </x:c>
      <x:c r="H507" s="50" t="n">
        <x:v>-16.24</x:v>
      </x:c>
      <x:c r="I507" s="50" t="n">
        <x:v>19.41</x:v>
      </x:c>
      <x:c r="J507" s="50" t="n">
        <x:v>0.5</x:v>
      </x:c>
      <x:c r="K507" s="50" t="n">
        <x:v>-0.59</x:v>
      </x:c>
      <x:c r="L507" s="50" t="n">
        <x:v>0.78</x:v>
      </x:c>
      <x:c r="M507" s="50" t="n">
        <x:v>0.48</x:v>
      </x:c>
      <x:c r="N507" t="str">
        <x:v>RELATÓRIO LEITURAS INCLINOMÉTRICAS - Empreitada THE EDEN, Estoril_ R05_03-11-25.pdf</x:v>
      </x:c>
      <x:c r="O507" t="n">
        <x:v>22</x:v>
      </x:c>
      <x:c r="P507" t="str">
        <x:v>Válida</x:v>
      </x:c>
    </x:row>
    <x:row r="508">
      <x:c r="A508" s="48" t="n">
        <x:v>45959</x:v>
      </x:c>
      <x:c r="B508" t="n">
        <x:v>4</x:v>
      </x:c>
      <x:c r="C508" t="str">
        <x:v>I2</x:v>
      </x:c>
      <x:c r="D508" t="n">
        <x:v>4</x:v>
      </x:c>
      <x:c r="E508" s="50" t="n">
        <x:v>22</x:v>
      </x:c>
      <x:c r="F508" s="50" t="n">
        <x:v>-56.85</x:v>
      </x:c>
      <x:c r="G508" s="50" t="n">
        <x:v>65.3</x:v>
      </x:c>
      <x:c r="H508" s="50" t="n">
        <x:v>-8.99</x:v>
      </x:c>
      <x:c r="I508" s="50" t="n">
        <x:v>24.31</x:v>
      </x:c>
      <x:c r="J508" s="50" t="n">
        <x:v>0.48</x:v>
      </x:c>
      <x:c r="K508" s="50" t="n">
        <x:v>-0.33</x:v>
      </x:c>
      <x:c r="L508" s="50" t="n">
        <x:v>0.58</x:v>
      </x:c>
      <x:c r="M508" s="50" t="n">
        <x:v>0.24</x:v>
      </x:c>
      <x:c r="N508" t="str">
        <x:v>RELATÓRIO LEITURAS INCLINOMÉTRICAS - Empreitada THE EDEN, Estoril_ R05_03-11-25.pdf</x:v>
      </x:c>
      <x:c r="O508" t="n">
        <x:v>22</x:v>
      </x:c>
      <x:c r="P508" t="str">
        <x:v>Válida</x:v>
      </x:c>
    </x:row>
    <x:row r="509">
      <x:c r="A509" s="48" t="n">
        <x:v>45959</x:v>
      </x:c>
      <x:c r="B509" t="n">
        <x:v>4</x:v>
      </x:c>
      <x:c r="C509" t="str">
        <x:v>I2</x:v>
      </x:c>
      <x:c r="D509" t="n">
        <x:v>4</x:v>
      </x:c>
      <x:c r="E509" s="50" t="n">
        <x:v>22.5</x:v>
      </x:c>
      <x:c r="F509" s="50" t="n">
        <x:v>-43.77</x:v>
      </x:c>
      <x:c r="G509" s="50" t="n">
        <x:v>54.21</x:v>
      </x:c>
      <x:c r="H509" s="50" t="n">
        <x:v>-105.4</x:v>
      </x:c>
      <x:c r="I509" s="50" t="n">
        <x:v>122.95</x:v>
      </x:c>
      <x:c r="J509" s="50" t="n">
        <x:v>0.45</x:v>
      </x:c>
      <x:c r="K509" s="50" t="n">
        <x:v>-0.27</x:v>
      </x:c>
      <x:c r="L509" s="50" t="n">
        <x:v>0.53</x:v>
      </x:c>
      <x:c r="M509" s="50" t="n">
        <x:v>0.21</x:v>
      </x:c>
      <x:c r="N509" t="str">
        <x:v>RELATÓRIO LEITURAS INCLINOMÉTRICAS - Empreitada THE EDEN, Estoril_ R05_03-11-25.pdf</x:v>
      </x:c>
      <x:c r="O509" t="n">
        <x:v>22</x:v>
      </x:c>
      <x:c r="P509" t="str">
        <x:v>Válida</x:v>
      </x:c>
    </x:row>
    <x:row r="510">
      <x:c r="A510" s="48" t="n">
        <x:v>45959</x:v>
      </x:c>
      <x:c r="B510" t="n">
        <x:v>4</x:v>
      </x:c>
      <x:c r="C510" t="str">
        <x:v>I2</x:v>
      </x:c>
      <x:c r="D510" t="n">
        <x:v>4</x:v>
      </x:c>
      <x:c r="E510" s="50" t="n">
        <x:v>23</x:v>
      </x:c>
      <x:c r="F510" s="50" t="n">
        <x:v>-57.59</x:v>
      </x:c>
      <x:c r="G510" s="50" t="n">
        <x:v>63.33</x:v>
      </x:c>
      <x:c r="H510" s="50" t="n">
        <x:v>-165.54</x:v>
      </x:c>
      <x:c r="I510" s="50" t="n">
        <x:v>163.63</x:v>
      </x:c>
      <x:c r="J510" s="50" t="n">
        <x:v>0.42</x:v>
      </x:c>
      <x:c r="K510" s="50" t="n">
        <x:v>-0.07</x:v>
      </x:c>
      <x:c r="L510" s="50" t="n">
        <x:v>0.43</x:v>
      </x:c>
      <x:c r="M510" s="50" t="n">
        <x:v>0.13</x:v>
      </x:c>
      <x:c r="N510" t="str">
        <x:v>RELATÓRIO LEITURAS INCLINOMÉTRICAS - Empreitada THE EDEN, Estoril_ R05_03-11-25.pdf</x:v>
      </x:c>
      <x:c r="O510" t="n">
        <x:v>22</x:v>
      </x:c>
      <x:c r="P510" t="str">
        <x:v>Válida</x:v>
      </x:c>
    </x:row>
    <x:row r="511">
      <x:c r="A511" s="48" t="n">
        <x:v>45959</x:v>
      </x:c>
      <x:c r="B511" t="n">
        <x:v>4</x:v>
      </x:c>
      <x:c r="C511" t="str">
        <x:v>I2</x:v>
      </x:c>
      <x:c r="D511" t="n">
        <x:v>4</x:v>
      </x:c>
      <x:c r="E511" s="50" t="n">
        <x:v>23.5</x:v>
      </x:c>
      <x:c r="F511" s="50" t="n">
        <x:v>-122.15</x:v>
      </x:c>
      <x:c r="G511" s="50" t="n">
        <x:v>135.06</x:v>
      </x:c>
      <x:c r="H511" s="50" t="n">
        <x:v>-208.59</x:v>
      </x:c>
      <x:c r="I511" s="50" t="n">
        <x:v>212.32</x:v>
      </x:c>
      <x:c r="J511" s="50" t="n">
        <x:v>0.37</x:v>
      </x:c>
      <x:c r="K511" s="50" t="n">
        <x:v>-0.07</x:v>
      </x:c>
      <x:c r="L511" s="50" t="n">
        <x:v>0.38</x:v>
      </x:c>
      <x:c r="M511" s="50" t="n">
        <x:v>0.12</x:v>
      </x:c>
      <x:c r="N511" t="str">
        <x:v>RELATÓRIO LEITURAS INCLINOMÉTRICAS - Empreitada THE EDEN, Estoril_ R05_03-11-25.pdf</x:v>
      </x:c>
      <x:c r="O511" t="n">
        <x:v>22</x:v>
      </x:c>
      <x:c r="P511" t="str">
        <x:v>Válida</x:v>
      </x:c>
    </x:row>
    <x:row r="512">
      <x:c r="A512" s="48" t="n">
        <x:v>45959</x:v>
      </x:c>
      <x:c r="B512" t="n">
        <x:v>4</x:v>
      </x:c>
      <x:c r="C512" t="str">
        <x:v>I2</x:v>
      </x:c>
      <x:c r="D512" t="n">
        <x:v>4</x:v>
      </x:c>
      <x:c r="E512" s="50" t="n">
        <x:v>24</x:v>
      </x:c>
      <x:c r="F512" s="50" t="n">
        <x:v>-156.24</x:v>
      </x:c>
      <x:c r="G512" s="50" t="n">
        <x:v>164.95</x:v>
      </x:c>
      <x:c r="H512" s="50" t="n">
        <x:v>-267.32</x:v>
      </x:c>
      <x:c r="I512" s="50" t="n">
        <x:v>259.29</x:v>
      </x:c>
      <x:c r="J512" s="50" t="n">
        <x:v>0.36</x:v>
      </x:c>
      <x:c r="K512" s="50" t="n">
        <x:v>-0.24</x:v>
      </x:c>
      <x:c r="L512" s="50" t="n">
        <x:v>0.44</x:v>
      </x:c>
      <x:c r="M512" s="50" t="n">
        <x:v>0.21</x:v>
      </x:c>
      <x:c r="N512" t="str">
        <x:v>RELATÓRIO LEITURAS INCLINOMÉTRICAS - Empreitada THE EDEN, Estoril_ R05_03-11-25.pdf</x:v>
      </x:c>
      <x:c r="O512" t="n">
        <x:v>22</x:v>
      </x:c>
      <x:c r="P512" t="str">
        <x:v>Válida</x:v>
      </x:c>
    </x:row>
    <x:row r="513">
      <x:c r="A513" s="48" t="n">
        <x:v>45959</x:v>
      </x:c>
      <x:c r="B513" t="n">
        <x:v>4</x:v>
      </x:c>
      <x:c r="C513" t="str">
        <x:v>I2</x:v>
      </x:c>
      <x:c r="D513" t="n">
        <x:v>4</x:v>
      </x:c>
      <x:c r="E513" s="50" t="n">
        <x:v>24.5</x:v>
      </x:c>
      <x:c r="F513" s="50" t="n">
        <x:v>-52.38</x:v>
      </x:c>
      <x:c r="G513" s="50" t="n">
        <x:v>58.12</x:v>
      </x:c>
      <x:c r="H513" s="50" t="n">
        <x:v>-245.22</x:v>
      </x:c>
      <x:c r="I513" s="50" t="n">
        <x:v>240.71</x:v>
      </x:c>
      <x:c r="J513" s="50" t="n">
        <x:v>0.34</x:v>
      </x:c>
      <x:c r="K513" s="50" t="n">
        <x:v>-0.34</x:v>
      </x:c>
      <x:c r="L513" s="50" t="n">
        <x:v>0.48</x:v>
      </x:c>
      <x:c r="M513" s="50" t="n">
        <x:v>0.27</x:v>
      </x:c>
      <x:c r="N513" t="str">
        <x:v>RELATÓRIO LEITURAS INCLINOMÉTRICAS - Empreitada THE EDEN, Estoril_ R05_03-11-25.pdf</x:v>
      </x:c>
      <x:c r="O513" t="n">
        <x:v>22</x:v>
      </x:c>
      <x:c r="P513" t="str">
        <x:v>Válida</x:v>
      </x:c>
    </x:row>
    <x:row r="514">
      <x:c r="A514" s="48" t="n">
        <x:v>45959</x:v>
      </x:c>
      <x:c r="B514" t="n">
        <x:v>4</x:v>
      </x:c>
      <x:c r="C514" t="str">
        <x:v>I2</x:v>
      </x:c>
      <x:c r="D514" t="n">
        <x:v>4</x:v>
      </x:c>
      <x:c r="E514" s="50" t="n">
        <x:v>25</x:v>
      </x:c>
      <x:c r="F514" s="50" t="n">
        <x:v>43.86</x:v>
      </x:c>
      <x:c r="G514" s="50" t="n">
        <x:v>-34.91</x:v>
      </x:c>
      <x:c r="H514" s="50" t="n">
        <x:v>-225.28</x:v>
      </x:c>
      <x:c r="I514" s="50" t="n">
        <x:v>222.26</x:v>
      </x:c>
      <x:c r="J514" s="50" t="n">
        <x:v>0.26</x:v>
      </x:c>
      <x:c r="K514" s="50" t="n">
        <x:v>-0.38</x:v>
      </x:c>
      <x:c r="L514" s="50" t="n">
        <x:v>0.46</x:v>
      </x:c>
      <x:c r="M514" s="50" t="n">
        <x:v>0.3</x:v>
      </x:c>
      <x:c r="N514" t="str">
        <x:v>RELATÓRIO LEITURAS INCLINOMÉTRICAS - Empreitada THE EDEN, Estoril_ R05_03-11-25.pdf</x:v>
      </x:c>
      <x:c r="O514" t="n">
        <x:v>22</x:v>
      </x:c>
      <x:c r="P514" t="str">
        <x:v>Válida</x:v>
      </x:c>
    </x:row>
    <x:row r="515">
      <x:c r="A515" s="48" t="n">
        <x:v>45959</x:v>
      </x:c>
      <x:c r="B515" t="n">
        <x:v>4</x:v>
      </x:c>
      <x:c r="C515" t="str">
        <x:v>I2</x:v>
      </x:c>
      <x:c r="D515" t="n">
        <x:v>4</x:v>
      </x:c>
      <x:c r="E515" s="50" t="n">
        <x:v>25.5</x:v>
      </x:c>
      <x:c r="F515" s="50" t="n">
        <x:v>101.24</x:v>
      </x:c>
      <x:c r="G515" s="50" t="n">
        <x:v>-93.54</x:v>
      </x:c>
      <x:c r="H515" s="50" t="n">
        <x:v>-197.08</x:v>
      </x:c>
      <x:c r="I515" s="50" t="n">
        <x:v>199.13</x:v>
      </x:c>
      <x:c r="J515" s="50" t="n">
        <x:v>0.19</x:v>
      </x:c>
      <x:c r="K515" s="50" t="n">
        <x:v>-0.16</x:v>
      </x:c>
      <x:c r="L515" s="50" t="n">
        <x:v>0.24</x:v>
      </x:c>
      <x:c r="M515" s="50" t="n">
        <x:v>0.15</x:v>
      </x:c>
      <x:c r="N515" t="str">
        <x:v>RELATÓRIO LEITURAS INCLINOMÉTRICAS - Empreitada THE EDEN, Estoril_ R05_03-11-25.pdf</x:v>
      </x:c>
      <x:c r="O515" t="n">
        <x:v>22</x:v>
      </x:c>
      <x:c r="P515" t="str">
        <x:v>Válida</x:v>
      </x:c>
    </x:row>
    <x:row r="516">
      <x:c r="A516" s="48" t="n">
        <x:v>45959</x:v>
      </x:c>
      <x:c r="B516" t="n">
        <x:v>4</x:v>
      </x:c>
      <x:c r="C516" t="str">
        <x:v>I2</x:v>
      </x:c>
      <x:c r="D516" t="n">
        <x:v>4</x:v>
      </x:c>
      <x:c r="E516" s="50" t="n">
        <x:v>26</x:v>
      </x:c>
      <x:c r="F516" s="50" t="n">
        <x:v>147.11</x:v>
      </x:c>
      <x:c r="G516" s="50" t="n">
        <x:v>-136.66</x:v>
      </x:c>
      <x:c r="H516" s="50" t="n">
        <x:v>-227.28</x:v>
      </x:c>
      <x:c r="I516" s="50" t="n">
        <x:v>251.84</x:v>
      </x:c>
      <x:c r="J516" s="50" t="n">
        <x:v>0.15</x:v>
      </x:c>
      <x:c r="K516" s="50" t="n">
        <x:v>0.08</x:v>
      </x:c>
      <x:c r="L516" s="50" t="n">
        <x:v>0.17</x:v>
      </x:c>
      <x:c r="M516" s="50" t="n">
        <x:v>-0.03</x:v>
      </x:c>
      <x:c r="N516" t="str">
        <x:v>RELATÓRIO LEITURAS INCLINOMÉTRICAS - Empreitada THE EDEN, Estoril_ R05_03-11-25.pdf</x:v>
      </x:c>
      <x:c r="O516" t="n">
        <x:v>22</x:v>
      </x:c>
      <x:c r="P516" t="str">
        <x:v>Válida</x:v>
      </x:c>
    </x:row>
    <x:row r="517">
      <x:c r="A517" s="48" t="n">
        <x:v>45959</x:v>
      </x:c>
      <x:c r="B517" t="n">
        <x:v>4</x:v>
      </x:c>
      <x:c r="C517" t="str">
        <x:v>I2</x:v>
      </x:c>
      <x:c r="D517" t="n">
        <x:v>4</x:v>
      </x:c>
      <x:c r="E517" s="50" t="n">
        <x:v>26.5</x:v>
      </x:c>
      <x:c r="F517" s="50" t="n">
        <x:v>151.59</x:v>
      </x:c>
      <x:c r="G517" s="50" t="n">
        <x:v>-141.94</x:v>
      </x:c>
      <x:c r="H517" s="50" t="n">
        <x:v>-245.1</x:v>
      </x:c>
      <x:c r="I517" s="50" t="n">
        <x:v>283.72</x:v>
      </x:c>
      <x:c r="J517" s="50" t="n">
        <x:v>0.1</x:v>
      </x:c>
      <x:c r="K517" s="50" t="n">
        <x:v>0.21</x:v>
      </x:c>
      <x:c r="L517" s="50" t="n">
        <x:v>0.23</x:v>
      </x:c>
      <x:c r="M517" s="50" t="n">
        <x:v>0.12</x:v>
      </x:c>
      <x:c r="N517" t="str">
        <x:v>RELATÓRIO LEITURAS INCLINOMÉTRICAS - Empreitada THE EDEN, Estoril_ R05_03-11-25.pdf</x:v>
      </x:c>
      <x:c r="O517" t="n">
        <x:v>22</x:v>
      </x:c>
      <x:c r="P517" t="str">
        <x:v>Válida</x:v>
      </x:c>
    </x:row>
    <x:row r="518">
      <x:c r="A518" s="48" t="n">
        <x:v>45959</x:v>
      </x:c>
      <x:c r="B518" t="n">
        <x:v>4</x:v>
      </x:c>
      <x:c r="C518" t="str">
        <x:v>I3</x:v>
      </x:c>
      <x:c r="D518" t="n">
        <x:v>3</x:v>
      </x:c>
      <x:c r="E518" s="50" t="n">
        <x:v>0.5</x:v>
      </x:c>
      <x:c r="F518" s="50" t="n">
        <x:v>410.35</x:v>
      </x:c>
      <x:c r="G518" s="50" t="n">
        <x:v>-402.45</x:v>
      </x:c>
      <x:c r="H518" s="50" t="n">
        <x:v>485.87</x:v>
      </x:c>
      <x:c r="I518" s="50" t="n">
        <x:v>-464.9</x:v>
      </x:c>
      <x:c r="J518" s="50" t="n">
        <x:v>0.03</x:v>
      </x:c>
      <x:c r="K518" s="50" t="n">
        <x:v>-2.8</x:v>
      </x:c>
      <x:c r="L518" s="50" t="n">
        <x:v>2.8</x:v>
      </x:c>
      <x:c r="M518" s="50" t="n">
        <x:v>2.54</x:v>
      </x:c>
      <x:c r="N518" t="str">
        <x:v>RELATÓRIO LEITURAS INCLINOMÉTRICAS - Empreitada THE EDEN, Estoril_ R05_03-11-25.pdf</x:v>
      </x:c>
      <x:c r="O518" t="n">
        <x:v>30</x:v>
      </x:c>
      <x:c r="P518" t="str">
        <x:v>Válida</x:v>
      </x:c>
    </x:row>
    <x:row r="519">
      <x:c r="A519" s="48" t="n">
        <x:v>45959</x:v>
      </x:c>
      <x:c r="B519" t="n">
        <x:v>4</x:v>
      </x:c>
      <x:c r="C519" t="str">
        <x:v>I3</x:v>
      </x:c>
      <x:c r="D519" t="n">
        <x:v>3</x:v>
      </x:c>
      <x:c r="E519" s="50" t="n">
        <x:v>1</x:v>
      </x:c>
      <x:c r="F519" s="50" t="n">
        <x:v>409.69</x:v>
      </x:c>
      <x:c r="G519" s="50" t="n">
        <x:v>-397.61</x:v>
      </x:c>
      <x:c r="H519" s="50" t="n">
        <x:v>480.02</x:v>
      </x:c>
      <x:c r="I519" s="50" t="n">
        <x:v>-474.48</x:v>
      </x:c>
      <x:c r="J519" s="50" t="n">
        <x:v>0.11</x:v>
      </x:c>
      <x:c r="K519" s="50" t="n">
        <x:v>-3.05</x:v>
      </x:c>
      <x:c r="L519" s="50" t="n">
        <x:v>3.05</x:v>
      </x:c>
      <x:c r="M519" s="50" t="n">
        <x:v>3</x:v>
      </x:c>
      <x:c r="N519" t="str">
        <x:v>RELATÓRIO LEITURAS INCLINOMÉTRICAS - Empreitada THE EDEN, Estoril_ R05_03-11-25.pdf</x:v>
      </x:c>
      <x:c r="O519" t="n">
        <x:v>30</x:v>
      </x:c>
      <x:c r="P519" t="str">
        <x:v>Válida</x:v>
      </x:c>
    </x:row>
    <x:row r="520">
      <x:c r="A520" s="48" t="n">
        <x:v>45959</x:v>
      </x:c>
      <x:c r="B520" t="n">
        <x:v>4</x:v>
      </x:c>
      <x:c r="C520" t="str">
        <x:v>I3</x:v>
      </x:c>
      <x:c r="D520" t="n">
        <x:v>3</x:v>
      </x:c>
      <x:c r="E520" s="50" t="n">
        <x:v>1.5</x:v>
      </x:c>
      <x:c r="F520" s="50" t="n">
        <x:v>441.32</x:v>
      </x:c>
      <x:c r="G520" s="50" t="n">
        <x:v>-432.81</x:v>
      </x:c>
      <x:c r="H520" s="50" t="n">
        <x:v>423.37</x:v>
      </x:c>
      <x:c r="I520" s="50" t="n">
        <x:v>-401.5</x:v>
      </x:c>
      <x:c r="J520" s="50" t="n">
        <x:v>0.13</x:v>
      </x:c>
      <x:c r="K520" s="50" t="n">
        <x:v>-3.24</x:v>
      </x:c>
      <x:c r="L520" s="50" t="n">
        <x:v>3.25</x:v>
      </x:c>
      <x:c r="M520" s="50" t="n">
        <x:v>3.06</x:v>
      </x:c>
      <x:c r="N520" t="str">
        <x:v>RELATÓRIO LEITURAS INCLINOMÉTRICAS - Empreitada THE EDEN, Estoril_ R05_03-11-25.pdf</x:v>
      </x:c>
      <x:c r="O520" t="n">
        <x:v>30</x:v>
      </x:c>
      <x:c r="P520" t="str">
        <x:v>Válida</x:v>
      </x:c>
    </x:row>
    <x:row r="521">
      <x:c r="A521" s="48" t="n">
        <x:v>45959</x:v>
      </x:c>
      <x:c r="B521" t="n">
        <x:v>4</x:v>
      </x:c>
      <x:c r="C521" t="str">
        <x:v>I3</x:v>
      </x:c>
      <x:c r="D521" t="n">
        <x:v>3</x:v>
      </x:c>
      <x:c r="E521" s="50" t="n">
        <x:v>2</x:v>
      </x:c>
      <x:c r="F521" s="50" t="n">
        <x:v>498.72</x:v>
      </x:c>
      <x:c r="G521" s="50" t="n">
        <x:v>-492.37</x:v>
      </x:c>
      <x:c r="H521" s="50" t="n">
        <x:v>248.19</x:v>
      </x:c>
      <x:c r="I521" s="50" t="n">
        <x:v>-234.83</x:v>
      </x:c>
      <x:c r="J521" s="50" t="n">
        <x:v>0.17</x:v>
      </x:c>
      <x:c r="K521" s="50" t="n">
        <x:v>-3.18</x:v>
      </x:c>
      <x:c r="L521" s="50" t="n">
        <x:v>3.19</x:v>
      </x:c>
      <x:c r="M521" s="50" t="n">
        <x:v>2.92</x:v>
      </x:c>
      <x:c r="N521" t="str">
        <x:v>RELATÓRIO LEITURAS INCLINOMÉTRICAS - Empreitada THE EDEN, Estoril_ R05_03-11-25.pdf</x:v>
      </x:c>
      <x:c r="O521" t="n">
        <x:v>30</x:v>
      </x:c>
      <x:c r="P521" t="str">
        <x:v>Válida</x:v>
      </x:c>
    </x:row>
    <x:row r="522">
      <x:c r="A522" s="48" t="n">
        <x:v>45959</x:v>
      </x:c>
      <x:c r="B522" t="n">
        <x:v>4</x:v>
      </x:c>
      <x:c r="C522" t="str">
        <x:v>I3</x:v>
      </x:c>
      <x:c r="D522" t="n">
        <x:v>3</x:v>
      </x:c>
      <x:c r="E522" s="50" t="n">
        <x:v>2.5</x:v>
      </x:c>
      <x:c r="F522" s="50" t="n">
        <x:v>452.45</x:v>
      </x:c>
      <x:c r="G522" s="50" t="n">
        <x:v>-445.18</x:v>
      </x:c>
      <x:c r="H522" s="50" t="n">
        <x:v>128.1</x:v>
      </x:c>
      <x:c r="I522" s="50" t="n">
        <x:v>-120.82</x:v>
      </x:c>
      <x:c r="J522" s="50" t="n">
        <x:v>0.25</x:v>
      </x:c>
      <x:c r="K522" s="50" t="n">
        <x:v>-3.14</x:v>
      </x:c>
      <x:c r="L522" s="50" t="n">
        <x:v>3.15</x:v>
      </x:c>
      <x:c r="M522" s="50" t="n">
        <x:v>2.93</x:v>
      </x:c>
      <x:c r="N522" t="str">
        <x:v>RELATÓRIO LEITURAS INCLINOMÉTRICAS - Empreitada THE EDEN, Estoril_ R05_03-11-25.pdf</x:v>
      </x:c>
      <x:c r="O522" t="n">
        <x:v>30</x:v>
      </x:c>
      <x:c r="P522" t="str">
        <x:v>Válida</x:v>
      </x:c>
    </x:row>
    <x:row r="523">
      <x:c r="A523" s="48" t="n">
        <x:v>45959</x:v>
      </x:c>
      <x:c r="B523" t="n">
        <x:v>4</x:v>
      </x:c>
      <x:c r="C523" t="str">
        <x:v>I3</x:v>
      </x:c>
      <x:c r="D523" t="n">
        <x:v>3</x:v>
      </x:c>
      <x:c r="E523" s="50" t="n">
        <x:v>3</x:v>
      </x:c>
      <x:c r="F523" s="50" t="n">
        <x:v>400.96</x:v>
      </x:c>
      <x:c r="G523" s="50" t="n">
        <x:v>-392.25</x:v>
      </x:c>
      <x:c r="H523" s="50" t="n">
        <x:v>1.58</x:v>
      </x:c>
      <x:c r="I523" s="50" t="n">
        <x:v>4.35</x:v>
      </x:c>
      <x:c r="J523" s="50" t="n">
        <x:v>0.32</x:v>
      </x:c>
      <x:c r="K523" s="50" t="n">
        <x:v>-3.16</x:v>
      </x:c>
      <x:c r="L523" s="50" t="n">
        <x:v>3.18</x:v>
      </x:c>
      <x:c r="M523" s="50" t="n">
        <x:v>3.06</x:v>
      </x:c>
      <x:c r="N523" t="str">
        <x:v>RELATÓRIO LEITURAS INCLINOMÉTRICAS - Empreitada THE EDEN, Estoril_ R05_03-11-25.pdf</x:v>
      </x:c>
      <x:c r="O523" t="n">
        <x:v>30</x:v>
      </x:c>
      <x:c r="P523" t="str">
        <x:v>Válida</x:v>
      </x:c>
    </x:row>
    <x:row r="524">
      <x:c r="A524" s="48" t="n">
        <x:v>45959</x:v>
      </x:c>
      <x:c r="B524" t="n">
        <x:v>4</x:v>
      </x:c>
      <x:c r="C524" t="str">
        <x:v>I3</x:v>
      </x:c>
      <x:c r="D524" t="n">
        <x:v>3</x:v>
      </x:c>
      <x:c r="E524" s="50" t="n">
        <x:v>3.5</x:v>
      </x:c>
      <x:c r="F524" s="50" t="n">
        <x:v>359.13</x:v>
      </x:c>
      <x:c r="G524" s="50" t="n">
        <x:v>-352.1</x:v>
      </x:c>
      <x:c r="H524" s="50" t="n">
        <x:v>-88.97</x:v>
      </x:c>
      <x:c r="I524" s="50" t="n">
        <x:v>96.23</x:v>
      </x:c>
      <x:c r="J524" s="50" t="n">
        <x:v>0.4</x:v>
      </x:c>
      <x:c r="K524" s="50" t="n">
        <x:v>-3.07</x:v>
      </x:c>
      <x:c r="L524" s="50" t="n">
        <x:v>3.1</x:v>
      </x:c>
      <x:c r="M524" s="50" t="n">
        <x:v>2.91</x:v>
      </x:c>
      <x:c r="N524" t="str">
        <x:v>RELATÓRIO LEITURAS INCLINOMÉTRICAS - Empreitada THE EDEN, Estoril_ R05_03-11-25.pdf</x:v>
      </x:c>
      <x:c r="O524" t="n">
        <x:v>30</x:v>
      </x:c>
      <x:c r="P524" t="str">
        <x:v>Válida</x:v>
      </x:c>
    </x:row>
    <x:row r="525">
      <x:c r="A525" s="48" t="n">
        <x:v>45959</x:v>
      </x:c>
      <x:c r="B525" t="n">
        <x:v>4</x:v>
      </x:c>
      <x:c r="C525" t="str">
        <x:v>I3</x:v>
      </x:c>
      <x:c r="D525" t="n">
        <x:v>3</x:v>
      </x:c>
      <x:c r="E525" s="50" t="n">
        <x:v>4</x:v>
      </x:c>
      <x:c r="F525" s="50" t="n">
        <x:v>348</x:v>
      </x:c>
      <x:c r="G525" s="50" t="n">
        <x:v>-340.73</x:v>
      </x:c>
      <x:c r="H525" s="50" t="n">
        <x:v>-104.49</x:v>
      </x:c>
      <x:c r="I525" s="50" t="n">
        <x:v>120.45</x:v>
      </x:c>
      <x:c r="J525" s="50" t="n">
        <x:v>0.45</x:v>
      </x:c>
      <x:c r="K525" s="50" t="n">
        <x:v>-3</x:v>
      </x:c>
      <x:c r="L525" s="50" t="n">
        <x:v>3.03</x:v>
      </x:c>
      <x:c r="M525" s="50" t="n">
        <x:v>3</x:v>
      </x:c>
      <x:c r="N525" t="str">
        <x:v>RELATÓRIO LEITURAS INCLINOMÉTRICAS - Empreitada THE EDEN, Estoril_ R05_03-11-25.pdf</x:v>
      </x:c>
      <x:c r="O525" t="n">
        <x:v>30</x:v>
      </x:c>
      <x:c r="P525" t="str">
        <x:v>Válida</x:v>
      </x:c>
    </x:row>
    <x:row r="526">
      <x:c r="A526" s="48" t="n">
        <x:v>45959</x:v>
      </x:c>
      <x:c r="B526" t="n">
        <x:v>4</x:v>
      </x:c>
      <x:c r="C526" t="str">
        <x:v>I3</x:v>
      </x:c>
      <x:c r="D526" t="n">
        <x:v>3</x:v>
      </x:c>
      <x:c r="E526" s="50" t="n">
        <x:v>4.5</x:v>
      </x:c>
      <x:c r="F526" s="50" t="n">
        <x:v>351.5</x:v>
      </x:c>
      <x:c r="G526" s="50" t="n">
        <x:v>-341.23</x:v>
      </x:c>
      <x:c r="H526" s="50" t="n">
        <x:v>-106.84</x:v>
      </x:c>
      <x:c r="I526" s="50" t="n">
        <x:v>116.2</x:v>
      </x:c>
      <x:c r="J526" s="50" t="n">
        <x:v>0.52</x:v>
      </x:c>
      <x:c r="K526" s="50" t="n">
        <x:v>-2.98</x:v>
      </x:c>
      <x:c r="L526" s="50" t="n">
        <x:v>3.03</x:v>
      </x:c>
      <x:c r="M526" s="50" t="n">
        <x:v>2.95</x:v>
      </x:c>
      <x:c r="N526" t="str">
        <x:v>RELATÓRIO LEITURAS INCLINOMÉTRICAS - Empreitada THE EDEN, Estoril_ R05_03-11-25.pdf</x:v>
      </x:c>
      <x:c r="O526" t="n">
        <x:v>30</x:v>
      </x:c>
      <x:c r="P526" t="str">
        <x:v>Válida</x:v>
      </x:c>
    </x:row>
    <x:row r="527">
      <x:c r="A527" s="48" t="n">
        <x:v>45959</x:v>
      </x:c>
      <x:c r="B527" t="n">
        <x:v>4</x:v>
      </x:c>
      <x:c r="C527" t="str">
        <x:v>I3</x:v>
      </x:c>
      <x:c r="D527" t="n">
        <x:v>3</x:v>
      </x:c>
      <x:c r="E527" s="50" t="n">
        <x:v>5</x:v>
      </x:c>
      <x:c r="F527" s="50" t="n">
        <x:v>288.31</x:v>
      </x:c>
      <x:c r="G527" s="50" t="n">
        <x:v>-280.82</x:v>
      </x:c>
      <x:c r="H527" s="50" t="n">
        <x:v>-70.12</x:v>
      </x:c>
      <x:c r="I527" s="50" t="n">
        <x:v>68.19</x:v>
      </x:c>
      <x:c r="J527" s="50" t="n">
        <x:v>0.57</x:v>
      </x:c>
      <x:c r="K527" s="50" t="n">
        <x:v>-2.97</x:v>
      </x:c>
      <x:c r="L527" s="50" t="n">
        <x:v>3.03</x:v>
      </x:c>
      <x:c r="M527" s="50" t="n">
        <x:v>2.92</x:v>
      </x:c>
      <x:c r="N527" t="str">
        <x:v>RELATÓRIO LEITURAS INCLINOMÉTRICAS - Empreitada THE EDEN, Estoril_ R05_03-11-25.pdf</x:v>
      </x:c>
      <x:c r="O527" t="n">
        <x:v>30</x:v>
      </x:c>
      <x:c r="P527" t="str">
        <x:v>Válida</x:v>
      </x:c>
    </x:row>
    <x:row r="528">
      <x:c r="A528" s="48" t="n">
        <x:v>45959</x:v>
      </x:c>
      <x:c r="B528" t="n">
        <x:v>4</x:v>
      </x:c>
      <x:c r="C528" t="str">
        <x:v>I3</x:v>
      </x:c>
      <x:c r="D528" t="n">
        <x:v>3</x:v>
      </x:c>
      <x:c r="E528" s="50" t="n">
        <x:v>5.5</x:v>
      </x:c>
      <x:c r="F528" s="50" t="n">
        <x:v>205.77</x:v>
      </x:c>
      <x:c r="G528" s="50" t="n">
        <x:v>-196.35</x:v>
      </x:c>
      <x:c r="H528" s="50" t="n">
        <x:v>-19.07</x:v>
      </x:c>
      <x:c r="I528" s="50" t="n">
        <x:v>16.14</x:v>
      </x:c>
      <x:c r="J528" s="50" t="n">
        <x:v>0.63</x:v>
      </x:c>
      <x:c r="K528" s="50" t="n">
        <x:v>-2.95</x:v>
      </x:c>
      <x:c r="L528" s="50" t="n">
        <x:v>3.01</x:v>
      </x:c>
      <x:c r="M528" s="50" t="n">
        <x:v>2.85</x:v>
      </x:c>
      <x:c r="N528" t="str">
        <x:v>RELATÓRIO LEITURAS INCLINOMÉTRICAS - Empreitada THE EDEN, Estoril_ R05_03-11-25.pdf</x:v>
      </x:c>
      <x:c r="O528" t="n">
        <x:v>30</x:v>
      </x:c>
      <x:c r="P528" t="str">
        <x:v>Válida</x:v>
      </x:c>
    </x:row>
    <x:row r="529">
      <x:c r="A529" s="48" t="n">
        <x:v>45959</x:v>
      </x:c>
      <x:c r="B529" t="n">
        <x:v>4</x:v>
      </x:c>
      <x:c r="C529" t="str">
        <x:v>I3</x:v>
      </x:c>
      <x:c r="D529" t="n">
        <x:v>3</x:v>
      </x:c>
      <x:c r="E529" s="50" t="n">
        <x:v>6</x:v>
      </x:c>
      <x:c r="F529" s="50" t="n">
        <x:v>170.93</x:v>
      </x:c>
      <x:c r="G529" s="50" t="n">
        <x:v>-162.82</x:v>
      </x:c>
      <x:c r="H529" s="50" t="n">
        <x:v>19.83</x:v>
      </x:c>
      <x:c r="I529" s="50" t="n">
        <x:v>-19.34</x:v>
      </x:c>
      <x:c r="J529" s="50" t="n">
        <x:v>0.68</x:v>
      </x:c>
      <x:c r="K529" s="50" t="n">
        <x:v>-2.74</x:v>
      </x:c>
      <x:c r="L529" s="50" t="n">
        <x:v>2.83</x:v>
      </x:c>
      <x:c r="M529" s="50" t="n">
        <x:v>2.65</x:v>
      </x:c>
      <x:c r="N529" t="str">
        <x:v>RELATÓRIO LEITURAS INCLINOMÉTRICAS - Empreitada THE EDEN, Estoril_ R05_03-11-25.pdf</x:v>
      </x:c>
      <x:c r="O529" t="n">
        <x:v>30</x:v>
      </x:c>
      <x:c r="P529" t="str">
        <x:v>Válida</x:v>
      </x:c>
    </x:row>
    <x:row r="530">
      <x:c r="A530" s="48" t="n">
        <x:v>45959</x:v>
      </x:c>
      <x:c r="B530" t="n">
        <x:v>4</x:v>
      </x:c>
      <x:c r="C530" t="str">
        <x:v>I3</x:v>
      </x:c>
      <x:c r="D530" t="n">
        <x:v>3</x:v>
      </x:c>
      <x:c r="E530" s="50" t="n">
        <x:v>6.5</x:v>
      </x:c>
      <x:c r="F530" s="50" t="n">
        <x:v>174.17</x:v>
      </x:c>
      <x:c r="G530" s="50" t="n">
        <x:v>-165.66</x:v>
      </x:c>
      <x:c r="H530" s="50" t="n">
        <x:v>76.15</x:v>
      </x:c>
      <x:c r="I530" s="50" t="n">
        <x:v>-67.98</x:v>
      </x:c>
      <x:c r="J530" s="50" t="n">
        <x:v>0.73</x:v>
      </x:c>
      <x:c r="K530" s="50" t="n">
        <x:v>-2.83</x:v>
      </x:c>
      <x:c r="L530" s="50" t="n">
        <x:v>2.92</x:v>
      </x:c>
      <x:c r="M530" s="50" t="n">
        <x:v>2.69</x:v>
      </x:c>
      <x:c r="N530" t="str">
        <x:v>RELATÓRIO LEITURAS INCLINOMÉTRICAS - Empreitada THE EDEN, Estoril_ R05_03-11-25.pdf</x:v>
      </x:c>
      <x:c r="O530" t="n">
        <x:v>30</x:v>
      </x:c>
      <x:c r="P530" t="str">
        <x:v>Válida</x:v>
      </x:c>
    </x:row>
    <x:row r="531">
      <x:c r="A531" s="48" t="n">
        <x:v>45959</x:v>
      </x:c>
      <x:c r="B531" t="n">
        <x:v>4</x:v>
      </x:c>
      <x:c r="C531" t="str">
        <x:v>I3</x:v>
      </x:c>
      <x:c r="D531" t="n">
        <x:v>3</x:v>
      </x:c>
      <x:c r="E531" s="50" t="n">
        <x:v>7</x:v>
      </x:c>
      <x:c r="F531" s="50" t="n">
        <x:v>136.76</x:v>
      </x:c>
      <x:c r="G531" s="50" t="n">
        <x:v>-128.93</x:v>
      </x:c>
      <x:c r="H531" s="50" t="n">
        <x:v>135.92</x:v>
      </x:c>
      <x:c r="I531" s="50" t="n">
        <x:v>-131.12</x:v>
      </x:c>
      <x:c r="J531" s="50" t="n">
        <x:v>0.76</x:v>
      </x:c>
      <x:c r="K531" s="50" t="n">
        <x:v>-2.83</x:v>
      </x:c>
      <x:c r="L531" s="50" t="n">
        <x:v>2.93</x:v>
      </x:c>
      <x:c r="M531" s="50" t="n">
        <x:v>2.7</x:v>
      </x:c>
      <x:c r="N531" t="str">
        <x:v>RELATÓRIO LEITURAS INCLINOMÉTRICAS - Empreitada THE EDEN, Estoril_ R05_03-11-25.pdf</x:v>
      </x:c>
      <x:c r="O531" t="n">
        <x:v>30</x:v>
      </x:c>
      <x:c r="P531" t="str">
        <x:v>Válida</x:v>
      </x:c>
    </x:row>
    <x:row r="532">
      <x:c r="A532" s="48" t="n">
        <x:v>45959</x:v>
      </x:c>
      <x:c r="B532" t="n">
        <x:v>4</x:v>
      </x:c>
      <x:c r="C532" t="str">
        <x:v>I3</x:v>
      </x:c>
      <x:c r="D532" t="n">
        <x:v>3</x:v>
      </x:c>
      <x:c r="E532" s="50" t="n">
        <x:v>7.5</x:v>
      </x:c>
      <x:c r="F532" s="50" t="n">
        <x:v>95.52</x:v>
      </x:c>
      <x:c r="G532" s="50" t="n">
        <x:v>-88.64</x:v>
      </x:c>
      <x:c r="H532" s="50" t="n">
        <x:v>208.71</x:v>
      </x:c>
      <x:c r="I532" s="50" t="n">
        <x:v>-199.8</x:v>
      </x:c>
      <x:c r="J532" s="50" t="n">
        <x:v>0.8</x:v>
      </x:c>
      <x:c r="K532" s="50" t="n">
        <x:v>-2.86</x:v>
      </x:c>
      <x:c r="L532" s="50" t="n">
        <x:v>2.97</x:v>
      </x:c>
      <x:c r="M532" s="50" t="n">
        <x:v>2.66</x:v>
      </x:c>
      <x:c r="N532" t="str">
        <x:v>RELATÓRIO LEITURAS INCLINOMÉTRICAS - Empreitada THE EDEN, Estoril_ R05_03-11-25.pdf</x:v>
      </x:c>
      <x:c r="O532" t="n">
        <x:v>30</x:v>
      </x:c>
      <x:c r="P532" t="str">
        <x:v>Válida</x:v>
      </x:c>
    </x:row>
    <x:row r="533">
      <x:c r="A533" s="48" t="n">
        <x:v>45959</x:v>
      </x:c>
      <x:c r="B533" t="n">
        <x:v>4</x:v>
      </x:c>
      <x:c r="C533" t="str">
        <x:v>I3</x:v>
      </x:c>
      <x:c r="D533" t="n">
        <x:v>3</x:v>
      </x:c>
      <x:c r="E533" s="50" t="n">
        <x:v>8</x:v>
      </x:c>
      <x:c r="F533" s="50" t="n">
        <x:v>96.35</x:v>
      </x:c>
      <x:c r="G533" s="50" t="n">
        <x:v>-91.44</x:v>
      </x:c>
      <x:c r="H533" s="50" t="n">
        <x:v>236.62</x:v>
      </x:c>
      <x:c r="I533" s="50" t="n">
        <x:v>-239.3</x:v>
      </x:c>
      <x:c r="J533" s="50" t="n">
        <x:v>0.83</x:v>
      </x:c>
      <x:c r="K533" s="50" t="n">
        <x:v>-2.77</x:v>
      </x:c>
      <x:c r="L533" s="50" t="n">
        <x:v>2.89</x:v>
      </x:c>
      <x:c r="M533" s="50" t="n">
        <x:v>2.51</x:v>
      </x:c>
      <x:c r="N533" t="str">
        <x:v>RELATÓRIO LEITURAS INCLINOMÉTRICAS - Empreitada THE EDEN, Estoril_ R05_03-11-25.pdf</x:v>
      </x:c>
      <x:c r="O533" t="n">
        <x:v>30</x:v>
      </x:c>
      <x:c r="P533" t="str">
        <x:v>Válida</x:v>
      </x:c>
    </x:row>
    <x:row r="534">
      <x:c r="A534" s="48" t="n">
        <x:v>45959</x:v>
      </x:c>
      <x:c r="B534" t="n">
        <x:v>4</x:v>
      </x:c>
      <x:c r="C534" t="str">
        <x:v>I3</x:v>
      </x:c>
      <x:c r="D534" t="n">
        <x:v>3</x:v>
      </x:c>
      <x:c r="E534" s="50" t="n">
        <x:v>8.5</x:v>
      </x:c>
      <x:c r="F534" s="50" t="n">
        <x:v>126.92</x:v>
      </x:c>
      <x:c r="G534" s="50" t="n">
        <x:v>-120.42</x:v>
      </x:c>
      <x:c r="H534" s="50" t="n">
        <x:v>327.82</x:v>
      </x:c>
      <x:c r="I534" s="50" t="n">
        <x:v>-320.67</x:v>
      </x:c>
      <x:c r="J534" s="50" t="n">
        <x:v>0.83</x:v>
      </x:c>
      <x:c r="K534" s="50" t="n">
        <x:v>-2.81</x:v>
      </x:c>
      <x:c r="L534" s="50" t="n">
        <x:v>2.93</x:v>
      </x:c>
      <x:c r="M534" s="50" t="n">
        <x:v>2.23</x:v>
      </x:c>
      <x:c r="N534" t="str">
        <x:v>RELATÓRIO LEITURAS INCLINOMÉTRICAS - Empreitada THE EDEN, Estoril_ R05_03-11-25.pdf</x:v>
      </x:c>
      <x:c r="O534" t="n">
        <x:v>30</x:v>
      </x:c>
      <x:c r="P534" t="str">
        <x:v>Válida</x:v>
      </x:c>
    </x:row>
    <x:row r="535">
      <x:c r="A535" s="48" t="n">
        <x:v>45959</x:v>
      </x:c>
      <x:c r="B535" t="n">
        <x:v>4</x:v>
      </x:c>
      <x:c r="C535" t="str">
        <x:v>I3</x:v>
      </x:c>
      <x:c r="D535" t="n">
        <x:v>3</x:v>
      </x:c>
      <x:c r="E535" s="50" t="n">
        <x:v>9</x:v>
      </x:c>
      <x:c r="F535" s="50" t="n">
        <x:v>178.92</x:v>
      </x:c>
      <x:c r="G535" s="50" t="n">
        <x:v>-169.42</x:v>
      </x:c>
      <x:c r="H535" s="50" t="n">
        <x:v>373.48</x:v>
      </x:c>
      <x:c r="I535" s="50" t="n">
        <x:v>-364.78</x:v>
      </x:c>
      <x:c r="J535" s="50" t="n">
        <x:v>0.82</x:v>
      </x:c>
      <x:c r="K535" s="50" t="n">
        <x:v>-2.52</x:v>
      </x:c>
      <x:c r="L535" s="50" t="n">
        <x:v>2.65</x:v>
      </x:c>
      <x:c r="M535" s="50" t="n">
        <x:v>1.8</x:v>
      </x:c>
      <x:c r="N535" t="str">
        <x:v>RELATÓRIO LEITURAS INCLINOMÉTRICAS - Empreitada THE EDEN, Estoril_ R05_03-11-25.pdf</x:v>
      </x:c>
      <x:c r="O535" t="n">
        <x:v>30</x:v>
      </x:c>
      <x:c r="P535" t="str">
        <x:v>Válida</x:v>
      </x:c>
    </x:row>
    <x:row r="536">
      <x:c r="A536" s="48" t="n">
        <x:v>45959</x:v>
      </x:c>
      <x:c r="B536" t="n">
        <x:v>4</x:v>
      </x:c>
      <x:c r="C536" t="str">
        <x:v>I3</x:v>
      </x:c>
      <x:c r="D536" t="n">
        <x:v>3</x:v>
      </x:c>
      <x:c r="E536" s="50" t="n">
        <x:v>9.5</x:v>
      </x:c>
      <x:c r="F536" s="50" t="n">
        <x:v>160.44</x:v>
      </x:c>
      <x:c r="G536" s="50" t="n">
        <x:v>-158.89</x:v>
      </x:c>
      <x:c r="H536" s="50" t="n">
        <x:v>428.97</x:v>
      </x:c>
      <x:c r="I536" s="50" t="n">
        <x:v>-418.68</x:v>
      </x:c>
      <x:c r="J536" s="50" t="n">
        <x:v>0.81</x:v>
      </x:c>
      <x:c r="K536" s="50" t="n">
        <x:v>-2.39</x:v>
      </x:c>
      <x:c r="L536" s="50" t="n">
        <x:v>2.53</x:v>
      </x:c>
      <x:c r="M536" s="50" t="n">
        <x:v>1.63</x:v>
      </x:c>
      <x:c r="N536" t="str">
        <x:v>RELATÓRIO LEITURAS INCLINOMÉTRICAS - Empreitada THE EDEN, Estoril_ R05_03-11-25.pdf</x:v>
      </x:c>
      <x:c r="O536" t="n">
        <x:v>30</x:v>
      </x:c>
      <x:c r="P536" t="str">
        <x:v>Válida</x:v>
      </x:c>
    </x:row>
    <x:row r="537">
      <x:c r="A537" s="48" t="n">
        <x:v>45959</x:v>
      </x:c>
      <x:c r="B537" t="n">
        <x:v>4</x:v>
      </x:c>
      <x:c r="C537" t="str">
        <x:v>I3</x:v>
      </x:c>
      <x:c r="D537" t="n">
        <x:v>3</x:v>
      </x:c>
      <x:c r="E537" s="50" t="n">
        <x:v>10</x:v>
      </x:c>
      <x:c r="F537" s="50" t="n">
        <x:v>143.51</x:v>
      </x:c>
      <x:c r="G537" s="50" t="n">
        <x:v>-138.91</x:v>
      </x:c>
      <x:c r="H537" s="50" t="n">
        <x:v>447.32</x:v>
      </x:c>
      <x:c r="I537" s="50" t="n">
        <x:v>-433.92</x:v>
      </x:c>
      <x:c r="J537" s="50" t="n">
        <x:v>0.75</x:v>
      </x:c>
      <x:c r="K537" s="50" t="n">
        <x:v>-2.17</x:v>
      </x:c>
      <x:c r="L537" s="50" t="n">
        <x:v>2.3</x:v>
      </x:c>
      <x:c r="M537" s="50" t="n">
        <x:v>1.43</x:v>
      </x:c>
      <x:c r="N537" t="str">
        <x:v>RELATÓRIO LEITURAS INCLINOMÉTRICAS - Empreitada THE EDEN, Estoril_ R05_03-11-25.pdf</x:v>
      </x:c>
      <x:c r="O537" t="n">
        <x:v>30</x:v>
      </x:c>
      <x:c r="P537" t="str">
        <x:v>Válida</x:v>
      </x:c>
    </x:row>
    <x:row r="538">
      <x:c r="A538" s="48" t="n">
        <x:v>45959</x:v>
      </x:c>
      <x:c r="B538" t="n">
        <x:v>4</x:v>
      </x:c>
      <x:c r="C538" t="str">
        <x:v>I3</x:v>
      </x:c>
      <x:c r="D538" t="n">
        <x:v>3</x:v>
      </x:c>
      <x:c r="E538" s="50" t="n">
        <x:v>10.5</x:v>
      </x:c>
      <x:c r="F538" s="50" t="n">
        <x:v>327.4</x:v>
      </x:c>
      <x:c r="G538" s="50" t="n">
        <x:v>-321.11</x:v>
      </x:c>
      <x:c r="H538" s="50" t="n">
        <x:v>462.59</x:v>
      </x:c>
      <x:c r="I538" s="50" t="n">
        <x:v>-452.77</x:v>
      </x:c>
      <x:c r="J538" s="50" t="n">
        <x:v>0.73</x:v>
      </x:c>
      <x:c r="K538" s="50" t="n">
        <x:v>-2.2</x:v>
      </x:c>
      <x:c r="L538" s="50" t="n">
        <x:v>2.32</x:v>
      </x:c>
      <x:c r="M538" s="50" t="n">
        <x:v>1.45</x:v>
      </x:c>
      <x:c r="N538" t="str">
        <x:v>RELATÓRIO LEITURAS INCLINOMÉTRICAS - Empreitada THE EDEN, Estoril_ R05_03-11-25.pdf</x:v>
      </x:c>
      <x:c r="O538" t="n">
        <x:v>30</x:v>
      </x:c>
      <x:c r="P538" t="str">
        <x:v>Válida</x:v>
      </x:c>
    </x:row>
    <x:row r="539">
      <x:c r="A539" s="48" t="n">
        <x:v>45959</x:v>
      </x:c>
      <x:c r="B539" t="n">
        <x:v>4</x:v>
      </x:c>
      <x:c r="C539" t="str">
        <x:v>I3</x:v>
      </x:c>
      <x:c r="D539" t="n">
        <x:v>3</x:v>
      </x:c>
      <x:c r="E539" s="50" t="n">
        <x:v>11</x:v>
      </x:c>
      <x:c r="F539" s="50" t="n">
        <x:v>344.81</x:v>
      </x:c>
      <x:c r="G539" s="50" t="n">
        <x:v>-337.32</x:v>
      </x:c>
      <x:c r="H539" s="50" t="n">
        <x:v>443.46</x:v>
      </x:c>
      <x:c r="I539" s="50" t="n">
        <x:v>-450.84</x:v>
      </x:c>
      <x:c r="J539" s="50" t="n">
        <x:v>0.68</x:v>
      </x:c>
      <x:c r="K539" s="50" t="n">
        <x:v>-2.28</x:v>
      </x:c>
      <x:c r="L539" s="50" t="n">
        <x:v>2.38</x:v>
      </x:c>
      <x:c r="M539" s="50" t="n">
        <x:v>1.04</x:v>
      </x:c>
      <x:c r="N539" t="str">
        <x:v>RELATÓRIO LEITURAS INCLINOMÉTRICAS - Empreitada THE EDEN, Estoril_ R05_03-11-25.pdf</x:v>
      </x:c>
      <x:c r="O539" t="n">
        <x:v>30</x:v>
      </x:c>
      <x:c r="P539" t="str">
        <x:v>Válida</x:v>
      </x:c>
    </x:row>
    <x:row r="540">
      <x:c r="A540" s="48" t="n">
        <x:v>45959</x:v>
      </x:c>
      <x:c r="B540" t="n">
        <x:v>4</x:v>
      </x:c>
      <x:c r="C540" t="str">
        <x:v>I3</x:v>
      </x:c>
      <x:c r="D540" t="n">
        <x:v>3</x:v>
      </x:c>
      <x:c r="E540" s="50" t="n">
        <x:v>11.5</x:v>
      </x:c>
      <x:c r="F540" s="50" t="n">
        <x:v>319</x:v>
      </x:c>
      <x:c r="G540" s="50" t="n">
        <x:v>-306.78</x:v>
      </x:c>
      <x:c r="H540" s="50" t="n">
        <x:v>364.25</x:v>
      </x:c>
      <x:c r="I540" s="50" t="n">
        <x:v>-367.45</x:v>
      </x:c>
      <x:c r="J540" s="50" t="n">
        <x:v>0.66</x:v>
      </x:c>
      <x:c r="K540" s="50" t="n">
        <x:v>-2.42</x:v>
      </x:c>
      <x:c r="L540" s="50" t="n">
        <x:v>2.51</x:v>
      </x:c>
      <x:c r="M540" s="50" t="n">
        <x:v>1.23</x:v>
      </x:c>
      <x:c r="N540" t="str">
        <x:v>RELATÓRIO LEITURAS INCLINOMÉTRICAS - Empreitada THE EDEN, Estoril_ R05_03-11-25.pdf</x:v>
      </x:c>
      <x:c r="O540" t="n">
        <x:v>30</x:v>
      </x:c>
      <x:c r="P540" t="str">
        <x:v>Válida</x:v>
      </x:c>
    </x:row>
    <x:row r="541">
      <x:c r="A541" s="48" t="n">
        <x:v>45959</x:v>
      </x:c>
      <x:c r="B541" t="n">
        <x:v>4</x:v>
      </x:c>
      <x:c r="C541" t="str">
        <x:v>I3</x:v>
      </x:c>
      <x:c r="D541" t="n">
        <x:v>3</x:v>
      </x:c>
      <x:c r="E541" s="50" t="n">
        <x:v>12</x:v>
      </x:c>
      <x:c r="F541" s="50" t="n">
        <x:v>294.47</x:v>
      </x:c>
      <x:c r="G541" s="50" t="n">
        <x:v>-286.87</x:v>
      </x:c>
      <x:c r="H541" s="50" t="n">
        <x:v>293.17</x:v>
      </x:c>
      <x:c r="I541" s="50" t="n">
        <x:v>-270.45</x:v>
      </x:c>
      <x:c r="J541" s="50" t="n">
        <x:v>0.63</x:v>
      </x:c>
      <x:c r="K541" s="50" t="n">
        <x:v>-2.48</x:v>
      </x:c>
      <x:c r="L541" s="50" t="n">
        <x:v>2.56</x:v>
      </x:c>
      <x:c r="M541" s="50" t="n">
        <x:v>1.33</x:v>
      </x:c>
      <x:c r="N541" t="str">
        <x:v>RELATÓRIO LEITURAS INCLINOMÉTRICAS - Empreitada THE EDEN, Estoril_ R05_03-11-25.pdf</x:v>
      </x:c>
      <x:c r="O541" t="n">
        <x:v>30</x:v>
      </x:c>
      <x:c r="P541" t="str">
        <x:v>Válida</x:v>
      </x:c>
    </x:row>
    <x:row r="542">
      <x:c r="A542" s="48" t="n">
        <x:v>45959</x:v>
      </x:c>
      <x:c r="B542" t="n">
        <x:v>4</x:v>
      </x:c>
      <x:c r="C542" t="str">
        <x:v>I3</x:v>
      </x:c>
      <x:c r="D542" t="n">
        <x:v>3</x:v>
      </x:c>
      <x:c r="E542" s="50" t="n">
        <x:v>12.5</x:v>
      </x:c>
      <x:c r="F542" s="50" t="n">
        <x:v>249.06</x:v>
      </x:c>
      <x:c r="G542" s="50" t="n">
        <x:v>-242.63</x:v>
      </x:c>
      <x:c r="H542" s="50" t="n">
        <x:v>200.6</x:v>
      </x:c>
      <x:c r="I542" s="50" t="n">
        <x:v>-178.8</x:v>
      </x:c>
      <x:c r="J542" s="50" t="n">
        <x:v>0.61</x:v>
      </x:c>
      <x:c r="K542" s="50" t="n">
        <x:v>-2.52</x:v>
      </x:c>
      <x:c r="L542" s="50" t="n">
        <x:v>2.59</x:v>
      </x:c>
      <x:c r="M542" s="50" t="n">
        <x:v>0.97</x:v>
      </x:c>
      <x:c r="N542" t="str">
        <x:v>RELATÓRIO LEITURAS INCLINOMÉTRICAS - Empreitada THE EDEN, Estoril_ R05_03-11-25.pdf</x:v>
      </x:c>
      <x:c r="O542" t="n">
        <x:v>30</x:v>
      </x:c>
      <x:c r="P542" t="str">
        <x:v>Válida</x:v>
      </x:c>
    </x:row>
    <x:row r="543">
      <x:c r="A543" s="48" t="n">
        <x:v>45959</x:v>
      </x:c>
      <x:c r="B543" t="n">
        <x:v>4</x:v>
      </x:c>
      <x:c r="C543" t="str">
        <x:v>I3</x:v>
      </x:c>
      <x:c r="D543" t="n">
        <x:v>3</x:v>
      </x:c>
      <x:c r="E543" s="50" t="n">
        <x:v>13</x:v>
      </x:c>
      <x:c r="F543" s="50" t="n">
        <x:v>219</x:v>
      </x:c>
      <x:c r="G543" s="50" t="n">
        <x:v>-211.05</x:v>
      </x:c>
      <x:c r="H543" s="50" t="n">
        <x:v>138.89</x:v>
      </x:c>
      <x:c r="I543" s="50" t="n">
        <x:v>-119.58</x:v>
      </x:c>
      <x:c r="J543" s="50" t="n">
        <x:v>0.62</x:v>
      </x:c>
      <x:c r="K543" s="50" t="n">
        <x:v>-2.55</x:v>
      </x:c>
      <x:c r="L543" s="50" t="n">
        <x:v>2.63</x:v>
      </x:c>
      <x:c r="M543" s="50" t="n">
        <x:v>0.92</x:v>
      </x:c>
      <x:c r="N543" t="str">
        <x:v>RELATÓRIO LEITURAS INCLINOMÉTRICAS - Empreitada THE EDEN, Estoril_ R05_03-11-25.pdf</x:v>
      </x:c>
      <x:c r="O543" t="n">
        <x:v>30</x:v>
      </x:c>
      <x:c r="P543" t="str">
        <x:v>Válida</x:v>
      </x:c>
    </x:row>
    <x:row r="544">
      <x:c r="A544" s="48" t="n">
        <x:v>45959</x:v>
      </x:c>
      <x:c r="B544" t="n">
        <x:v>4</x:v>
      </x:c>
      <x:c r="C544" t="str">
        <x:v>I3</x:v>
      </x:c>
      <x:c r="D544" t="n">
        <x:v>3</x:v>
      </x:c>
      <x:c r="E544" s="50" t="n">
        <x:v>13.5</x:v>
      </x:c>
      <x:c r="F544" s="50" t="n">
        <x:v>190.7</x:v>
      </x:c>
      <x:c r="G544" s="50" t="n">
        <x:v>-184.46</x:v>
      </x:c>
      <x:c r="H544" s="50" t="n">
        <x:v>146.85</x:v>
      </x:c>
      <x:c r="I544" s="50" t="n">
        <x:v>-145.28</x:v>
      </x:c>
      <x:c r="J544" s="50" t="n">
        <x:v>0.58</x:v>
      </x:c>
      <x:c r="K544" s="50" t="n">
        <x:v>-2.49</x:v>
      </x:c>
      <x:c r="L544" s="50" t="n">
        <x:v>2.56</x:v>
      </x:c>
      <x:c r="M544" s="50" t="n">
        <x:v>0.85</x:v>
      </x:c>
      <x:c r="N544" t="str">
        <x:v>RELATÓRIO LEITURAS INCLINOMÉTRICAS - Empreitada THE EDEN, Estoril_ R05_03-11-25.pdf</x:v>
      </x:c>
      <x:c r="O544" t="n">
        <x:v>30</x:v>
      </x:c>
      <x:c r="P544" t="str">
        <x:v>Válida</x:v>
      </x:c>
    </x:row>
    <x:row r="545">
      <x:c r="A545" s="48" t="n">
        <x:v>45959</x:v>
      </x:c>
      <x:c r="B545" t="n">
        <x:v>4</x:v>
      </x:c>
      <x:c r="C545" t="str">
        <x:v>I3</x:v>
      </x:c>
      <x:c r="D545" t="n">
        <x:v>3</x:v>
      </x:c>
      <x:c r="E545" s="50" t="n">
        <x:v>14</x:v>
      </x:c>
      <x:c r="F545" s="50" t="n">
        <x:v>148.79</x:v>
      </x:c>
      <x:c r="G545" s="50" t="n">
        <x:v>-142.78</x:v>
      </x:c>
      <x:c r="H545" s="50" t="n">
        <x:v>168.12</x:v>
      </x:c>
      <x:c r="I545" s="50" t="n">
        <x:v>-164.88</x:v>
      </x:c>
      <x:c r="J545" s="50" t="n">
        <x:v>0.53</x:v>
      </x:c>
      <x:c r="K545" s="50" t="n">
        <x:v>-2.04</x:v>
      </x:c>
      <x:c r="L545" s="50" t="n">
        <x:v>2.11</x:v>
      </x:c>
      <x:c r="M545" s="50" t="n">
        <x:v>0.84</x:v>
      </x:c>
      <x:c r="N545" t="str">
        <x:v>RELATÓRIO LEITURAS INCLINOMÉTRICAS - Empreitada THE EDEN, Estoril_ R05_03-11-25.pdf</x:v>
      </x:c>
      <x:c r="O545" t="n">
        <x:v>30</x:v>
      </x:c>
      <x:c r="P545" t="str">
        <x:v>Válida</x:v>
      </x:c>
    </x:row>
    <x:row r="546">
      <x:c r="A546" s="48" t="n">
        <x:v>45959</x:v>
      </x:c>
      <x:c r="B546" t="n">
        <x:v>4</x:v>
      </x:c>
      <x:c r="C546" t="str">
        <x:v>I3</x:v>
      </x:c>
      <x:c r="D546" t="n">
        <x:v>3</x:v>
      </x:c>
      <x:c r="E546" s="50" t="n">
        <x:v>14.5</x:v>
      </x:c>
      <x:c r="F546" s="50" t="n">
        <x:v>143.44</x:v>
      </x:c>
      <x:c r="G546" s="50" t="n">
        <x:v>-134.99</x:v>
      </x:c>
      <x:c r="H546" s="50" t="n">
        <x:v>187.25</x:v>
      </x:c>
      <x:c r="I546" s="50" t="n">
        <x:v>-182.17</x:v>
      </x:c>
      <x:c r="J546" s="50" t="n">
        <x:v>0.58</x:v>
      </x:c>
      <x:c r="K546" s="50" t="n">
        <x:v>-2.32</x:v>
      </x:c>
      <x:c r="L546" s="50" t="n">
        <x:v>2.39</x:v>
      </x:c>
      <x:c r="M546" s="50" t="n">
        <x:v>0.74</x:v>
      </x:c>
      <x:c r="N546" t="str">
        <x:v>RELATÓRIO LEITURAS INCLINOMÉTRICAS - Empreitada THE EDEN, Estoril_ R05_03-11-25.pdf</x:v>
      </x:c>
      <x:c r="O546" t="n">
        <x:v>30</x:v>
      </x:c>
      <x:c r="P546" t="str">
        <x:v>Válida</x:v>
      </x:c>
    </x:row>
    <x:row r="547">
      <x:c r="A547" s="48" t="n">
        <x:v>45959</x:v>
      </x:c>
      <x:c r="B547" t="n">
        <x:v>4</x:v>
      </x:c>
      <x:c r="C547" t="str">
        <x:v>I3</x:v>
      </x:c>
      <x:c r="D547" t="n">
        <x:v>3</x:v>
      </x:c>
      <x:c r="E547" s="50" t="n">
        <x:v>15</x:v>
      </x:c>
      <x:c r="F547" s="50" t="n">
        <x:v>148.15</x:v>
      </x:c>
      <x:c r="G547" s="50" t="n">
        <x:v>-140.12</x:v>
      </x:c>
      <x:c r="H547" s="50" t="n">
        <x:v>261.68</x:v>
      </x:c>
      <x:c r="I547" s="50" t="n">
        <x:v>-252.44</x:v>
      </x:c>
      <x:c r="J547" s="50" t="n">
        <x:v>0.54</x:v>
      </x:c>
      <x:c r="K547" s="50" t="n">
        <x:v>-2.43</x:v>
      </x:c>
      <x:c r="L547" s="50" t="n">
        <x:v>2.49</x:v>
      </x:c>
      <x:c r="M547" s="50" t="n">
        <x:v>0.72</x:v>
      </x:c>
      <x:c r="N547" t="str">
        <x:v>RELATÓRIO LEITURAS INCLINOMÉTRICAS - Empreitada THE EDEN, Estoril_ R05_03-11-25.pdf</x:v>
      </x:c>
      <x:c r="O547" t="n">
        <x:v>30</x:v>
      </x:c>
      <x:c r="P547" t="str">
        <x:v>Válida</x:v>
      </x:c>
    </x:row>
    <x:row r="548">
      <x:c r="A548" s="48" t="n">
        <x:v>45959</x:v>
      </x:c>
      <x:c r="B548" t="n">
        <x:v>4</x:v>
      </x:c>
      <x:c r="C548" t="str">
        <x:v>I3</x:v>
      </x:c>
      <x:c r="D548" t="n">
        <x:v>3</x:v>
      </x:c>
      <x:c r="E548" s="50" t="n">
        <x:v>15.5</x:v>
      </x:c>
      <x:c r="F548" s="50" t="n">
        <x:v>61.11</x:v>
      </x:c>
      <x:c r="G548" s="50" t="n">
        <x:v>-56.71</x:v>
      </x:c>
      <x:c r="H548" s="50" t="n">
        <x:v>358.1</x:v>
      </x:c>
      <x:c r="I548" s="50" t="n">
        <x:v>-338.13</x:v>
      </x:c>
      <x:c r="J548" s="50" t="n">
        <x:v>0.52</x:v>
      </x:c>
      <x:c r="K548" s="50" t="n">
        <x:v>-2.52</x:v>
      </x:c>
      <x:c r="L548" s="50" t="n">
        <x:v>2.57</x:v>
      </x:c>
      <x:c r="M548" s="50" t="n">
        <x:v>0.4</x:v>
      </x:c>
      <x:c r="N548" t="str">
        <x:v>RELATÓRIO LEITURAS INCLINOMÉTRICAS - Empreitada THE EDEN, Estoril_ R05_03-11-25.pdf</x:v>
      </x:c>
      <x:c r="O548" t="n">
        <x:v>30</x:v>
      </x:c>
      <x:c r="P548" t="str">
        <x:v>Válida</x:v>
      </x:c>
    </x:row>
    <x:row r="549">
      <x:c r="A549" s="48" t="n">
        <x:v>45959</x:v>
      </x:c>
      <x:c r="B549" t="n">
        <x:v>4</x:v>
      </x:c>
      <x:c r="C549" t="str">
        <x:v>I3</x:v>
      </x:c>
      <x:c r="D549" t="n">
        <x:v>3</x:v>
      </x:c>
      <x:c r="E549" s="50" t="n">
        <x:v>16</x:v>
      </x:c>
      <x:c r="F549" s="50" t="n">
        <x:v>199.31</x:v>
      </x:c>
      <x:c r="G549" s="50" t="n">
        <x:v>-183.05</x:v>
      </x:c>
      <x:c r="H549" s="50" t="n">
        <x:v>192.26</x:v>
      </x:c>
      <x:c r="I549" s="50" t="n">
        <x:v>-177.39</x:v>
      </x:c>
      <x:c r="J549" s="50" t="n">
        <x:v>0.51</x:v>
      </x:c>
      <x:c r="K549" s="50" t="n">
        <x:v>-2.36</x:v>
      </x:c>
      <x:c r="L549" s="50" t="n">
        <x:v>2.41</x:v>
      </x:c>
      <x:c r="M549" s="50" t="n">
        <x:v>0.16</x:v>
      </x:c>
      <x:c r="N549" t="str">
        <x:v>RELATÓRIO LEITURAS INCLINOMÉTRICAS - Empreitada THE EDEN, Estoril_ R05_03-11-25.pdf</x:v>
      </x:c>
      <x:c r="O549" t="n">
        <x:v>30</x:v>
      </x:c>
      <x:c r="P549" t="str">
        <x:v>Válida</x:v>
      </x:c>
    </x:row>
    <x:row r="550">
      <x:c r="A550" s="48" t="n">
        <x:v>45959</x:v>
      </x:c>
      <x:c r="B550" t="n">
        <x:v>4</x:v>
      </x:c>
      <x:c r="C550" t="str">
        <x:v>I3</x:v>
      </x:c>
      <x:c r="D550" t="n">
        <x:v>3</x:v>
      </x:c>
      <x:c r="E550" s="50" t="n">
        <x:v>16.5</x:v>
      </x:c>
      <x:c r="F550" s="50" t="n">
        <x:v>322.62</x:v>
      </x:c>
      <x:c r="G550" s="50" t="n">
        <x:v>-318.23</x:v>
      </x:c>
      <x:c r="H550" s="50" t="n">
        <x:v>198.57</x:v>
      </x:c>
      <x:c r="I550" s="50" t="n">
        <x:v>-205.36</x:v>
      </x:c>
      <x:c r="J550" s="50" t="n">
        <x:v>0.46</x:v>
      </x:c>
      <x:c r="K550" s="50" t="n">
        <x:v>-2.51</x:v>
      </x:c>
      <x:c r="L550" s="50" t="n">
        <x:v>2.55</x:v>
      </x:c>
      <x:c r="M550" s="50" t="n">
        <x:v>0.67</x:v>
      </x:c>
      <x:c r="N550" t="str">
        <x:v>RELATÓRIO LEITURAS INCLINOMÉTRICAS - Empreitada THE EDEN, Estoril_ R05_03-11-25.pdf</x:v>
      </x:c>
      <x:c r="O550" t="n">
        <x:v>30</x:v>
      </x:c>
      <x:c r="P550" t="str">
        <x:v>Válida</x:v>
      </x:c>
    </x:row>
    <x:row r="551">
      <x:c r="A551" s="48" t="n">
        <x:v>45959</x:v>
      </x:c>
      <x:c r="B551" t="n">
        <x:v>4</x:v>
      </x:c>
      <x:c r="C551" t="str">
        <x:v>I3</x:v>
      </x:c>
      <x:c r="D551" t="n">
        <x:v>3</x:v>
      </x:c>
      <x:c r="E551" s="50" t="n">
        <x:v>17</x:v>
      </x:c>
      <x:c r="F551" s="50" t="n">
        <x:v>386.09</x:v>
      </x:c>
      <x:c r="G551" s="50" t="n">
        <x:v>-375.09</x:v>
      </x:c>
      <x:c r="H551" s="50" t="n">
        <x:v>251.59</x:v>
      </x:c>
      <x:c r="I551" s="50" t="n">
        <x:v>-245.96</x:v>
      </x:c>
      <x:c r="J551" s="50" t="n">
        <x:v>0.43</x:v>
      </x:c>
      <x:c r="K551" s="50" t="n">
        <x:v>-2.26</x:v>
      </x:c>
      <x:c r="L551" s="50" t="n">
        <x:v>2.3</x:v>
      </x:c>
      <x:c r="M551" s="50" t="n">
        <x:v>0.48</x:v>
      </x:c>
      <x:c r="N551" t="str">
        <x:v>RELATÓRIO LEITURAS INCLINOMÉTRICAS - Empreitada THE EDEN, Estoril_ R05_03-11-25.pdf</x:v>
      </x:c>
      <x:c r="O551" t="n">
        <x:v>30</x:v>
      </x:c>
      <x:c r="P551" t="str">
        <x:v>Válida</x:v>
      </x:c>
    </x:row>
    <x:row r="552">
      <x:c r="A552" s="48" t="n">
        <x:v>45959</x:v>
      </x:c>
      <x:c r="B552" t="n">
        <x:v>4</x:v>
      </x:c>
      <x:c r="C552" t="str">
        <x:v>I3</x:v>
      </x:c>
      <x:c r="D552" t="n">
        <x:v>3</x:v>
      </x:c>
      <x:c r="E552" s="50" t="n">
        <x:v>17.5</x:v>
      </x:c>
      <x:c r="F552" s="50" t="n">
        <x:v>382.15</x:v>
      </x:c>
      <x:c r="G552" s="50" t="n">
        <x:v>-374.52</x:v>
      </x:c>
      <x:c r="H552" s="50" t="n">
        <x:v>167.28</x:v>
      </x:c>
      <x:c r="I552" s="50" t="n">
        <x:v>-154.36</x:v>
      </x:c>
      <x:c r="J552" s="50" t="n">
        <x:v>0.41</x:v>
      </x:c>
      <x:c r="K552" s="50" t="n">
        <x:v>-1.98</x:v>
      </x:c>
      <x:c r="L552" s="50" t="n">
        <x:v>2.02</x:v>
      </x:c>
      <x:c r="M552" s="50" t="n">
        <x:v>0.41</x:v>
      </x:c>
      <x:c r="N552" t="str">
        <x:v>RELATÓRIO LEITURAS INCLINOMÉTRICAS - Empreitada THE EDEN, Estoril_ R05_03-11-25.pdf</x:v>
      </x:c>
      <x:c r="O552" t="n">
        <x:v>30</x:v>
      </x:c>
      <x:c r="P552" t="str">
        <x:v>Válida</x:v>
      </x:c>
    </x:row>
    <x:row r="553">
      <x:c r="A553" s="48" t="n">
        <x:v>45959</x:v>
      </x:c>
      <x:c r="B553" t="n">
        <x:v>4</x:v>
      </x:c>
      <x:c r="C553" t="str">
        <x:v>I3</x:v>
      </x:c>
      <x:c r="D553" t="n">
        <x:v>3</x:v>
      </x:c>
      <x:c r="E553" s="50" t="n">
        <x:v>18</x:v>
      </x:c>
      <x:c r="F553" s="50" t="n">
        <x:v>349.6</x:v>
      </x:c>
      <x:c r="G553" s="50" t="n">
        <x:v>-341.06</x:v>
      </x:c>
      <x:c r="H553" s="50" t="n">
        <x:v>102.56</x:v>
      </x:c>
      <x:c r="I553" s="50" t="n">
        <x:v>-98.12</x:v>
      </x:c>
      <x:c r="J553" s="50" t="n">
        <x:v>0.41</x:v>
      </x:c>
      <x:c r="K553" s="50" t="n">
        <x:v>-1.6</x:v>
      </x:c>
      <x:c r="L553" s="50" t="n">
        <x:v>1.65</x:v>
      </x:c>
      <x:c r="M553" s="50" t="n">
        <x:v>0.34</x:v>
      </x:c>
      <x:c r="N553" t="str">
        <x:v>RELATÓRIO LEITURAS INCLINOMÉTRICAS - Empreitada THE EDEN, Estoril_ R05_03-11-25.pdf</x:v>
      </x:c>
      <x:c r="O553" t="n">
        <x:v>30</x:v>
      </x:c>
      <x:c r="P553" t="str">
        <x:v>Válida</x:v>
      </x:c>
    </x:row>
    <x:row r="554">
      <x:c r="A554" s="48" t="n">
        <x:v>45959</x:v>
      </x:c>
      <x:c r="B554" t="n">
        <x:v>4</x:v>
      </x:c>
      <x:c r="C554" t="str">
        <x:v>I3</x:v>
      </x:c>
      <x:c r="D554" t="n">
        <x:v>3</x:v>
      </x:c>
      <x:c r="E554" s="50" t="n">
        <x:v>18.5</x:v>
      </x:c>
      <x:c r="F554" s="50" t="n">
        <x:v>319.76</x:v>
      </x:c>
      <x:c r="G554" s="50" t="n">
        <x:v>-313.21</x:v>
      </x:c>
      <x:c r="H554" s="50" t="n">
        <x:v>71.68</x:v>
      </x:c>
      <x:c r="I554" s="50" t="n">
        <x:v>-67.9</x:v>
      </x:c>
      <x:c r="J554" s="50" t="n">
        <x:v>0.41</x:v>
      </x:c>
      <x:c r="K554" s="50" t="n">
        <x:v>-1.48</x:v>
      </x:c>
      <x:c r="L554" s="50" t="n">
        <x:v>1.54</x:v>
      </x:c>
      <x:c r="M554" s="50" t="n">
        <x:v>0.35</x:v>
      </x:c>
      <x:c r="N554" t="str">
        <x:v>RELATÓRIO LEITURAS INCLINOMÉTRICAS - Empreitada THE EDEN, Estoril_ R05_03-11-25.pdf</x:v>
      </x:c>
      <x:c r="O554" t="n">
        <x:v>30</x:v>
      </x:c>
      <x:c r="P554" t="str">
        <x:v>Válida</x:v>
      </x:c>
    </x:row>
    <x:row r="555">
      <x:c r="A555" s="48" t="n">
        <x:v>45959</x:v>
      </x:c>
      <x:c r="B555" t="n">
        <x:v>4</x:v>
      </x:c>
      <x:c r="C555" t="str">
        <x:v>I3</x:v>
      </x:c>
      <x:c r="D555" t="n">
        <x:v>3</x:v>
      </x:c>
      <x:c r="E555" s="50" t="n">
        <x:v>19</x:v>
      </x:c>
      <x:c r="F555" s="50" t="n">
        <x:v>304.53</x:v>
      </x:c>
      <x:c r="G555" s="50" t="n">
        <x:v>-299.93</x:v>
      </x:c>
      <x:c r="H555" s="50" t="n">
        <x:v>54.81</x:v>
      </x:c>
      <x:c r="I555" s="50" t="n">
        <x:v>-55.62</x:v>
      </x:c>
      <x:c r="J555" s="50" t="n">
        <x:v>0.35</x:v>
      </x:c>
      <x:c r="K555" s="50" t="n">
        <x:v>-1.4</x:v>
      </x:c>
      <x:c r="L555" s="50" t="n">
        <x:v>1.45</x:v>
      </x:c>
      <x:c r="M555" s="50" t="n">
        <x:v>0.16</x:v>
      </x:c>
      <x:c r="N555" t="str">
        <x:v>RELATÓRIO LEITURAS INCLINOMÉTRICAS - Empreitada THE EDEN, Estoril_ R05_03-11-25.pdf</x:v>
      </x:c>
      <x:c r="O555" t="n">
        <x:v>30</x:v>
      </x:c>
      <x:c r="P555" t="str">
        <x:v>Válida</x:v>
      </x:c>
    </x:row>
    <x:row r="556">
      <x:c r="A556" s="48" t="n">
        <x:v>45959</x:v>
      </x:c>
      <x:c r="B556" t="n">
        <x:v>4</x:v>
      </x:c>
      <x:c r="C556" t="str">
        <x:v>I3</x:v>
      </x:c>
      <x:c r="D556" t="n">
        <x:v>3</x:v>
      </x:c>
      <x:c r="E556" s="50" t="n">
        <x:v>19.5</x:v>
      </x:c>
      <x:c r="F556" s="50" t="n">
        <x:v>213.69</x:v>
      </x:c>
      <x:c r="G556" s="50" t="n">
        <x:v>-208.76</x:v>
      </x:c>
      <x:c r="H556" s="50" t="n">
        <x:v>92.72</x:v>
      </x:c>
      <x:c r="I556" s="50" t="n">
        <x:v>-99.47</x:v>
      </x:c>
      <x:c r="J556" s="50" t="n">
        <x:v>0.32</x:v>
      </x:c>
      <x:c r="K556" s="50" t="n">
        <x:v>-1.38</x:v>
      </x:c>
      <x:c r="L556" s="50" t="n">
        <x:v>1.42</x:v>
      </x:c>
      <x:c r="M556" s="50" t="n">
        <x:v>0.16</x:v>
      </x:c>
      <x:c r="N556" t="str">
        <x:v>RELATÓRIO LEITURAS INCLINOMÉTRICAS - Empreitada THE EDEN, Estoril_ R05_03-11-25.pdf</x:v>
      </x:c>
      <x:c r="O556" t="n">
        <x:v>30</x:v>
      </x:c>
      <x:c r="P556" t="str">
        <x:v>Válida</x:v>
      </x:c>
    </x:row>
    <x:row r="557">
      <x:c r="A557" s="48" t="n">
        <x:v>45959</x:v>
      </x:c>
      <x:c r="B557" t="n">
        <x:v>4</x:v>
      </x:c>
      <x:c r="C557" t="str">
        <x:v>I3</x:v>
      </x:c>
      <x:c r="D557" t="n">
        <x:v>3</x:v>
      </x:c>
      <x:c r="E557" s="50" t="n">
        <x:v>20</x:v>
      </x:c>
      <x:c r="F557" s="50" t="n">
        <x:v>145.26</x:v>
      </x:c>
      <x:c r="G557" s="50" t="n">
        <x:v>-138.43</x:v>
      </x:c>
      <x:c r="H557" s="50" t="n">
        <x:v>155.06</x:v>
      </x:c>
      <x:c r="I557" s="50" t="n">
        <x:v>-151.36</x:v>
      </x:c>
      <x:c r="J557" s="50" t="n">
        <x:v>0.27</x:v>
      </x:c>
      <x:c r="K557" s="50" t="n">
        <x:v>-1.02</x:v>
      </x:c>
      <x:c r="L557" s="50" t="n">
        <x:v>1.06</x:v>
      </x:c>
      <x:c r="M557" s="50" t="n">
        <x:v>0</x:v>
      </x:c>
      <x:c r="N557" t="str">
        <x:v>RELATÓRIO LEITURAS INCLINOMÉTRICAS - Empreitada THE EDEN, Estoril_ R05_03-11-25.pdf</x:v>
      </x:c>
      <x:c r="O557" t="n">
        <x:v>30</x:v>
      </x:c>
      <x:c r="P557" t="str">
        <x:v>Válida</x:v>
      </x:c>
    </x:row>
    <x:row r="558">
      <x:c r="A558" s="48" t="n">
        <x:v>45959</x:v>
      </x:c>
      <x:c r="B558" t="n">
        <x:v>4</x:v>
      </x:c>
      <x:c r="C558" t="str">
        <x:v>I3</x:v>
      </x:c>
      <x:c r="D558" t="n">
        <x:v>3</x:v>
      </x:c>
      <x:c r="E558" s="50" t="n">
        <x:v>20.5</x:v>
      </x:c>
      <x:c r="F558" s="50" t="n">
        <x:v>153</x:v>
      </x:c>
      <x:c r="G558" s="50" t="n">
        <x:v>-149.14</x:v>
      </x:c>
      <x:c r="H558" s="50" t="n">
        <x:v>161.95</x:v>
      </x:c>
      <x:c r="I558" s="50" t="n">
        <x:v>-162.1</x:v>
      </x:c>
      <x:c r="J558" s="50" t="n">
        <x:v>0.24</x:v>
      </x:c>
      <x:c r="K558" s="50" t="n">
        <x:v>-0.63</x:v>
      </x:c>
      <x:c r="L558" s="50" t="n">
        <x:v>0.67</x:v>
      </x:c>
      <x:c r="M558" s="50" t="n">
        <x:v>-0.27</x:v>
      </x:c>
      <x:c r="N558" t="str">
        <x:v>RELATÓRIO LEITURAS INCLINOMÉTRICAS - Empreitada THE EDEN, Estoril_ R05_03-11-25.pdf</x:v>
      </x:c>
      <x:c r="O558" t="n">
        <x:v>30</x:v>
      </x:c>
      <x:c r="P558" t="str">
        <x:v>Válida</x:v>
      </x:c>
    </x:row>
    <x:row r="559">
      <x:c r="A559" s="48" t="n">
        <x:v>45959</x:v>
      </x:c>
      <x:c r="B559" t="n">
        <x:v>4</x:v>
      </x:c>
      <x:c r="C559" t="str">
        <x:v>I3</x:v>
      </x:c>
      <x:c r="D559" t="n">
        <x:v>3</x:v>
      </x:c>
      <x:c r="E559" s="50" t="n">
        <x:v>21</x:v>
      </x:c>
      <x:c r="F559" s="50" t="n">
        <x:v>161.54</x:v>
      </x:c>
      <x:c r="G559" s="50" t="n">
        <x:v>-155.68</x:v>
      </x:c>
      <x:c r="H559" s="50" t="n">
        <x:v>180.02</x:v>
      </x:c>
      <x:c r="I559" s="50" t="n">
        <x:v>-175.87</x:v>
      </x:c>
      <x:c r="J559" s="50" t="n">
        <x:v>0.19</x:v>
      </x:c>
      <x:c r="K559" s="50" t="n">
        <x:v>-0.13</x:v>
      </x:c>
      <x:c r="L559" s="50" t="n">
        <x:v>0.23</x:v>
      </x:c>
      <x:c r="M559" s="50" t="n">
        <x:v>-0.25</x:v>
      </x:c>
      <x:c r="N559" t="str">
        <x:v>RELATÓRIO LEITURAS INCLINOMÉTRICAS - Empreitada THE EDEN, Estoril_ R05_03-11-25.pdf</x:v>
      </x:c>
      <x:c r="O559" t="n">
        <x:v>30</x:v>
      </x:c>
      <x:c r="P559" t="str">
        <x:v>Válida</x:v>
      </x:c>
    </x:row>
    <x:row r="560">
      <x:c r="A560" s="48" t="n">
        <x:v>45959</x:v>
      </x:c>
      <x:c r="B560" t="n">
        <x:v>4</x:v>
      </x:c>
      <x:c r="C560" t="str">
        <x:v>I3</x:v>
      </x:c>
      <x:c r="D560" t="n">
        <x:v>3</x:v>
      </x:c>
      <x:c r="E560" s="50" t="n">
        <x:v>21.5</x:v>
      </x:c>
      <x:c r="F560" s="50" t="n">
        <x:v>178.35</x:v>
      </x:c>
      <x:c r="G560" s="50" t="n">
        <x:v>-173.54</x:v>
      </x:c>
      <x:c r="H560" s="50" t="n">
        <x:v>182.27</x:v>
      </x:c>
      <x:c r="I560" s="50" t="n">
        <x:v>-168.87</x:v>
      </x:c>
      <x:c r="J560" s="50" t="n">
        <x:v>0.09</x:v>
      </x:c>
      <x:c r="K560" s="50" t="n">
        <x:v>0.24</x:v>
      </x:c>
      <x:c r="L560" s="50" t="n">
        <x:v>0.25</x:v>
      </x:c>
      <x:c r="M560" s="50" t="n">
        <x:v>-0.01</x:v>
      </x:c>
      <x:c r="N560" t="str">
        <x:v>RELATÓRIO LEITURAS INCLINOMÉTRICAS - Empreitada THE EDEN, Estoril_ R05_03-11-25.pdf</x:v>
      </x:c>
      <x:c r="O560" t="n">
        <x:v>30</x:v>
      </x:c>
      <x:c r="P560" t="str">
        <x:v>Válida</x:v>
      </x:c>
    </x:row>
    <x:row r="561">
      <x:c r="A561" s="48" t="n">
        <x:v>45959</x:v>
      </x:c>
      <x:c r="B561" t="n">
        <x:v>4</x:v>
      </x:c>
      <x:c r="C561" t="str">
        <x:v>I3</x:v>
      </x:c>
      <x:c r="D561" t="n">
        <x:v>3</x:v>
      </x:c>
      <x:c r="E561" s="50" t="n">
        <x:v>22</x:v>
      </x:c>
      <x:c r="F561" s="50" t="n">
        <x:v>190.67</x:v>
      </x:c>
      <x:c r="G561" s="50" t="n">
        <x:v>-184.41</x:v>
      </x:c>
      <x:c r="H561" s="50" t="n">
        <x:v>189.3</x:v>
      </x:c>
      <x:c r="I561" s="50" t="n">
        <x:v>-157.63</x:v>
      </x:c>
      <x:c r="J561" s="50" t="n">
        <x:v>0.01</x:v>
      </x:c>
      <x:c r="K561" s="50" t="n">
        <x:v>0.43</x:v>
      </x:c>
      <x:c r="L561" s="50" t="n">
        <x:v>0.43</x:v>
      </x:c>
      <x:c r="M561" s="50" t="n">
        <x:v>0.41</x:v>
      </x:c>
      <x:c r="N561" t="str">
        <x:v>RELATÓRIO LEITURAS INCLINOMÉTRICAS - Empreitada THE EDEN, Estoril_ R05_03-11-25.pdf</x:v>
      </x:c>
      <x:c r="O561" t="n">
        <x:v>30</x:v>
      </x:c>
      <x:c r="P561" t="str">
        <x:v>Válida</x:v>
      </x:c>
    </x:row>
    <x:row r="562">
      <x:c r="A562" s="48" t="n">
        <x:v>45964</x:v>
      </x:c>
      <x:c r="B562" t="n">
        <x:v>5</x:v>
      </x:c>
      <x:c r="C562" t="str">
        <x:v>I1</x:v>
      </x:c>
      <x:c r="D562" t="n">
        <x:v>5</x:v>
      </x:c>
      <x:c r="E562" s="50" t="n">
        <x:v>0.5</x:v>
      </x:c>
      <x:c r="F562" s="50" t="n">
        <x:v>-380.72</x:v>
      </x:c>
      <x:c r="G562" s="50" t="n">
        <x:v>379.97</x:v>
      </x:c>
      <x:c r="H562" s="50" t="n">
        <x:v>-812.1</x:v>
      </x:c>
      <x:c r="I562" s="50" t="n">
        <x:v>831.68</x:v>
      </x:c>
      <x:c r="J562" s="50" t="n">
        <x:v>1.62</x:v>
      </x:c>
      <x:c r="K562" s="50" t="n">
        <x:v>1.14</x:v>
      </x:c>
      <x:c r="L562" s="50" t="n">
        <x:v>1.98</x:v>
      </x:c>
      <x:c r="M562" s="50" t="n">
        <x:v>0.69</x:v>
      </x:c>
      <x:c r="N562" t="str">
        <x:v>RELATÓRIO LEITURAS INCLINOMÉTRICAS - Empreitada THE EDEN, Estoril_ R05_03-11-25.pdf</x:v>
      </x:c>
      <x:c r="O562" t="n">
        <x:v>14</x:v>
      </x:c>
      <x:c r="P562" t="str">
        <x:v>Válida</x:v>
      </x:c>
    </x:row>
    <x:row r="563">
      <x:c r="A563" s="48" t="n">
        <x:v>45964</x:v>
      </x:c>
      <x:c r="B563" t="n">
        <x:v>5</x:v>
      </x:c>
      <x:c r="C563" t="str">
        <x:v>I1</x:v>
      </x:c>
      <x:c r="D563" t="n">
        <x:v>5</x:v>
      </x:c>
      <x:c r="E563" s="50" t="n">
        <x:v>1</x:v>
      </x:c>
      <x:c r="F563" s="50" t="n">
        <x:v>-380.72</x:v>
      </x:c>
      <x:c r="G563" s="50" t="n">
        <x:v>380.42</x:v>
      </x:c>
      <x:c r="H563" s="50" t="n">
        <x:v>-812.18</x:v>
      </x:c>
      <x:c r="I563" s="50" t="n">
        <x:v>831.7</x:v>
      </x:c>
      <x:c r="J563" s="50" t="n">
        <x:v>2.19</x:v>
      </x:c>
      <x:c r="K563" s="50" t="n">
        <x:v>2.61</x:v>
      </x:c>
      <x:c r="L563" s="50" t="n">
        <x:v>3.41</x:v>
      </x:c>
      <x:c r="M563" s="50" t="n">
        <x:v>1.27</x:v>
      </x:c>
      <x:c r="N563" t="str">
        <x:v>RELATÓRIO LEITURAS INCLINOMÉTRICAS - Empreitada THE EDEN, Estoril_ R05_03-11-25.pdf</x:v>
      </x:c>
      <x:c r="O563" t="n">
        <x:v>14</x:v>
      </x:c>
      <x:c r="P563" t="str">
        <x:v>Válida</x:v>
      </x:c>
    </x:row>
    <x:row r="564">
      <x:c r="A564" s="48" t="n">
        <x:v>45964</x:v>
      </x:c>
      <x:c r="B564" t="n">
        <x:v>5</x:v>
      </x:c>
      <x:c r="C564" t="str">
        <x:v>I1</x:v>
      </x:c>
      <x:c r="D564" t="n">
        <x:v>5</x:v>
      </x:c>
      <x:c r="E564" s="50" t="n">
        <x:v>1.5</x:v>
      </x:c>
      <x:c r="F564" s="50" t="n">
        <x:v>-5.3</x:v>
      </x:c>
      <x:c r="G564" s="50" t="n">
        <x:v>18.22</x:v>
      </x:c>
      <x:c r="H564" s="50" t="n">
        <x:v>-277.31</x:v>
      </x:c>
      <x:c r="I564" s="50" t="n">
        <x:v>288.69</x:v>
      </x:c>
      <x:c r="J564" s="50" t="n">
        <x:v>2.82</x:v>
      </x:c>
      <x:c r="K564" s="50" t="n">
        <x:v>3.67</x:v>
      </x:c>
      <x:c r="L564" s="50" t="n">
        <x:v>4.63</x:v>
      </x:c>
      <x:c r="M564" s="50" t="n">
        <x:v>1.79</x:v>
      </x:c>
      <x:c r="N564" t="str">
        <x:v>RELATÓRIO LEITURAS INCLINOMÉTRICAS - Empreitada THE EDEN, Estoril_ R05_03-11-25.pdf</x:v>
      </x:c>
      <x:c r="O564" t="n">
        <x:v>14</x:v>
      </x:c>
      <x:c r="P564" t="str">
        <x:v>Válida</x:v>
      </x:c>
    </x:row>
    <x:row r="565">
      <x:c r="A565" s="48" t="n">
        <x:v>45964</x:v>
      </x:c>
      <x:c r="B565" t="n">
        <x:v>5</x:v>
      </x:c>
      <x:c r="C565" t="str">
        <x:v>I1</x:v>
      </x:c>
      <x:c r="D565" t="n">
        <x:v>5</x:v>
      </x:c>
      <x:c r="E565" s="50" t="n">
        <x:v>2</x:v>
      </x:c>
      <x:c r="F565" s="50" t="n">
        <x:v>11.15</x:v>
      </x:c>
      <x:c r="G565" s="50" t="n">
        <x:v>-2.01</x:v>
      </x:c>
      <x:c r="H565" s="50" t="n">
        <x:v>-232.57</x:v>
      </x:c>
      <x:c r="I565" s="50" t="n">
        <x:v>239.58</x:v>
      </x:c>
      <x:c r="J565" s="50" t="n">
        <x:v>2.7</x:v>
      </x:c>
      <x:c r="K565" s="50" t="n">
        <x:v>3.57</x:v>
      </x:c>
      <x:c r="L565" s="50" t="n">
        <x:v>4.47</x:v>
      </x:c>
      <x:c r="M565" s="50" t="n">
        <x:v>1.72</x:v>
      </x:c>
      <x:c r="N565" t="str">
        <x:v>RELATÓRIO LEITURAS INCLINOMÉTRICAS - Empreitada THE EDEN, Estoril_ R05_03-11-25.pdf</x:v>
      </x:c>
      <x:c r="O565" t="n">
        <x:v>14</x:v>
      </x:c>
      <x:c r="P565" t="str">
        <x:v>Válida</x:v>
      </x:c>
    </x:row>
    <x:row r="566">
      <x:c r="A566" s="48" t="n">
        <x:v>45964</x:v>
      </x:c>
      <x:c r="B566" t="n">
        <x:v>5</x:v>
      </x:c>
      <x:c r="C566" t="str">
        <x:v>I1</x:v>
      </x:c>
      <x:c r="D566" t="n">
        <x:v>5</x:v>
      </x:c>
      <x:c r="E566" s="50" t="n">
        <x:v>2.5</x:v>
      </x:c>
      <x:c r="F566" s="50" t="n">
        <x:v>30.17</x:v>
      </x:c>
      <x:c r="G566" s="50" t="n">
        <x:v>-21.88</x:v>
      </x:c>
      <x:c r="H566" s="50" t="n">
        <x:v>-212.25</x:v>
      </x:c>
      <x:c r="I566" s="50" t="n">
        <x:v>220.16</x:v>
      </x:c>
      <x:c r="J566" s="50" t="n">
        <x:v>3.13</x:v>
      </x:c>
      <x:c r="K566" s="50" t="n">
        <x:v>3.63</x:v>
      </x:c>
      <x:c r="L566" s="50" t="n">
        <x:v>4.79</x:v>
      </x:c>
      <x:c r="M566" s="50" t="n">
        <x:v>1.67</x:v>
      </x:c>
      <x:c r="N566" t="str">
        <x:v>RELATÓRIO LEITURAS INCLINOMÉTRICAS - Empreitada THE EDEN, Estoril_ R05_03-11-25.pdf</x:v>
      </x:c>
      <x:c r="O566" t="n">
        <x:v>14</x:v>
      </x:c>
      <x:c r="P566" t="str">
        <x:v>Válida</x:v>
      </x:c>
    </x:row>
    <x:row r="567">
      <x:c r="A567" s="48" t="n">
        <x:v>45964</x:v>
      </x:c>
      <x:c r="B567" t="n">
        <x:v>5</x:v>
      </x:c>
      <x:c r="C567" t="str">
        <x:v>I1</x:v>
      </x:c>
      <x:c r="D567" t="n">
        <x:v>5</x:v>
      </x:c>
      <x:c r="E567" s="50" t="n">
        <x:v>3</x:v>
      </x:c>
      <x:c r="F567" s="50" t="n">
        <x:v>11.6</x:v>
      </x:c>
      <x:c r="G567" s="50" t="n">
        <x:v>-0.78</x:v>
      </x:c>
      <x:c r="H567" s="50" t="n">
        <x:v>-158.35</x:v>
      </x:c>
      <x:c r="I567" s="50" t="n">
        <x:v>162.37</x:v>
      </x:c>
      <x:c r="J567" s="50" t="n">
        <x:v>3.33</x:v>
      </x:c>
      <x:c r="K567" s="50" t="n">
        <x:v>3.49</x:v>
      </x:c>
      <x:c r="L567" s="50" t="n">
        <x:v>4.82</x:v>
      </x:c>
      <x:c r="M567" s="50" t="n">
        <x:v>1.68</x:v>
      </x:c>
      <x:c r="N567" t="str">
        <x:v>RELATÓRIO LEITURAS INCLINOMÉTRICAS - Empreitada THE EDEN, Estoril_ R05_03-11-25.pdf</x:v>
      </x:c>
      <x:c r="O567" t="n">
        <x:v>14</x:v>
      </x:c>
      <x:c r="P567" t="str">
        <x:v>Válida</x:v>
      </x:c>
    </x:row>
    <x:row r="568">
      <x:c r="A568" s="48" t="n">
        <x:v>45964</x:v>
      </x:c>
      <x:c r="B568" t="n">
        <x:v>5</x:v>
      </x:c>
      <x:c r="C568" t="str">
        <x:v>I1</x:v>
      </x:c>
      <x:c r="D568" t="n">
        <x:v>5</x:v>
      </x:c>
      <x:c r="E568" s="50" t="n">
        <x:v>3.5</x:v>
      </x:c>
      <x:c r="F568" s="50" t="n">
        <x:v>-7.5</x:v>
      </x:c>
      <x:c r="G568" s="50" t="n">
        <x:v>16.63</x:v>
      </x:c>
      <x:c r="H568" s="50" t="n">
        <x:v>-101.56</x:v>
      </x:c>
      <x:c r="I568" s="50" t="n">
        <x:v>98.52</x:v>
      </x:c>
      <x:c r="J568" s="50" t="n">
        <x:v>3.41</x:v>
      </x:c>
      <x:c r="K568" s="50" t="n">
        <x:v>3.37</x:v>
      </x:c>
      <x:c r="L568" s="50" t="n">
        <x:v>4.8</x:v>
      </x:c>
      <x:c r="M568" s="50" t="n">
        <x:v>1.73</x:v>
      </x:c>
      <x:c r="N568" t="str">
        <x:v>RELATÓRIO LEITURAS INCLINOMÉTRICAS - Empreitada THE EDEN, Estoril_ R05_03-11-25.pdf</x:v>
      </x:c>
      <x:c r="O568" t="n">
        <x:v>14</x:v>
      </x:c>
      <x:c r="P568" t="str">
        <x:v>Válida</x:v>
      </x:c>
    </x:row>
    <x:row r="569">
      <x:c r="A569" s="48" t="n">
        <x:v>45964</x:v>
      </x:c>
      <x:c r="B569" t="n">
        <x:v>5</x:v>
      </x:c>
      <x:c r="C569" t="str">
        <x:v>I1</x:v>
      </x:c>
      <x:c r="D569" t="n">
        <x:v>5</x:v>
      </x:c>
      <x:c r="E569" s="50" t="n">
        <x:v>4</x:v>
      </x:c>
      <x:c r="F569" s="50" t="n">
        <x:v>61.73</x:v>
      </x:c>
      <x:c r="G569" s="50" t="n">
        <x:v>-52.75</x:v>
      </x:c>
      <x:c r="H569" s="50" t="n">
        <x:v>-88.28</x:v>
      </x:c>
      <x:c r="I569" s="50" t="n">
        <x:v>78.33</x:v>
      </x:c>
      <x:c r="J569" s="50" t="n">
        <x:v>3.45</x:v>
      </x:c>
      <x:c r="K569" s="50" t="n">
        <x:v>3.49</x:v>
      </x:c>
      <x:c r="L569" s="50" t="n">
        <x:v>4.91</x:v>
      </x:c>
      <x:c r="M569" s="50" t="n">
        <x:v>1.81</x:v>
      </x:c>
      <x:c r="N569" t="str">
        <x:v>RELATÓRIO LEITURAS INCLINOMÉTRICAS - Empreitada THE EDEN, Estoril_ R05_03-11-25.pdf</x:v>
      </x:c>
      <x:c r="O569" t="n">
        <x:v>14</x:v>
      </x:c>
      <x:c r="P569" t="str">
        <x:v>Válida</x:v>
      </x:c>
    </x:row>
    <x:row r="570">
      <x:c r="A570" s="48" t="n">
        <x:v>45964</x:v>
      </x:c>
      <x:c r="B570" t="n">
        <x:v>5</x:v>
      </x:c>
      <x:c r="C570" t="str">
        <x:v>I1</x:v>
      </x:c>
      <x:c r="D570" t="n">
        <x:v>5</x:v>
      </x:c>
      <x:c r="E570" s="50" t="n">
        <x:v>4.5</x:v>
      </x:c>
      <x:c r="F570" s="50" t="n">
        <x:v>58.83</x:v>
      </x:c>
      <x:c r="G570" s="50" t="n">
        <x:v>-49.3</x:v>
      </x:c>
      <x:c r="H570" s="50" t="n">
        <x:v>-43.58</x:v>
      </x:c>
      <x:c r="I570" s="50" t="n">
        <x:v>39.59</x:v>
      </x:c>
      <x:c r="J570" s="50" t="n">
        <x:v>3.5</x:v>
      </x:c>
      <x:c r="K570" s="50" t="n">
        <x:v>3.16</x:v>
      </x:c>
      <x:c r="L570" s="50" t="n">
        <x:v>4.72</x:v>
      </x:c>
      <x:c r="M570" s="50" t="n">
        <x:v>1.69</x:v>
      </x:c>
      <x:c r="N570" t="str">
        <x:v>RELATÓRIO LEITURAS INCLINOMÉTRICAS - Empreitada THE EDEN, Estoril_ R05_03-11-25.pdf</x:v>
      </x:c>
      <x:c r="O570" t="n">
        <x:v>14</x:v>
      </x:c>
      <x:c r="P570" t="str">
        <x:v>Válida</x:v>
      </x:c>
    </x:row>
    <x:row r="571">
      <x:c r="A571" s="48" t="n">
        <x:v>45964</x:v>
      </x:c>
      <x:c r="B571" t="n">
        <x:v>5</x:v>
      </x:c>
      <x:c r="C571" t="str">
        <x:v>I1</x:v>
      </x:c>
      <x:c r="D571" t="n">
        <x:v>5</x:v>
      </x:c>
      <x:c r="E571" s="50" t="n">
        <x:v>5</x:v>
      </x:c>
      <x:c r="F571" s="50" t="n">
        <x:v>2.32</x:v>
      </x:c>
      <x:c r="G571" s="50" t="n">
        <x:v>7.53</x:v>
      </x:c>
      <x:c r="H571" s="50" t="n">
        <x:v>18.1</x:v>
      </x:c>
      <x:c r="I571" s="50" t="n">
        <x:v>-19.1</x:v>
      </x:c>
      <x:c r="J571" s="50" t="n">
        <x:v>3.72</x:v>
      </x:c>
      <x:c r="K571" s="50" t="n">
        <x:v>2.94</x:v>
      </x:c>
      <x:c r="L571" s="50" t="n">
        <x:v>4.75</x:v>
      </x:c>
      <x:c r="M571" s="50" t="n">
        <x:v>1.6</x:v>
      </x:c>
      <x:c r="N571" t="str">
        <x:v>RELATÓRIO LEITURAS INCLINOMÉTRICAS - Empreitada THE EDEN, Estoril_ R05_03-11-25.pdf</x:v>
      </x:c>
      <x:c r="O571" t="n">
        <x:v>14</x:v>
      </x:c>
      <x:c r="P571" t="str">
        <x:v>Válida</x:v>
      </x:c>
    </x:row>
    <x:row r="572">
      <x:c r="A572" s="48" t="n">
        <x:v>45964</x:v>
      </x:c>
      <x:c r="B572" t="n">
        <x:v>5</x:v>
      </x:c>
      <x:c r="C572" t="str">
        <x:v>I1</x:v>
      </x:c>
      <x:c r="D572" t="n">
        <x:v>5</x:v>
      </x:c>
      <x:c r="E572" s="50" t="n">
        <x:v>5.5</x:v>
      </x:c>
      <x:c r="F572" s="50" t="n">
        <x:v>2.33</x:v>
      </x:c>
      <x:c r="G572" s="50" t="n">
        <x:v>6.9</x:v>
      </x:c>
      <x:c r="H572" s="50" t="n">
        <x:v>12.86</x:v>
      </x:c>
      <x:c r="I572" s="50" t="n">
        <x:v>-14.78</x:v>
      </x:c>
      <x:c r="J572" s="50" t="n">
        <x:v>3.79</x:v>
      </x:c>
      <x:c r="K572" s="50" t="n">
        <x:v>2.99</x:v>
      </x:c>
      <x:c r="L572" s="50" t="n">
        <x:v>4.83</x:v>
      </x:c>
      <x:c r="M572" s="50" t="n">
        <x:v>1.59</x:v>
      </x:c>
      <x:c r="N572" t="str">
        <x:v>RELATÓRIO LEITURAS INCLINOMÉTRICAS - Empreitada THE EDEN, Estoril_ R05_03-11-25.pdf</x:v>
      </x:c>
      <x:c r="O572" t="n">
        <x:v>14</x:v>
      </x:c>
      <x:c r="P572" t="str">
        <x:v>Válida</x:v>
      </x:c>
    </x:row>
    <x:row r="573">
      <x:c r="A573" s="48" t="n">
        <x:v>45964</x:v>
      </x:c>
      <x:c r="B573" t="n">
        <x:v>5</x:v>
      </x:c>
      <x:c r="C573" t="str">
        <x:v>I1</x:v>
      </x:c>
      <x:c r="D573" t="n">
        <x:v>5</x:v>
      </x:c>
      <x:c r="E573" s="50" t="n">
        <x:v>6</x:v>
      </x:c>
      <x:c r="F573" s="50" t="n">
        <x:v>15.87</x:v>
      </x:c>
      <x:c r="G573" s="50" t="n">
        <x:v>-8.35</x:v>
      </x:c>
      <x:c r="H573" s="50" t="n">
        <x:v>-40.25</x:v>
      </x:c>
      <x:c r="I573" s="50" t="n">
        <x:v>45.85</x:v>
      </x:c>
      <x:c r="J573" s="50" t="n">
        <x:v>3.89</x:v>
      </x:c>
      <x:c r="K573" s="50" t="n">
        <x:v>3.1</x:v>
      </x:c>
      <x:c r="L573" s="50" t="n">
        <x:v>4.98</x:v>
      </x:c>
      <x:c r="M573" s="50" t="n">
        <x:v>1.61</x:v>
      </x:c>
      <x:c r="N573" t="str">
        <x:v>RELATÓRIO LEITURAS INCLINOMÉTRICAS - Empreitada THE EDEN, Estoril_ R05_03-11-25.pdf</x:v>
      </x:c>
      <x:c r="O573" t="n">
        <x:v>14</x:v>
      </x:c>
      <x:c r="P573" t="str">
        <x:v>Válida</x:v>
      </x:c>
    </x:row>
    <x:row r="574">
      <x:c r="A574" s="48" t="n">
        <x:v>45964</x:v>
      </x:c>
      <x:c r="B574" t="n">
        <x:v>5</x:v>
      </x:c>
      <x:c r="C574" t="str">
        <x:v>I1</x:v>
      </x:c>
      <x:c r="D574" t="n">
        <x:v>5</x:v>
      </x:c>
      <x:c r="E574" s="50" t="n">
        <x:v>6.5</x:v>
      </x:c>
      <x:c r="F574" s="50" t="n">
        <x:v>22.96</x:v>
      </x:c>
      <x:c r="G574" s="50" t="n">
        <x:v>-13.38</x:v>
      </x:c>
      <x:c r="H574" s="50" t="n">
        <x:v>-75.21</x:v>
      </x:c>
      <x:c r="I574" s="50" t="n">
        <x:v>67.56</x:v>
      </x:c>
      <x:c r="J574" s="50" t="n">
        <x:v>3.93</x:v>
      </x:c>
      <x:c r="K574" s="50" t="n">
        <x:v>2.98</x:v>
      </x:c>
      <x:c r="L574" s="50" t="n">
        <x:v>4.93</x:v>
      </x:c>
      <x:c r="M574" s="50" t="n">
        <x:v>1.43</x:v>
      </x:c>
      <x:c r="N574" t="str">
        <x:v>RELATÓRIO LEITURAS INCLINOMÉTRICAS - Empreitada THE EDEN, Estoril_ R05_03-11-25.pdf</x:v>
      </x:c>
      <x:c r="O574" t="n">
        <x:v>14</x:v>
      </x:c>
      <x:c r="P574" t="str">
        <x:v>Válida</x:v>
      </x:c>
    </x:row>
    <x:row r="575">
      <x:c r="A575" s="48" t="n">
        <x:v>45964</x:v>
      </x:c>
      <x:c r="B575" t="n">
        <x:v>5</x:v>
      </x:c>
      <x:c r="C575" t="str">
        <x:v>I1</x:v>
      </x:c>
      <x:c r="D575" t="n">
        <x:v>5</x:v>
      </x:c>
      <x:c r="E575" s="50" t="n">
        <x:v>7</x:v>
      </x:c>
      <x:c r="F575" s="50" t="n">
        <x:v>99.95</x:v>
      </x:c>
      <x:c r="G575" s="50" t="n">
        <x:v>-94.04</x:v>
      </x:c>
      <x:c r="H575" s="50" t="n">
        <x:v>-58.12</x:v>
      </x:c>
      <x:c r="I575" s="50" t="n">
        <x:v>53.39</x:v>
      </x:c>
      <x:c r="J575" s="50" t="n">
        <x:v>3.64</x:v>
      </x:c>
      <x:c r="K575" s="50" t="n">
        <x:v>2.73</x:v>
      </x:c>
      <x:c r="L575" s="50" t="n">
        <x:v>4.55</x:v>
      </x:c>
      <x:c r="M575" s="50" t="n">
        <x:v>1.4</x:v>
      </x:c>
      <x:c r="N575" t="str">
        <x:v>RELATÓRIO LEITURAS INCLINOMÉTRICAS - Empreitada THE EDEN, Estoril_ R05_03-11-25.pdf</x:v>
      </x:c>
      <x:c r="O575" t="n">
        <x:v>14</x:v>
      </x:c>
      <x:c r="P575" t="str">
        <x:v>Válida</x:v>
      </x:c>
    </x:row>
    <x:row r="576">
      <x:c r="A576" s="48" t="n">
        <x:v>45964</x:v>
      </x:c>
      <x:c r="B576" t="n">
        <x:v>5</x:v>
      </x:c>
      <x:c r="C576" t="str">
        <x:v>I1</x:v>
      </x:c>
      <x:c r="D576" t="n">
        <x:v>5</x:v>
      </x:c>
      <x:c r="E576" s="50" t="n">
        <x:v>7.5</x:v>
      </x:c>
      <x:c r="F576" s="50" t="n">
        <x:v>60.13</x:v>
      </x:c>
      <x:c r="G576" s="50" t="n">
        <x:v>-54.77</x:v>
      </x:c>
      <x:c r="H576" s="50" t="n">
        <x:v>-53.38</x:v>
      </x:c>
      <x:c r="I576" s="50" t="n">
        <x:v>48.76</x:v>
      </x:c>
      <x:c r="J576" s="50" t="n">
        <x:v>3.53</x:v>
      </x:c>
      <x:c r="K576" s="50" t="n">
        <x:v>2.63</x:v>
      </x:c>
      <x:c r="L576" s="50" t="n">
        <x:v>4.4</x:v>
      </x:c>
      <x:c r="M576" s="50" t="n">
        <x:v>1.36</x:v>
      </x:c>
      <x:c r="N576" t="str">
        <x:v>RELATÓRIO LEITURAS INCLINOMÉTRICAS - Empreitada THE EDEN, Estoril_ R05_03-11-25.pdf</x:v>
      </x:c>
      <x:c r="O576" t="n">
        <x:v>14</x:v>
      </x:c>
      <x:c r="P576" t="str">
        <x:v>Válida</x:v>
      </x:c>
    </x:row>
    <x:row r="577">
      <x:c r="A577" s="48" t="n">
        <x:v>45964</x:v>
      </x:c>
      <x:c r="B577" t="n">
        <x:v>5</x:v>
      </x:c>
      <x:c r="C577" t="str">
        <x:v>I1</x:v>
      </x:c>
      <x:c r="D577" t="n">
        <x:v>5</x:v>
      </x:c>
      <x:c r="E577" s="50" t="n">
        <x:v>8</x:v>
      </x:c>
      <x:c r="F577" s="50" t="n">
        <x:v>39.07</x:v>
      </x:c>
      <x:c r="G577" s="50" t="n">
        <x:v>-30.24</x:v>
      </x:c>
      <x:c r="H577" s="50" t="n">
        <x:v>-40.75</x:v>
      </x:c>
      <x:c r="I577" s="50" t="n">
        <x:v>41.05</x:v>
      </x:c>
      <x:c r="J577" s="50" t="n">
        <x:v>3.29</x:v>
      </x:c>
      <x:c r="K577" s="50" t="n">
        <x:v>2.53</x:v>
      </x:c>
      <x:c r="L577" s="50" t="n">
        <x:v>4.15</x:v>
      </x:c>
      <x:c r="M577" s="50" t="n">
        <x:v>1.35</x:v>
      </x:c>
      <x:c r="N577" t="str">
        <x:v>RELATÓRIO LEITURAS INCLINOMÉTRICAS - Empreitada THE EDEN, Estoril_ R05_03-11-25.pdf</x:v>
      </x:c>
      <x:c r="O577" t="n">
        <x:v>14</x:v>
      </x:c>
      <x:c r="P577" t="str">
        <x:v>Válida</x:v>
      </x:c>
    </x:row>
    <x:row r="578">
      <x:c r="A578" s="48" t="n">
        <x:v>45964</x:v>
      </x:c>
      <x:c r="B578" t="n">
        <x:v>5</x:v>
      </x:c>
      <x:c r="C578" t="str">
        <x:v>I1</x:v>
      </x:c>
      <x:c r="D578" t="n">
        <x:v>5</x:v>
      </x:c>
      <x:c r="E578" s="50" t="n">
        <x:v>8.5</x:v>
      </x:c>
      <x:c r="F578" s="50" t="n">
        <x:v>1.76</x:v>
      </x:c>
      <x:c r="G578" s="50" t="n">
        <x:v>5.04</x:v>
      </x:c>
      <x:c r="H578" s="50" t="n">
        <x:v>-17.38</x:v>
      </x:c>
      <x:c r="I578" s="50" t="n">
        <x:v>13.37</x:v>
      </x:c>
      <x:c r="J578" s="50" t="n">
        <x:v>3.09</x:v>
      </x:c>
      <x:c r="K578" s="50" t="n">
        <x:v>2.36</x:v>
      </x:c>
      <x:c r="L578" s="50" t="n">
        <x:v>3.89</x:v>
      </x:c>
      <x:c r="M578" s="50" t="n">
        <x:v>1.31</x:v>
      </x:c>
      <x:c r="N578" t="str">
        <x:v>RELATÓRIO LEITURAS INCLINOMÉTRICAS - Empreitada THE EDEN, Estoril_ R05_03-11-25.pdf</x:v>
      </x:c>
      <x:c r="O578" t="n">
        <x:v>14</x:v>
      </x:c>
      <x:c r="P578" t="str">
        <x:v>Válida</x:v>
      </x:c>
    </x:row>
    <x:row r="579">
      <x:c r="A579" s="48" t="n">
        <x:v>45964</x:v>
      </x:c>
      <x:c r="B579" t="n">
        <x:v>5</x:v>
      </x:c>
      <x:c r="C579" t="str">
        <x:v>I1</x:v>
      </x:c>
      <x:c r="D579" t="n">
        <x:v>5</x:v>
      </x:c>
      <x:c r="E579" s="50" t="n">
        <x:v>9</x:v>
      </x:c>
      <x:c r="F579" s="50" t="n">
        <x:v>-43.55</x:v>
      </x:c>
      <x:c r="G579" s="50" t="n">
        <x:v>51.46</x:v>
      </x:c>
      <x:c r="H579" s="50" t="n">
        <x:v>2.2</x:v>
      </x:c>
      <x:c r="I579" s="50" t="n">
        <x:v>-3.13</x:v>
      </x:c>
      <x:c r="J579" s="50" t="n">
        <x:v>2.95</x:v>
      </x:c>
      <x:c r="K579" s="50" t="n">
        <x:v>2.26</x:v>
      </x:c>
      <x:c r="L579" s="50" t="n">
        <x:v>3.72</x:v>
      </x:c>
      <x:c r="M579" s="50" t="n">
        <x:v>1.25</x:v>
      </x:c>
      <x:c r="N579" t="str">
        <x:v>RELATÓRIO LEITURAS INCLINOMÉTRICAS - Empreitada THE EDEN, Estoril_ R05_03-11-25.pdf</x:v>
      </x:c>
      <x:c r="O579" t="n">
        <x:v>14</x:v>
      </x:c>
      <x:c r="P579" t="str">
        <x:v>Válida</x:v>
      </x:c>
    </x:row>
    <x:row r="580">
      <x:c r="A580" s="48" t="n">
        <x:v>45964</x:v>
      </x:c>
      <x:c r="B580" t="n">
        <x:v>5</x:v>
      </x:c>
      <x:c r="C580" t="str">
        <x:v>I1</x:v>
      </x:c>
      <x:c r="D580" t="n">
        <x:v>5</x:v>
      </x:c>
      <x:c r="E580" s="50" t="n">
        <x:v>9.5</x:v>
      </x:c>
      <x:c r="F580" s="50" t="n">
        <x:v>-111</x:v>
      </x:c>
      <x:c r="G580" s="50" t="n">
        <x:v>115.23</x:v>
      </x:c>
      <x:c r="H580" s="50" t="n">
        <x:v>18.2</x:v>
      </x:c>
      <x:c r="I580" s="50" t="n">
        <x:v>-22.36</x:v>
      </x:c>
      <x:c r="J580" s="50" t="n">
        <x:v>2.85</x:v>
      </x:c>
      <x:c r="K580" s="50" t="n">
        <x:v>2.18</x:v>
      </x:c>
      <x:c r="L580" s="50" t="n">
        <x:v>3.59</x:v>
      </x:c>
      <x:c r="M580" s="50" t="n">
        <x:v>1.2</x:v>
      </x:c>
      <x:c r="N580" t="str">
        <x:v>RELATÓRIO LEITURAS INCLINOMÉTRICAS - Empreitada THE EDEN, Estoril_ R05_03-11-25.pdf</x:v>
      </x:c>
      <x:c r="O580" t="n">
        <x:v>14</x:v>
      </x:c>
      <x:c r="P580" t="str">
        <x:v>Válida</x:v>
      </x:c>
    </x:row>
    <x:row r="581">
      <x:c r="A581" s="48" t="n">
        <x:v>45964</x:v>
      </x:c>
      <x:c r="B581" t="n">
        <x:v>5</x:v>
      </x:c>
      <x:c r="C581" t="str">
        <x:v>I1</x:v>
      </x:c>
      <x:c r="D581" t="n">
        <x:v>5</x:v>
      </x:c>
      <x:c r="E581" s="50" t="n">
        <x:v>10</x:v>
      </x:c>
      <x:c r="F581" s="50" t="n">
        <x:v>-201.2</x:v>
      </x:c>
      <x:c r="G581" s="50" t="n">
        <x:v>210.53</x:v>
      </x:c>
      <x:c r="H581" s="50" t="n">
        <x:v>-54.54</x:v>
      </x:c>
      <x:c r="I581" s="50" t="n">
        <x:v>52.96</x:v>
      </x:c>
      <x:c r="J581" s="50" t="n">
        <x:v>2.67</x:v>
      </x:c>
      <x:c r="K581" s="50" t="n">
        <x:v>2.12</x:v>
      </x:c>
      <x:c r="L581" s="50" t="n">
        <x:v>3.41</x:v>
      </x:c>
      <x:c r="M581" s="50" t="n">
        <x:v>1.17</x:v>
      </x:c>
      <x:c r="N581" t="str">
        <x:v>RELATÓRIO LEITURAS INCLINOMÉTRICAS - Empreitada THE EDEN, Estoril_ R05_03-11-25.pdf</x:v>
      </x:c>
      <x:c r="O581" t="n">
        <x:v>14</x:v>
      </x:c>
      <x:c r="P581" t="str">
        <x:v>Válida</x:v>
      </x:c>
    </x:row>
    <x:row r="582">
      <x:c r="A582" s="48" t="n">
        <x:v>45964</x:v>
      </x:c>
      <x:c r="B582" t="n">
        <x:v>5</x:v>
      </x:c>
      <x:c r="C582" t="str">
        <x:v>I1</x:v>
      </x:c>
      <x:c r="D582" t="n">
        <x:v>5</x:v>
      </x:c>
      <x:c r="E582" s="50" t="n">
        <x:v>10.5</x:v>
      </x:c>
      <x:c r="F582" s="50" t="n">
        <x:v>-194.79</x:v>
      </x:c>
      <x:c r="G582" s="50" t="n">
        <x:v>202.25</x:v>
      </x:c>
      <x:c r="H582" s="50" t="n">
        <x:v>-38.89</x:v>
      </x:c>
      <x:c r="I582" s="50" t="n">
        <x:v>36.89</x:v>
      </x:c>
      <x:c r="J582" s="50" t="n">
        <x:v>2.42</x:v>
      </x:c>
      <x:c r="K582" s="50" t="n">
        <x:v>1.93</x:v>
      </x:c>
      <x:c r="L582" s="50" t="n">
        <x:v>3.1</x:v>
      </x:c>
      <x:c r="M582" s="50" t="n">
        <x:v>1.17</x:v>
      </x:c>
      <x:c r="N582" t="str">
        <x:v>RELATÓRIO LEITURAS INCLINOMÉTRICAS - Empreitada THE EDEN, Estoril_ R05_03-11-25.pdf</x:v>
      </x:c>
      <x:c r="O582" t="n">
        <x:v>14</x:v>
      </x:c>
      <x:c r="P582" t="str">
        <x:v>Válida</x:v>
      </x:c>
    </x:row>
    <x:row r="583">
      <x:c r="A583" s="48" t="n">
        <x:v>45964</x:v>
      </x:c>
      <x:c r="B583" t="n">
        <x:v>5</x:v>
      </x:c>
      <x:c r="C583" t="str">
        <x:v>I1</x:v>
      </x:c>
      <x:c r="D583" t="n">
        <x:v>5</x:v>
      </x:c>
      <x:c r="E583" s="50" t="n">
        <x:v>11</x:v>
      </x:c>
      <x:c r="F583" s="50" t="n">
        <x:v>-172.13</x:v>
      </x:c>
      <x:c r="G583" s="50" t="n">
        <x:v>174.31</x:v>
      </x:c>
      <x:c r="H583" s="50" t="n">
        <x:v>9.37</x:v>
      </x:c>
      <x:c r="I583" s="50" t="n">
        <x:v>-11.78</x:v>
      </x:c>
      <x:c r="J583" s="50" t="n">
        <x:v>2.31</x:v>
      </x:c>
      <x:c r="K583" s="50" t="n">
        <x:v>1.97</x:v>
      </x:c>
      <x:c r="L583" s="50" t="n">
        <x:v>3.03</x:v>
      </x:c>
      <x:c r="M583" s="50" t="n">
        <x:v>1.2</x:v>
      </x:c>
      <x:c r="N583" t="str">
        <x:v>RELATÓRIO LEITURAS INCLINOMÉTRICAS - Empreitada THE EDEN, Estoril_ R05_03-11-25.pdf</x:v>
      </x:c>
      <x:c r="O583" t="n">
        <x:v>14</x:v>
      </x:c>
      <x:c r="P583" t="str">
        <x:v>Válida</x:v>
      </x:c>
    </x:row>
    <x:row r="584">
      <x:c r="A584" s="48" t="n">
        <x:v>45964</x:v>
      </x:c>
      <x:c r="B584" t="n">
        <x:v>5</x:v>
      </x:c>
      <x:c r="C584" t="str">
        <x:v>I1</x:v>
      </x:c>
      <x:c r="D584" t="n">
        <x:v>5</x:v>
      </x:c>
      <x:c r="E584" s="50" t="n">
        <x:v>11.5</x:v>
      </x:c>
      <x:c r="F584" s="50" t="n">
        <x:v>-78.82</x:v>
      </x:c>
      <x:c r="G584" s="50" t="n">
        <x:v>82.7</x:v>
      </x:c>
      <x:c r="H584" s="50" t="n">
        <x:v>-4.79</x:v>
      </x:c>
      <x:c r="I584" s="50" t="n">
        <x:v>-17.23</x:v>
      </x:c>
      <x:c r="J584" s="50" t="n">
        <x:v>2.21</x:v>
      </x:c>
      <x:c r="K584" s="50" t="n">
        <x:v>2.11</x:v>
      </x:c>
      <x:c r="L584" s="50" t="n">
        <x:v>3.06</x:v>
      </x:c>
      <x:c r="M584" s="50" t="n">
        <x:v>1.25</x:v>
      </x:c>
      <x:c r="N584" t="str">
        <x:v>RELATÓRIO LEITURAS INCLINOMÉTRICAS - Empreitada THE EDEN, Estoril_ R05_03-11-25.pdf</x:v>
      </x:c>
      <x:c r="O584" t="n">
        <x:v>14</x:v>
      </x:c>
      <x:c r="P584" t="str">
        <x:v>Válida</x:v>
      </x:c>
    </x:row>
    <x:row r="585">
      <x:c r="A585" s="48" t="n">
        <x:v>45964</x:v>
      </x:c>
      <x:c r="B585" t="n">
        <x:v>5</x:v>
      </x:c>
      <x:c r="C585" t="str">
        <x:v>I1</x:v>
      </x:c>
      <x:c r="D585" t="n">
        <x:v>5</x:v>
      </x:c>
      <x:c r="E585" s="50" t="n">
        <x:v>12</x:v>
      </x:c>
      <x:c r="F585" s="50" t="n">
        <x:v>-145.23</x:v>
      </x:c>
      <x:c r="G585" s="50" t="n">
        <x:v>155.72</x:v>
      </x:c>
      <x:c r="H585" s="50" t="n">
        <x:v>-12.3</x:v>
      </x:c>
      <x:c r="I585" s="50" t="n">
        <x:v>11.39</x:v>
      </x:c>
      <x:c r="J585" s="50" t="n">
        <x:v>2.1</x:v>
      </x:c>
      <x:c r="K585" s="50" t="n">
        <x:v>1.99</x:v>
      </x:c>
      <x:c r="L585" s="50" t="n">
        <x:v>2.89</x:v>
      </x:c>
      <x:c r="M585" s="50" t="n">
        <x:v>1</x:v>
      </x:c>
      <x:c r="N585" t="str">
        <x:v>RELATÓRIO LEITURAS INCLINOMÉTRICAS - Empreitada THE EDEN, Estoril_ R05_03-11-25.pdf</x:v>
      </x:c>
      <x:c r="O585" t="n">
        <x:v>14</x:v>
      </x:c>
      <x:c r="P585" t="str">
        <x:v>Válida</x:v>
      </x:c>
    </x:row>
    <x:row r="586">
      <x:c r="A586" s="48" t="n">
        <x:v>45964</x:v>
      </x:c>
      <x:c r="B586" t="n">
        <x:v>5</x:v>
      </x:c>
      <x:c r="C586" t="str">
        <x:v>I1</x:v>
      </x:c>
      <x:c r="D586" t="n">
        <x:v>5</x:v>
      </x:c>
      <x:c r="E586" s="50" t="n">
        <x:v>12.5</x:v>
      </x:c>
      <x:c r="F586" s="50" t="n">
        <x:v>-134.8</x:v>
      </x:c>
      <x:c r="G586" s="50" t="n">
        <x:v>138.68</x:v>
      </x:c>
      <x:c r="H586" s="50" t="n">
        <x:v>51.71</x:v>
      </x:c>
      <x:c r="I586" s="50" t="n">
        <x:v>-47.03</x:v>
      </x:c>
      <x:c r="J586" s="50" t="n">
        <x:v>2.06</x:v>
      </x:c>
      <x:c r="K586" s="50" t="n">
        <x:v>1.91</x:v>
      </x:c>
      <x:c r="L586" s="50" t="n">
        <x:v>2.8</x:v>
      </x:c>
      <x:c r="M586" s="50" t="n">
        <x:v>0.98</x:v>
      </x:c>
      <x:c r="N586" t="str">
        <x:v>RELATÓRIO LEITURAS INCLINOMÉTRICAS - Empreitada THE EDEN, Estoril_ R05_03-11-25.pdf</x:v>
      </x:c>
      <x:c r="O586" t="n">
        <x:v>14</x:v>
      </x:c>
      <x:c r="P586" t="str">
        <x:v>Válida</x:v>
      </x:c>
    </x:row>
    <x:row r="587">
      <x:c r="A587" s="48" t="n">
        <x:v>45964</x:v>
      </x:c>
      <x:c r="B587" t="n">
        <x:v>5</x:v>
      </x:c>
      <x:c r="C587" t="str">
        <x:v>I1</x:v>
      </x:c>
      <x:c r="D587" t="n">
        <x:v>5</x:v>
      </x:c>
      <x:c r="E587" s="50" t="n">
        <x:v>13</x:v>
      </x:c>
      <x:c r="F587" s="50" t="n">
        <x:v>-63.17</x:v>
      </x:c>
      <x:c r="G587" s="50" t="n">
        <x:v>70.55</x:v>
      </x:c>
      <x:c r="H587" s="50" t="n">
        <x:v>47.44</x:v>
      </x:c>
      <x:c r="I587" s="50" t="n">
        <x:v>-40.88</x:v>
      </x:c>
      <x:c r="J587" s="50" t="n">
        <x:v>2</x:v>
      </x:c>
      <x:c r="K587" s="50" t="n">
        <x:v>1.91</x:v>
      </x:c>
      <x:c r="L587" s="50" t="n">
        <x:v>2.76</x:v>
      </x:c>
      <x:c r="M587" s="50" t="n">
        <x:v>1.02</x:v>
      </x:c>
      <x:c r="N587" t="str">
        <x:v>RELATÓRIO LEITURAS INCLINOMÉTRICAS - Empreitada THE EDEN, Estoril_ R05_03-11-25.pdf</x:v>
      </x:c>
      <x:c r="O587" t="n">
        <x:v>14</x:v>
      </x:c>
      <x:c r="P587" t="str">
        <x:v>Válida</x:v>
      </x:c>
    </x:row>
    <x:row r="588">
      <x:c r="A588" s="48" t="n">
        <x:v>45964</x:v>
      </x:c>
      <x:c r="B588" t="n">
        <x:v>5</x:v>
      </x:c>
      <x:c r="C588" t="str">
        <x:v>I1</x:v>
      </x:c>
      <x:c r="D588" t="n">
        <x:v>5</x:v>
      </x:c>
      <x:c r="E588" s="50" t="n">
        <x:v>13.5</x:v>
      </x:c>
      <x:c r="F588" s="50" t="n">
        <x:v>-51.61</x:v>
      </x:c>
      <x:c r="G588" s="50" t="n">
        <x:v>58.33</x:v>
      </x:c>
      <x:c r="H588" s="50" t="n">
        <x:v>61.14</x:v>
      </x:c>
      <x:c r="I588" s="50" t="n">
        <x:v>-60.75</x:v>
      </x:c>
      <x:c r="J588" s="50" t="n">
        <x:v>1.79</x:v>
      </x:c>
      <x:c r="K588" s="50" t="n">
        <x:v>1.9</x:v>
      </x:c>
      <x:c r="L588" s="50" t="n">
        <x:v>2.61</x:v>
      </x:c>
      <x:c r="M588" s="50" t="n">
        <x:v>1.07</x:v>
      </x:c>
      <x:c r="N588" t="str">
        <x:v>RELATÓRIO LEITURAS INCLINOMÉTRICAS - Empreitada THE EDEN, Estoril_ R05_03-11-25.pdf</x:v>
      </x:c>
      <x:c r="O588" t="n">
        <x:v>14</x:v>
      </x:c>
      <x:c r="P588" t="str">
        <x:v>Válida</x:v>
      </x:c>
    </x:row>
    <x:row r="589">
      <x:c r="A589" s="48" t="n">
        <x:v>45964</x:v>
      </x:c>
      <x:c r="B589" t="n">
        <x:v>5</x:v>
      </x:c>
      <x:c r="C589" t="str">
        <x:v>I1</x:v>
      </x:c>
      <x:c r="D589" t="n">
        <x:v>5</x:v>
      </x:c>
      <x:c r="E589" s="50" t="n">
        <x:v>14</x:v>
      </x:c>
      <x:c r="F589" s="50" t="n">
        <x:v>-51.67</x:v>
      </x:c>
      <x:c r="G589" s="50" t="n">
        <x:v>56.23</x:v>
      </x:c>
      <x:c r="H589" s="50" t="n">
        <x:v>81.69</x:v>
      </x:c>
      <x:c r="I589" s="50" t="n">
        <x:v>-62.92</x:v>
      </x:c>
      <x:c r="J589" s="50" t="n">
        <x:v>1.45</x:v>
      </x:c>
      <x:c r="K589" s="50" t="n">
        <x:v>1.88</x:v>
      </x:c>
      <x:c r="L589" s="50" t="n">
        <x:v>2.37</x:v>
      </x:c>
      <x:c r="M589" s="50" t="n">
        <x:v>1.14</x:v>
      </x:c>
      <x:c r="N589" t="str">
        <x:v>RELATÓRIO LEITURAS INCLINOMÉTRICAS - Empreitada THE EDEN, Estoril_ R05_03-11-25.pdf</x:v>
      </x:c>
      <x:c r="O589" t="n">
        <x:v>14</x:v>
      </x:c>
      <x:c r="P589" t="str">
        <x:v>Válida</x:v>
      </x:c>
    </x:row>
    <x:row r="590">
      <x:c r="A590" s="48" t="n">
        <x:v>45964</x:v>
      </x:c>
      <x:c r="B590" t="n">
        <x:v>5</x:v>
      </x:c>
      <x:c r="C590" t="str">
        <x:v>I1</x:v>
      </x:c>
      <x:c r="D590" t="n">
        <x:v>5</x:v>
      </x:c>
      <x:c r="E590" s="50" t="n">
        <x:v>14.5</x:v>
      </x:c>
      <x:c r="F590" s="50" t="n">
        <x:v>-42</x:v>
      </x:c>
      <x:c r="G590" s="50" t="n">
        <x:v>47.24</x:v>
      </x:c>
      <x:c r="H590" s="50" t="n">
        <x:v>105.78</x:v>
      </x:c>
      <x:c r="I590" s="50" t="n">
        <x:v>-94.46</x:v>
      </x:c>
      <x:c r="J590" s="50" t="n">
        <x:v>1.08</x:v>
      </x:c>
      <x:c r="K590" s="50" t="n">
        <x:v>1.53</x:v>
      </x:c>
      <x:c r="L590" s="50" t="n">
        <x:v>1.87</x:v>
      </x:c>
      <x:c r="M590" s="50" t="n">
        <x:v>1</x:v>
      </x:c>
      <x:c r="N590" t="str">
        <x:v>RELATÓRIO LEITURAS INCLINOMÉTRICAS - Empreitada THE EDEN, Estoril_ R05_03-11-25.pdf</x:v>
      </x:c>
      <x:c r="O590" t="n">
        <x:v>14</x:v>
      </x:c>
      <x:c r="P590" t="str">
        <x:v>Válida</x:v>
      </x:c>
    </x:row>
    <x:row r="591">
      <x:c r="A591" s="48" t="n">
        <x:v>45964</x:v>
      </x:c>
      <x:c r="B591" t="n">
        <x:v>5</x:v>
      </x:c>
      <x:c r="C591" t="str">
        <x:v>I1</x:v>
      </x:c>
      <x:c r="D591" t="n">
        <x:v>5</x:v>
      </x:c>
      <x:c r="E591" s="50" t="n">
        <x:v>15</x:v>
      </x:c>
      <x:c r="F591" s="50" t="n">
        <x:v>-9.72</x:v>
      </x:c>
      <x:c r="G591" s="50" t="n">
        <x:v>16.38</x:v>
      </x:c>
      <x:c r="H591" s="50" t="n">
        <x:v>118.48</x:v>
      </x:c>
      <x:c r="I591" s="50" t="n">
        <x:v>-109.22</x:v>
      </x:c>
      <x:c r="J591" s="50" t="n">
        <x:v>0.75</x:v>
      </x:c>
      <x:c r="K591" s="50" t="n">
        <x:v>1.37</x:v>
      </x:c>
      <x:c r="L591" s="50" t="n">
        <x:v>1.56</x:v>
      </x:c>
      <x:c r="M591" s="50" t="n">
        <x:v>1</x:v>
      </x:c>
      <x:c r="N591" t="str">
        <x:v>RELATÓRIO LEITURAS INCLINOMÉTRICAS - Empreitada THE EDEN, Estoril_ R05_03-11-25.pdf</x:v>
      </x:c>
      <x:c r="O591" t="n">
        <x:v>14</x:v>
      </x:c>
      <x:c r="P591" t="str">
        <x:v>Válida</x:v>
      </x:c>
    </x:row>
    <x:row r="592">
      <x:c r="A592" s="48" t="n">
        <x:v>45964</x:v>
      </x:c>
      <x:c r="B592" t="n">
        <x:v>5</x:v>
      </x:c>
      <x:c r="C592" t="str">
        <x:v>I1</x:v>
      </x:c>
      <x:c r="D592" t="n">
        <x:v>5</x:v>
      </x:c>
      <x:c r="E592" s="50" t="n">
        <x:v>15.5</x:v>
      </x:c>
      <x:c r="F592" s="50" t="n">
        <x:v>-35.36</x:v>
      </x:c>
      <x:c r="G592" s="50" t="n">
        <x:v>36.15</x:v>
      </x:c>
      <x:c r="H592" s="50" t="n">
        <x:v>112.92</x:v>
      </x:c>
      <x:c r="I592" s="50" t="n">
        <x:v>-105.81</x:v>
      </x:c>
      <x:c r="J592" s="50" t="n">
        <x:v>0.53</x:v>
      </x:c>
      <x:c r="K592" s="50" t="n">
        <x:v>1.2</x:v>
      </x:c>
      <x:c r="L592" s="50" t="n">
        <x:v>1.31</x:v>
      </x:c>
      <x:c r="M592" s="50" t="n">
        <x:v>0.98</x:v>
      </x:c>
      <x:c r="N592" t="str">
        <x:v>RELATÓRIO LEITURAS INCLINOMÉTRICAS - Empreitada THE EDEN, Estoril_ R05_03-11-25.pdf</x:v>
      </x:c>
      <x:c r="O592" t="n">
        <x:v>14</x:v>
      </x:c>
      <x:c r="P592" t="str">
        <x:v>Válida</x:v>
      </x:c>
    </x:row>
    <x:row r="593">
      <x:c r="A593" s="48" t="n">
        <x:v>45964</x:v>
      </x:c>
      <x:c r="B593" t="n">
        <x:v>5</x:v>
      </x:c>
      <x:c r="C593" t="str">
        <x:v>I1</x:v>
      </x:c>
      <x:c r="D593" t="n">
        <x:v>5</x:v>
      </x:c>
      <x:c r="E593" s="50" t="n">
        <x:v>16</x:v>
      </x:c>
      <x:c r="F593" s="50" t="n">
        <x:v>-16.13</x:v>
      </x:c>
      <x:c r="G593" s="50" t="n">
        <x:v>21.35</x:v>
      </x:c>
      <x:c r="H593" s="50" t="n">
        <x:v>-34.1</x:v>
      </x:c>
      <x:c r="I593" s="50" t="n">
        <x:v>32.52</x:v>
      </x:c>
      <x:c r="J593" s="50" t="n">
        <x:v>-0.05</x:v>
      </x:c>
      <x:c r="K593" s="50" t="n">
        <x:v>0.53</x:v>
      </x:c>
      <x:c r="L593" s="50" t="n">
        <x:v>0.53</x:v>
      </x:c>
      <x:c r="M593" s="50" t="n">
        <x:v>0.2</x:v>
      </x:c>
      <x:c r="N593" t="str">
        <x:v>RELATÓRIO LEITURAS INCLINOMÉTRICAS - Empreitada THE EDEN, Estoril_ R05_03-11-25.pdf</x:v>
      </x:c>
      <x:c r="O593" t="n">
        <x:v>14</x:v>
      </x:c>
      <x:c r="P593" t="str">
        <x:v>Válida</x:v>
      </x:c>
    </x:row>
    <x:row r="594">
      <x:c r="A594" s="48" t="n">
        <x:v>45964</x:v>
      </x:c>
      <x:c r="B594" t="n">
        <x:v>5</x:v>
      </x:c>
      <x:c r="C594" t="str">
        <x:v>I1</x:v>
      </x:c>
      <x:c r="D594" t="n">
        <x:v>5</x:v>
      </x:c>
      <x:c r="E594" s="50" t="n">
        <x:v>16.5</x:v>
      </x:c>
      <x:c r="F594" s="50" t="n">
        <x:v>4.22</x:v>
      </x:c>
      <x:c r="G594" s="50" t="n">
        <x:v>1.12</x:v>
      </x:c>
      <x:c r="H594" s="50" t="n">
        <x:v>-13.07</x:v>
      </x:c>
      <x:c r="I594" s="50" t="n">
        <x:v>18.15</x:v>
      </x:c>
      <x:c r="J594" s="50" t="n">
        <x:v>-0.04</x:v>
      </x:c>
      <x:c r="K594" s="50" t="n">
        <x:v>0.5</x:v>
      </x:c>
      <x:c r="L594" s="50" t="n">
        <x:v>0.5</x:v>
      </x:c>
      <x:c r="M594" s="50" t="n">
        <x:v>0.2</x:v>
      </x:c>
      <x:c r="N594" t="str">
        <x:v>RELATÓRIO LEITURAS INCLINOMÉTRICAS - Empreitada THE EDEN, Estoril_ R05_03-11-25.pdf</x:v>
      </x:c>
      <x:c r="O594" t="n">
        <x:v>14</x:v>
      </x:c>
      <x:c r="P594" t="str">
        <x:v>Válida</x:v>
      </x:c>
    </x:row>
    <x:row r="595">
      <x:c r="A595" s="48" t="n">
        <x:v>45964</x:v>
      </x:c>
      <x:c r="B595" t="n">
        <x:v>5</x:v>
      </x:c>
      <x:c r="C595" t="str">
        <x:v>I1</x:v>
      </x:c>
      <x:c r="D595" t="n">
        <x:v>5</x:v>
      </x:c>
      <x:c r="E595" s="50" t="n">
        <x:v>17</x:v>
      </x:c>
      <x:c r="F595" s="50" t="n">
        <x:v>15.96</x:v>
      </x:c>
      <x:c r="G595" s="50" t="n">
        <x:v>-11.39</x:v>
      </x:c>
      <x:c r="H595" s="50" t="n">
        <x:v>7.4</x:v>
      </x:c>
      <x:c r="I595" s="50" t="n">
        <x:v>-0.3</x:v>
      </x:c>
      <x:c r="J595" s="50" t="n">
        <x:v>-0.04</x:v>
      </x:c>
      <x:c r="K595" s="50" t="n">
        <x:v>0.52</x:v>
      </x:c>
      <x:c r="L595" s="50" t="n">
        <x:v>0.52</x:v>
      </x:c>
      <x:c r="M595" s="50" t="n">
        <x:v>0.25</x:v>
      </x:c>
      <x:c r="N595" t="str">
        <x:v>RELATÓRIO LEITURAS INCLINOMÉTRICAS - Empreitada THE EDEN, Estoril_ R05_03-11-25.pdf</x:v>
      </x:c>
      <x:c r="O595" t="n">
        <x:v>14</x:v>
      </x:c>
      <x:c r="P595" t="str">
        <x:v>Válida</x:v>
      </x:c>
    </x:row>
    <x:row r="596">
      <x:c r="A596" s="48" t="n">
        <x:v>45964</x:v>
      </x:c>
      <x:c r="B596" t="n">
        <x:v>5</x:v>
      </x:c>
      <x:c r="C596" t="str">
        <x:v>I1</x:v>
      </x:c>
      <x:c r="D596" t="n">
        <x:v>5</x:v>
      </x:c>
      <x:c r="E596" s="50" t="n">
        <x:v>17.5</x:v>
      </x:c>
      <x:c r="F596" s="50" t="n">
        <x:v>-12.28</x:v>
      </x:c>
      <x:c r="G596" s="50" t="n">
        <x:v>16.9</x:v>
      </x:c>
      <x:c r="H596" s="50" t="n">
        <x:v>38.77</x:v>
      </x:c>
      <x:c r="I596" s="50" t="n">
        <x:v>-32.5</x:v>
      </x:c>
      <x:c r="J596" s="50" t="n">
        <x:v>-0.08</x:v>
      </x:c>
      <x:c r="K596" s="50" t="n">
        <x:v>0.69</x:v>
      </x:c>
      <x:c r="L596" s="50" t="n">
        <x:v>0.7</x:v>
      </x:c>
      <x:c r="M596" s="50" t="n">
        <x:v>0.35</x:v>
      </x:c>
      <x:c r="N596" t="str">
        <x:v>RELATÓRIO LEITURAS INCLINOMÉTRICAS - Empreitada THE EDEN, Estoril_ R05_03-11-25.pdf</x:v>
      </x:c>
      <x:c r="O596" t="n">
        <x:v>14</x:v>
      </x:c>
      <x:c r="P596" t="str">
        <x:v>Válida</x:v>
      </x:c>
    </x:row>
    <x:row r="597">
      <x:c r="A597" s="48" t="n">
        <x:v>45964</x:v>
      </x:c>
      <x:c r="B597" t="n">
        <x:v>5</x:v>
      </x:c>
      <x:c r="C597" t="str">
        <x:v>I1</x:v>
      </x:c>
      <x:c r="D597" t="n">
        <x:v>5</x:v>
      </x:c>
      <x:c r="E597" s="50" t="n">
        <x:v>18</x:v>
      </x:c>
      <x:c r="F597" s="50" t="n">
        <x:v>-31.85</x:v>
      </x:c>
      <x:c r="G597" s="50" t="n">
        <x:v>36.31</x:v>
      </x:c>
      <x:c r="H597" s="50" t="n">
        <x:v>53.38</x:v>
      </x:c>
      <x:c r="I597" s="50" t="n">
        <x:v>-46.4</x:v>
      </x:c>
      <x:c r="J597" s="50" t="n">
        <x:v>-0.09</x:v>
      </x:c>
      <x:c r="K597" s="50" t="n">
        <x:v>0.77</x:v>
      </x:c>
      <x:c r="L597" s="50" t="n">
        <x:v>0.78</x:v>
      </x:c>
      <x:c r="M597" s="50" t="n">
        <x:v>0.44</x:v>
      </x:c>
      <x:c r="N597" t="str">
        <x:v>RELATÓRIO LEITURAS INCLINOMÉTRICAS - Empreitada THE EDEN, Estoril_ R05_03-11-25.pdf</x:v>
      </x:c>
      <x:c r="O597" t="n">
        <x:v>14</x:v>
      </x:c>
      <x:c r="P597" t="str">
        <x:v>Válida</x:v>
      </x:c>
    </x:row>
    <x:row r="598">
      <x:c r="A598" s="48" t="n">
        <x:v>45964</x:v>
      </x:c>
      <x:c r="B598" t="n">
        <x:v>5</x:v>
      </x:c>
      <x:c r="C598" t="str">
        <x:v>I1</x:v>
      </x:c>
      <x:c r="D598" t="n">
        <x:v>5</x:v>
      </x:c>
      <x:c r="E598" s="50" t="n">
        <x:v>18.5</x:v>
      </x:c>
      <x:c r="F598" s="50" t="n">
        <x:v>-34.87</x:v>
      </x:c>
      <x:c r="G598" s="50" t="n">
        <x:v>47.26</x:v>
      </x:c>
      <x:c r="H598" s="50" t="n">
        <x:v>73.45</x:v>
      </x:c>
      <x:c r="I598" s="50" t="n">
        <x:v>-53.48</x:v>
      </x:c>
      <x:c r="J598" s="50" t="n">
        <x:v>-0.12</x:v>
      </x:c>
      <x:c r="K598" s="50" t="n">
        <x:v>0.89</x:v>
      </x:c>
      <x:c r="L598" s="50" t="n">
        <x:v>0.9</x:v>
      </x:c>
      <x:c r="M598" s="50" t="n">
        <x:v>0.48</x:v>
      </x:c>
      <x:c r="N598" t="str">
        <x:v>RELATÓRIO LEITURAS INCLINOMÉTRICAS - Empreitada THE EDEN, Estoril_ R05_03-11-25.pdf</x:v>
      </x:c>
      <x:c r="O598" t="n">
        <x:v>14</x:v>
      </x:c>
      <x:c r="P598" t="str">
        <x:v>Válida</x:v>
      </x:c>
    </x:row>
    <x:row r="599">
      <x:c r="A599" s="48" t="n">
        <x:v>45964</x:v>
      </x:c>
      <x:c r="B599" t="n">
        <x:v>5</x:v>
      </x:c>
      <x:c r="C599" t="str">
        <x:v>I1</x:v>
      </x:c>
      <x:c r="D599" t="n">
        <x:v>5</x:v>
      </x:c>
      <x:c r="E599" s="50" t="n">
        <x:v>19</x:v>
      </x:c>
      <x:c r="F599" s="50" t="n">
        <x:v>-139.55</x:v>
      </x:c>
      <x:c r="G599" s="50" t="n">
        <x:v>137.26</x:v>
      </x:c>
      <x:c r="H599" s="50" t="n">
        <x:v>-34.08</x:v>
      </x:c>
      <x:c r="I599" s="50" t="n">
        <x:v>49.23</x:v>
      </x:c>
      <x:c r="J599" s="50" t="n">
        <x:v>-0.13</x:v>
      </x:c>
      <x:c r="K599" s="50" t="n">
        <x:v>0.85</x:v>
      </x:c>
      <x:c r="L599" s="50" t="n">
        <x:v>0.86</x:v>
      </x:c>
      <x:c r="M599" s="50" t="n">
        <x:v>0.5</x:v>
      </x:c>
      <x:c r="N599" t="str">
        <x:v>RELATÓRIO LEITURAS INCLINOMÉTRICAS - Empreitada THE EDEN, Estoril_ R05_03-11-25.pdf</x:v>
      </x:c>
      <x:c r="O599" t="n">
        <x:v>14</x:v>
      </x:c>
      <x:c r="P599" t="str">
        <x:v>Válida</x:v>
      </x:c>
    </x:row>
    <x:row r="600">
      <x:c r="A600" s="48" t="n">
        <x:v>45964</x:v>
      </x:c>
      <x:c r="B600" t="n">
        <x:v>5</x:v>
      </x:c>
      <x:c r="C600" t="str">
        <x:v>I1</x:v>
      </x:c>
      <x:c r="D600" t="n">
        <x:v>5</x:v>
      </x:c>
      <x:c r="E600" s="50" t="n">
        <x:v>19.5</x:v>
      </x:c>
      <x:c r="F600" s="50" t="n">
        <x:v>-133.2</x:v>
      </x:c>
      <x:c r="G600" s="50" t="n">
        <x:v>137.23</x:v>
      </x:c>
      <x:c r="H600" s="50" t="n">
        <x:v>-51.2</x:v>
      </x:c>
      <x:c r="I600" s="50" t="n">
        <x:v>43.29</x:v>
      </x:c>
      <x:c r="J600" s="50" t="n">
        <x:v>-0.19</x:v>
      </x:c>
      <x:c r="K600" s="50" t="n">
        <x:v>0.76</x:v>
      </x:c>
      <x:c r="L600" s="50" t="n">
        <x:v>0.78</x:v>
      </x:c>
      <x:c r="M600" s="50" t="n">
        <x:v>0.42</x:v>
      </x:c>
      <x:c r="N600" t="str">
        <x:v>RELATÓRIO LEITURAS INCLINOMÉTRICAS - Empreitada THE EDEN, Estoril_ R05_03-11-25.pdf</x:v>
      </x:c>
      <x:c r="O600" t="n">
        <x:v>14</x:v>
      </x:c>
      <x:c r="P600" t="str">
        <x:v>Válida</x:v>
      </x:c>
    </x:row>
    <x:row r="601">
      <x:c r="A601" s="48" t="n">
        <x:v>45964</x:v>
      </x:c>
      <x:c r="B601" t="n">
        <x:v>5</x:v>
      </x:c>
      <x:c r="C601" t="str">
        <x:v>I1</x:v>
      </x:c>
      <x:c r="D601" t="n">
        <x:v>5</x:v>
      </x:c>
      <x:c r="E601" s="50" t="n">
        <x:v>20</x:v>
      </x:c>
      <x:c r="F601" s="50" t="n">
        <x:v>-143.24</x:v>
      </x:c>
      <x:c r="G601" s="50" t="n">
        <x:v>146.4</x:v>
      </x:c>
      <x:c r="H601" s="50" t="n">
        <x:v>-45.12</x:v>
      </x:c>
      <x:c r="I601" s="50" t="n">
        <x:v>37.68</x:v>
      </x:c>
      <x:c r="J601" s="50" t="n">
        <x:v>-0.24</x:v>
      </x:c>
      <x:c r="K601" s="50" t="n">
        <x:v>0.51</x:v>
      </x:c>
      <x:c r="L601" s="50" t="n">
        <x:v>0.56</x:v>
      </x:c>
      <x:c r="M601" s="50" t="n">
        <x:v>0.08</x:v>
      </x:c>
      <x:c r="N601" t="str">
        <x:v>RELATÓRIO LEITURAS INCLINOMÉTRICAS - Empreitada THE EDEN, Estoril_ R05_03-11-25.pdf</x:v>
      </x:c>
      <x:c r="O601" t="n">
        <x:v>14</x:v>
      </x:c>
      <x:c r="P601" t="str">
        <x:v>Válida</x:v>
      </x:c>
    </x:row>
    <x:row r="602">
      <x:c r="A602" s="48" t="n">
        <x:v>45964</x:v>
      </x:c>
      <x:c r="B602" t="n">
        <x:v>5</x:v>
      </x:c>
      <x:c r="C602" t="str">
        <x:v>I1</x:v>
      </x:c>
      <x:c r="D602" t="n">
        <x:v>5</x:v>
      </x:c>
      <x:c r="E602" s="50" t="n">
        <x:v>20.5</x:v>
      </x:c>
      <x:c r="F602" s="50" t="n">
        <x:v>-167.92</x:v>
      </x:c>
      <x:c r="G602" s="50" t="n">
        <x:v>172.17</x:v>
      </x:c>
      <x:c r="H602" s="50" t="n">
        <x:v>-31.59</x:v>
      </x:c>
      <x:c r="I602" s="50" t="n">
        <x:v>17.84</x:v>
      </x:c>
      <x:c r="J602" s="50" t="n">
        <x:v>-0.27</x:v>
      </x:c>
      <x:c r="K602" s="50" t="n">
        <x:v>0.41</x:v>
      </x:c>
      <x:c r="L602" s="50" t="n">
        <x:v>0.49</x:v>
      </x:c>
      <x:c r="M602" s="50" t="n">
        <x:v>0.05</x:v>
      </x:c>
      <x:c r="N602" t="str">
        <x:v>RELATÓRIO LEITURAS INCLINOMÉTRICAS - Empreitada THE EDEN, Estoril_ R05_03-11-25.pdf</x:v>
      </x:c>
      <x:c r="O602" t="n">
        <x:v>14</x:v>
      </x:c>
      <x:c r="P602" t="str">
        <x:v>Válida</x:v>
      </x:c>
    </x:row>
    <x:row r="603">
      <x:c r="A603" s="48" t="n">
        <x:v>45964</x:v>
      </x:c>
      <x:c r="B603" t="n">
        <x:v>5</x:v>
      </x:c>
      <x:c r="C603" t="str">
        <x:v>I1</x:v>
      </x:c>
      <x:c r="D603" t="n">
        <x:v>5</x:v>
      </x:c>
      <x:c r="E603" s="50" t="n">
        <x:v>21</x:v>
      </x:c>
      <x:c r="F603" s="50" t="n">
        <x:v>-156.22</x:v>
      </x:c>
      <x:c r="G603" s="50" t="n">
        <x:v>158.15</x:v>
      </x:c>
      <x:c r="H603" s="50" t="n">
        <x:v>-17.94</x:v>
      </x:c>
      <x:c r="I603" s="50" t="n">
        <x:v>6.94</x:v>
      </x:c>
      <x:c r="J603" s="50" t="n">
        <x:v>-0.29</x:v>
      </x:c>
      <x:c r="K603" s="50" t="n">
        <x:v>0.29</x:v>
      </x:c>
      <x:c r="L603" s="50" t="n">
        <x:v>0.41</x:v>
      </x:c>
      <x:c r="M603" s="50" t="n">
        <x:v>-0.04</x:v>
      </x:c>
      <x:c r="N603" t="str">
        <x:v>RELATÓRIO LEITURAS INCLINOMÉTRICAS - Empreitada THE EDEN, Estoril_ R05_03-11-25.pdf</x:v>
      </x:c>
      <x:c r="O603" t="n">
        <x:v>14</x:v>
      </x:c>
      <x:c r="P603" t="str">
        <x:v>Válida</x:v>
      </x:c>
    </x:row>
    <x:row r="604">
      <x:c r="A604" s="48" t="n">
        <x:v>45964</x:v>
      </x:c>
      <x:c r="B604" t="n">
        <x:v>5</x:v>
      </x:c>
      <x:c r="C604" t="str">
        <x:v>I1</x:v>
      </x:c>
      <x:c r="D604" t="n">
        <x:v>5</x:v>
      </x:c>
      <x:c r="E604" s="50" t="n">
        <x:v>21.5</x:v>
      </x:c>
      <x:c r="F604" s="50" t="n">
        <x:v>-76.1</x:v>
      </x:c>
      <x:c r="G604" s="50" t="n">
        <x:v>83.39</x:v>
      </x:c>
      <x:c r="H604" s="50" t="n">
        <x:v>-15.13</x:v>
      </x:c>
      <x:c r="I604" s="50" t="n">
        <x:v>29.9</x:v>
      </x:c>
      <x:c r="J604" s="50" t="n">
        <x:v>-0.3</x:v>
      </x:c>
      <x:c r="K604" s="50" t="n">
        <x:v>0.44</x:v>
      </x:c>
      <x:c r="L604" s="50" t="n">
        <x:v>0.53</x:v>
      </x:c>
      <x:c r="M604" s="50" t="n">
        <x:v>-0.13</x:v>
      </x:c>
      <x:c r="N604" t="str">
        <x:v>RELATÓRIO LEITURAS INCLINOMÉTRICAS - Empreitada THE EDEN, Estoril_ R05_03-11-25.pdf</x:v>
      </x:c>
      <x:c r="O604" t="n">
        <x:v>14</x:v>
      </x:c>
      <x:c r="P604" t="str">
        <x:v>Válida</x:v>
      </x:c>
    </x:row>
    <x:row r="605">
      <x:c r="A605" s="48" t="n">
        <x:v>45964</x:v>
      </x:c>
      <x:c r="B605" t="n">
        <x:v>5</x:v>
      </x:c>
      <x:c r="C605" t="str">
        <x:v>I1</x:v>
      </x:c>
      <x:c r="D605" t="n">
        <x:v>5</x:v>
      </x:c>
      <x:c r="E605" s="50" t="n">
        <x:v>22</x:v>
      </x:c>
      <x:c r="F605" s="50" t="n">
        <x:v>5.76</x:v>
      </x:c>
      <x:c r="G605" s="50" t="n">
        <x:v>-4.77</x:v>
      </x:c>
      <x:c r="H605" s="50" t="n">
        <x:v>-102.57</x:v>
      </x:c>
      <x:c r="I605" s="50" t="n">
        <x:v>96.04</x:v>
      </x:c>
      <x:c r="J605" s="50" t="n">
        <x:v>-0.34</x:v>
      </x:c>
      <x:c r="K605" s="50" t="n">
        <x:v>0.49</x:v>
      </x:c>
      <x:c r="L605" s="50" t="n">
        <x:v>0.6</x:v>
      </x:c>
      <x:c r="M605" s="50" t="n">
        <x:v>-0.16</x:v>
      </x:c>
      <x:c r="N605" t="str">
        <x:v>RELATÓRIO LEITURAS INCLINOMÉTRICAS - Empreitada THE EDEN, Estoril_ R05_03-11-25.pdf</x:v>
      </x:c>
      <x:c r="O605" t="n">
        <x:v>14</x:v>
      </x:c>
      <x:c r="P605" t="str">
        <x:v>Válida</x:v>
      </x:c>
    </x:row>
    <x:row r="606">
      <x:c r="A606" s="48" t="n">
        <x:v>45964</x:v>
      </x:c>
      <x:c r="B606" t="n">
        <x:v>5</x:v>
      </x:c>
      <x:c r="C606" t="str">
        <x:v>I1</x:v>
      </x:c>
      <x:c r="D606" t="n">
        <x:v>5</x:v>
      </x:c>
      <x:c r="E606" s="50" t="n">
        <x:v>22.5</x:v>
      </x:c>
      <x:c r="F606" s="50" t="n">
        <x:v>-25.32</x:v>
      </x:c>
      <x:c r="G606" s="50" t="n">
        <x:v>28.81</x:v>
      </x:c>
      <x:c r="H606" s="50" t="n">
        <x:v>-51.43</x:v>
      </x:c>
      <x:c r="I606" s="50" t="n">
        <x:v>37.69</x:v>
      </x:c>
      <x:c r="J606" s="50" t="n">
        <x:v>-0.39</x:v>
      </x:c>
      <x:c r="K606" s="50" t="n">
        <x:v>0.56</x:v>
      </x:c>
      <x:c r="L606" s="50" t="n">
        <x:v>0.68</x:v>
      </x:c>
      <x:c r="M606" s="50" t="n">
        <x:v>-0.07</x:v>
      </x:c>
      <x:c r="N606" t="str">
        <x:v>RELATÓRIO LEITURAS INCLINOMÉTRICAS - Empreitada THE EDEN, Estoril_ R05_03-11-25.pdf</x:v>
      </x:c>
      <x:c r="O606" t="n">
        <x:v>14</x:v>
      </x:c>
      <x:c r="P606" t="str">
        <x:v>Válida</x:v>
      </x:c>
    </x:row>
    <x:row r="607">
      <x:c r="A607" s="48" t="n">
        <x:v>45964</x:v>
      </x:c>
      <x:c r="B607" t="n">
        <x:v>5</x:v>
      </x:c>
      <x:c r="C607" t="str">
        <x:v>I1</x:v>
      </x:c>
      <x:c r="D607" t="n">
        <x:v>5</x:v>
      </x:c>
      <x:c r="E607" s="50" t="n">
        <x:v>23</x:v>
      </x:c>
      <x:c r="F607" s="50" t="n">
        <x:v>-45.95</x:v>
      </x:c>
      <x:c r="G607" s="50" t="n">
        <x:v>49.19</x:v>
      </x:c>
      <x:c r="H607" s="50" t="n">
        <x:v>-7.85</x:v>
      </x:c>
      <x:c r="I607" s="50" t="n">
        <x:v>6.1</x:v>
      </x:c>
      <x:c r="J607" s="50" t="n">
        <x:v>-0.44</x:v>
      </x:c>
      <x:c r="K607" s="50" t="n">
        <x:v>0.44</x:v>
      </x:c>
      <x:c r="L607" s="50" t="n">
        <x:v>0.62</x:v>
      </x:c>
      <x:c r="M607" s="50" t="n">
        <x:v>-0.06</x:v>
      </x:c>
      <x:c r="N607" t="str">
        <x:v>RELATÓRIO LEITURAS INCLINOMÉTRICAS - Empreitada THE EDEN, Estoril_ R05_03-11-25.pdf</x:v>
      </x:c>
      <x:c r="O607" t="n">
        <x:v>14</x:v>
      </x:c>
      <x:c r="P607" t="str">
        <x:v>Válida</x:v>
      </x:c>
    </x:row>
    <x:row r="608">
      <x:c r="A608" s="48" t="n">
        <x:v>45964</x:v>
      </x:c>
      <x:c r="B608" t="n">
        <x:v>5</x:v>
      </x:c>
      <x:c r="C608" t="str">
        <x:v>I1</x:v>
      </x:c>
      <x:c r="D608" t="n">
        <x:v>5</x:v>
      </x:c>
      <x:c r="E608" s="50" t="n">
        <x:v>23.5</x:v>
      </x:c>
      <x:c r="F608" s="50" t="n">
        <x:v>-64.2</x:v>
      </x:c>
      <x:c r="G608" s="50" t="n">
        <x:v>69.24</x:v>
      </x:c>
      <x:c r="H608" s="50" t="n">
        <x:v>17.61</x:v>
      </x:c>
      <x:c r="I608" s="50" t="n">
        <x:v>-18.87</x:v>
      </x:c>
      <x:c r="J608" s="50" t="n">
        <x:v>-0.42</x:v>
      </x:c>
      <x:c r="K608" s="50" t="n">
        <x:v>0.26</x:v>
      </x:c>
      <x:c r="L608" s="50" t="n">
        <x:v>0.5</x:v>
      </x:c>
      <x:c r="M608" s="50" t="n">
        <x:v>-0.12</x:v>
      </x:c>
      <x:c r="N608" t="str">
        <x:v>RELATÓRIO LEITURAS INCLINOMÉTRICAS - Empreitada THE EDEN, Estoril_ R05_03-11-25.pdf</x:v>
      </x:c>
      <x:c r="O608" t="n">
        <x:v>14</x:v>
      </x:c>
      <x:c r="P608" t="str">
        <x:v>Válida</x:v>
      </x:c>
    </x:row>
    <x:row r="609">
      <x:c r="A609" s="48" t="n">
        <x:v>45964</x:v>
      </x:c>
      <x:c r="B609" t="n">
        <x:v>5</x:v>
      </x:c>
      <x:c r="C609" t="str">
        <x:v>I1</x:v>
      </x:c>
      <x:c r="D609" t="n">
        <x:v>5</x:v>
      </x:c>
      <x:c r="E609" s="50" t="n">
        <x:v>24</x:v>
      </x:c>
      <x:c r="F609" s="50" t="n">
        <x:v>-88.39</x:v>
      </x:c>
      <x:c r="G609" s="50" t="n">
        <x:v>94.21</x:v>
      </x:c>
      <x:c r="H609" s="50" t="n">
        <x:v>14.17</x:v>
      </x:c>
      <x:c r="I609" s="50" t="n">
        <x:v>-13.46</x:v>
      </x:c>
      <x:c r="J609" s="50" t="n">
        <x:v>-0.39</x:v>
      </x:c>
      <x:c r="K609" s="50" t="n">
        <x:v>0.18</x:v>
      </x:c>
      <x:c r="L609" s="50" t="n">
        <x:v>0.43</x:v>
      </x:c>
      <x:c r="M609" s="50" t="n">
        <x:v>-0.15</x:v>
      </x:c>
      <x:c r="N609" t="str">
        <x:v>RELATÓRIO LEITURAS INCLINOMÉTRICAS - Empreitada THE EDEN, Estoril_ R05_03-11-25.pdf</x:v>
      </x:c>
      <x:c r="O609" t="n">
        <x:v>14</x:v>
      </x:c>
      <x:c r="P609" t="str">
        <x:v>Válida</x:v>
      </x:c>
    </x:row>
    <x:row r="610">
      <x:c r="A610" s="48" t="n">
        <x:v>45964</x:v>
      </x:c>
      <x:c r="B610" t="n">
        <x:v>5</x:v>
      </x:c>
      <x:c r="C610" t="str">
        <x:v>I1</x:v>
      </x:c>
      <x:c r="D610" t="n">
        <x:v>5</x:v>
      </x:c>
      <x:c r="E610" s="50" t="n">
        <x:v>24.5</x:v>
      </x:c>
      <x:c r="F610" s="50" t="n">
        <x:v>-120.06</x:v>
      </x:c>
      <x:c r="G610" s="50" t="n">
        <x:v>88.2</x:v>
      </x:c>
      <x:c r="H610" s="50" t="n">
        <x:v>27.54</x:v>
      </x:c>
      <x:c r="I610" s="50" t="n">
        <x:v>-5.32</x:v>
      </x:c>
      <x:c r="J610" s="50" t="n">
        <x:v>-0.4</x:v>
      </x:c>
      <x:c r="K610" s="50" t="n">
        <x:v>-0.05</x:v>
      </x:c>
      <x:c r="L610" s="50" t="n">
        <x:v>0.41</x:v>
      </x:c>
      <x:c r="M610" s="50" t="n">
        <x:v>-0.17</x:v>
      </x:c>
      <x:c r="N610" t="str">
        <x:v>RELATÓRIO LEITURAS INCLINOMÉTRICAS - Empreitada THE EDEN, Estoril_ R05_03-11-25.pdf</x:v>
      </x:c>
      <x:c r="O610" t="n">
        <x:v>14</x:v>
      </x:c>
      <x:c r="P610" t="str">
        <x:v>Válida</x:v>
      </x:c>
    </x:row>
    <x:row r="611">
      <x:c r="A611" s="48" t="n">
        <x:v>45964</x:v>
      </x:c>
      <x:c r="B611" t="n">
        <x:v>5</x:v>
      </x:c>
      <x:c r="C611" t="str">
        <x:v>I1</x:v>
      </x:c>
      <x:c r="D611" t="n">
        <x:v>5</x:v>
      </x:c>
      <x:c r="E611" s="50" t="n">
        <x:v>25</x:v>
      </x:c>
      <x:c r="F611" s="50" t="n">
        <x:v>-105.6</x:v>
      </x:c>
      <x:c r="G611" s="50" t="n">
        <x:v>145.38</x:v>
      </x:c>
      <x:c r="H611" s="50" t="n">
        <x:v>-26.76</x:v>
      </x:c>
      <x:c r="I611" s="50" t="n">
        <x:v>50.53</x:v>
      </x:c>
      <x:c r="J611" s="50" t="n">
        <x:v>0</x:v>
      </x:c>
      <x:c r="K611" s="50" t="n">
        <x:v>0.07</x:v>
      </x:c>
      <x:c r="L611" s="50" t="n">
        <x:v>0.07</x:v>
      </x:c>
      <x:c r="M611" s="50" t="n">
        <x:v>-0.58</x:v>
      </x:c>
      <x:c r="N611" t="str">
        <x:v>RELATÓRIO LEITURAS INCLINOMÉTRICAS - Empreitada THE EDEN, Estoril_ R05_03-11-25.pdf</x:v>
      </x:c>
      <x:c r="O611" t="n">
        <x:v>14</x:v>
      </x:c>
      <x:c r="P611" t="str">
        <x:v>Válida</x:v>
      </x:c>
    </x:row>
    <x:row r="612">
      <x:c r="A612" s="48" t="n">
        <x:v>45964</x:v>
      </x:c>
      <x:c r="B612" t="n">
        <x:v>5</x:v>
      </x:c>
      <x:c r="C612" t="str">
        <x:v>I1</x:v>
      </x:c>
      <x:c r="D612" t="n">
        <x:v>5</x:v>
      </x:c>
      <x:c r="E612" s="50" t="n">
        <x:v>25.5</x:v>
      </x:c>
      <x:c r="F612" s="50" t="n">
        <x:v>-95.05</x:v>
      </x:c>
      <x:c r="G612" s="50" t="n">
        <x:v>100.04</x:v>
      </x:c>
      <x:c r="H612" s="50" t="n">
        <x:v>-41</x:v>
      </x:c>
      <x:c r="I612" s="50" t="n">
        <x:v>39.23</x:v>
      </x:c>
      <x:c r="J612" s="50" t="n">
        <x:v>-0.37</x:v>
      </x:c>
      <x:c r="K612" s="50" t="n">
        <x:v>0.04</x:v>
      </x:c>
      <x:c r="L612" s="50" t="n">
        <x:v>0.37</x:v>
      </x:c>
      <x:c r="M612" s="50" t="n">
        <x:v>-0.23</x:v>
      </x:c>
      <x:c r="N612" t="str">
        <x:v>RELATÓRIO LEITURAS INCLINOMÉTRICAS - Empreitada THE EDEN, Estoril_ R05_03-11-25.pdf</x:v>
      </x:c>
      <x:c r="O612" t="n">
        <x:v>14</x:v>
      </x:c>
      <x:c r="P612" t="str">
        <x:v>Válida</x:v>
      </x:c>
    </x:row>
    <x:row r="613">
      <x:c r="A613" s="48" t="n">
        <x:v>45964</x:v>
      </x:c>
      <x:c r="B613" t="n">
        <x:v>5</x:v>
      </x:c>
      <x:c r="C613" t="str">
        <x:v>I1</x:v>
      </x:c>
      <x:c r="D613" t="n">
        <x:v>5</x:v>
      </x:c>
      <x:c r="E613" s="50" t="n">
        <x:v>26</x:v>
      </x:c>
      <x:c r="F613" s="50" t="n">
        <x:v>-61.49</x:v>
      </x:c>
      <x:c r="G613" s="50" t="n">
        <x:v>67.71</x:v>
      </x:c>
      <x:c r="H613" s="50" t="n">
        <x:v>-27.56</x:v>
      </x:c>
      <x:c r="I613" s="50" t="n">
        <x:v>25.96</x:v>
      </x:c>
      <x:c r="J613" s="50" t="n">
        <x:v>-0.46</x:v>
      </x:c>
      <x:c r="K613" s="50" t="n">
        <x:v>-0.09</x:v>
      </x:c>
      <x:c r="L613" s="50" t="n">
        <x:v>0.47</x:v>
      </x:c>
      <x:c r="M613" s="50" t="n">
        <x:v>-0.01</x:v>
      </x:c>
      <x:c r="N613" t="str">
        <x:v>RELATÓRIO LEITURAS INCLINOMÉTRICAS - Empreitada THE EDEN, Estoril_ R05_03-11-25.pdf</x:v>
      </x:c>
      <x:c r="O613" t="n">
        <x:v>14</x:v>
      </x:c>
      <x:c r="P613" t="str">
        <x:v>Válida</x:v>
      </x:c>
    </x:row>
    <x:row r="614">
      <x:c r="A614" s="48" t="n">
        <x:v>45964</x:v>
      </x:c>
      <x:c r="B614" t="n">
        <x:v>5</x:v>
      </x:c>
      <x:c r="C614" t="str">
        <x:v>I1</x:v>
      </x:c>
      <x:c r="D614" t="n">
        <x:v>5</x:v>
      </x:c>
      <x:c r="E614" s="50" t="n">
        <x:v>26.5</x:v>
      </x:c>
      <x:c r="F614" s="50" t="n">
        <x:v>-21.32</x:v>
      </x:c>
      <x:c r="G614" s="50" t="n">
        <x:v>26.83</x:v>
      </x:c>
      <x:c r="H614" s="50" t="n">
        <x:v>7.06</x:v>
      </x:c>
      <x:c r="I614" s="50" t="n">
        <x:v>-18.32</x:v>
      </x:c>
      <x:c r="J614" s="50" t="n">
        <x:v>-0.53</x:v>
      </x:c>
      <x:c r="K614" s="50" t="n">
        <x:v>-0.07</x:v>
      </x:c>
      <x:c r="L614" s="50" t="n">
        <x:v>0.53</x:v>
      </x:c>
      <x:c r="M614" s="50" t="n">
        <x:v>-0.01</x:v>
      </x:c>
      <x:c r="N614" t="str">
        <x:v>RELATÓRIO LEITURAS INCLINOMÉTRICAS - Empreitada THE EDEN, Estoril_ R05_03-11-25.pdf</x:v>
      </x:c>
      <x:c r="O614" t="n">
        <x:v>14</x:v>
      </x:c>
      <x:c r="P614" t="str">
        <x:v>Válida</x:v>
      </x:c>
    </x:row>
    <x:row r="615">
      <x:c r="A615" s="48" t="n">
        <x:v>45964</x:v>
      </x:c>
      <x:c r="B615" t="n">
        <x:v>5</x:v>
      </x:c>
      <x:c r="C615" t="str">
        <x:v>I1</x:v>
      </x:c>
      <x:c r="D615" t="n">
        <x:v>5</x:v>
      </x:c>
      <x:c r="E615" s="50" t="n">
        <x:v>27</x:v>
      </x:c>
      <x:c r="F615" s="50" t="n">
        <x:v>33.04</x:v>
      </x:c>
      <x:c r="G615" s="50" t="n">
        <x:v>-25.98</x:v>
      </x:c>
      <x:c r="H615" s="50" t="n">
        <x:v>56.12</x:v>
      </x:c>
      <x:c r="I615" s="50" t="n">
        <x:v>-59.6</x:v>
      </x:c>
      <x:c r="J615" s="50" t="n">
        <x:v>-0.34</x:v>
      </x:c>
      <x:c r="K615" s="50" t="n">
        <x:v>0</x:v>
      </x:c>
      <x:c r="L615" s="50" t="n">
        <x:v>0.34</x:v>
      </x:c>
      <x:c r="M615" s="50" t="n">
        <x:v>-0.03</x:v>
      </x:c>
      <x:c r="N615" t="str">
        <x:v>RELATÓRIO LEITURAS INCLINOMÉTRICAS - Empreitada THE EDEN, Estoril_ R05_03-11-25.pdf</x:v>
      </x:c>
      <x:c r="O615" t="n">
        <x:v>14</x:v>
      </x:c>
      <x:c r="P615" t="str">
        <x:v>Válida</x:v>
      </x:c>
    </x:row>
    <x:row r="616">
      <x:c r="A616" s="48" t="n">
        <x:v>45964</x:v>
      </x:c>
      <x:c r="B616" t="n">
        <x:v>5</x:v>
      </x:c>
      <x:c r="C616" t="str">
        <x:v>I2</x:v>
      </x:c>
      <x:c r="D616" t="n">
        <x:v>5</x:v>
      </x:c>
      <x:c r="E616" s="50" t="n">
        <x:v>0.5</x:v>
      </x:c>
      <x:c r="F616" s="50" t="n">
        <x:v>-398.05</x:v>
      </x:c>
      <x:c r="G616" s="50" t="n">
        <x:v>398.58</x:v>
      </x:c>
      <x:c r="H616" s="50" t="n">
        <x:v>-132.73</x:v>
      </x:c>
      <x:c r="I616" s="50" t="n">
        <x:v>133.54</x:v>
      </x:c>
      <x:c r="J616" s="50" t="n">
        <x:v>0.77</x:v>
      </x:c>
      <x:c r="K616" s="50" t="n">
        <x:v>-6.27</x:v>
      </x:c>
      <x:c r="L616" s="50" t="n">
        <x:v>6.32</x:v>
      </x:c>
      <x:c r="M616" s="50" t="n">
        <x:v>2.69</x:v>
      </x:c>
      <x:c r="N616" t="str">
        <x:v>RELATÓRIO LEITURAS INCLINOMÉTRICAS - Empreitada THE EDEN, Estoril_ R05_03-11-25.pdf</x:v>
      </x:c>
      <x:c r="O616" t="n">
        <x:v>24</x:v>
      </x:c>
      <x:c r="P616" t="str">
        <x:v>Válida</x:v>
      </x:c>
    </x:row>
    <x:row r="617">
      <x:c r="A617" s="48" t="n">
        <x:v>45964</x:v>
      </x:c>
      <x:c r="B617" t="n">
        <x:v>5</x:v>
      </x:c>
      <x:c r="C617" t="str">
        <x:v>I2</x:v>
      </x:c>
      <x:c r="D617" t="n">
        <x:v>5</x:v>
      </x:c>
      <x:c r="E617" s="50" t="n">
        <x:v>1</x:v>
      </x:c>
      <x:c r="F617" s="50" t="n">
        <x:v>-393.69</x:v>
      </x:c>
      <x:c r="G617" s="50" t="n">
        <x:v>401.86</x:v>
      </x:c>
      <x:c r="H617" s="50" t="n">
        <x:v>-130.28</x:v>
      </x:c>
      <x:c r="I617" s="50" t="n">
        <x:v>134</x:v>
      </x:c>
      <x:c r="J617" s="50" t="n">
        <x:v>1.23</x:v>
      </x:c>
      <x:c r="K617" s="50" t="n">
        <x:v>-5.26</x:v>
      </x:c>
      <x:c r="L617" s="50" t="n">
        <x:v>5.41</x:v>
      </x:c>
      <x:c r="M617" s="50" t="n">
        <x:v>2.83</x:v>
      </x:c>
      <x:c r="N617" t="str">
        <x:v>RELATÓRIO LEITURAS INCLINOMÉTRICAS - Empreitada THE EDEN, Estoril_ R05_03-11-25.pdf</x:v>
      </x:c>
      <x:c r="O617" t="n">
        <x:v>24</x:v>
      </x:c>
      <x:c r="P617" t="str">
        <x:v>Válida</x:v>
      </x:c>
    </x:row>
    <x:row r="618">
      <x:c r="A618" s="48" t="n">
        <x:v>45964</x:v>
      </x:c>
      <x:c r="B618" t="n">
        <x:v>5</x:v>
      </x:c>
      <x:c r="C618" t="str">
        <x:v>I2</x:v>
      </x:c>
      <x:c r="D618" t="n">
        <x:v>5</x:v>
      </x:c>
      <x:c r="E618" s="50" t="n">
        <x:v>1.5</x:v>
      </x:c>
      <x:c r="F618" s="50" t="n">
        <x:v>-374.43</x:v>
      </x:c>
      <x:c r="G618" s="50" t="n">
        <x:v>381.66</x:v>
      </x:c>
      <x:c r="H618" s="50" t="n">
        <x:v>-139.59</x:v>
      </x:c>
      <x:c r="I618" s="50" t="n">
        <x:v>144.49</x:v>
      </x:c>
      <x:c r="J618" s="50" t="n">
        <x:v>1.78</x:v>
      </x:c>
      <x:c r="K618" s="50" t="n">
        <x:v>-4.26</x:v>
      </x:c>
      <x:c r="L618" s="50" t="n">
        <x:v>4.61</x:v>
      </x:c>
      <x:c r="M618" s="50" t="n">
        <x:v>2.69</x:v>
      </x:c>
      <x:c r="N618" t="str">
        <x:v>RELATÓRIO LEITURAS INCLINOMÉTRICAS - Empreitada THE EDEN, Estoril_ R05_03-11-25.pdf</x:v>
      </x:c>
      <x:c r="O618" t="n">
        <x:v>24</x:v>
      </x:c>
      <x:c r="P618" t="str">
        <x:v>Válida</x:v>
      </x:c>
    </x:row>
    <x:row r="619">
      <x:c r="A619" s="48" t="n">
        <x:v>45964</x:v>
      </x:c>
      <x:c r="B619" t="n">
        <x:v>5</x:v>
      </x:c>
      <x:c r="C619" t="str">
        <x:v>I2</x:v>
      </x:c>
      <x:c r="D619" t="n">
        <x:v>5</x:v>
      </x:c>
      <x:c r="E619" s="50" t="n">
        <x:v>2</x:v>
      </x:c>
      <x:c r="F619" s="50" t="n">
        <x:v>-332.09</x:v>
      </x:c>
      <x:c r="G619" s="50" t="n">
        <x:v>342.63</x:v>
      </x:c>
      <x:c r="H619" s="50" t="n">
        <x:v>-210.69</x:v>
      </x:c>
      <x:c r="I619" s="50" t="n">
        <x:v>204.73</x:v>
      </x:c>
      <x:c r="J619" s="50" t="n">
        <x:v>1.92</x:v>
      </x:c>
      <x:c r="K619" s="50" t="n">
        <x:v>-3.81</x:v>
      </x:c>
      <x:c r="L619" s="50" t="n">
        <x:v>4.27</x:v>
      </x:c>
      <x:c r="M619" s="50" t="n">
        <x:v>2.48</x:v>
      </x:c>
      <x:c r="N619" t="str">
        <x:v>RELATÓRIO LEITURAS INCLINOMÉTRICAS - Empreitada THE EDEN, Estoril_ R05_03-11-25.pdf</x:v>
      </x:c>
      <x:c r="O619" t="n">
        <x:v>24</x:v>
      </x:c>
      <x:c r="P619" t="str">
        <x:v>Válida</x:v>
      </x:c>
    </x:row>
    <x:row r="620">
      <x:c r="A620" s="48" t="n">
        <x:v>45964</x:v>
      </x:c>
      <x:c r="B620" t="n">
        <x:v>5</x:v>
      </x:c>
      <x:c r="C620" t="str">
        <x:v>I2</x:v>
      </x:c>
      <x:c r="D620" t="n">
        <x:v>5</x:v>
      </x:c>
      <x:c r="E620" s="50" t="n">
        <x:v>2.5</x:v>
      </x:c>
      <x:c r="F620" s="50" t="n">
        <x:v>-304.93</x:v>
      </x:c>
      <x:c r="G620" s="50" t="n">
        <x:v>314.17</x:v>
      </x:c>
      <x:c r="H620" s="50" t="n">
        <x:v>-188.77</x:v>
      </x:c>
      <x:c r="I620" s="50" t="n">
        <x:v>194.19</x:v>
      </x:c>
      <x:c r="J620" s="50" t="n">
        <x:v>1.96</x:v>
      </x:c>
      <x:c r="K620" s="50" t="n">
        <x:v>-3.67</x:v>
      </x:c>
      <x:c r="L620" s="50" t="n">
        <x:v>4.16</x:v>
      </x:c>
      <x:c r="M620" s="50" t="n">
        <x:v>2.35</x:v>
      </x:c>
      <x:c r="N620" t="str">
        <x:v>RELATÓRIO LEITURAS INCLINOMÉTRICAS - Empreitada THE EDEN, Estoril_ R05_03-11-25.pdf</x:v>
      </x:c>
      <x:c r="O620" t="n">
        <x:v>24</x:v>
      </x:c>
      <x:c r="P620" t="str">
        <x:v>Válida</x:v>
      </x:c>
    </x:row>
    <x:row r="621">
      <x:c r="A621" s="48" t="n">
        <x:v>45964</x:v>
      </x:c>
      <x:c r="B621" t="n">
        <x:v>5</x:v>
      </x:c>
      <x:c r="C621" t="str">
        <x:v>I2</x:v>
      </x:c>
      <x:c r="D621" t="n">
        <x:v>5</x:v>
      </x:c>
      <x:c r="E621" s="50" t="n">
        <x:v>3</x:v>
      </x:c>
      <x:c r="F621" s="50" t="n">
        <x:v>-267.47</x:v>
      </x:c>
      <x:c r="G621" s="50" t="n">
        <x:v>276.56</x:v>
      </x:c>
      <x:c r="H621" s="50" t="n">
        <x:v>-133.81</x:v>
      </x:c>
      <x:c r="I621" s="50" t="n">
        <x:v>131.47</x:v>
      </x:c>
      <x:c r="J621" s="50" t="n">
        <x:v>2</x:v>
      </x:c>
      <x:c r="K621" s="50" t="n">
        <x:v>-3.71</x:v>
      </x:c>
      <x:c r="L621" s="50" t="n">
        <x:v>4.21</x:v>
      </x:c>
      <x:c r="M621" s="50" t="n">
        <x:v>2.35</x:v>
      </x:c>
      <x:c r="N621" t="str">
        <x:v>RELATÓRIO LEITURAS INCLINOMÉTRICAS - Empreitada THE EDEN, Estoril_ R05_03-11-25.pdf</x:v>
      </x:c>
      <x:c r="O621" t="n">
        <x:v>24</x:v>
      </x:c>
      <x:c r="P621" t="str">
        <x:v>Válida</x:v>
      </x:c>
    </x:row>
    <x:row r="622">
      <x:c r="A622" s="48" t="n">
        <x:v>45964</x:v>
      </x:c>
      <x:c r="B622" t="n">
        <x:v>5</x:v>
      </x:c>
      <x:c r="C622" t="str">
        <x:v>I2</x:v>
      </x:c>
      <x:c r="D622" t="n">
        <x:v>5</x:v>
      </x:c>
      <x:c r="E622" s="50" t="n">
        <x:v>3.5</x:v>
      </x:c>
      <x:c r="F622" s="50" t="n">
        <x:v>-206.27</x:v>
      </x:c>
      <x:c r="G622" s="50" t="n">
        <x:v>214.98</x:v>
      </x:c>
      <x:c r="H622" s="50" t="n">
        <x:v>-79.98</x:v>
      </x:c>
      <x:c r="I622" s="50" t="n">
        <x:v>70.32</x:v>
      </x:c>
      <x:c r="J622" s="50" t="n">
        <x:v>2.07</x:v>
      </x:c>
      <x:c r="K622" s="50" t="n">
        <x:v>-3.58</x:v>
      </x:c>
      <x:c r="L622" s="50" t="n">
        <x:v>4.13</x:v>
      </x:c>
      <x:c r="M622" s="50" t="n">
        <x:v>2.17</x:v>
      </x:c>
      <x:c r="N622" t="str">
        <x:v>RELATÓRIO LEITURAS INCLINOMÉTRICAS - Empreitada THE EDEN, Estoril_ R05_03-11-25.pdf</x:v>
      </x:c>
      <x:c r="O622" t="n">
        <x:v>24</x:v>
      </x:c>
      <x:c r="P622" t="str">
        <x:v>Válida</x:v>
      </x:c>
    </x:row>
    <x:row r="623">
      <x:c r="A623" s="48" t="n">
        <x:v>45964</x:v>
      </x:c>
      <x:c r="B623" t="n">
        <x:v>5</x:v>
      </x:c>
      <x:c r="C623" t="str">
        <x:v>I2</x:v>
      </x:c>
      <x:c r="D623" t="n">
        <x:v>5</x:v>
      </x:c>
      <x:c r="E623" s="50" t="n">
        <x:v>4</x:v>
      </x:c>
      <x:c r="F623" s="50" t="n">
        <x:v>-149.88</x:v>
      </x:c>
      <x:c r="G623" s="50" t="n">
        <x:v>160.24</x:v>
      </x:c>
      <x:c r="H623" s="50" t="n">
        <x:v>-69.8</x:v>
      </x:c>
      <x:c r="I623" s="50" t="n">
        <x:v>59.92</x:v>
      </x:c>
      <x:c r="J623" s="50" t="n">
        <x:v>2.18</x:v>
      </x:c>
      <x:c r="K623" s="50" t="n">
        <x:v>-3.29</x:v>
      </x:c>
      <x:c r="L623" s="50" t="n">
        <x:v>3.95</x:v>
      </x:c>
      <x:c r="M623" s="50" t="n">
        <x:v>1.97</x:v>
      </x:c>
      <x:c r="N623" t="str">
        <x:v>RELATÓRIO LEITURAS INCLINOMÉTRICAS - Empreitada THE EDEN, Estoril_ R05_03-11-25.pdf</x:v>
      </x:c>
      <x:c r="O623" t="n">
        <x:v>24</x:v>
      </x:c>
      <x:c r="P623" t="str">
        <x:v>Válida</x:v>
      </x:c>
    </x:row>
    <x:row r="624">
      <x:c r="A624" s="48" t="n">
        <x:v>45964</x:v>
      </x:c>
      <x:c r="B624" t="n">
        <x:v>5</x:v>
      </x:c>
      <x:c r="C624" t="str">
        <x:v>I2</x:v>
      </x:c>
      <x:c r="D624" t="n">
        <x:v>5</x:v>
      </x:c>
      <x:c r="E624" s="50" t="n">
        <x:v>4.5</x:v>
      </x:c>
      <x:c r="F624" s="50" t="n">
        <x:v>-102.02</x:v>
      </x:c>
      <x:c r="G624" s="50" t="n">
        <x:v>109.67</x:v>
      </x:c>
      <x:c r="H624" s="50" t="n">
        <x:v>-115.5</x:v>
      </x:c>
      <x:c r="I624" s="50" t="n">
        <x:v>115.19</x:v>
      </x:c>
      <x:c r="J624" s="50" t="n">
        <x:v>2.3</x:v>
      </x:c>
      <x:c r="K624" s="50" t="n">
        <x:v>-3.24</x:v>
      </x:c>
      <x:c r="L624" s="50" t="n">
        <x:v>3.97</x:v>
      </x:c>
      <x:c r="M624" s="50" t="n">
        <x:v>1.89</x:v>
      </x:c>
      <x:c r="N624" t="str">
        <x:v>RELATÓRIO LEITURAS INCLINOMÉTRICAS - Empreitada THE EDEN, Estoril_ R05_03-11-25.pdf</x:v>
      </x:c>
      <x:c r="O624" t="n">
        <x:v>24</x:v>
      </x:c>
      <x:c r="P624" t="str">
        <x:v>Válida</x:v>
      </x:c>
    </x:row>
    <x:row r="625">
      <x:c r="A625" s="48" t="n">
        <x:v>45964</x:v>
      </x:c>
      <x:c r="B625" t="n">
        <x:v>5</x:v>
      </x:c>
      <x:c r="C625" t="str">
        <x:v>I2</x:v>
      </x:c>
      <x:c r="D625" t="n">
        <x:v>5</x:v>
      </x:c>
      <x:c r="E625" s="50" t="n">
        <x:v>5</x:v>
      </x:c>
      <x:c r="F625" s="50" t="n">
        <x:v>-27.89</x:v>
      </x:c>
      <x:c r="G625" s="50" t="n">
        <x:v>35.77</x:v>
      </x:c>
      <x:c r="H625" s="50" t="n">
        <x:v>-146.62</x:v>
      </x:c>
      <x:c r="I625" s="50" t="n">
        <x:v>146.08</x:v>
      </x:c>
      <x:c r="J625" s="50" t="n">
        <x:v>2.4</x:v>
      </x:c>
      <x:c r="K625" s="50" t="n">
        <x:v>-3.2</x:v>
      </x:c>
      <x:c r="L625" s="50" t="n">
        <x:v>4</x:v>
      </x:c>
      <x:c r="M625" s="50" t="n">
        <x:v>1.82</x:v>
      </x:c>
      <x:c r="N625" t="str">
        <x:v>RELATÓRIO LEITURAS INCLINOMÉTRICAS - Empreitada THE EDEN, Estoril_ R05_03-11-25.pdf</x:v>
      </x:c>
      <x:c r="O625" t="n">
        <x:v>24</x:v>
      </x:c>
      <x:c r="P625" t="str">
        <x:v>Válida</x:v>
      </x:c>
    </x:row>
    <x:row r="626">
      <x:c r="A626" s="48" t="n">
        <x:v>45964</x:v>
      </x:c>
      <x:c r="B626" t="n">
        <x:v>5</x:v>
      </x:c>
      <x:c r="C626" t="str">
        <x:v>I2</x:v>
      </x:c>
      <x:c r="D626" t="n">
        <x:v>5</x:v>
      </x:c>
      <x:c r="E626" s="50" t="n">
        <x:v>5.5</x:v>
      </x:c>
      <x:c r="F626" s="50" t="n">
        <x:v>38.19</x:v>
      </x:c>
      <x:c r="G626" s="50" t="n">
        <x:v>-28.4</x:v>
      </x:c>
      <x:c r="H626" s="50" t="n">
        <x:v>-157.14</x:v>
      </x:c>
      <x:c r="I626" s="50" t="n">
        <x:v>144.17</x:v>
      </x:c>
      <x:c r="J626" s="50" t="n">
        <x:v>2.58</x:v>
      </x:c>
      <x:c r="K626" s="50" t="n">
        <x:v>-3.06</x:v>
      </x:c>
      <x:c r="L626" s="50" t="n">
        <x:v>4</x:v>
      </x:c>
      <x:c r="M626" s="50" t="n">
        <x:v>1.67</x:v>
      </x:c>
      <x:c r="N626" t="str">
        <x:v>RELATÓRIO LEITURAS INCLINOMÉTRICAS - Empreitada THE EDEN, Estoril_ R05_03-11-25.pdf</x:v>
      </x:c>
      <x:c r="O626" t="n">
        <x:v>24</x:v>
      </x:c>
      <x:c r="P626" t="str">
        <x:v>Válida</x:v>
      </x:c>
    </x:row>
    <x:row r="627">
      <x:c r="A627" s="48" t="n">
        <x:v>45964</x:v>
      </x:c>
      <x:c r="B627" t="n">
        <x:v>5</x:v>
      </x:c>
      <x:c r="C627" t="str">
        <x:v>I2</x:v>
      </x:c>
      <x:c r="D627" t="n">
        <x:v>5</x:v>
      </x:c>
      <x:c r="E627" s="50" t="n">
        <x:v>6</x:v>
      </x:c>
      <x:c r="F627" s="50" t="n">
        <x:v>72.54</x:v>
      </x:c>
      <x:c r="G627" s="50" t="n">
        <x:v>-64.19</x:v>
      </x:c>
      <x:c r="H627" s="50" t="n">
        <x:v>-189.39</x:v>
      </x:c>
      <x:c r="I627" s="50" t="n">
        <x:v>178.13</x:v>
      </x:c>
      <x:c r="J627" s="50" t="n">
        <x:v>2.73</x:v>
      </x:c>
      <x:c r="K627" s="50" t="n">
        <x:v>-3.13</x:v>
      </x:c>
      <x:c r="L627" s="50" t="n">
        <x:v>4.16</x:v>
      </x:c>
      <x:c r="M627" s="50" t="n">
        <x:v>1.65</x:v>
      </x:c>
      <x:c r="N627" t="str">
        <x:v>RELATÓRIO LEITURAS INCLINOMÉTRICAS - Empreitada THE EDEN, Estoril_ R05_03-11-25.pdf</x:v>
      </x:c>
      <x:c r="O627" t="n">
        <x:v>24</x:v>
      </x:c>
      <x:c r="P627" t="str">
        <x:v>Válida</x:v>
      </x:c>
    </x:row>
    <x:row r="628">
      <x:c r="A628" s="48" t="n">
        <x:v>45964</x:v>
      </x:c>
      <x:c r="B628" t="n">
        <x:v>5</x:v>
      </x:c>
      <x:c r="C628" t="str">
        <x:v>I2</x:v>
      </x:c>
      <x:c r="D628" t="n">
        <x:v>5</x:v>
      </x:c>
      <x:c r="E628" s="50" t="n">
        <x:v>6.5</x:v>
      </x:c>
      <x:c r="F628" s="50" t="n">
        <x:v>175.58</x:v>
      </x:c>
      <x:c r="G628" s="50" t="n">
        <x:v>-166.36</x:v>
      </x:c>
      <x:c r="H628" s="50" t="n">
        <x:v>-181.8</x:v>
      </x:c>
      <x:c r="I628" s="50" t="n">
        <x:v>171.47</x:v>
      </x:c>
      <x:c r="J628" s="50" t="n">
        <x:v>2.79</x:v>
      </x:c>
      <x:c r="K628" s="50" t="n">
        <x:v>-3.04</x:v>
      </x:c>
      <x:c r="L628" s="50" t="n">
        <x:v>4.13</x:v>
      </x:c>
      <x:c r="M628" s="50" t="n">
        <x:v>1.55</x:v>
      </x:c>
      <x:c r="N628" t="str">
        <x:v>RELATÓRIO LEITURAS INCLINOMÉTRICAS - Empreitada THE EDEN, Estoril_ R05_03-11-25.pdf</x:v>
      </x:c>
      <x:c r="O628" t="n">
        <x:v>24</x:v>
      </x:c>
      <x:c r="P628" t="str">
        <x:v>Válida</x:v>
      </x:c>
    </x:row>
    <x:row r="629">
      <x:c r="A629" s="48" t="n">
        <x:v>45964</x:v>
      </x:c>
      <x:c r="B629" t="n">
        <x:v>5</x:v>
      </x:c>
      <x:c r="C629" t="str">
        <x:v>I2</x:v>
      </x:c>
      <x:c r="D629" t="n">
        <x:v>5</x:v>
      </x:c>
      <x:c r="E629" s="50" t="n">
        <x:v>7</x:v>
      </x:c>
      <x:c r="F629" s="50" t="n">
        <x:v>279.35</x:v>
      </x:c>
      <x:c r="G629" s="50" t="n">
        <x:v>-271.73</x:v>
      </x:c>
      <x:c r="H629" s="50" t="n">
        <x:v>-182.71</x:v>
      </x:c>
      <x:c r="I629" s="50" t="n">
        <x:v>172.32</x:v>
      </x:c>
      <x:c r="J629" s="50" t="n">
        <x:v>2.85</x:v>
      </x:c>
      <x:c r="K629" s="50" t="n">
        <x:v>-2.89</x:v>
      </x:c>
      <x:c r="L629" s="50" t="n">
        <x:v>4.06</x:v>
      </x:c>
      <x:c r="M629" s="50" t="n">
        <x:v>1.44</x:v>
      </x:c>
      <x:c r="N629" t="str">
        <x:v>RELATÓRIO LEITURAS INCLINOMÉTRICAS - Empreitada THE EDEN, Estoril_ R05_03-11-25.pdf</x:v>
      </x:c>
      <x:c r="O629" t="n">
        <x:v>24</x:v>
      </x:c>
      <x:c r="P629" t="str">
        <x:v>Válida</x:v>
      </x:c>
    </x:row>
    <x:row r="630">
      <x:c r="A630" s="48" t="n">
        <x:v>45964</x:v>
      </x:c>
      <x:c r="B630" t="n">
        <x:v>5</x:v>
      </x:c>
      <x:c r="C630" t="str">
        <x:v>I2</x:v>
      </x:c>
      <x:c r="D630" t="n">
        <x:v>5</x:v>
      </x:c>
      <x:c r="E630" s="50" t="n">
        <x:v>7.5</x:v>
      </x:c>
      <x:c r="F630" s="50" t="n">
        <x:v>303.85</x:v>
      </x:c>
      <x:c r="G630" s="50" t="n">
        <x:v>-287.71</x:v>
      </x:c>
      <x:c r="H630" s="50" t="n">
        <x:v>-165.7</x:v>
      </x:c>
      <x:c r="I630" s="50" t="n">
        <x:v>162.06</x:v>
      </x:c>
      <x:c r="J630" s="50" t="n">
        <x:v>2.88</x:v>
      </x:c>
      <x:c r="K630" s="50" t="n">
        <x:v>-2.65</x:v>
      </x:c>
      <x:c r="L630" s="50" t="n">
        <x:v>3.91</x:v>
      </x:c>
      <x:c r="M630" s="50" t="n">
        <x:v>1.32</x:v>
      </x:c>
      <x:c r="N630" t="str">
        <x:v>RELATÓRIO LEITURAS INCLINOMÉTRICAS - Empreitada THE EDEN, Estoril_ R05_03-11-25.pdf</x:v>
      </x:c>
      <x:c r="O630" t="n">
        <x:v>24</x:v>
      </x:c>
      <x:c r="P630" t="str">
        <x:v>Válida</x:v>
      </x:c>
    </x:row>
    <x:row r="631">
      <x:c r="A631" s="48" t="n">
        <x:v>45964</x:v>
      </x:c>
      <x:c r="B631" t="n">
        <x:v>5</x:v>
      </x:c>
      <x:c r="C631" t="str">
        <x:v>I2</x:v>
      </x:c>
      <x:c r="D631" t="n">
        <x:v>5</x:v>
      </x:c>
      <x:c r="E631" s="50" t="n">
        <x:v>8</x:v>
      </x:c>
      <x:c r="F631" s="50" t="n">
        <x:v>268.5</x:v>
      </x:c>
      <x:c r="G631" s="50" t="n">
        <x:v>-265.06</x:v>
      </x:c>
      <x:c r="H631" s="50" t="n">
        <x:v>-72.63</x:v>
      </x:c>
      <x:c r="I631" s="50" t="n">
        <x:v>77.25</x:v>
      </x:c>
      <x:c r="J631" s="50" t="n">
        <x:v>2.98</x:v>
      </x:c>
      <x:c r="K631" s="50" t="n">
        <x:v>-2.64</x:v>
      </x:c>
      <x:c r="L631" s="50" t="n">
        <x:v>3.98</x:v>
      </x:c>
      <x:c r="M631" s="50" t="n">
        <x:v>1.22</x:v>
      </x:c>
      <x:c r="N631" t="str">
        <x:v>RELATÓRIO LEITURAS INCLINOMÉTRICAS - Empreitada THE EDEN, Estoril_ R05_03-11-25.pdf</x:v>
      </x:c>
      <x:c r="O631" t="n">
        <x:v>24</x:v>
      </x:c>
      <x:c r="P631" t="str">
        <x:v>Válida</x:v>
      </x:c>
    </x:row>
    <x:row r="632">
      <x:c r="A632" s="48" t="n">
        <x:v>45964</x:v>
      </x:c>
      <x:c r="B632" t="n">
        <x:v>5</x:v>
      </x:c>
      <x:c r="C632" t="str">
        <x:v>I2</x:v>
      </x:c>
      <x:c r="D632" t="n">
        <x:v>5</x:v>
      </x:c>
      <x:c r="E632" s="50" t="n">
        <x:v>8.5</x:v>
      </x:c>
      <x:c r="F632" s="50" t="n">
        <x:v>333.96</x:v>
      </x:c>
      <x:c r="G632" s="50" t="n">
        <x:v>-321.98</x:v>
      </x:c>
      <x:c r="H632" s="50" t="n">
        <x:v>-13.6</x:v>
      </x:c>
      <x:c r="I632" s="50" t="n">
        <x:v>16.31</x:v>
      </x:c>
      <x:c r="J632" s="50" t="n">
        <x:v>3.03</x:v>
      </x:c>
      <x:c r="K632" s="50" t="n">
        <x:v>-2.74</x:v>
      </x:c>
      <x:c r="L632" s="50" t="n">
        <x:v>4.08</x:v>
      </x:c>
      <x:c r="M632" s="50" t="n">
        <x:v>1.16</x:v>
      </x:c>
      <x:c r="N632" t="str">
        <x:v>RELATÓRIO LEITURAS INCLINOMÉTRICAS - Empreitada THE EDEN, Estoril_ R05_03-11-25.pdf</x:v>
      </x:c>
      <x:c r="O632" t="n">
        <x:v>24</x:v>
      </x:c>
      <x:c r="P632" t="str">
        <x:v>Válida</x:v>
      </x:c>
    </x:row>
    <x:row r="633">
      <x:c r="A633" s="48" t="n">
        <x:v>45964</x:v>
      </x:c>
      <x:c r="B633" t="n">
        <x:v>5</x:v>
      </x:c>
      <x:c r="C633" t="str">
        <x:v>I2</x:v>
      </x:c>
      <x:c r="D633" t="n">
        <x:v>5</x:v>
      </x:c>
      <x:c r="E633" s="50" t="n">
        <x:v>9</x:v>
      </x:c>
      <x:c r="F633" s="50" t="n">
        <x:v>317.42</x:v>
      </x:c>
      <x:c r="G633" s="50" t="n">
        <x:v>-308.79</x:v>
      </x:c>
      <x:c r="H633" s="50" t="n">
        <x:v>46.44</x:v>
      </x:c>
      <x:c r="I633" s="50" t="n">
        <x:v>-42.92</x:v>
      </x:c>
      <x:c r="J633" s="50" t="n">
        <x:v>2.96</x:v>
      </x:c>
      <x:c r="K633" s="50" t="n">
        <x:v>-2.99</x:v>
      </x:c>
      <x:c r="L633" s="50" t="n">
        <x:v>4.21</x:v>
      </x:c>
      <x:c r="M633" s="50" t="n">
        <x:v>1.26</x:v>
      </x:c>
      <x:c r="N633" t="str">
        <x:v>RELATÓRIO LEITURAS INCLINOMÉTRICAS - Empreitada THE EDEN, Estoril_ R05_03-11-25.pdf</x:v>
      </x:c>
      <x:c r="O633" t="n">
        <x:v>24</x:v>
      </x:c>
      <x:c r="P633" t="str">
        <x:v>Válida</x:v>
      </x:c>
    </x:row>
    <x:row r="634">
      <x:c r="A634" s="48" t="n">
        <x:v>45964</x:v>
      </x:c>
      <x:c r="B634" t="n">
        <x:v>5</x:v>
      </x:c>
      <x:c r="C634" t="str">
        <x:v>I2</x:v>
      </x:c>
      <x:c r="D634" t="n">
        <x:v>5</x:v>
      </x:c>
      <x:c r="E634" s="50" t="n">
        <x:v>9.5</x:v>
      </x:c>
      <x:c r="F634" s="50" t="n">
        <x:v>204.32</x:v>
      </x:c>
      <x:c r="G634" s="50" t="n">
        <x:v>-197.45</x:v>
      </x:c>
      <x:c r="H634" s="50" t="n">
        <x:v>108.86</x:v>
      </x:c>
      <x:c r="I634" s="50" t="n">
        <x:v>-116.66</x:v>
      </x:c>
      <x:c r="J634" s="50" t="n">
        <x:v>3</x:v>
      </x:c>
      <x:c r="K634" s="50" t="n">
        <x:v>-3.27</x:v>
      </x:c>
      <x:c r="L634" s="50" t="n">
        <x:v>4.44</x:v>
      </x:c>
      <x:c r="M634" s="50" t="n">
        <x:v>1.29</x:v>
      </x:c>
      <x:c r="N634" t="str">
        <x:v>RELATÓRIO LEITURAS INCLINOMÉTRICAS - Empreitada THE EDEN, Estoril_ R05_03-11-25.pdf</x:v>
      </x:c>
      <x:c r="O634" t="n">
        <x:v>24</x:v>
      </x:c>
      <x:c r="P634" t="str">
        <x:v>Válida</x:v>
      </x:c>
    </x:row>
    <x:row r="635">
      <x:c r="A635" s="48" t="n">
        <x:v>45964</x:v>
      </x:c>
      <x:c r="B635" t="n">
        <x:v>5</x:v>
      </x:c>
      <x:c r="C635" t="str">
        <x:v>I2</x:v>
      </x:c>
      <x:c r="D635" t="n">
        <x:v>5</x:v>
      </x:c>
      <x:c r="E635" s="50" t="n">
        <x:v>10</x:v>
      </x:c>
      <x:c r="F635" s="50" t="n">
        <x:v>60.88</x:v>
      </x:c>
      <x:c r="G635" s="50" t="n">
        <x:v>-43.7</x:v>
      </x:c>
      <x:c r="H635" s="50" t="n">
        <x:v>151.59</x:v>
      </x:c>
      <x:c r="I635" s="50" t="n">
        <x:v>-150.25</x:v>
      </x:c>
      <x:c r="J635" s="50" t="n">
        <x:v>3.1</x:v>
      </x:c>
      <x:c r="K635" s="50" t="n">
        <x:v>-3.4</x:v>
      </x:c>
      <x:c r="L635" s="50" t="n">
        <x:v>4.6</x:v>
      </x:c>
      <x:c r="M635" s="50" t="n">
        <x:v>1.08</x:v>
      </x:c>
      <x:c r="N635" t="str">
        <x:v>RELATÓRIO LEITURAS INCLINOMÉTRICAS - Empreitada THE EDEN, Estoril_ R05_03-11-25.pdf</x:v>
      </x:c>
      <x:c r="O635" t="n">
        <x:v>24</x:v>
      </x:c>
      <x:c r="P635" t="str">
        <x:v>Válida</x:v>
      </x:c>
    </x:row>
    <x:row r="636">
      <x:c r="A636" s="48" t="n">
        <x:v>45964</x:v>
      </x:c>
      <x:c r="B636" t="n">
        <x:v>5</x:v>
      </x:c>
      <x:c r="C636" t="str">
        <x:v>I2</x:v>
      </x:c>
      <x:c r="D636" t="n">
        <x:v>5</x:v>
      </x:c>
      <x:c r="E636" s="50" t="n">
        <x:v>10.5</x:v>
      </x:c>
      <x:c r="F636" s="50" t="n">
        <x:v>77.79</x:v>
      </x:c>
      <x:c r="G636" s="50" t="n">
        <x:v>-70.88</x:v>
      </x:c>
      <x:c r="H636" s="50" t="n">
        <x:v>78.04</x:v>
      </x:c>
      <x:c r="I636" s="50" t="n">
        <x:v>-79.3</x:v>
      </x:c>
      <x:c r="J636" s="50" t="n">
        <x:v>3.05</x:v>
      </x:c>
      <x:c r="K636" s="50" t="n">
        <x:v>-3.52</x:v>
      </x:c>
      <x:c r="L636" s="50" t="n">
        <x:v>4.65</x:v>
      </x:c>
      <x:c r="M636" s="50" t="n">
        <x:v>1.15</x:v>
      </x:c>
      <x:c r="N636" t="str">
        <x:v>RELATÓRIO LEITURAS INCLINOMÉTRICAS - Empreitada THE EDEN, Estoril_ R05_03-11-25.pdf</x:v>
      </x:c>
      <x:c r="O636" t="n">
        <x:v>24</x:v>
      </x:c>
      <x:c r="P636" t="str">
        <x:v>Válida</x:v>
      </x:c>
    </x:row>
    <x:row r="637">
      <x:c r="A637" s="48" t="n">
        <x:v>45964</x:v>
      </x:c>
      <x:c r="B637" t="n">
        <x:v>5</x:v>
      </x:c>
      <x:c r="C637" t="str">
        <x:v>I2</x:v>
      </x:c>
      <x:c r="D637" t="n">
        <x:v>5</x:v>
      </x:c>
      <x:c r="E637" s="50" t="n">
        <x:v>11</x:v>
      </x:c>
      <x:c r="F637" s="50" t="n">
        <x:v>6.47</x:v>
      </x:c>
      <x:c r="G637" s="50" t="n">
        <x:v>2.7</x:v>
      </x:c>
      <x:c r="H637" s="50" t="n">
        <x:v>33.43</x:v>
      </x:c>
      <x:c r="I637" s="50" t="n">
        <x:v>-47.03</x:v>
      </x:c>
      <x:c r="J637" s="50" t="n">
        <x:v>3</x:v>
      </x:c>
      <x:c r="K637" s="50" t="n">
        <x:v>-3.51</x:v>
      </x:c>
      <x:c r="L637" s="50" t="n">
        <x:v>4.62</x:v>
      </x:c>
      <x:c r="M637" s="50" t="n">
        <x:v>1.15</x:v>
      </x:c>
      <x:c r="N637" t="str">
        <x:v>RELATÓRIO LEITURAS INCLINOMÉTRICAS - Empreitada THE EDEN, Estoril_ R05_03-11-25.pdf</x:v>
      </x:c>
      <x:c r="O637" t="n">
        <x:v>24</x:v>
      </x:c>
      <x:c r="P637" t="str">
        <x:v>Válida</x:v>
      </x:c>
    </x:row>
    <x:row r="638">
      <x:c r="A638" s="48" t="n">
        <x:v>45964</x:v>
      </x:c>
      <x:c r="B638" t="n">
        <x:v>5</x:v>
      </x:c>
      <x:c r="C638" t="str">
        <x:v>I2</x:v>
      </x:c>
      <x:c r="D638" t="n">
        <x:v>5</x:v>
      </x:c>
      <x:c r="E638" s="50" t="n">
        <x:v>11.5</x:v>
      </x:c>
      <x:c r="F638" s="50" t="n">
        <x:v>-72.1</x:v>
      </x:c>
      <x:c r="G638" s="50" t="n">
        <x:v>75.35</x:v>
      </x:c>
      <x:c r="H638" s="50" t="n">
        <x:v>11.41</x:v>
      </x:c>
      <x:c r="I638" s="50" t="n">
        <x:v>-18.67</x:v>
      </x:c>
      <x:c r="J638" s="50" t="n">
        <x:v>2.83</x:v>
      </x:c>
      <x:c r="K638" s="50" t="n">
        <x:v>-3.5</x:v>
      </x:c>
      <x:c r="L638" s="50" t="n">
        <x:v>4.5</x:v>
      </x:c>
      <x:c r="M638" s="50" t="n">
        <x:v>1.18</x:v>
      </x:c>
      <x:c r="N638" t="str">
        <x:v>RELATÓRIO LEITURAS INCLINOMÉTRICAS - Empreitada THE EDEN, Estoril_ R05_03-11-25.pdf</x:v>
      </x:c>
      <x:c r="O638" t="n">
        <x:v>24</x:v>
      </x:c>
      <x:c r="P638" t="str">
        <x:v>Válida</x:v>
      </x:c>
    </x:row>
    <x:row r="639">
      <x:c r="A639" s="48" t="n">
        <x:v>45964</x:v>
      </x:c>
      <x:c r="B639" t="n">
        <x:v>5</x:v>
      </x:c>
      <x:c r="C639" t="str">
        <x:v>I2</x:v>
      </x:c>
      <x:c r="D639" t="n">
        <x:v>5</x:v>
      </x:c>
      <x:c r="E639" s="50" t="n">
        <x:v>12</x:v>
      </x:c>
      <x:c r="F639" s="50" t="n">
        <x:v>-85.1</x:v>
      </x:c>
      <x:c r="G639" s="50" t="n">
        <x:v>97.41</x:v>
      </x:c>
      <x:c r="H639" s="50" t="n">
        <x:v>19.78</x:v>
      </x:c>
      <x:c r="I639" s="50" t="n">
        <x:v>-28.11</x:v>
      </x:c>
      <x:c r="J639" s="50" t="n">
        <x:v>2.56</x:v>
      </x:c>
      <x:c r="K639" s="50" t="n">
        <x:v>-3.27</x:v>
      </x:c>
      <x:c r="L639" s="50" t="n">
        <x:v>4.15</x:v>
      </x:c>
      <x:c r="M639" s="50" t="n">
        <x:v>1.25</x:v>
      </x:c>
      <x:c r="N639" t="str">
        <x:v>RELATÓRIO LEITURAS INCLINOMÉTRICAS - Empreitada THE EDEN, Estoril_ R05_03-11-25.pdf</x:v>
      </x:c>
      <x:c r="O639" t="n">
        <x:v>24</x:v>
      </x:c>
      <x:c r="P639" t="str">
        <x:v>Válida</x:v>
      </x:c>
    </x:row>
    <x:row r="640">
      <x:c r="A640" s="48" t="n">
        <x:v>45964</x:v>
      </x:c>
      <x:c r="B640" t="n">
        <x:v>5</x:v>
      </x:c>
      <x:c r="C640" t="str">
        <x:v>I2</x:v>
      </x:c>
      <x:c r="D640" t="n">
        <x:v>5</x:v>
      </x:c>
      <x:c r="E640" s="50" t="n">
        <x:v>12.5</x:v>
      </x:c>
      <x:c r="F640" s="50" t="n">
        <x:v>-44.09</x:v>
      </x:c>
      <x:c r="G640" s="50" t="n">
        <x:v>52.97</x:v>
      </x:c>
      <x:c r="H640" s="50" t="n">
        <x:v>9.07</x:v>
      </x:c>
      <x:c r="I640" s="50" t="n">
        <x:v>-21.46</x:v>
      </x:c>
      <x:c r="J640" s="50" t="n">
        <x:v>2.25</x:v>
      </x:c>
      <x:c r="K640" s="50" t="n">
        <x:v>-3.07</x:v>
      </x:c>
      <x:c r="L640" s="50" t="n">
        <x:v>3.81</x:v>
      </x:c>
      <x:c r="M640" s="50" t="n">
        <x:v>1.09</x:v>
      </x:c>
      <x:c r="N640" t="str">
        <x:v>RELATÓRIO LEITURAS INCLINOMÉTRICAS - Empreitada THE EDEN, Estoril_ R05_03-11-25.pdf</x:v>
      </x:c>
      <x:c r="O640" t="n">
        <x:v>24</x:v>
      </x:c>
      <x:c r="P640" t="str">
        <x:v>Válida</x:v>
      </x:c>
    </x:row>
    <x:row r="641">
      <x:c r="A641" s="48" t="n">
        <x:v>45964</x:v>
      </x:c>
      <x:c r="B641" t="n">
        <x:v>5</x:v>
      </x:c>
      <x:c r="C641" t="str">
        <x:v>I2</x:v>
      </x:c>
      <x:c r="D641" t="n">
        <x:v>5</x:v>
      </x:c>
      <x:c r="E641" s="50" t="n">
        <x:v>13</x:v>
      </x:c>
      <x:c r="F641" s="50" t="n">
        <x:v>-98.24</x:v>
      </x:c>
      <x:c r="G641" s="50" t="n">
        <x:v>105.04</x:v>
      </x:c>
      <x:c r="H641" s="50" t="n">
        <x:v>-41.66</x:v>
      </x:c>
      <x:c r="I641" s="50" t="n">
        <x:v>37.11</x:v>
      </x:c>
      <x:c r="J641" s="50" t="n">
        <x:v>2.08</x:v>
      </x:c>
      <x:c r="K641" s="50" t="n">
        <x:v>-3.03</x:v>
      </x:c>
      <x:c r="L641" s="50" t="n">
        <x:v>3.67</x:v>
      </x:c>
      <x:c r="M641" s="50" t="n">
        <x:v>1.27</x:v>
      </x:c>
      <x:c r="N641" t="str">
        <x:v>RELATÓRIO LEITURAS INCLINOMÉTRICAS - Empreitada THE EDEN, Estoril_ R05_03-11-25.pdf</x:v>
      </x:c>
      <x:c r="O641" t="n">
        <x:v>24</x:v>
      </x:c>
      <x:c r="P641" t="str">
        <x:v>Válida</x:v>
      </x:c>
    </x:row>
    <x:row r="642">
      <x:c r="A642" s="48" t="n">
        <x:v>45964</x:v>
      </x:c>
      <x:c r="B642" t="n">
        <x:v>5</x:v>
      </x:c>
      <x:c r="C642" t="str">
        <x:v>I2</x:v>
      </x:c>
      <x:c r="D642" t="n">
        <x:v>5</x:v>
      </x:c>
      <x:c r="E642" s="50" t="n">
        <x:v>13.5</x:v>
      </x:c>
      <x:c r="F642" s="50" t="n">
        <x:v>-262.81</x:v>
      </x:c>
      <x:c r="G642" s="50" t="n">
        <x:v>273.4</x:v>
      </x:c>
      <x:c r="H642" s="50" t="n">
        <x:v>-169.74</x:v>
      </x:c>
      <x:c r="I642" s="50" t="n">
        <x:v>178.57</x:v>
      </x:c>
      <x:c r="J642" s="50" t="n">
        <x:v>2.02</x:v>
      </x:c>
      <x:c r="K642" s="50" t="n">
        <x:v>-3.06</x:v>
      </x:c>
      <x:c r="L642" s="50" t="n">
        <x:v>3.67</x:v>
      </x:c>
      <x:c r="M642" s="50" t="n">
        <x:v>1.4</x:v>
      </x:c>
      <x:c r="N642" t="str">
        <x:v>RELATÓRIO LEITURAS INCLINOMÉTRICAS - Empreitada THE EDEN, Estoril_ R05_03-11-25.pdf</x:v>
      </x:c>
      <x:c r="O642" t="n">
        <x:v>24</x:v>
      </x:c>
      <x:c r="P642" t="str">
        <x:v>Válida</x:v>
      </x:c>
    </x:row>
    <x:row r="643">
      <x:c r="A643" s="48" t="n">
        <x:v>45964</x:v>
      </x:c>
      <x:c r="B643" t="n">
        <x:v>5</x:v>
      </x:c>
      <x:c r="C643" t="str">
        <x:v>I2</x:v>
      </x:c>
      <x:c r="D643" t="n">
        <x:v>5</x:v>
      </x:c>
      <x:c r="E643" s="50" t="n">
        <x:v>14</x:v>
      </x:c>
      <x:c r="F643" s="50" t="n">
        <x:v>-294.77</x:v>
      </x:c>
      <x:c r="G643" s="50" t="n">
        <x:v>304.46</x:v>
      </x:c>
      <x:c r="H643" s="50" t="n">
        <x:v>-296.1</x:v>
      </x:c>
      <x:c r="I643" s="50" t="n">
        <x:v>297.45</x:v>
      </x:c>
      <x:c r="J643" s="50" t="n">
        <x:v>2.01</x:v>
      </x:c>
      <x:c r="K643" s="50" t="n">
        <x:v>-2.92</x:v>
      </x:c>
      <x:c r="L643" s="50" t="n">
        <x:v>3.54</x:v>
      </x:c>
      <x:c r="M643" s="50" t="n">
        <x:v>1.44</x:v>
      </x:c>
      <x:c r="N643" t="str">
        <x:v>RELATÓRIO LEITURAS INCLINOMÉTRICAS - Empreitada THE EDEN, Estoril_ R05_03-11-25.pdf</x:v>
      </x:c>
      <x:c r="O643" t="n">
        <x:v>24</x:v>
      </x:c>
      <x:c r="P643" t="str">
        <x:v>Válida</x:v>
      </x:c>
    </x:row>
    <x:row r="644">
      <x:c r="A644" s="48" t="n">
        <x:v>45964</x:v>
      </x:c>
      <x:c r="B644" t="n">
        <x:v>5</x:v>
      </x:c>
      <x:c r="C644" t="str">
        <x:v>I2</x:v>
      </x:c>
      <x:c r="D644" t="n">
        <x:v>5</x:v>
      </x:c>
      <x:c r="E644" s="50" t="n">
        <x:v>14.5</x:v>
      </x:c>
      <x:c r="F644" s="50" t="n">
        <x:v>-263.5</x:v>
      </x:c>
      <x:c r="G644" s="50" t="n">
        <x:v>272.87</x:v>
      </x:c>
      <x:c r="H644" s="50" t="n">
        <x:v>-247.95</x:v>
      </x:c>
      <x:c r="I644" s="50" t="n">
        <x:v>257.46</x:v>
      </x:c>
      <x:c r="J644" s="50" t="n">
        <x:v>1.97</x:v>
      </x:c>
      <x:c r="K644" s="50" t="n">
        <x:v>-2.74</x:v>
      </x:c>
      <x:c r="L644" s="50" t="n">
        <x:v>3.37</x:v>
      </x:c>
      <x:c r="M644" s="50" t="n">
        <x:v>1.34</x:v>
      </x:c>
      <x:c r="N644" t="str">
        <x:v>RELATÓRIO LEITURAS INCLINOMÉTRICAS - Empreitada THE EDEN, Estoril_ R05_03-11-25.pdf</x:v>
      </x:c>
      <x:c r="O644" t="n">
        <x:v>24</x:v>
      </x:c>
      <x:c r="P644" t="str">
        <x:v>Válida</x:v>
      </x:c>
    </x:row>
    <x:row r="645">
      <x:c r="A645" s="48" t="n">
        <x:v>45964</x:v>
      </x:c>
      <x:c r="B645" t="n">
        <x:v>5</x:v>
      </x:c>
      <x:c r="C645" t="str">
        <x:v>I2</x:v>
      </x:c>
      <x:c r="D645" t="n">
        <x:v>5</x:v>
      </x:c>
      <x:c r="E645" s="50" t="n">
        <x:v>15</x:v>
      </x:c>
      <x:c r="F645" s="50" t="n">
        <x:v>-226.58</x:v>
      </x:c>
      <x:c r="G645" s="50" t="n">
        <x:v>237.88</x:v>
      </x:c>
      <x:c r="H645" s="50" t="n">
        <x:v>-203.37</x:v>
      </x:c>
      <x:c r="I645" s="50" t="n">
        <x:v>194.31</x:v>
      </x:c>
      <x:c r="J645" s="50" t="n">
        <x:v>1.83</x:v>
      </x:c>
      <x:c r="K645" s="50" t="n">
        <x:v>-2.62</x:v>
      </x:c>
      <x:c r="L645" s="50" t="n">
        <x:v>3.19</x:v>
      </x:c>
      <x:c r="M645" s="50" t="n">
        <x:v>1.26</x:v>
      </x:c>
      <x:c r="N645" t="str">
        <x:v>RELATÓRIO LEITURAS INCLINOMÉTRICAS - Empreitada THE EDEN, Estoril_ R05_03-11-25.pdf</x:v>
      </x:c>
      <x:c r="O645" t="n">
        <x:v>24</x:v>
      </x:c>
      <x:c r="P645" t="str">
        <x:v>Válida</x:v>
      </x:c>
    </x:row>
    <x:row r="646">
      <x:c r="A646" s="48" t="n">
        <x:v>45964</x:v>
      </x:c>
      <x:c r="B646" t="n">
        <x:v>5</x:v>
      </x:c>
      <x:c r="C646" t="str">
        <x:v>I2</x:v>
      </x:c>
      <x:c r="D646" t="n">
        <x:v>5</x:v>
      </x:c>
      <x:c r="E646" s="50" t="n">
        <x:v>15.5</x:v>
      </x:c>
      <x:c r="F646" s="50" t="n">
        <x:v>-160.78</x:v>
      </x:c>
      <x:c r="G646" s="50" t="n">
        <x:v>166.68</x:v>
      </x:c>
      <x:c r="H646" s="50" t="n">
        <x:v>-188.52</x:v>
      </x:c>
      <x:c r="I646" s="50" t="n">
        <x:v>178.34</x:v>
      </x:c>
      <x:c r="J646" s="50" t="n">
        <x:v>1.71</x:v>
      </x:c>
      <x:c r="K646" s="50" t="n">
        <x:v>-2.54</x:v>
      </x:c>
      <x:c r="L646" s="50" t="n">
        <x:v>3.07</x:v>
      </x:c>
      <x:c r="M646" s="50" t="n">
        <x:v>1.32</x:v>
      </x:c>
      <x:c r="N646" t="str">
        <x:v>RELATÓRIO LEITURAS INCLINOMÉTRICAS - Empreitada THE EDEN, Estoril_ R05_03-11-25.pdf</x:v>
      </x:c>
      <x:c r="O646" t="n">
        <x:v>24</x:v>
      </x:c>
      <x:c r="P646" t="str">
        <x:v>Válida</x:v>
      </x:c>
    </x:row>
    <x:row r="647">
      <x:c r="A647" s="48" t="n">
        <x:v>45964</x:v>
      </x:c>
      <x:c r="B647" t="n">
        <x:v>5</x:v>
      </x:c>
      <x:c r="C647" t="str">
        <x:v>I2</x:v>
      </x:c>
      <x:c r="D647" t="n">
        <x:v>5</x:v>
      </x:c>
      <x:c r="E647" s="50" t="n">
        <x:v>16</x:v>
      </x:c>
      <x:c r="F647" s="50" t="n">
        <x:v>-74.78</x:v>
      </x:c>
      <x:c r="G647" s="50" t="n">
        <x:v>82.47</x:v>
      </x:c>
      <x:c r="H647" s="50" t="n">
        <x:v>-165.71</x:v>
      </x:c>
      <x:c r="I647" s="50" t="n">
        <x:v>167.05</x:v>
      </x:c>
      <x:c r="J647" s="50" t="n">
        <x:v>1.64</x:v>
      </x:c>
      <x:c r="K647" s="50" t="n">
        <x:v>-2.43</x:v>
      </x:c>
      <x:c r="L647" s="50" t="n">
        <x:v>2.93</x:v>
      </x:c>
      <x:c r="M647" s="50" t="n">
        <x:v>1.26</x:v>
      </x:c>
      <x:c r="N647" t="str">
        <x:v>RELATÓRIO LEITURAS INCLINOMÉTRICAS - Empreitada THE EDEN, Estoril_ R05_03-11-25.pdf</x:v>
      </x:c>
      <x:c r="O647" t="n">
        <x:v>24</x:v>
      </x:c>
      <x:c r="P647" t="str">
        <x:v>Válida</x:v>
      </x:c>
    </x:row>
    <x:row r="648">
      <x:c r="A648" s="48" t="n">
        <x:v>45964</x:v>
      </x:c>
      <x:c r="B648" t="n">
        <x:v>5</x:v>
      </x:c>
      <x:c r="C648" t="str">
        <x:v>I2</x:v>
      </x:c>
      <x:c r="D648" t="n">
        <x:v>5</x:v>
      </x:c>
      <x:c r="E648" s="50" t="n">
        <x:v>16.5</x:v>
      </x:c>
      <x:c r="F648" s="50" t="n">
        <x:v>108.33</x:v>
      </x:c>
      <x:c r="G648" s="50" t="n">
        <x:v>-101.16</x:v>
      </x:c>
      <x:c r="H648" s="50" t="n">
        <x:v>-108.89</x:v>
      </x:c>
      <x:c r="I648" s="50" t="n">
        <x:v>118.04</x:v>
      </x:c>
      <x:c r="J648" s="50" t="n">
        <x:v>1.56</x:v>
      </x:c>
      <x:c r="K648" s="50" t="n">
        <x:v>-2.31</x:v>
      </x:c>
      <x:c r="L648" s="50" t="n">
        <x:v>2.79</x:v>
      </x:c>
      <x:c r="M648" s="50" t="n">
        <x:v>1.21</x:v>
      </x:c>
      <x:c r="N648" t="str">
        <x:v>RELATÓRIO LEITURAS INCLINOMÉTRICAS - Empreitada THE EDEN, Estoril_ R05_03-11-25.pdf</x:v>
      </x:c>
      <x:c r="O648" t="n">
        <x:v>24</x:v>
      </x:c>
      <x:c r="P648" t="str">
        <x:v>Válida</x:v>
      </x:c>
    </x:row>
    <x:row r="649">
      <x:c r="A649" s="48" t="n">
        <x:v>45964</x:v>
      </x:c>
      <x:c r="B649" t="n">
        <x:v>5</x:v>
      </x:c>
      <x:c r="C649" t="str">
        <x:v>I2</x:v>
      </x:c>
      <x:c r="D649" t="n">
        <x:v>5</x:v>
      </x:c>
      <x:c r="E649" s="50" t="n">
        <x:v>17</x:v>
      </x:c>
      <x:c r="F649" s="50" t="n">
        <x:v>269.12</x:v>
      </x:c>
      <x:c r="G649" s="50" t="n">
        <x:v>-260.82</x:v>
      </x:c>
      <x:c r="H649" s="50" t="n">
        <x:v>-65.94</x:v>
      </x:c>
      <x:c r="I649" s="50" t="n">
        <x:v>56.17</x:v>
      </x:c>
      <x:c r="J649" s="50" t="n">
        <x:v>1.47</x:v>
      </x:c>
      <x:c r="K649" s="50" t="n">
        <x:v>-2.39</x:v>
      </x:c>
      <x:c r="L649" s="50" t="n">
        <x:v>2.8</x:v>
      </x:c>
      <x:c r="M649" s="50" t="n">
        <x:v>1.07</x:v>
      </x:c>
      <x:c r="N649" t="str">
        <x:v>RELATÓRIO LEITURAS INCLINOMÉTRICAS - Empreitada THE EDEN, Estoril_ R05_03-11-25.pdf</x:v>
      </x:c>
      <x:c r="O649" t="n">
        <x:v>24</x:v>
      </x:c>
      <x:c r="P649" t="str">
        <x:v>Válida</x:v>
      </x:c>
    </x:row>
    <x:row r="650">
      <x:c r="A650" s="48" t="n">
        <x:v>45964</x:v>
      </x:c>
      <x:c r="B650" t="n">
        <x:v>5</x:v>
      </x:c>
      <x:c r="C650" t="str">
        <x:v>I2</x:v>
      </x:c>
      <x:c r="D650" t="n">
        <x:v>5</x:v>
      </x:c>
      <x:c r="E650" s="50" t="n">
        <x:v>17.5</x:v>
      </x:c>
      <x:c r="F650" s="50" t="n">
        <x:v>321.67</x:v>
      </x:c>
      <x:c r="G650" s="50" t="n">
        <x:v>-316.8</x:v>
      </x:c>
      <x:c r="H650" s="50" t="n">
        <x:v>-75.76</x:v>
      </x:c>
      <x:c r="I650" s="50" t="n">
        <x:v>60.38</x:v>
      </x:c>
      <x:c r="J650" s="50" t="n">
        <x:v>1.35</x:v>
      </x:c>
      <x:c r="K650" s="50" t="n">
        <x:v>-2.22</x:v>
      </x:c>
      <x:c r="L650" s="50" t="n">
        <x:v>2.59</x:v>
      </x:c>
      <x:c r="M650" s="50" t="n">
        <x:v>1.1</x:v>
      </x:c>
      <x:c r="N650" t="str">
        <x:v>RELATÓRIO LEITURAS INCLINOMÉTRICAS - Empreitada THE EDEN, Estoril_ R05_03-11-25.pdf</x:v>
      </x:c>
      <x:c r="O650" t="n">
        <x:v>24</x:v>
      </x:c>
      <x:c r="P650" t="str">
        <x:v>Válida</x:v>
      </x:c>
    </x:row>
    <x:row r="651">
      <x:c r="A651" s="48" t="n">
        <x:v>45964</x:v>
      </x:c>
      <x:c r="B651" t="n">
        <x:v>5</x:v>
      </x:c>
      <x:c r="C651" t="str">
        <x:v>I2</x:v>
      </x:c>
      <x:c r="D651" t="n">
        <x:v>5</x:v>
      </x:c>
      <x:c r="E651" s="50" t="n">
        <x:v>18</x:v>
      </x:c>
      <x:c r="F651" s="50" t="n">
        <x:v>391.76</x:v>
      </x:c>
      <x:c r="G651" s="50" t="n">
        <x:v>-382.79</x:v>
      </x:c>
      <x:c r="H651" s="50" t="n">
        <x:v>-102.28</x:v>
      </x:c>
      <x:c r="I651" s="50" t="n">
        <x:v>95.98</x:v>
      </x:c>
      <x:c r="J651" s="50" t="n">
        <x:v>1.25</x:v>
      </x:c>
      <x:c r="K651" s="50" t="n">
        <x:v>-2.07</x:v>
      </x:c>
      <x:c r="L651" s="50" t="n">
        <x:v>2.42</x:v>
      </x:c>
      <x:c r="M651" s="50" t="n">
        <x:v>1.17</x:v>
      </x:c>
      <x:c r="N651" t="str">
        <x:v>RELATÓRIO LEITURAS INCLINOMÉTRICAS - Empreitada THE EDEN, Estoril_ R05_03-11-25.pdf</x:v>
      </x:c>
      <x:c r="O651" t="n">
        <x:v>24</x:v>
      </x:c>
      <x:c r="P651" t="str">
        <x:v>Válida</x:v>
      </x:c>
    </x:row>
    <x:row r="652">
      <x:c r="A652" s="48" t="n">
        <x:v>45964</x:v>
      </x:c>
      <x:c r="B652" t="n">
        <x:v>5</x:v>
      </x:c>
      <x:c r="C652" t="str">
        <x:v>I2</x:v>
      </x:c>
      <x:c r="D652" t="n">
        <x:v>5</x:v>
      </x:c>
      <x:c r="E652" s="50" t="n">
        <x:v>18.5</x:v>
      </x:c>
      <x:c r="F652" s="50" t="n">
        <x:v>438.39</x:v>
      </x:c>
      <x:c r="G652" s="50" t="n">
        <x:v>-430.68</x:v>
      </x:c>
      <x:c r="H652" s="50" t="n">
        <x:v>-101.02</x:v>
      </x:c>
      <x:c r="I652" s="50" t="n">
        <x:v>112.98</x:v>
      </x:c>
      <x:c r="J652" s="50" t="n">
        <x:v>1.15</x:v>
      </x:c>
      <x:c r="K652" s="50" t="n">
        <x:v>-1.97</x:v>
      </x:c>
      <x:c r="L652" s="50" t="n">
        <x:v>2.28</x:v>
      </x:c>
      <x:c r="M652" s="50" t="n">
        <x:v>1.07</x:v>
      </x:c>
      <x:c r="N652" t="str">
        <x:v>RELATÓRIO LEITURAS INCLINOMÉTRICAS - Empreitada THE EDEN, Estoril_ R05_03-11-25.pdf</x:v>
      </x:c>
      <x:c r="O652" t="n">
        <x:v>24</x:v>
      </x:c>
      <x:c r="P652" t="str">
        <x:v>Válida</x:v>
      </x:c>
    </x:row>
    <x:row r="653">
      <x:c r="A653" s="48" t="n">
        <x:v>45964</x:v>
      </x:c>
      <x:c r="B653" t="n">
        <x:v>5</x:v>
      </x:c>
      <x:c r="C653" t="str">
        <x:v>I2</x:v>
      </x:c>
      <x:c r="D653" t="n">
        <x:v>5</x:v>
      </x:c>
      <x:c r="E653" s="50" t="n">
        <x:v>19</x:v>
      </x:c>
      <x:c r="F653" s="50" t="n">
        <x:v>444.7</x:v>
      </x:c>
      <x:c r="G653" s="50" t="n">
        <x:v>-438.65</x:v>
      </x:c>
      <x:c r="H653" s="50" t="n">
        <x:v>-118.37</x:v>
      </x:c>
      <x:c r="I653" s="50" t="n">
        <x:v>114.04</x:v>
      </x:c>
      <x:c r="J653" s="50" t="n">
        <x:v>1.13</x:v>
      </x:c>
      <x:c r="K653" s="50" t="n">
        <x:v>-1.74</x:v>
      </x:c>
      <x:c r="L653" s="50" t="n">
        <x:v>2.07</x:v>
      </x:c>
      <x:c r="M653" s="50" t="n">
        <x:v>0.82</x:v>
      </x:c>
      <x:c r="N653" t="str">
        <x:v>RELATÓRIO LEITURAS INCLINOMÉTRICAS - Empreitada THE EDEN, Estoril_ R05_03-11-25.pdf</x:v>
      </x:c>
      <x:c r="O653" t="n">
        <x:v>24</x:v>
      </x:c>
      <x:c r="P653" t="str">
        <x:v>Válida</x:v>
      </x:c>
    </x:row>
    <x:row r="654">
      <x:c r="A654" s="48" t="n">
        <x:v>45964</x:v>
      </x:c>
      <x:c r="B654" t="n">
        <x:v>5</x:v>
      </x:c>
      <x:c r="C654" t="str">
        <x:v>I2</x:v>
      </x:c>
      <x:c r="D654" t="n">
        <x:v>5</x:v>
      </x:c>
      <x:c r="E654" s="50" t="n">
        <x:v>19.5</x:v>
      </x:c>
      <x:c r="F654" s="50" t="n">
        <x:v>328.02</x:v>
      </x:c>
      <x:c r="G654" s="50" t="n">
        <x:v>-321.57</x:v>
      </x:c>
      <x:c r="H654" s="50" t="n">
        <x:v>-42.67</x:v>
      </x:c>
      <x:c r="I654" s="50" t="n">
        <x:v>46.99</x:v>
      </x:c>
      <x:c r="J654" s="50" t="n">
        <x:v>1.04</x:v>
      </x:c>
      <x:c r="K654" s="50" t="n">
        <x:v>-1.66</x:v>
      </x:c>
      <x:c r="L654" s="50" t="n">
        <x:v>1.96</x:v>
      </x:c>
      <x:c r="M654" s="50" t="n">
        <x:v>0.85</x:v>
      </x:c>
      <x:c r="N654" t="str">
        <x:v>RELATÓRIO LEITURAS INCLINOMÉTRICAS - Empreitada THE EDEN, Estoril_ R05_03-11-25.pdf</x:v>
      </x:c>
      <x:c r="O654" t="n">
        <x:v>24</x:v>
      </x:c>
      <x:c r="P654" t="str">
        <x:v>Válida</x:v>
      </x:c>
    </x:row>
    <x:row r="655">
      <x:c r="A655" s="48" t="n">
        <x:v>45964</x:v>
      </x:c>
      <x:c r="B655" t="n">
        <x:v>5</x:v>
      </x:c>
      <x:c r="C655" t="str">
        <x:v>I2</x:v>
      </x:c>
      <x:c r="D655" t="n">
        <x:v>5</x:v>
      </x:c>
      <x:c r="E655" s="50" t="n">
        <x:v>20</x:v>
      </x:c>
      <x:c r="F655" s="50" t="n">
        <x:v>191.87</x:v>
      </x:c>
      <x:c r="G655" s="50" t="n">
        <x:v>-184.01</x:v>
      </x:c>
      <x:c r="H655" s="50" t="n">
        <x:v>0.67</x:v>
      </x:c>
      <x:c r="I655" s="50" t="n">
        <x:v>4.23</x:v>
      </x:c>
      <x:c r="J655" s="50" t="n">
        <x:v>1</x:v>
      </x:c>
      <x:c r="K655" s="50" t="n">
        <x:v>-1.54</x:v>
      </x:c>
      <x:c r="L655" s="50" t="n">
        <x:v>1.84</x:v>
      </x:c>
      <x:c r="M655" s="50" t="n">
        <x:v>0.76</x:v>
      </x:c>
      <x:c r="N655" t="str">
        <x:v>RELATÓRIO LEITURAS INCLINOMÉTRICAS - Empreitada THE EDEN, Estoril_ R05_03-11-25.pdf</x:v>
      </x:c>
      <x:c r="O655" t="n">
        <x:v>24</x:v>
      </x:c>
      <x:c r="P655" t="str">
        <x:v>Válida</x:v>
      </x:c>
    </x:row>
    <x:row r="656">
      <x:c r="A656" s="48" t="n">
        <x:v>45964</x:v>
      </x:c>
      <x:c r="B656" t="n">
        <x:v>5</x:v>
      </x:c>
      <x:c r="C656" t="str">
        <x:v>I2</x:v>
      </x:c>
      <x:c r="D656" t="n">
        <x:v>5</x:v>
      </x:c>
      <x:c r="E656" s="50" t="n">
        <x:v>20.5</x:v>
      </x:c>
      <x:c r="F656" s="50" t="n">
        <x:v>158.06</x:v>
      </x:c>
      <x:c r="G656" s="50" t="n">
        <x:v>-150.66</x:v>
      </x:c>
      <x:c r="H656" s="50" t="n">
        <x:v>-6.55</x:v>
      </x:c>
      <x:c r="I656" s="50" t="n">
        <x:v>13.06</x:v>
      </x:c>
      <x:c r="J656" s="50" t="n">
        <x:v>0.87</x:v>
      </x:c>
      <x:c r="K656" s="50" t="n">
        <x:v>-1.28</x:v>
      </x:c>
      <x:c r="L656" s="50" t="n">
        <x:v>1.54</x:v>
      </x:c>
      <x:c r="M656" s="50" t="n">
        <x:v>0.64</x:v>
      </x:c>
      <x:c r="N656" t="str">
        <x:v>RELATÓRIO LEITURAS INCLINOMÉTRICAS - Empreitada THE EDEN, Estoril_ R05_03-11-25.pdf</x:v>
      </x:c>
      <x:c r="O656" t="n">
        <x:v>24</x:v>
      </x:c>
      <x:c r="P656" t="str">
        <x:v>Válida</x:v>
      </x:c>
    </x:row>
    <x:row r="657">
      <x:c r="A657" s="48" t="n">
        <x:v>45964</x:v>
      </x:c>
      <x:c r="B657" t="n">
        <x:v>5</x:v>
      </x:c>
      <x:c r="C657" t="str">
        <x:v>I2</x:v>
      </x:c>
      <x:c r="D657" t="n">
        <x:v>5</x:v>
      </x:c>
      <x:c r="E657" s="50" t="n">
        <x:v>21</x:v>
      </x:c>
      <x:c r="F657" s="50" t="n">
        <x:v>116.97</x:v>
      </x:c>
      <x:c r="G657" s="50" t="n">
        <x:v>-108.91</x:v>
      </x:c>
      <x:c r="H657" s="50" t="n">
        <x:v>-7.44</x:v>
      </x:c>
      <x:c r="I657" s="50" t="n">
        <x:v>15.34</x:v>
      </x:c>
      <x:c r="J657" s="50" t="n">
        <x:v>0.82</x:v>
      </x:c>
      <x:c r="K657" s="50" t="n">
        <x:v>-1.13</x:v>
      </x:c>
      <x:c r="L657" s="50" t="n">
        <x:v>1.4</x:v>
      </x:c>
      <x:c r="M657" s="50" t="n">
        <x:v>0.56</x:v>
      </x:c>
      <x:c r="N657" t="str">
        <x:v>RELATÓRIO LEITURAS INCLINOMÉTRICAS - Empreitada THE EDEN, Estoril_ R05_03-11-25.pdf</x:v>
      </x:c>
      <x:c r="O657" t="n">
        <x:v>24</x:v>
      </x:c>
      <x:c r="P657" t="str">
        <x:v>Válida</x:v>
      </x:c>
    </x:row>
    <x:row r="658">
      <x:c r="A658" s="48" t="n">
        <x:v>45964</x:v>
      </x:c>
      <x:c r="B658" t="n">
        <x:v>5</x:v>
      </x:c>
      <x:c r="C658" t="str">
        <x:v>I2</x:v>
      </x:c>
      <x:c r="D658" t="n">
        <x:v>5</x:v>
      </x:c>
      <x:c r="E658" s="50" t="n">
        <x:v>21.5</x:v>
      </x:c>
      <x:c r="F658" s="50" t="n">
        <x:v>-12.38</x:v>
      </x:c>
      <x:c r="G658" s="50" t="n">
        <x:v>21.31</x:v>
      </x:c>
      <x:c r="H658" s="50" t="n">
        <x:v>-22.08</x:v>
      </x:c>
      <x:c r="I658" s="50" t="n">
        <x:v>20.87</x:v>
      </x:c>
      <x:c r="J658" s="50" t="n">
        <x:v>0.65</x:v>
      </x:c>
      <x:c r="K658" s="50" t="n">
        <x:v>-1.21</x:v>
      </x:c>
      <x:c r="L658" s="50" t="n">
        <x:v>1.37</x:v>
      </x:c>
      <x:c r="M658" s="50" t="n">
        <x:v>0.6</x:v>
      </x:c>
      <x:c r="N658" t="str">
        <x:v>RELATÓRIO LEITURAS INCLINOMÉTRICAS - Empreitada THE EDEN, Estoril_ R05_03-11-25.pdf</x:v>
      </x:c>
      <x:c r="O658" t="n">
        <x:v>24</x:v>
      </x:c>
      <x:c r="P658" t="str">
        <x:v>Válida</x:v>
      </x:c>
    </x:row>
    <x:row r="659">
      <x:c r="A659" s="48" t="n">
        <x:v>45964</x:v>
      </x:c>
      <x:c r="B659" t="n">
        <x:v>5</x:v>
      </x:c>
      <x:c r="C659" t="str">
        <x:v>I2</x:v>
      </x:c>
      <x:c r="D659" t="n">
        <x:v>5</x:v>
      </x:c>
      <x:c r="E659" s="50" t="n">
        <x:v>22</x:v>
      </x:c>
      <x:c r="F659" s="50" t="n">
        <x:v>-57.96</x:v>
      </x:c>
      <x:c r="G659" s="50" t="n">
        <x:v>64.78</x:v>
      </x:c>
      <x:c r="H659" s="50" t="n">
        <x:v>-16.43</x:v>
      </x:c>
      <x:c r="I659" s="50" t="n">
        <x:v>26.26</x:v>
      </x:c>
      <x:c r="J659" s="50" t="n">
        <x:v>0.61</x:v>
      </x:c>
      <x:c r="K659" s="50" t="n">
        <x:v>-1.03</x:v>
      </x:c>
      <x:c r="L659" s="50" t="n">
        <x:v>1.2</x:v>
      </x:c>
      <x:c r="M659" s="50" t="n">
        <x:v>0.62</x:v>
      </x:c>
      <x:c r="N659" t="str">
        <x:v>RELATÓRIO LEITURAS INCLINOMÉTRICAS - Empreitada THE EDEN, Estoril_ R05_03-11-25.pdf</x:v>
      </x:c>
      <x:c r="O659" t="n">
        <x:v>24</x:v>
      </x:c>
      <x:c r="P659" t="str">
        <x:v>Válida</x:v>
      </x:c>
    </x:row>
    <x:row r="660">
      <x:c r="A660" s="48" t="n">
        <x:v>45964</x:v>
      </x:c>
      <x:c r="B660" t="n">
        <x:v>5</x:v>
      </x:c>
      <x:c r="C660" t="str">
        <x:v>I2</x:v>
      </x:c>
      <x:c r="D660" t="n">
        <x:v>5</x:v>
      </x:c>
      <x:c r="E660" s="50" t="n">
        <x:v>22.5</x:v>
      </x:c>
      <x:c r="F660" s="50" t="n">
        <x:v>-44.95</x:v>
      </x:c>
      <x:c r="G660" s="50" t="n">
        <x:v>54.2</x:v>
      </x:c>
      <x:c r="H660" s="50" t="n">
        <x:v>-113.73</x:v>
      </x:c>
      <x:c r="I660" s="50" t="n">
        <x:v>123.15</x:v>
      </x:c>
      <x:c r="J660" s="50" t="n">
        <x:v>0.58</x:v>
      </x:c>
      <x:c r="K660" s="50" t="n">
        <x:v>-1.09</x:v>
      </x:c>
      <x:c r="L660" s="50" t="n">
        <x:v>1.23</x:v>
      </x:c>
      <x:c r="M660" s="50" t="n">
        <x:v>0.71</x:v>
      </x:c>
      <x:c r="N660" t="str">
        <x:v>RELATÓRIO LEITURAS INCLINOMÉTRICAS - Empreitada THE EDEN, Estoril_ R05_03-11-25.pdf</x:v>
      </x:c>
      <x:c r="O660" t="n">
        <x:v>24</x:v>
      </x:c>
      <x:c r="P660" t="str">
        <x:v>Válida</x:v>
      </x:c>
    </x:row>
    <x:row r="661">
      <x:c r="A661" s="48" t="n">
        <x:v>45964</x:v>
      </x:c>
      <x:c r="B661" t="n">
        <x:v>5</x:v>
      </x:c>
      <x:c r="C661" t="str">
        <x:v>I2</x:v>
      </x:c>
      <x:c r="D661" t="n">
        <x:v>5</x:v>
      </x:c>
      <x:c r="E661" s="50" t="n">
        <x:v>23</x:v>
      </x:c>
      <x:c r="F661" s="50" t="n">
        <x:v>-57.6</x:v>
      </x:c>
      <x:c r="G661" s="50" t="n">
        <x:v>63.11</x:v>
      </x:c>
      <x:c r="H661" s="50" t="n">
        <x:v>-143.77</x:v>
      </x:c>
      <x:c r="I661" s="50" t="n">
        <x:v>158.78</x:v>
      </x:c>
      <x:c r="J661" s="50" t="n">
        <x:v>0.53</x:v>
      </x:c>
      <x:c r="K661" s="50" t="n">
        <x:v>-1</x:v>
      </x:c>
      <x:c r="L661" s="50" t="n">
        <x:v>1.13</x:v>
      </x:c>
      <x:c r="M661" s="50" t="n">
        <x:v>0.7</x:v>
      </x:c>
      <x:c r="N661" t="str">
        <x:v>RELATÓRIO LEITURAS INCLINOMÉTRICAS - Empreitada THE EDEN, Estoril_ R05_03-11-25.pdf</x:v>
      </x:c>
      <x:c r="O661" t="n">
        <x:v>24</x:v>
      </x:c>
      <x:c r="P661" t="str">
        <x:v>Válida</x:v>
      </x:c>
    </x:row>
    <x:row r="662">
      <x:c r="A662" s="48" t="n">
        <x:v>45964</x:v>
      </x:c>
      <x:c r="B662" t="n">
        <x:v>5</x:v>
      </x:c>
      <x:c r="C662" t="str">
        <x:v>I2</x:v>
      </x:c>
      <x:c r="D662" t="n">
        <x:v>5</x:v>
      </x:c>
      <x:c r="E662" s="50" t="n">
        <x:v>23.5</x:v>
      </x:c>
      <x:c r="F662" s="50" t="n">
        <x:v>-123.36</x:v>
      </x:c>
      <x:c r="G662" s="50" t="n">
        <x:v>134.89</x:v>
      </x:c>
      <x:c r="H662" s="50" t="n">
        <x:v>-198.24</x:v>
      </x:c>
      <x:c r="I662" s="50" t="n">
        <x:v>210.32</x:v>
      </x:c>
      <x:c r="J662" s="50" t="n">
        <x:v>0.48</x:v>
      </x:c>
      <x:c r="K662" s="50" t="n">
        <x:v>-0.67</x:v>
      </x:c>
      <x:c r="L662" s="50" t="n">
        <x:v>0.82</x:v>
      </x:c>
      <x:c r="M662" s="50" t="n">
        <x:v>0.44</x:v>
      </x:c>
      <x:c r="N662" t="str">
        <x:v>RELATÓRIO LEITURAS INCLINOMÉTRICAS - Empreitada THE EDEN, Estoril_ R05_03-11-25.pdf</x:v>
      </x:c>
      <x:c r="O662" t="n">
        <x:v>24</x:v>
      </x:c>
      <x:c r="P662" t="str">
        <x:v>Válida</x:v>
      </x:c>
    </x:row>
    <x:row r="663">
      <x:c r="A663" s="48" t="n">
        <x:v>45964</x:v>
      </x:c>
      <x:c r="B663" t="n">
        <x:v>5</x:v>
      </x:c>
      <x:c r="C663" t="str">
        <x:v>I2</x:v>
      </x:c>
      <x:c r="D663" t="n">
        <x:v>5</x:v>
      </x:c>
      <x:c r="E663" s="50" t="n">
        <x:v>24</x:v>
      </x:c>
      <x:c r="F663" s="50" t="n">
        <x:v>-156.85</x:v>
      </x:c>
      <x:c r="G663" s="50" t="n">
        <x:v>165.22</x:v>
      </x:c>
      <x:c r="H663" s="50" t="n">
        <x:v>-258.89</x:v>
      </x:c>
      <x:c r="I663" s="50" t="n">
        <x:v>256.86</x:v>
      </x:c>
      <x:c r="J663" s="50" t="n">
        <x:v>0.46</x:v>
      </x:c>
      <x:c r="K663" s="50" t="n">
        <x:v>-0.69</x:v>
      </x:c>
      <x:c r="L663" s="50" t="n">
        <x:v>0.83</x:v>
      </x:c>
      <x:c r="M663" s="50" t="n">
        <x:v>0.39</x:v>
      </x:c>
      <x:c r="N663" t="str">
        <x:v>RELATÓRIO LEITURAS INCLINOMÉTRICAS - Empreitada THE EDEN, Estoril_ R05_03-11-25.pdf</x:v>
      </x:c>
      <x:c r="O663" t="n">
        <x:v>24</x:v>
      </x:c>
      <x:c r="P663" t="str">
        <x:v>Válida</x:v>
      </x:c>
    </x:row>
    <x:row r="664">
      <x:c r="A664" s="48" t="n">
        <x:v>45964</x:v>
      </x:c>
      <x:c r="B664" t="n">
        <x:v>5</x:v>
      </x:c>
      <x:c r="C664" t="str">
        <x:v>I2</x:v>
      </x:c>
      <x:c r="D664" t="n">
        <x:v>5</x:v>
      </x:c>
      <x:c r="E664" s="50" t="n">
        <x:v>24.5</x:v>
      </x:c>
      <x:c r="F664" s="50" t="n">
        <x:v>-53.91</x:v>
      </x:c>
      <x:c r="G664" s="50" t="n">
        <x:v>57.37</x:v>
      </x:c>
      <x:c r="H664" s="50" t="n">
        <x:v>-247.5</x:v>
      </x:c>
      <x:c r="I664" s="50" t="n">
        <x:v>237.12</x:v>
      </x:c>
      <x:c r="J664" s="50" t="n">
        <x:v>0.42</x:v>
      </x:c>
      <x:c r="K664" s="50" t="n">
        <x:v>-0.64</x:v>
      </x:c>
      <x:c r="L664" s="50" t="n">
        <x:v>0.77</x:v>
      </x:c>
      <x:c r="M664" s="50" t="n">
        <x:v>0.3</x:v>
      </x:c>
      <x:c r="N664" t="str">
        <x:v>RELATÓRIO LEITURAS INCLINOMÉTRICAS - Empreitada THE EDEN, Estoril_ R05_03-11-25.pdf</x:v>
      </x:c>
      <x:c r="O664" t="n">
        <x:v>24</x:v>
      </x:c>
      <x:c r="P664" t="str">
        <x:v>Válida</x:v>
      </x:c>
    </x:row>
    <x:row r="665">
      <x:c r="A665" s="48" t="n">
        <x:v>45964</x:v>
      </x:c>
      <x:c r="B665" t="n">
        <x:v>5</x:v>
      </x:c>
      <x:c r="C665" t="str">
        <x:v>I2</x:v>
      </x:c>
      <x:c r="D665" t="n">
        <x:v>5</x:v>
      </x:c>
      <x:c r="E665" s="50" t="n">
        <x:v>25</x:v>
      </x:c>
      <x:c r="F665" s="50" t="n">
        <x:v>43.15</x:v>
      </x:c>
      <x:c r="G665" s="50" t="n">
        <x:v>-34.66</x:v>
      </x:c>
      <x:c r="H665" s="50" t="n">
        <x:v>-227.99</x:v>
      </x:c>
      <x:c r="I665" s="50" t="n">
        <x:v>222.34</x:v>
      </x:c>
      <x:c r="J665" s="50" t="n">
        <x:v>0.33</x:v>
      </x:c>
      <x:c r="K665" s="50" t="n">
        <x:v>-0.67</x:v>
      </x:c>
      <x:c r="L665" s="50" t="n">
        <x:v>0.75</x:v>
      </x:c>
      <x:c r="M665" s="50" t="n">
        <x:v>0.29</x:v>
      </x:c>
      <x:c r="N665" t="str">
        <x:v>RELATÓRIO LEITURAS INCLINOMÉTRICAS - Empreitada THE EDEN, Estoril_ R05_03-11-25.pdf</x:v>
      </x:c>
      <x:c r="O665" t="n">
        <x:v>24</x:v>
      </x:c>
      <x:c r="P665" t="str">
        <x:v>Válida</x:v>
      </x:c>
    </x:row>
    <x:row r="666">
      <x:c r="A666" s="48" t="n">
        <x:v>45964</x:v>
      </x:c>
      <x:c r="B666" t="n">
        <x:v>5</x:v>
      </x:c>
      <x:c r="C666" t="str">
        <x:v>I2</x:v>
      </x:c>
      <x:c r="D666" t="n">
        <x:v>5</x:v>
      </x:c>
      <x:c r="E666" s="50" t="n">
        <x:v>25.5</x:v>
      </x:c>
      <x:c r="F666" s="50" t="n">
        <x:v>98.32</x:v>
      </x:c>
      <x:c r="G666" s="50" t="n">
        <x:v>-93.41</x:v>
      </x:c>
      <x:c r="H666" s="50" t="n">
        <x:v>-197.41</x:v>
      </x:c>
      <x:c r="I666" s="50" t="n">
        <x:v>191.63</x:v>
      </x:c>
      <x:c r="J666" s="50" t="n">
        <x:v>0.25</x:v>
      </x:c>
      <x:c r="K666" s="50" t="n">
        <x:v>-0.49</x:v>
      </x:c>
      <x:c r="L666" s="50" t="n">
        <x:v>0.55</x:v>
      </x:c>
      <x:c r="M666" s="50" t="n">
        <x:v>0.3</x:v>
      </x:c>
      <x:c r="N666" t="str">
        <x:v>RELATÓRIO LEITURAS INCLINOMÉTRICAS - Empreitada THE EDEN, Estoril_ R05_03-11-25.pdf</x:v>
      </x:c>
      <x:c r="O666" t="n">
        <x:v>24</x:v>
      </x:c>
      <x:c r="P666" t="str">
        <x:v>Válida</x:v>
      </x:c>
    </x:row>
    <x:row r="667">
      <x:c r="A667" s="48" t="n">
        <x:v>45964</x:v>
      </x:c>
      <x:c r="B667" t="n">
        <x:v>5</x:v>
      </x:c>
      <x:c r="C667" t="str">
        <x:v>I2</x:v>
      </x:c>
      <x:c r="D667" t="n">
        <x:v>5</x:v>
      </x:c>
      <x:c r="E667" s="50" t="n">
        <x:v>26</x:v>
      </x:c>
      <x:c r="F667" s="50" t="n">
        <x:v>145.63</x:v>
      </x:c>
      <x:c r="G667" s="50" t="n">
        <x:v>-136.57</x:v>
      </x:c>
      <x:c r="H667" s="50" t="n">
        <x:v>-245.88</x:v>
      </x:c>
      <x:c r="I667" s="50" t="n">
        <x:v>238.5</x:v>
      </x:c>
      <x:c r="J667" s="50" t="n">
        <x:v>0.18</x:v>
      </x:c>
      <x:c r="K667" s="50" t="n">
        <x:v>-0.16</x:v>
      </x:c>
      <x:c r="L667" s="50" t="n">
        <x:v>0.24</x:v>
      </x:c>
      <x:c r="M667" s="50" t="n">
        <x:v>0.07</x:v>
      </x:c>
      <x:c r="N667" t="str">
        <x:v>RELATÓRIO LEITURAS INCLINOMÉTRICAS - Empreitada THE EDEN, Estoril_ R05_03-11-25.pdf</x:v>
      </x:c>
      <x:c r="O667" t="n">
        <x:v>24</x:v>
      </x:c>
      <x:c r="P667" t="str">
        <x:v>Válida</x:v>
      </x:c>
    </x:row>
    <x:row r="668">
      <x:c r="A668" s="48" t="n">
        <x:v>45964</x:v>
      </x:c>
      <x:c r="B668" t="n">
        <x:v>5</x:v>
      </x:c>
      <x:c r="C668" t="str">
        <x:v>I2</x:v>
      </x:c>
      <x:c r="D668" t="n">
        <x:v>5</x:v>
      </x:c>
      <x:c r="E668" s="50" t="n">
        <x:v>26.5</x:v>
      </x:c>
      <x:c r="F668" s="50" t="n">
        <x:v>149.77</x:v>
      </x:c>
      <x:c r="G668" s="50" t="n">
        <x:v>-143.17</x:v>
      </x:c>
      <x:c r="H668" s="50" t="n">
        <x:v>-248.81</x:v>
      </x:c>
      <x:c r="I668" s="50" t="n">
        <x:v>255.75</x:v>
      </x:c>
      <x:c r="J668" s="50" t="n">
        <x:v>0.1</x:v>
      </x:c>
      <x:c r="K668" s="50" t="n">
        <x:v>-0.09</x:v>
      </x:c>
      <x:c r="L668" s="50" t="n">
        <x:v>0.14</x:v>
      </x:c>
      <x:c r="M668" s="50" t="n">
        <x:v>-0.1</x:v>
      </x:c>
      <x:c r="N668" t="str">
        <x:v>RELATÓRIO LEITURAS INCLINOMÉTRICAS - Empreitada THE EDEN, Estoril_ R05_03-11-25.pdf</x:v>
      </x:c>
      <x:c r="O668" t="n">
        <x:v>24</x:v>
      </x:c>
      <x:c r="P668" t="str">
        <x:v>Válida</x:v>
      </x:c>
    </x:row>
    <x:row r="669">
      <x:c r="A669" s="48" t="n">
        <x:v>45964</x:v>
      </x:c>
      <x:c r="B669" t="n">
        <x:v>5</x:v>
      </x:c>
      <x:c r="C669" t="str">
        <x:v>I3</x:v>
      </x:c>
      <x:c r="D669" t="n">
        <x:v>4</x:v>
      </x:c>
      <x:c r="E669" s="50" t="n">
        <x:v>0.5</x:v>
      </x:c>
      <x:c r="F669" s="50" t="n">
        <x:v>410.07</x:v>
      </x:c>
      <x:c r="G669" s="50" t="n">
        <x:v>-396.77</x:v>
      </x:c>
      <x:c r="H669" s="50" t="n">
        <x:v>485.83</x:v>
      </x:c>
      <x:c r="I669" s="50" t="n">
        <x:v>-480.63</x:v>
      </x:c>
      <x:c r="J669" s="50" t="n">
        <x:v>-0.07</x:v>
      </x:c>
      <x:c r="K669" s="50" t="n">
        <x:v>-1.37</x:v>
      </x:c>
      <x:c r="L669" s="50" t="n">
        <x:v>1.38</x:v>
      </x:c>
      <x:c r="M669" s="50" t="n">
        <x:v>-1.43</x:v>
      </x:c>
      <x:c r="N669" t="str">
        <x:v>RELATÓRIO LEITURAS INCLINOMÉTRICAS - Empreitada THE EDEN, Estoril_ R05_03-11-25.pdf</x:v>
      </x:c>
      <x:c r="O669" t="n">
        <x:v>32</x:v>
      </x:c>
      <x:c r="P669" t="str">
        <x:v>Válida</x:v>
      </x:c>
    </x:row>
    <x:row r="670">
      <x:c r="A670" s="48" t="n">
        <x:v>45964</x:v>
      </x:c>
      <x:c r="B670" t="n">
        <x:v>5</x:v>
      </x:c>
      <x:c r="C670" t="str">
        <x:v>I3</x:v>
      </x:c>
      <x:c r="D670" t="n">
        <x:v>4</x:v>
      </x:c>
      <x:c r="E670" s="50" t="n">
        <x:v>1</x:v>
      </x:c>
      <x:c r="F670" s="50" t="n">
        <x:v>410.26</x:v>
      </x:c>
      <x:c r="G670" s="50" t="n">
        <x:v>-396.79</x:v>
      </x:c>
      <x:c r="H670" s="50" t="n">
        <x:v>486.15</x:v>
      </x:c>
      <x:c r="I670" s="50" t="n">
        <x:v>-480.67</x:v>
      </x:c>
      <x:c r="J670" s="50" t="n">
        <x:v>-0.07</x:v>
      </x:c>
      <x:c r="K670" s="50" t="n">
        <x:v>-1.42</x:v>
      </x:c>
      <x:c r="L670" s="50" t="n">
        <x:v>1.42</x:v>
      </x:c>
      <x:c r="M670" s="50" t="n">
        <x:v>-1.62</x:v>
      </x:c>
      <x:c r="N670" t="str">
        <x:v>RELATÓRIO LEITURAS INCLINOMÉTRICAS - Empreitada THE EDEN, Estoril_ R05_03-11-25.pdf</x:v>
      </x:c>
      <x:c r="O670" t="n">
        <x:v>32</x:v>
      </x:c>
      <x:c r="P670" t="str">
        <x:v>Válida</x:v>
      </x:c>
    </x:row>
    <x:row r="671">
      <x:c r="A671" s="48" t="n">
        <x:v>45964</x:v>
      </x:c>
      <x:c r="B671" t="n">
        <x:v>5</x:v>
      </x:c>
      <x:c r="C671" t="str">
        <x:v>I3</x:v>
      </x:c>
      <x:c r="D671" t="n">
        <x:v>4</x:v>
      </x:c>
      <x:c r="E671" s="50" t="n">
        <x:v>1.5</x:v>
      </x:c>
      <x:c r="F671" s="50" t="n">
        <x:v>440.95</x:v>
      </x:c>
      <x:c r="G671" s="50" t="n">
        <x:v>-432.88</x:v>
      </x:c>
      <x:c r="H671" s="50" t="n">
        <x:v>419.97</x:v>
      </x:c>
      <x:c r="I671" s="50" t="n">
        <x:v>-402.48</x:v>
      </x:c>
      <x:c r="J671" s="50" t="n">
        <x:v>-0.06</x:v>
      </x:c>
      <x:c r="K671" s="50" t="n">
        <x:v>-1.47</x:v>
      </x:c>
      <x:c r="L671" s="50" t="n">
        <x:v>1.47</x:v>
      </x:c>
      <x:c r="M671" s="50" t="n">
        <x:v>-1.78</x:v>
      </x:c>
      <x:c r="N671" t="str">
        <x:v>RELATÓRIO LEITURAS INCLINOMÉTRICAS - Empreitada THE EDEN, Estoril_ R05_03-11-25.pdf</x:v>
      </x:c>
      <x:c r="O671" t="n">
        <x:v>32</x:v>
      </x:c>
      <x:c r="P671" t="str">
        <x:v>Válida</x:v>
      </x:c>
    </x:row>
    <x:row r="672">
      <x:c r="A672" s="48" t="n">
        <x:v>45964</x:v>
      </x:c>
      <x:c r="B672" t="n">
        <x:v>5</x:v>
      </x:c>
      <x:c r="C672" t="str">
        <x:v>I3</x:v>
      </x:c>
      <x:c r="D672" t="n">
        <x:v>4</x:v>
      </x:c>
      <x:c r="E672" s="50" t="n">
        <x:v>2</x:v>
      </x:c>
      <x:c r="F672" s="50" t="n">
        <x:v>499.82</x:v>
      </x:c>
      <x:c r="G672" s="50" t="n">
        <x:v>-492.55</x:v>
      </x:c>
      <x:c r="H672" s="50" t="n">
        <x:v>234.87</x:v>
      </x:c>
      <x:c r="I672" s="50" t="n">
        <x:v>-228.49</x:v>
      </x:c>
      <x:c r="J672" s="50" t="n">
        <x:v>-0.02</x:v>
      </x:c>
      <x:c r="K672" s="50" t="n">
        <x:v>-1.44</x:v>
      </x:c>
      <x:c r="L672" s="50" t="n">
        <x:v>1.44</x:v>
      </x:c>
      <x:c r="M672" s="50" t="n">
        <x:v>-1.75</x:v>
      </x:c>
      <x:c r="N672" t="str">
        <x:v>RELATÓRIO LEITURAS INCLINOMÉTRICAS - Empreitada THE EDEN, Estoril_ R05_03-11-25.pdf</x:v>
      </x:c>
      <x:c r="O672" t="n">
        <x:v>32</x:v>
      </x:c>
      <x:c r="P672" t="str">
        <x:v>Válida</x:v>
      </x:c>
    </x:row>
    <x:row r="673">
      <x:c r="A673" s="48" t="n">
        <x:v>45964</x:v>
      </x:c>
      <x:c r="B673" t="n">
        <x:v>5</x:v>
      </x:c>
      <x:c r="C673" t="str">
        <x:v>I3</x:v>
      </x:c>
      <x:c r="D673" t="n">
        <x:v>4</x:v>
      </x:c>
      <x:c r="E673" s="50" t="n">
        <x:v>2.5</x:v>
      </x:c>
      <x:c r="F673" s="50" t="n">
        <x:v>452.67</x:v>
      </x:c>
      <x:c r="G673" s="50" t="n">
        <x:v>-445.9</x:v>
      </x:c>
      <x:c r="H673" s="50" t="n">
        <x:v>128.67</x:v>
      </x:c>
      <x:c r="I673" s="50" t="n">
        <x:v>-113.05</x:v>
      </x:c>
      <x:c r="J673" s="50" t="n">
        <x:v>0.08</x:v>
      </x:c>
      <x:c r="K673" s="50" t="n">
        <x:v>-1.64</x:v>
      </x:c>
      <x:c r="L673" s="50" t="n">
        <x:v>1.64</x:v>
      </x:c>
      <x:c r="M673" s="50" t="n">
        <x:v>-1.51</x:v>
      </x:c>
      <x:c r="N673" t="str">
        <x:v>RELATÓRIO LEITURAS INCLINOMÉTRICAS - Empreitada THE EDEN, Estoril_ R05_03-11-25.pdf</x:v>
      </x:c>
      <x:c r="O673" t="n">
        <x:v>32</x:v>
      </x:c>
      <x:c r="P673" t="str">
        <x:v>Válida</x:v>
      </x:c>
    </x:row>
    <x:row r="674">
      <x:c r="A674" s="48" t="n">
        <x:v>45964</x:v>
      </x:c>
      <x:c r="B674" t="n">
        <x:v>5</x:v>
      </x:c>
      <x:c r="C674" t="str">
        <x:v>I3</x:v>
      </x:c>
      <x:c r="D674" t="n">
        <x:v>4</x:v>
      </x:c>
      <x:c r="E674" s="50" t="n">
        <x:v>3</x:v>
      </x:c>
      <x:c r="F674" s="50" t="n">
        <x:v>400.73</x:v>
      </x:c>
      <x:c r="G674" s="50" t="n">
        <x:v>-391.92</x:v>
      </x:c>
      <x:c r="H674" s="50" t="n">
        <x:v>3.23</x:v>
      </x:c>
      <x:c r="I674" s="50" t="n">
        <x:v>15.26</x:v>
      </x:c>
      <x:c r="J674" s="50" t="n">
        <x:v>0.16</x:v>
      </x:c>
      <x:c r="K674" s="50" t="n">
        <x:v>-1.75</x:v>
      </x:c>
      <x:c r="L674" s="50" t="n">
        <x:v>1.76</x:v>
      </x:c>
      <x:c r="M674" s="50" t="n">
        <x:v>-1.42</x:v>
      </x:c>
      <x:c r="N674" t="str">
        <x:v>RELATÓRIO LEITURAS INCLINOMÉTRICAS - Empreitada THE EDEN, Estoril_ R05_03-11-25.pdf</x:v>
      </x:c>
      <x:c r="O674" t="n">
        <x:v>32</x:v>
      </x:c>
      <x:c r="P674" t="str">
        <x:v>Válida</x:v>
      </x:c>
    </x:row>
    <x:row r="675">
      <x:c r="A675" s="48" t="n">
        <x:v>45964</x:v>
      </x:c>
      <x:c r="B675" t="n">
        <x:v>5</x:v>
      </x:c>
      <x:c r="C675" t="str">
        <x:v>I3</x:v>
      </x:c>
      <x:c r="D675" t="n">
        <x:v>4</x:v>
      </x:c>
      <x:c r="E675" s="50" t="n">
        <x:v>3.5</x:v>
      </x:c>
      <x:c r="F675" s="50" t="n">
        <x:v>359.25</x:v>
      </x:c>
      <x:c r="G675" s="50" t="n">
        <x:v>-351.87</x:v>
      </x:c>
      <x:c r="H675" s="50" t="n">
        <x:v>-89.22</x:v>
      </x:c>
      <x:c r="I675" s="50" t="n">
        <x:v>96.37</x:v>
      </x:c>
      <x:c r="J675" s="50" t="n">
        <x:v>0.23</x:v>
      </x:c>
      <x:c r="K675" s="50" t="n">
        <x:v>-1.78</x:v>
      </x:c>
      <x:c r="L675" s="50" t="n">
        <x:v>1.79</x:v>
      </x:c>
      <x:c r="M675" s="50" t="n">
        <x:v>-1.31</x:v>
      </x:c>
      <x:c r="N675" t="str">
        <x:v>RELATÓRIO LEITURAS INCLINOMÉTRICAS - Empreitada THE EDEN, Estoril_ R05_03-11-25.pdf</x:v>
      </x:c>
      <x:c r="O675" t="n">
        <x:v>32</x:v>
      </x:c>
      <x:c r="P675" t="str">
        <x:v>Válida</x:v>
      </x:c>
    </x:row>
    <x:row r="676">
      <x:c r="A676" s="48" t="n">
        <x:v>45964</x:v>
      </x:c>
      <x:c r="B676" t="n">
        <x:v>5</x:v>
      </x:c>
      <x:c r="C676" t="str">
        <x:v>I3</x:v>
      </x:c>
      <x:c r="D676" t="n">
        <x:v>4</x:v>
      </x:c>
      <x:c r="E676" s="50" t="n">
        <x:v>4</x:v>
      </x:c>
      <x:c r="F676" s="50" t="n">
        <x:v>348.64</x:v>
      </x:c>
      <x:c r="G676" s="50" t="n">
        <x:v>-340.6</x:v>
      </x:c>
      <x:c r="H676" s="50" t="n">
        <x:v>-104.51</x:v>
      </x:c>
      <x:c r="I676" s="50" t="n">
        <x:v>118.33</x:v>
      </x:c>
      <x:c r="J676" s="50" t="n">
        <x:v>0.28</x:v>
      </x:c>
      <x:c r="K676" s="50" t="n">
        <x:v>-1.71</x:v>
      </x:c>
      <x:c r="L676" s="50" t="n">
        <x:v>1.73</x:v>
      </x:c>
      <x:c r="M676" s="50" t="n">
        <x:v>-1.3</x:v>
      </x:c>
      <x:c r="N676" t="str">
        <x:v>RELATÓRIO LEITURAS INCLINOMÉTRICAS - Empreitada THE EDEN, Estoril_ R05_03-11-25.pdf</x:v>
      </x:c>
      <x:c r="O676" t="n">
        <x:v>32</x:v>
      </x:c>
      <x:c r="P676" t="str">
        <x:v>Válida</x:v>
      </x:c>
    </x:row>
    <x:row r="677">
      <x:c r="A677" s="48" t="n">
        <x:v>45964</x:v>
      </x:c>
      <x:c r="B677" t="n">
        <x:v>5</x:v>
      </x:c>
      <x:c r="C677" t="str">
        <x:v>I3</x:v>
      </x:c>
      <x:c r="D677" t="n">
        <x:v>4</x:v>
      </x:c>
      <x:c r="E677" s="50" t="n">
        <x:v>4.5</x:v>
      </x:c>
      <x:c r="F677" s="50" t="n">
        <x:v>351.52</x:v>
      </x:c>
      <x:c r="G677" s="50" t="n">
        <x:v>-342.64</x:v>
      </x:c>
      <x:c r="H677" s="50" t="n">
        <x:v>-104.55</x:v>
      </x:c>
      <x:c r="I677" s="50" t="n">
        <x:v>122.66</x:v>
      </x:c>
      <x:c r="J677" s="50" t="n">
        <x:v>0.36</x:v>
      </x:c>
      <x:c r="K677" s="50" t="n">
        <x:v>-1.67</x:v>
      </x:c>
      <x:c r="L677" s="50" t="n">
        <x:v>1.71</x:v>
      </x:c>
      <x:c r="M677" s="50" t="n">
        <x:v>-1.32</x:v>
      </x:c>
      <x:c r="N677" t="str">
        <x:v>RELATÓRIO LEITURAS INCLINOMÉTRICAS - Empreitada THE EDEN, Estoril_ R05_03-11-25.pdf</x:v>
      </x:c>
      <x:c r="O677" t="n">
        <x:v>32</x:v>
      </x:c>
      <x:c r="P677" t="str">
        <x:v>Válida</x:v>
      </x:c>
    </x:row>
    <x:row r="678">
      <x:c r="A678" s="48" t="n">
        <x:v>45964</x:v>
      </x:c>
      <x:c r="B678" t="n">
        <x:v>5</x:v>
      </x:c>
      <x:c r="C678" t="str">
        <x:v>I3</x:v>
      </x:c>
      <x:c r="D678" t="n">
        <x:v>4</x:v>
      </x:c>
      <x:c r="E678" s="50" t="n">
        <x:v>5</x:v>
      </x:c>
      <x:c r="F678" s="50" t="n">
        <x:v>288.81</x:v>
      </x:c>
      <x:c r="G678" s="50" t="n">
        <x:v>-280.92</x:v>
      </x:c>
      <x:c r="H678" s="50" t="n">
        <x:v>-71.24</x:v>
      </x:c>
      <x:c r="I678" s="50" t="n">
        <x:v>75.51</x:v>
      </x:c>
      <x:c r="J678" s="50" t="n">
        <x:v>0.43</x:v>
      </x:c>
      <x:c r="K678" s="50" t="n">
        <x:v>-1.71</x:v>
      </x:c>
      <x:c r="L678" s="50" t="n">
        <x:v>1.76</x:v>
      </x:c>
      <x:c r="M678" s="50" t="n">
        <x:v>-1.27</x:v>
      </x:c>
      <x:c r="N678" t="str">
        <x:v>RELATÓRIO LEITURAS INCLINOMÉTRICAS - Empreitada THE EDEN, Estoril_ R05_03-11-25.pdf</x:v>
      </x:c>
      <x:c r="O678" t="n">
        <x:v>32</x:v>
      </x:c>
      <x:c r="P678" t="str">
        <x:v>Válida</x:v>
      </x:c>
    </x:row>
    <x:row r="679">
      <x:c r="A679" s="48" t="n">
        <x:v>45964</x:v>
      </x:c>
      <x:c r="B679" t="n">
        <x:v>5</x:v>
      </x:c>
      <x:c r="C679" t="str">
        <x:v>I3</x:v>
      </x:c>
      <x:c r="D679" t="n">
        <x:v>4</x:v>
      </x:c>
      <x:c r="E679" s="50" t="n">
        <x:v>5.5</x:v>
      </x:c>
      <x:c r="F679" s="50" t="n">
        <x:v>206.27</x:v>
      </x:c>
      <x:c r="G679" s="50" t="n">
        <x:v>-196.74</x:v>
      </x:c>
      <x:c r="H679" s="50" t="n">
        <x:v>-20.88</x:v>
      </x:c>
      <x:c r="I679" s="50" t="n">
        <x:v>25.61</x:v>
      </x:c>
      <x:c r="J679" s="50" t="n">
        <x:v>0.49</x:v>
      </x:c>
      <x:c r="K679" s="50" t="n">
        <x:v>-1.79</x:v>
      </x:c>
      <x:c r="L679" s="50" t="n">
        <x:v>1.85</x:v>
      </x:c>
      <x:c r="M679" s="50" t="n">
        <x:v>-1.16</x:v>
      </x:c>
      <x:c r="N679" t="str">
        <x:v>RELATÓRIO LEITURAS INCLINOMÉTRICAS - Empreitada THE EDEN, Estoril_ R05_03-11-25.pdf</x:v>
      </x:c>
      <x:c r="O679" t="n">
        <x:v>32</x:v>
      </x:c>
      <x:c r="P679" t="str">
        <x:v>Válida</x:v>
      </x:c>
    </x:row>
    <x:row r="680">
      <x:c r="A680" s="48" t="n">
        <x:v>45964</x:v>
      </x:c>
      <x:c r="B680" t="n">
        <x:v>5</x:v>
      </x:c>
      <x:c r="C680" t="str">
        <x:v>I3</x:v>
      </x:c>
      <x:c r="D680" t="n">
        <x:v>4</x:v>
      </x:c>
      <x:c r="E680" s="50" t="n">
        <x:v>6</x:v>
      </x:c>
      <x:c r="F680" s="50" t="n">
        <x:v>171.23</x:v>
      </x:c>
      <x:c r="G680" s="50" t="n">
        <x:v>-162.84</x:v>
      </x:c>
      <x:c r="H680" s="50" t="n">
        <x:v>19.72</x:v>
      </x:c>
      <x:c r="I680" s="50" t="n">
        <x:v>-21.74</x:v>
      </x:c>
      <x:c r="J680" s="50" t="n">
        <x:v>0.55</x:v>
      </x:c>
      <x:c r="K680" s="50" t="n">
        <x:v>-1.73</x:v>
      </x:c>
      <x:c r="L680" s="50" t="n">
        <x:v>1.81</x:v>
      </x:c>
      <x:c r="M680" s="50" t="n">
        <x:v>-1.01</x:v>
      </x:c>
      <x:c r="N680" t="str">
        <x:v>RELATÓRIO LEITURAS INCLINOMÉTRICAS - Empreitada THE EDEN, Estoril_ R05_03-11-25.pdf</x:v>
      </x:c>
      <x:c r="O680" t="n">
        <x:v>32</x:v>
      </x:c>
      <x:c r="P680" t="str">
        <x:v>Válida</x:v>
      </x:c>
    </x:row>
    <x:row r="681">
      <x:c r="A681" s="48" t="n">
        <x:v>45964</x:v>
      </x:c>
      <x:c r="B681" t="n">
        <x:v>5</x:v>
      </x:c>
      <x:c r="C681" t="str">
        <x:v>I3</x:v>
      </x:c>
      <x:c r="D681" t="n">
        <x:v>4</x:v>
      </x:c>
      <x:c r="E681" s="50" t="n">
        <x:v>6.5</x:v>
      </x:c>
      <x:c r="F681" s="50" t="n">
        <x:v>174.22</x:v>
      </x:c>
      <x:c r="G681" s="50" t="n">
        <x:v>-166.14</x:v>
      </x:c>
      <x:c r="H681" s="50" t="n">
        <x:v>73.45</x:v>
      </x:c>
      <x:c r="I681" s="50" t="n">
        <x:v>-70.84</x:v>
      </x:c>
      <x:c r="J681" s="50" t="n">
        <x:v>0.61</x:v>
      </x:c>
      <x:c r="K681" s="50" t="n">
        <x:v>-1.78</x:v>
      </x:c>
      <x:c r="L681" s="50" t="n">
        <x:v>1.88</x:v>
      </x:c>
      <x:c r="M681" s="50" t="n">
        <x:v>-1.04</x:v>
      </x:c>
      <x:c r="N681" t="str">
        <x:v>RELATÓRIO LEITURAS INCLINOMÉTRICAS - Empreitada THE EDEN, Estoril_ R05_03-11-25.pdf</x:v>
      </x:c>
      <x:c r="O681" t="n">
        <x:v>32</x:v>
      </x:c>
      <x:c r="P681" t="str">
        <x:v>Válida</x:v>
      </x:c>
    </x:row>
    <x:row r="682">
      <x:c r="A682" s="48" t="n">
        <x:v>45964</x:v>
      </x:c>
      <x:c r="B682" t="n">
        <x:v>5</x:v>
      </x:c>
      <x:c r="C682" t="str">
        <x:v>I3</x:v>
      </x:c>
      <x:c r="D682" t="n">
        <x:v>4</x:v>
      </x:c>
      <x:c r="E682" s="50" t="n">
        <x:v>7</x:v>
      </x:c>
      <x:c r="F682" s="50" t="n">
        <x:v>137.37</x:v>
      </x:c>
      <x:c r="G682" s="50" t="n">
        <x:v>-129.23</x:v>
      </x:c>
      <x:c r="H682" s="50" t="n">
        <x:v>132.54</x:v>
      </x:c>
      <x:c r="I682" s="50" t="n">
        <x:v>-137.32</x:v>
      </x:c>
      <x:c r="J682" s="50" t="n">
        <x:v>0.65</x:v>
      </x:c>
      <x:c r="K682" s="50" t="n">
        <x:v>-1.78</x:v>
      </x:c>
      <x:c r="L682" s="50" t="n">
        <x:v>1.89</x:v>
      </x:c>
      <x:c r="M682" s="50" t="n">
        <x:v>-1.04</x:v>
      </x:c>
      <x:c r="N682" t="str">
        <x:v>RELATÓRIO LEITURAS INCLINOMÉTRICAS - Empreitada THE EDEN, Estoril_ R05_03-11-25.pdf</x:v>
      </x:c>
      <x:c r="O682" t="n">
        <x:v>32</x:v>
      </x:c>
      <x:c r="P682" t="str">
        <x:v>Válida</x:v>
      </x:c>
    </x:row>
    <x:row r="683">
      <x:c r="A683" s="48" t="n">
        <x:v>45964</x:v>
      </x:c>
      <x:c r="B683" t="n">
        <x:v>5</x:v>
      </x:c>
      <x:c r="C683" t="str">
        <x:v>I3</x:v>
      </x:c>
      <x:c r="D683" t="n">
        <x:v>4</x:v>
      </x:c>
      <x:c r="E683" s="50" t="n">
        <x:v>7.5</x:v>
      </x:c>
      <x:c r="F683" s="50" t="n">
        <x:v>95.55</x:v>
      </x:c>
      <x:c r="G683" s="50" t="n">
        <x:v>-87.62</x:v>
      </x:c>
      <x:c r="H683" s="50" t="n">
        <x:v>208.18</x:v>
      </x:c>
      <x:c r="I683" s="50" t="n">
        <x:v>-204.31</x:v>
      </x:c>
      <x:c r="J683" s="50" t="n">
        <x:v>0.7</x:v>
      </x:c>
      <x:c r="K683" s="50" t="n">
        <x:v>-1.77</x:v>
      </x:c>
      <x:c r="L683" s="50" t="n">
        <x:v>1.91</x:v>
      </x:c>
      <x:c r="M683" s="50" t="n">
        <x:v>-1.06</x:v>
      </x:c>
      <x:c r="N683" t="str">
        <x:v>RELATÓRIO LEITURAS INCLINOMÉTRICAS - Empreitada THE EDEN, Estoril_ R05_03-11-25.pdf</x:v>
      </x:c>
      <x:c r="O683" t="n">
        <x:v>32</x:v>
      </x:c>
      <x:c r="P683" t="str">
        <x:v>Válida</x:v>
      </x:c>
    </x:row>
    <x:row r="684">
      <x:c r="A684" s="48" t="n">
        <x:v>45964</x:v>
      </x:c>
      <x:c r="B684" t="n">
        <x:v>5</x:v>
      </x:c>
      <x:c r="C684" t="str">
        <x:v>I3</x:v>
      </x:c>
      <x:c r="D684" t="n">
        <x:v>4</x:v>
      </x:c>
      <x:c r="E684" s="50" t="n">
        <x:v>8</x:v>
      </x:c>
      <x:c r="F684" s="50" t="n">
        <x:v>96.17</x:v>
      </x:c>
      <x:c r="G684" s="50" t="n">
        <x:v>-91.3</x:v>
      </x:c>
      <x:c r="H684" s="50" t="n">
        <x:v>230.06</x:v>
      </x:c>
      <x:c r="I684" s="50" t="n">
        <x:v>-237.8</x:v>
      </x:c>
      <x:c r="J684" s="50" t="n">
        <x:v>0.71</x:v>
      </x:c>
      <x:c r="K684" s="50" t="n">
        <x:v>-1.64</x:v>
      </x:c>
      <x:c r="L684" s="50" t="n">
        <x:v>1.79</x:v>
      </x:c>
      <x:c r="M684" s="50" t="n">
        <x:v>-1.11</x:v>
      </x:c>
      <x:c r="N684" t="str">
        <x:v>RELATÓRIO LEITURAS INCLINOMÉTRICAS - Empreitada THE EDEN, Estoril_ R05_03-11-25.pdf</x:v>
      </x:c>
      <x:c r="O684" t="n">
        <x:v>32</x:v>
      </x:c>
      <x:c r="P684" t="str">
        <x:v>Válida</x:v>
      </x:c>
    </x:row>
    <x:row r="685">
      <x:c r="A685" s="48" t="n">
        <x:v>45964</x:v>
      </x:c>
      <x:c r="B685" t="n">
        <x:v>5</x:v>
      </x:c>
      <x:c r="C685" t="str">
        <x:v>I3</x:v>
      </x:c>
      <x:c r="D685" t="n">
        <x:v>4</x:v>
      </x:c>
      <x:c r="E685" s="50" t="n">
        <x:v>8.5</x:v>
      </x:c>
      <x:c r="F685" s="50" t="n">
        <x:v>126.95</x:v>
      </x:c>
      <x:c r="G685" s="50" t="n">
        <x:v>-121.12</x:v>
      </x:c>
      <x:c r="H685" s="50" t="n">
        <x:v>321.28</x:v>
      </x:c>
      <x:c r="I685" s="50" t="n">
        <x:v>-314.36</x:v>
      </x:c>
      <x:c r="J685" s="50" t="n">
        <x:v>0.71</x:v>
      </x:c>
      <x:c r="K685" s="50" t="n">
        <x:v>-1.78</x:v>
      </x:c>
      <x:c r="L685" s="50" t="n">
        <x:v>1.91</x:v>
      </x:c>
      <x:c r="M685" s="50" t="n">
        <x:v>-1.02</x:v>
      </x:c>
      <x:c r="N685" t="str">
        <x:v>RELATÓRIO LEITURAS INCLINOMÉTRICAS - Empreitada THE EDEN, Estoril_ R05_03-11-25.pdf</x:v>
      </x:c>
      <x:c r="O685" t="n">
        <x:v>32</x:v>
      </x:c>
      <x:c r="P685" t="str">
        <x:v>Válida</x:v>
      </x:c>
    </x:row>
    <x:row r="686">
      <x:c r="A686" s="48" t="n">
        <x:v>45964</x:v>
      </x:c>
      <x:c r="B686" t="n">
        <x:v>5</x:v>
      </x:c>
      <x:c r="C686" t="str">
        <x:v>I3</x:v>
      </x:c>
      <x:c r="D686" t="n">
        <x:v>4</x:v>
      </x:c>
      <x:c r="E686" s="50" t="n">
        <x:v>9</x:v>
      </x:c>
      <x:c r="F686" s="50" t="n">
        <x:v>178.9</x:v>
      </x:c>
      <x:c r="G686" s="50" t="n">
        <x:v>-169.03</x:v>
      </x:c>
      <x:c r="H686" s="50" t="n">
        <x:v>371.23</x:v>
      </x:c>
      <x:c r="I686" s="50" t="n">
        <x:v>-368.57</x:v>
      </x:c>
      <x:c r="J686" s="50" t="n">
        <x:v>0.71</x:v>
      </x:c>
      <x:c r="K686" s="50" t="n">
        <x:v>-1.65</x:v>
      </x:c>
      <x:c r="L686" s="50" t="n">
        <x:v>1.79</x:v>
      </x:c>
      <x:c r="M686" s="50" t="n">
        <x:v>-0.86</x:v>
      </x:c>
      <x:c r="N686" t="str">
        <x:v>RELATÓRIO LEITURAS INCLINOMÉTRICAS - Empreitada THE EDEN, Estoril_ R05_03-11-25.pdf</x:v>
      </x:c>
      <x:c r="O686" t="n">
        <x:v>32</x:v>
      </x:c>
      <x:c r="P686" t="str">
        <x:v>Válida</x:v>
      </x:c>
    </x:row>
    <x:row r="687">
      <x:c r="A687" s="48" t="n">
        <x:v>45964</x:v>
      </x:c>
      <x:c r="B687" t="n">
        <x:v>5</x:v>
      </x:c>
      <x:c r="C687" t="str">
        <x:v>I3</x:v>
      </x:c>
      <x:c r="D687" t="n">
        <x:v>4</x:v>
      </x:c>
      <x:c r="E687" s="50" t="n">
        <x:v>9.5</x:v>
      </x:c>
      <x:c r="F687" s="50" t="n">
        <x:v>161.42</x:v>
      </x:c>
      <x:c r="G687" s="50" t="n">
        <x:v>-158.87</x:v>
      </x:c>
      <x:c r="H687" s="50" t="n">
        <x:v>428.22</x:v>
      </x:c>
      <x:c r="I687" s="50" t="n">
        <x:v>-421.97</x:v>
      </x:c>
      <x:c r="J687" s="50" t="n">
        <x:v>0.69</x:v>
      </x:c>
      <x:c r="K687" s="50" t="n">
        <x:v>-1.5</x:v>
      </x:c>
      <x:c r="L687" s="50" t="n">
        <x:v>1.65</x:v>
      </x:c>
      <x:c r="M687" s="50" t="n">
        <x:v>-0.87</x:v>
      </x:c>
      <x:c r="N687" t="str">
        <x:v>RELATÓRIO LEITURAS INCLINOMÉTRICAS - Empreitada THE EDEN, Estoril_ R05_03-11-25.pdf</x:v>
      </x:c>
      <x:c r="O687" t="n">
        <x:v>32</x:v>
      </x:c>
      <x:c r="P687" t="str">
        <x:v>Válida</x:v>
      </x:c>
    </x:row>
    <x:row r="688">
      <x:c r="A688" s="48" t="n">
        <x:v>45964</x:v>
      </x:c>
      <x:c r="B688" t="n">
        <x:v>5</x:v>
      </x:c>
      <x:c r="C688" t="str">
        <x:v>I3</x:v>
      </x:c>
      <x:c r="D688" t="n">
        <x:v>4</x:v>
      </x:c>
      <x:c r="E688" s="50" t="n">
        <x:v>10</x:v>
      </x:c>
      <x:c r="F688" s="50" t="n">
        <x:v>144.93</x:v>
      </x:c>
      <x:c r="G688" s="50" t="n">
        <x:v>-139.15</x:v>
      </x:c>
      <x:c r="H688" s="50" t="n">
        <x:v>446.96</x:v>
      </x:c>
      <x:c r="I688" s="50" t="n">
        <x:v>-435.07</x:v>
      </x:c>
      <x:c r="J688" s="50" t="n">
        <x:v>0.65</x:v>
      </x:c>
      <x:c r="K688" s="50" t="n">
        <x:v>-1.25</x:v>
      </x:c>
      <x:c r="L688" s="50" t="n">
        <x:v>1.41</x:v>
      </x:c>
      <x:c r="M688" s="50" t="n">
        <x:v>-0.89</x:v>
      </x:c>
      <x:c r="N688" t="str">
        <x:v>RELATÓRIO LEITURAS INCLINOMÉTRICAS - Empreitada THE EDEN, Estoril_ R05_03-11-25.pdf</x:v>
      </x:c>
      <x:c r="O688" t="n">
        <x:v>32</x:v>
      </x:c>
      <x:c r="P688" t="str">
        <x:v>Válida</x:v>
      </x:c>
    </x:row>
    <x:row r="689">
      <x:c r="A689" s="48" t="n">
        <x:v>45964</x:v>
      </x:c>
      <x:c r="B689" t="n">
        <x:v>5</x:v>
      </x:c>
      <x:c r="C689" t="str">
        <x:v>I3</x:v>
      </x:c>
      <x:c r="D689" t="n">
        <x:v>4</x:v>
      </x:c>
      <x:c r="E689" s="50" t="n">
        <x:v>10.5</x:v>
      </x:c>
      <x:c r="F689" s="50" t="n">
        <x:v>327.53</x:v>
      </x:c>
      <x:c r="G689" s="50" t="n">
        <x:v>-322.35</x:v>
      </x:c>
      <x:c r="H689" s="50" t="n">
        <x:v>459.86</x:v>
      </x:c>
      <x:c r="I689" s="50" t="n">
        <x:v>-454.78</x:v>
      </x:c>
      <x:c r="J689" s="50" t="n">
        <x:v>0.65</x:v>
      </x:c>
      <x:c r="K689" s="50" t="n">
        <x:v>-1.27</x:v>
      </x:c>
      <x:c r="L689" s="50" t="n">
        <x:v>1.43</x:v>
      </x:c>
      <x:c r="M689" s="50" t="n">
        <x:v>-0.9</x:v>
      </x:c>
      <x:c r="N689" t="str">
        <x:v>RELATÓRIO LEITURAS INCLINOMÉTRICAS - Empreitada THE EDEN, Estoril_ R05_03-11-25.pdf</x:v>
      </x:c>
      <x:c r="O689" t="n">
        <x:v>32</x:v>
      </x:c>
      <x:c r="P689" t="str">
        <x:v>Válida</x:v>
      </x:c>
    </x:row>
    <x:row r="690">
      <x:c r="A690" s="48" t="n">
        <x:v>45964</x:v>
      </x:c>
      <x:c r="B690" t="n">
        <x:v>5</x:v>
      </x:c>
      <x:c r="C690" t="str">
        <x:v>I3</x:v>
      </x:c>
      <x:c r="D690" t="n">
        <x:v>4</x:v>
      </x:c>
      <x:c r="E690" s="50" t="n">
        <x:v>11</x:v>
      </x:c>
      <x:c r="F690" s="50" t="n">
        <x:v>344.79</x:v>
      </x:c>
      <x:c r="G690" s="50" t="n">
        <x:v>-337.27</x:v>
      </x:c>
      <x:c r="H690" s="50" t="n">
        <x:v>447.92</x:v>
      </x:c>
      <x:c r="I690" s="50" t="n">
        <x:v>-448.49</x:v>
      </x:c>
      <x:c r="J690" s="50" t="n">
        <x:v>0.61</x:v>
      </x:c>
      <x:c r="K690" s="50" t="n">
        <x:v>-1.36</x:v>
      </x:c>
      <x:c r="L690" s="50" t="n">
        <x:v>1.49</x:v>
      </x:c>
      <x:c r="M690" s="50" t="n">
        <x:v>-0.89</x:v>
      </x:c>
      <x:c r="N690" t="str">
        <x:v>RELATÓRIO LEITURAS INCLINOMÉTRICAS - Empreitada THE EDEN, Estoril_ R05_03-11-25.pdf</x:v>
      </x:c>
      <x:c r="O690" t="n">
        <x:v>32</x:v>
      </x:c>
      <x:c r="P690" t="str">
        <x:v>Válida</x:v>
      </x:c>
    </x:row>
    <x:row r="691">
      <x:c r="A691" s="48" t="n">
        <x:v>45964</x:v>
      </x:c>
      <x:c r="B691" t="n">
        <x:v>5</x:v>
      </x:c>
      <x:c r="C691" t="str">
        <x:v>I3</x:v>
      </x:c>
      <x:c r="D691" t="n">
        <x:v>4</x:v>
      </x:c>
      <x:c r="E691" s="50" t="n">
        <x:v>11.5</x:v>
      </x:c>
      <x:c r="F691" s="50" t="n">
        <x:v>318</x:v>
      </x:c>
      <x:c r="G691" s="50" t="n">
        <x:v>-306.68</x:v>
      </x:c>
      <x:c r="H691" s="50" t="n">
        <x:v>370.98</x:v>
      </x:c>
      <x:c r="I691" s="50" t="n">
        <x:v>-365.44</x:v>
      </x:c>
      <x:c r="J691" s="50" t="n">
        <x:v>0.59</x:v>
      </x:c>
      <x:c r="K691" s="50" t="n">
        <x:v>-1.47</x:v>
      </x:c>
      <x:c r="L691" s="50" t="n">
        <x:v>1.58</x:v>
      </x:c>
      <x:c r="M691" s="50" t="n">
        <x:v>-0.92</x:v>
      </x:c>
      <x:c r="N691" t="str">
        <x:v>RELATÓRIO LEITURAS INCLINOMÉTRICAS - Empreitada THE EDEN, Estoril_ R05_03-11-25.pdf</x:v>
      </x:c>
      <x:c r="O691" t="n">
        <x:v>32</x:v>
      </x:c>
      <x:c r="P691" t="str">
        <x:v>Válida</x:v>
      </x:c>
    </x:row>
    <x:row r="692">
      <x:c r="A692" s="48" t="n">
        <x:v>45964</x:v>
      </x:c>
      <x:c r="B692" t="n">
        <x:v>5</x:v>
      </x:c>
      <x:c r="C692" t="str">
        <x:v>I3</x:v>
      </x:c>
      <x:c r="D692" t="n">
        <x:v>4</x:v>
      </x:c>
      <x:c r="E692" s="50" t="n">
        <x:v>12</x:v>
      </x:c>
      <x:c r="F692" s="50" t="n">
        <x:v>296.83</x:v>
      </x:c>
      <x:c r="G692" s="50" t="n">
        <x:v>-286.48</x:v>
      </x:c>
      <x:c r="H692" s="50" t="n">
        <x:v>280.6</x:v>
      </x:c>
      <x:c r="I692" s="50" t="n">
        <x:v>-269.16</x:v>
      </x:c>
      <x:c r="J692" s="50" t="n">
        <x:v>0.55</x:v>
      </x:c>
      <x:c r="K692" s="50" t="n">
        <x:v>-1.47</x:v>
      </x:c>
      <x:c r="L692" s="50" t="n">
        <x:v>1.57</x:v>
      </x:c>
      <x:c r="M692" s="50" t="n">
        <x:v>-0.99</x:v>
      </x:c>
      <x:c r="N692" t="str">
        <x:v>RELATÓRIO LEITURAS INCLINOMÉTRICAS - Empreitada THE EDEN, Estoril_ R05_03-11-25.pdf</x:v>
      </x:c>
      <x:c r="O692" t="n">
        <x:v>32</x:v>
      </x:c>
      <x:c r="P692" t="str">
        <x:v>Válida</x:v>
      </x:c>
    </x:row>
    <x:row r="693">
      <x:c r="A693" s="48" t="n">
        <x:v>45964</x:v>
      </x:c>
      <x:c r="B693" t="n">
        <x:v>5</x:v>
      </x:c>
      <x:c r="C693" t="str">
        <x:v>I3</x:v>
      </x:c>
      <x:c r="D693" t="n">
        <x:v>4</x:v>
      </x:c>
      <x:c r="E693" s="50" t="n">
        <x:v>12.5</x:v>
      </x:c>
      <x:c r="F693" s="50" t="n">
        <x:v>250.64</x:v>
      </x:c>
      <x:c r="G693" s="50" t="n">
        <x:v>-242.37</x:v>
      </x:c>
      <x:c r="H693" s="50" t="n">
        <x:v>180.5</x:v>
      </x:c>
      <x:c r="I693" s="50" t="n">
        <x:v>-183.99</x:v>
      </x:c>
      <x:c r="J693" s="50" t="n">
        <x:v>0.56</x:v>
      </x:c>
      <x:c r="K693" s="50" t="n">
        <x:v>-1.68</x:v>
      </x:c>
      <x:c r="L693" s="50" t="n">
        <x:v>1.77</x:v>
      </x:c>
      <x:c r="M693" s="50" t="n">
        <x:v>-0.82</x:v>
      </x:c>
      <x:c r="N693" t="str">
        <x:v>RELATÓRIO LEITURAS INCLINOMÉTRICAS - Empreitada THE EDEN, Estoril_ R05_03-11-25.pdf</x:v>
      </x:c>
      <x:c r="O693" t="n">
        <x:v>32</x:v>
      </x:c>
      <x:c r="P693" t="str">
        <x:v>Válida</x:v>
      </x:c>
    </x:row>
    <x:row r="694">
      <x:c r="A694" s="48" t="n">
        <x:v>45964</x:v>
      </x:c>
      <x:c r="B694" t="n">
        <x:v>5</x:v>
      </x:c>
      <x:c r="C694" t="str">
        <x:v>I3</x:v>
      </x:c>
      <x:c r="D694" t="n">
        <x:v>4</x:v>
      </x:c>
      <x:c r="E694" s="50" t="n">
        <x:v>13</x:v>
      </x:c>
      <x:c r="F694" s="50" t="n">
        <x:v>219.32</x:v>
      </x:c>
      <x:c r="G694" s="50" t="n">
        <x:v>-210.6</x:v>
      </x:c>
      <x:c r="H694" s="50" t="n">
        <x:v>133.61</x:v>
      </x:c>
      <x:c r="I694" s="50" t="n">
        <x:v>-126.22</x:v>
      </x:c>
      <x:c r="J694" s="50" t="n">
        <x:v>0.58</x:v>
      </x:c>
      <x:c r="K694" s="50" t="n">
        <x:v>-1.9</x:v>
      </x:c>
      <x:c r="L694" s="50" t="n">
        <x:v>1.99</x:v>
      </x:c>
      <x:c r="M694" s="50" t="n">
        <x:v>-0.64</x:v>
      </x:c>
      <x:c r="N694" t="str">
        <x:v>RELATÓRIO LEITURAS INCLINOMÉTRICAS - Empreitada THE EDEN, Estoril_ R05_03-11-25.pdf</x:v>
      </x:c>
      <x:c r="O694" t="n">
        <x:v>32</x:v>
      </x:c>
      <x:c r="P694" t="str">
        <x:v>Válida</x:v>
      </x:c>
    </x:row>
    <x:row r="695">
      <x:c r="A695" s="48" t="n">
        <x:v>45964</x:v>
      </x:c>
      <x:c r="B695" t="n">
        <x:v>5</x:v>
      </x:c>
      <x:c r="C695" t="str">
        <x:v>I3</x:v>
      </x:c>
      <x:c r="D695" t="n">
        <x:v>4</x:v>
      </x:c>
      <x:c r="E695" s="50" t="n">
        <x:v>13.5</x:v>
      </x:c>
      <x:c r="F695" s="50" t="n">
        <x:v>190.54</x:v>
      </x:c>
      <x:c r="G695" s="50" t="n">
        <x:v>-184.05</x:v>
      </x:c>
      <x:c r="H695" s="50" t="n">
        <x:v>143.1</x:v>
      </x:c>
      <x:c r="I695" s="50" t="n">
        <x:v>-157.74</x:v>
      </x:c>
      <x:c r="J695" s="50" t="n">
        <x:v>0.54</x:v>
      </x:c>
      <x:c r="K695" s="50" t="n">
        <x:v>-1.82</x:v>
      </x:c>
      <x:c r="L695" s="50" t="n">
        <x:v>1.9</x:v>
      </x:c>
      <x:c r="M695" s="50" t="n">
        <x:v>-0.66</x:v>
      </x:c>
      <x:c r="N695" t="str">
        <x:v>RELATÓRIO LEITURAS INCLINOMÉTRICAS - Empreitada THE EDEN, Estoril_ R05_03-11-25.pdf</x:v>
      </x:c>
      <x:c r="O695" t="n">
        <x:v>32</x:v>
      </x:c>
      <x:c r="P695" t="str">
        <x:v>Válida</x:v>
      </x:c>
    </x:row>
    <x:row r="696">
      <x:c r="A696" s="48" t="n">
        <x:v>45964</x:v>
      </x:c>
      <x:c r="B696" t="n">
        <x:v>5</x:v>
      </x:c>
      <x:c r="C696" t="str">
        <x:v>I3</x:v>
      </x:c>
      <x:c r="D696" t="n">
        <x:v>4</x:v>
      </x:c>
      <x:c r="E696" s="50" t="n">
        <x:v>14</x:v>
      </x:c>
      <x:c r="F696" s="50" t="n">
        <x:v>148.69</x:v>
      </x:c>
      <x:c r="G696" s="50" t="n">
        <x:v>-141.98</x:v>
      </x:c>
      <x:c r="H696" s="50" t="n">
        <x:v>158.14</x:v>
      </x:c>
      <x:c r="I696" s="50" t="n">
        <x:v>-167.9</x:v>
      </x:c>
      <x:c r="J696" s="50" t="n">
        <x:v>0.48</x:v>
      </x:c>
      <x:c r="K696" s="50" t="n">
        <x:v>-1.27</x:v>
      </x:c>
      <x:c r="L696" s="50" t="n">
        <x:v>1.35</x:v>
      </x:c>
      <x:c r="M696" s="50" t="n">
        <x:v>-0.76</x:v>
      </x:c>
      <x:c r="N696" t="str">
        <x:v>RELATÓRIO LEITURAS INCLINOMÉTRICAS - Empreitada THE EDEN, Estoril_ R05_03-11-25.pdf</x:v>
      </x:c>
      <x:c r="O696" t="n">
        <x:v>32</x:v>
      </x:c>
      <x:c r="P696" t="str">
        <x:v>Válida</x:v>
      </x:c>
    </x:row>
    <x:row r="697">
      <x:c r="A697" s="48" t="n">
        <x:v>45964</x:v>
      </x:c>
      <x:c r="B697" t="n">
        <x:v>5</x:v>
      </x:c>
      <x:c r="C697" t="str">
        <x:v>I3</x:v>
      </x:c>
      <x:c r="D697" t="n">
        <x:v>4</x:v>
      </x:c>
      <x:c r="E697" s="50" t="n">
        <x:v>14.5</x:v>
      </x:c>
      <x:c r="F697" s="50" t="n">
        <x:v>143.14</x:v>
      </x:c>
      <x:c r="G697" s="50" t="n">
        <x:v>-135.3</x:v>
      </x:c>
      <x:c r="H697" s="50" t="n">
        <x:v>187.71</x:v>
      </x:c>
      <x:c r="I697" s="50" t="n">
        <x:v>-184.47</x:v>
      </x:c>
      <x:c r="J697" s="50" t="n">
        <x:v>0.52</x:v>
      </x:c>
      <x:c r="K697" s="50" t="n">
        <x:v>-1.63</x:v>
      </x:c>
      <x:c r="L697" s="50" t="n">
        <x:v>1.71</x:v>
      </x:c>
      <x:c r="M697" s="50" t="n">
        <x:v>-0.68</x:v>
      </x:c>
      <x:c r="N697" t="str">
        <x:v>RELATÓRIO LEITURAS INCLINOMÉTRICAS - Empreitada THE EDEN, Estoril_ R05_03-11-25.pdf</x:v>
      </x:c>
      <x:c r="O697" t="n">
        <x:v>32</x:v>
      </x:c>
      <x:c r="P697" t="str">
        <x:v>Válida</x:v>
      </x:c>
    </x:row>
    <x:row r="698">
      <x:c r="A698" s="48" t="n">
        <x:v>45964</x:v>
      </x:c>
      <x:c r="B698" t="n">
        <x:v>5</x:v>
      </x:c>
      <x:c r="C698" t="str">
        <x:v>I3</x:v>
      </x:c>
      <x:c r="D698" t="n">
        <x:v>4</x:v>
      </x:c>
      <x:c r="E698" s="50" t="n">
        <x:v>15</x:v>
      </x:c>
      <x:c r="F698" s="50" t="n">
        <x:v>147.39</x:v>
      </x:c>
      <x:c r="G698" s="50" t="n">
        <x:v>-139.67</x:v>
      </x:c>
      <x:c r="H698" s="50" t="n">
        <x:v>270.26</x:v>
      </x:c>
      <x:c r="I698" s="50" t="n">
        <x:v>-263.6</x:v>
      </x:c>
      <x:c r="J698" s="50" t="n">
        <x:v>0.48</x:v>
      </x:c>
      <x:c r="K698" s="50" t="n">
        <x:v>-1.71</x:v>
      </x:c>
      <x:c r="L698" s="50" t="n">
        <x:v>1.77</x:v>
      </x:c>
      <x:c r="M698" s="50" t="n">
        <x:v>-0.72</x:v>
      </x:c>
      <x:c r="N698" t="str">
        <x:v>RELATÓRIO LEITURAS INCLINOMÉTRICAS - Empreitada THE EDEN, Estoril_ R05_03-11-25.pdf</x:v>
      </x:c>
      <x:c r="O698" t="n">
        <x:v>32</x:v>
      </x:c>
      <x:c r="P698" t="str">
        <x:v>Válida</x:v>
      </x:c>
    </x:row>
    <x:row r="699">
      <x:c r="A699" s="48" t="n">
        <x:v>45964</x:v>
      </x:c>
      <x:c r="B699" t="n">
        <x:v>5</x:v>
      </x:c>
      <x:c r="C699" t="str">
        <x:v>I3</x:v>
      </x:c>
      <x:c r="D699" t="n">
        <x:v>4</x:v>
      </x:c>
      <x:c r="E699" s="50" t="n">
        <x:v>15.5</x:v>
      </x:c>
      <x:c r="F699" s="50" t="n">
        <x:v>59.12</x:v>
      </x:c>
      <x:c r="G699" s="50" t="n">
        <x:v>-57.36</x:v>
      </x:c>
      <x:c r="H699" s="50" t="n">
        <x:v>338.49</x:v>
      </x:c>
      <x:c r="I699" s="50" t="n">
        <x:v>-340.28</x:v>
      </x:c>
      <x:c r="J699" s="50" t="n">
        <x:v>0.44</x:v>
      </x:c>
      <x:c r="K699" s="50" t="n">
        <x:v>-1.55</x:v>
      </x:c>
      <x:c r="L699" s="50" t="n">
        <x:v>1.61</x:v>
      </x:c>
      <x:c r="M699" s="50" t="n">
        <x:v>-0.96</x:v>
      </x:c>
      <x:c r="N699" t="str">
        <x:v>RELATÓRIO LEITURAS INCLINOMÉTRICAS - Empreitada THE EDEN, Estoril_ R05_03-11-25.pdf</x:v>
      </x:c>
      <x:c r="O699" t="n">
        <x:v>32</x:v>
      </x:c>
      <x:c r="P699" t="str">
        <x:v>Válida</x:v>
      </x:c>
    </x:row>
    <x:row r="700">
      <x:c r="A700" s="48" t="n">
        <x:v>45964</x:v>
      </x:c>
      <x:c r="B700" t="n">
        <x:v>5</x:v>
      </x:c>
      <x:c r="C700" t="str">
        <x:v>I3</x:v>
      </x:c>
      <x:c r="D700" t="n">
        <x:v>4</x:v>
      </x:c>
      <x:c r="E700" s="50" t="n">
        <x:v>16</x:v>
      </x:c>
      <x:c r="F700" s="50" t="n">
        <x:v>200</x:v>
      </x:c>
      <x:c r="G700" s="50" t="n">
        <x:v>-184.36</x:v>
      </x:c>
      <x:c r="H700" s="50" t="n">
        <x:v>194.93</x:v>
      </x:c>
      <x:c r="I700" s="50" t="n">
        <x:v>-168.27</x:v>
      </x:c>
      <x:c r="J700" s="50" t="n">
        <x:v>0.42</x:v>
      </x:c>
      <x:c r="K700" s="50" t="n">
        <x:v>-1.6</x:v>
      </x:c>
      <x:c r="L700" s="50" t="n">
        <x:v>1.66</x:v>
      </x:c>
      <x:c r="M700" s="50" t="n">
        <x:v>-0.75</x:v>
      </x:c>
      <x:c r="N700" t="str">
        <x:v>RELATÓRIO LEITURAS INCLINOMÉTRICAS - Empreitada THE EDEN, Estoril_ R05_03-11-25.pdf</x:v>
      </x:c>
      <x:c r="O700" t="n">
        <x:v>32</x:v>
      </x:c>
      <x:c r="P700" t="str">
        <x:v>Válida</x:v>
      </x:c>
    </x:row>
    <x:row r="701">
      <x:c r="A701" s="48" t="n">
        <x:v>45964</x:v>
      </x:c>
      <x:c r="B701" t="n">
        <x:v>5</x:v>
      </x:c>
      <x:c r="C701" t="str">
        <x:v>I3</x:v>
      </x:c>
      <x:c r="D701" t="n">
        <x:v>4</x:v>
      </x:c>
      <x:c r="E701" s="50" t="n">
        <x:v>16.5</x:v>
      </x:c>
      <x:c r="F701" s="50" t="n">
        <x:v>322.1</x:v>
      </x:c>
      <x:c r="G701" s="50" t="n">
        <x:v>-318.47</x:v>
      </x:c>
      <x:c r="H701" s="50" t="n">
        <x:v>205.26</x:v>
      </x:c>
      <x:c r="I701" s="50" t="n">
        <x:v>-204.33</x:v>
      </x:c>
      <x:c r="J701" s="50" t="n">
        <x:v>0.39</x:v>
      </x:c>
      <x:c r="K701" s="50" t="n">
        <x:v>-1.84</x:v>
      </x:c>
      <x:c r="L701" s="50" t="n">
        <x:v>1.88</x:v>
      </x:c>
      <x:c r="M701" s="50" t="n">
        <x:v>-0.67</x:v>
      </x:c>
      <x:c r="N701" t="str">
        <x:v>RELATÓRIO LEITURAS INCLINOMÉTRICAS - Empreitada THE EDEN, Estoril_ R05_03-11-25.pdf</x:v>
      </x:c>
      <x:c r="O701" t="n">
        <x:v>32</x:v>
      </x:c>
      <x:c r="P701" t="str">
        <x:v>Válida</x:v>
      </x:c>
    </x:row>
    <x:row r="702">
      <x:c r="A702" s="48" t="n">
        <x:v>45964</x:v>
      </x:c>
      <x:c r="B702" t="n">
        <x:v>5</x:v>
      </x:c>
      <x:c r="C702" t="str">
        <x:v>I3</x:v>
      </x:c>
      <x:c r="D702" t="n">
        <x:v>4</x:v>
      </x:c>
      <x:c r="E702" s="50" t="n">
        <x:v>17</x:v>
      </x:c>
      <x:c r="F702" s="50" t="n">
        <x:v>385.42</x:v>
      </x:c>
      <x:c r="G702" s="50" t="n">
        <x:v>-375.69</x:v>
      </x:c>
      <x:c r="H702" s="50" t="n">
        <x:v>246.3</x:v>
      </x:c>
      <x:c r="I702" s="50" t="n">
        <x:v>-243.44</x:v>
      </x:c>
      <x:c r="J702" s="50" t="n">
        <x:v>0.36</x:v>
      </x:c>
      <x:c r="K702" s="50" t="n">
        <x:v>-1.52</x:v>
      </x:c>
      <x:c r="L702" s="50" t="n">
        <x:v>1.56</x:v>
      </x:c>
      <x:c r="M702" s="50" t="n">
        <x:v>-0.74</x:v>
      </x:c>
      <x:c r="N702" t="str">
        <x:v>RELATÓRIO LEITURAS INCLINOMÉTRICAS - Empreitada THE EDEN, Estoril_ R05_03-11-25.pdf</x:v>
      </x:c>
      <x:c r="O702" t="n">
        <x:v>32</x:v>
      </x:c>
      <x:c r="P702" t="str">
        <x:v>Válida</x:v>
      </x:c>
    </x:row>
    <x:row r="703">
      <x:c r="A703" s="48" t="n">
        <x:v>45964</x:v>
      </x:c>
      <x:c r="B703" t="n">
        <x:v>5</x:v>
      </x:c>
      <x:c r="C703" t="str">
        <x:v>I3</x:v>
      </x:c>
      <x:c r="D703" t="n">
        <x:v>4</x:v>
      </x:c>
      <x:c r="E703" s="50" t="n">
        <x:v>17.5</x:v>
      </x:c>
      <x:c r="F703" s="50" t="n">
        <x:v>380.57</x:v>
      </x:c>
      <x:c r="G703" s="50" t="n">
        <x:v>-376.14</x:v>
      </x:c>
      <x:c r="H703" s="50" t="n">
        <x:v>154.72</x:v>
      </x:c>
      <x:c r="I703" s="50" t="n">
        <x:v>-166.98</x:v>
      </x:c>
      <x:c r="J703" s="50" t="n">
        <x:v>0.34</x:v>
      </x:c>
      <x:c r="K703" s="50" t="n">
        <x:v>-1.34</x:v>
      </x:c>
      <x:c r="L703" s="50" t="n">
        <x:v>1.38</x:v>
      </x:c>
      <x:c r="M703" s="50" t="n">
        <x:v>-0.64</x:v>
      </x:c>
      <x:c r="N703" t="str">
        <x:v>RELATÓRIO LEITURAS INCLINOMÉTRICAS - Empreitada THE EDEN, Estoril_ R05_03-11-25.pdf</x:v>
      </x:c>
      <x:c r="O703" t="n">
        <x:v>32</x:v>
      </x:c>
      <x:c r="P703" t="str">
        <x:v>Válida</x:v>
      </x:c>
    </x:row>
    <x:row r="704">
      <x:c r="A704" s="48" t="n">
        <x:v>45964</x:v>
      </x:c>
      <x:c r="B704" t="n">
        <x:v>5</x:v>
      </x:c>
      <x:c r="C704" t="str">
        <x:v>I3</x:v>
      </x:c>
      <x:c r="D704" t="n">
        <x:v>4</x:v>
      </x:c>
      <x:c r="E704" s="50" t="n">
        <x:v>18</x:v>
      </x:c>
      <x:c r="F704" s="50" t="n">
        <x:v>349.55</x:v>
      </x:c>
      <x:c r="G704" s="50" t="n">
        <x:v>-341.15</x:v>
      </x:c>
      <x:c r="H704" s="50" t="n">
        <x:v>104.05</x:v>
      </x:c>
      <x:c r="I704" s="50" t="n">
        <x:v>-99.71</x:v>
      </x:c>
      <x:c r="J704" s="50" t="n">
        <x:v>0.34</x:v>
      </x:c>
      <x:c r="K704" s="50" t="n">
        <x:v>-0.96</x:v>
      </x:c>
      <x:c r="L704" s="50" t="n">
        <x:v>1.02</x:v>
      </x:c>
      <x:c r="M704" s="50" t="n">
        <x:v>-0.64</x:v>
      </x:c>
      <x:c r="N704" t="str">
        <x:v>RELATÓRIO LEITURAS INCLINOMÉTRICAS - Empreitada THE EDEN, Estoril_ R05_03-11-25.pdf</x:v>
      </x:c>
      <x:c r="O704" t="n">
        <x:v>32</x:v>
      </x:c>
      <x:c r="P704" t="str">
        <x:v>Válida</x:v>
      </x:c>
    </x:row>
    <x:row r="705">
      <x:c r="A705" s="48" t="n">
        <x:v>45964</x:v>
      </x:c>
      <x:c r="B705" t="n">
        <x:v>5</x:v>
      </x:c>
      <x:c r="C705" t="str">
        <x:v>I3</x:v>
      </x:c>
      <x:c r="D705" t="n">
        <x:v>4</x:v>
      </x:c>
      <x:c r="E705" s="50" t="n">
        <x:v>18.5</x:v>
      </x:c>
      <x:c r="F705" s="50" t="n">
        <x:v>319.11</x:v>
      </x:c>
      <x:c r="G705" s="50" t="n">
        <x:v>-312.72</x:v>
      </x:c>
      <x:c r="H705" s="50" t="n">
        <x:v>57.71</x:v>
      </x:c>
      <x:c r="I705" s="50" t="n">
        <x:v>-62.53</x:v>
      </x:c>
      <x:c r="J705" s="50" t="n">
        <x:v>0.34</x:v>
      </x:c>
      <x:c r="K705" s="50" t="n">
        <x:v>-0.8</x:v>
      </x:c>
      <x:c r="L705" s="50" t="n">
        <x:v>0.87</x:v>
      </x:c>
      <x:c r="M705" s="50" t="n">
        <x:v>-0.67</x:v>
      </x:c>
      <x:c r="N705" t="str">
        <x:v>RELATÓRIO LEITURAS INCLINOMÉTRICAS - Empreitada THE EDEN, Estoril_ R05_03-11-25.pdf</x:v>
      </x:c>
      <x:c r="O705" t="n">
        <x:v>32</x:v>
      </x:c>
      <x:c r="P705" t="str">
        <x:v>Válida</x:v>
      </x:c>
    </x:row>
    <x:row r="706">
      <x:c r="A706" s="48" t="n">
        <x:v>45964</x:v>
      </x:c>
      <x:c r="B706" t="n">
        <x:v>5</x:v>
      </x:c>
      <x:c r="C706" t="str">
        <x:v>I3</x:v>
      </x:c>
      <x:c r="D706" t="n">
        <x:v>4</x:v>
      </x:c>
      <x:c r="E706" s="50" t="n">
        <x:v>19</x:v>
      </x:c>
      <x:c r="F706" s="50" t="n">
        <x:v>303.91</x:v>
      </x:c>
      <x:c r="G706" s="50" t="n">
        <x:v>-299.3</x:v>
      </x:c>
      <x:c r="H706" s="50" t="n">
        <x:v>53.78</x:v>
      </x:c>
      <x:c r="I706" s="50" t="n">
        <x:v>-52.61</x:v>
      </x:c>
      <x:c r="J706" s="50" t="n">
        <x:v>0.27</x:v>
      </x:c>
      <x:c r="K706" s="50" t="n">
        <x:v>-0.96</x:v>
      </x:c>
      <x:c r="L706" s="50" t="n">
        <x:v>1</x:v>
      </x:c>
      <x:c r="M706" s="50" t="n">
        <x:v>-0.45</x:v>
      </x:c>
      <x:c r="N706" t="str">
        <x:v>RELATÓRIO LEITURAS INCLINOMÉTRICAS - Empreitada THE EDEN, Estoril_ R05_03-11-25.pdf</x:v>
      </x:c>
      <x:c r="O706" t="n">
        <x:v>32</x:v>
      </x:c>
      <x:c r="P706" t="str">
        <x:v>Válida</x:v>
      </x:c>
    </x:row>
    <x:row r="707">
      <x:c r="A707" s="48" t="n">
        <x:v>45964</x:v>
      </x:c>
      <x:c r="B707" t="n">
        <x:v>5</x:v>
      </x:c>
      <x:c r="C707" t="str">
        <x:v>I3</x:v>
      </x:c>
      <x:c r="D707" t="n">
        <x:v>4</x:v>
      </x:c>
      <x:c r="E707" s="50" t="n">
        <x:v>19.5</x:v>
      </x:c>
      <x:c r="F707" s="50" t="n">
        <x:v>214.77</x:v>
      </x:c>
      <x:c r="G707" s="50" t="n">
        <x:v>-207.44</x:v>
      </x:c>
      <x:c r="H707" s="50" t="n">
        <x:v>100.91</x:v>
      </x:c>
      <x:c r="I707" s="50" t="n">
        <x:v>-89.35</x:v>
      </x:c>
      <x:c r="J707" s="50" t="n">
        <x:v>0.22</x:v>
      </x:c>
      <x:c r="K707" s="50" t="n">
        <x:v>-0.99</x:v>
      </x:c>
      <x:c r="L707" s="50" t="n">
        <x:v>1.02</x:v>
      </x:c>
      <x:c r="M707" s="50" t="n">
        <x:v>-0.4</x:v>
      </x:c>
      <x:c r="N707" t="str">
        <x:v>RELATÓRIO LEITURAS INCLINOMÉTRICAS - Empreitada THE EDEN, Estoril_ R05_03-11-25.pdf</x:v>
      </x:c>
      <x:c r="O707" t="n">
        <x:v>32</x:v>
      </x:c>
      <x:c r="P707" t="str">
        <x:v>Válida</x:v>
      </x:c>
    </x:row>
    <x:row r="708">
      <x:c r="A708" s="48" t="n">
        <x:v>45964</x:v>
      </x:c>
      <x:c r="B708" t="n">
        <x:v>5</x:v>
      </x:c>
      <x:c r="C708" t="str">
        <x:v>I3</x:v>
      </x:c>
      <x:c r="D708" t="n">
        <x:v>4</x:v>
      </x:c>
      <x:c r="E708" s="50" t="n">
        <x:v>20</x:v>
      </x:c>
      <x:c r="F708" s="50" t="n">
        <x:v>146.06</x:v>
      </x:c>
      <x:c r="G708" s="50" t="n">
        <x:v>-138.79</x:v>
      </x:c>
      <x:c r="H708" s="50" t="n">
        <x:v>135.46</x:v>
      </x:c>
      <x:c r="I708" s="50" t="n">
        <x:v>-145.36</x:v>
      </x:c>
      <x:c r="J708" s="50" t="n">
        <x:v>0.17</x:v>
      </x:c>
      <x:c r="K708" s="50" t="n">
        <x:v>-0.66</x:v>
      </x:c>
      <x:c r="L708" s="50" t="n">
        <x:v>0.68</x:v>
      </x:c>
      <x:c r="M708" s="50" t="n">
        <x:v>-0.38</x:v>
      </x:c>
      <x:c r="N708" t="str">
        <x:v>RELATÓRIO LEITURAS INCLINOMÉTRICAS - Empreitada THE EDEN, Estoril_ R05_03-11-25.pdf</x:v>
      </x:c>
      <x:c r="O708" t="n">
        <x:v>32</x:v>
      </x:c>
      <x:c r="P708" t="str">
        <x:v>Válida</x:v>
      </x:c>
    </x:row>
    <x:row r="709">
      <x:c r="A709" s="48" t="n">
        <x:v>45964</x:v>
      </x:c>
      <x:c r="B709" t="n">
        <x:v>5</x:v>
      </x:c>
      <x:c r="C709" t="str">
        <x:v>I3</x:v>
      </x:c>
      <x:c r="D709" t="n">
        <x:v>4</x:v>
      </x:c>
      <x:c r="E709" s="50" t="n">
        <x:v>20.5</x:v>
      </x:c>
      <x:c r="F709" s="50" t="n">
        <x:v>154.51</x:v>
      </x:c>
      <x:c r="G709" s="50" t="n">
        <x:v>-150.01</x:v>
      </x:c>
      <x:c r="H709" s="50" t="n">
        <x:v>153.27</x:v>
      </x:c>
      <x:c r="I709" s="50" t="n">
        <x:v>-160.9</x:v>
      </x:c>
      <x:c r="J709" s="50" t="n">
        <x:v>0.15</x:v>
      </x:c>
      <x:c r="K709" s="50" t="n">
        <x:v>-0.58</x:v>
      </x:c>
      <x:c r="L709" s="50" t="n">
        <x:v>0.6</x:v>
      </x:c>
      <x:c r="M709" s="50" t="n">
        <x:v>-0.07</x:v>
      </x:c>
      <x:c r="N709" t="str">
        <x:v>RELATÓRIO LEITURAS INCLINOMÉTRICAS - Empreitada THE EDEN, Estoril_ R05_03-11-25.pdf</x:v>
      </x:c>
      <x:c r="O709" t="n">
        <x:v>32</x:v>
      </x:c>
      <x:c r="P709" t="str">
        <x:v>Válida</x:v>
      </x:c>
    </x:row>
    <x:row r="710">
      <x:c r="A710" s="48" t="n">
        <x:v>45964</x:v>
      </x:c>
      <x:c r="B710" t="n">
        <x:v>5</x:v>
      </x:c>
      <x:c r="C710" t="str">
        <x:v>I3</x:v>
      </x:c>
      <x:c r="D710" t="n">
        <x:v>4</x:v>
      </x:c>
      <x:c r="E710" s="50" t="n">
        <x:v>21</x:v>
      </x:c>
      <x:c r="F710" s="50" t="n">
        <x:v>162.34</x:v>
      </x:c>
      <x:c r="G710" s="50" t="n">
        <x:v>-157.56</x:v>
      </x:c>
      <x:c r="H710" s="50" t="n">
        <x:v>157.03</x:v>
      </x:c>
      <x:c r="I710" s="50" t="n">
        <x:v>-181.53</x:v>
      </x:c>
      <x:c r="J710" s="50" t="n">
        <x:v>0.13</x:v>
      </x:c>
      <x:c r="K710" s="50" t="n">
        <x:v>-0.21</x:v>
      </x:c>
      <x:c r="L710" s="50" t="n">
        <x:v>0.24</x:v>
      </x:c>
      <x:c r="M710" s="50" t="n">
        <x:v>0.01</x:v>
      </x:c>
      <x:c r="N710" t="str">
        <x:v>RELATÓRIO LEITURAS INCLINOMÉTRICAS - Empreitada THE EDEN, Estoril_ R05_03-11-25.pdf</x:v>
      </x:c>
      <x:c r="O710" t="n">
        <x:v>32</x:v>
      </x:c>
      <x:c r="P710" t="str">
        <x:v>Válida</x:v>
      </x:c>
    </x:row>
    <x:row r="711">
      <x:c r="A711" s="48" t="n">
        <x:v>45964</x:v>
      </x:c>
      <x:c r="B711" t="n">
        <x:v>5</x:v>
      </x:c>
      <x:c r="C711" t="str">
        <x:v>I3</x:v>
      </x:c>
      <x:c r="D711" t="n">
        <x:v>4</x:v>
      </x:c>
      <x:c r="E711" s="50" t="n">
        <x:v>21.5</x:v>
      </x:c>
      <x:c r="F711" s="50" t="n">
        <x:v>180.37</x:v>
      </x:c>
      <x:c r="G711" s="50" t="n">
        <x:v>-174.95</x:v>
      </x:c>
      <x:c r="H711" s="50" t="n">
        <x:v>171.88</x:v>
      </x:c>
      <x:c r="I711" s="50" t="n">
        <x:v>-183.49</x:v>
      </x:c>
      <x:c r="J711" s="50" t="n">
        <x:v>0.06</x:v>
      </x:c>
      <x:c r="K711" s="50" t="n">
        <x:v>-0.06</x:v>
      </x:c>
      <x:c r="L711" s="50" t="n">
        <x:v>0.08</x:v>
      </x:c>
      <x:c r="M711" s="50" t="n">
        <x:v>-0.17</x:v>
      </x:c>
      <x:c r="N711" t="str">
        <x:v>RELATÓRIO LEITURAS INCLINOMÉTRICAS - Empreitada THE EDEN, Estoril_ R05_03-11-25.pdf</x:v>
      </x:c>
      <x:c r="O711" t="n">
        <x:v>32</x:v>
      </x:c>
      <x:c r="P711" t="str">
        <x:v>Válida</x:v>
      </x:c>
    </x:row>
    <x:row r="712">
      <x:c r="A712" s="48" t="n">
        <x:v>45964</x:v>
      </x:c>
      <x:c r="B712" t="n">
        <x:v>5</x:v>
      </x:c>
      <x:c r="C712" t="str">
        <x:v>I3</x:v>
      </x:c>
      <x:c r="D712" t="n">
        <x:v>4</x:v>
      </x:c>
      <x:c r="E712" s="50" t="n">
        <x:v>22</x:v>
      </x:c>
      <x:c r="F712" s="50" t="n">
        <x:v>189.75</x:v>
      </x:c>
      <x:c r="G712" s="50" t="n">
        <x:v>-183.97</x:v>
      </x:c>
      <x:c r="H712" s="50" t="n">
        <x:v>185.02</x:v>
      </x:c>
      <x:c r="I712" s="50" t="n">
        <x:v>-181.1</x:v>
      </x:c>
      <x:c r="J712" s="50" t="n">
        <x:v>0.03</x:v>
      </x:c>
      <x:c r="K712" s="50" t="n">
        <x:v>0.19</x:v>
      </x:c>
      <x:c r="L712" s="50" t="n">
        <x:v>0.19</x:v>
      </x:c>
      <x:c r="M712" s="50" t="n">
        <x:v>-0.24</x:v>
      </x:c>
      <x:c r="N712" t="str">
        <x:v>RELATÓRIO LEITURAS INCLINOMÉTRICAS - Empreitada THE EDEN, Estoril_ R05_03-11-25.pdf</x:v>
      </x:c>
      <x:c r="O712" t="n">
        <x:v>32</x:v>
      </x:c>
      <x:c r="P712" t="str">
        <x:v>Válida</x:v>
      </x:c>
    </x:row>
    <x:row r="713">
      <x:c r="A713" s="48" t="n">
        <x:v>45971</x:v>
      </x:c>
      <x:c r="B713" t="n">
        <x:v>6</x:v>
      </x:c>
      <x:c r="C713" t="str">
        <x:v>I1</x:v>
      </x:c>
      <x:c r="D713" t="n">
        <x:v>6</x:v>
      </x:c>
      <x:c r="E713" s="50" t="n">
        <x:v>0.5</x:v>
      </x:c>
      <x:c r="F713" s="50" t="n">
        <x:v>-379.4</x:v>
      </x:c>
      <x:c r="G713" s="50" t="n">
        <x:v>377.69</x:v>
      </x:c>
      <x:c r="H713" s="50" t="n">
        <x:v>-826.24</x:v>
      </x:c>
      <x:c r="I713" s="50" t="n">
        <x:v>863.4</x:v>
      </x:c>
      <x:c r="J713" s="50" t="n">
        <x:v>0.89</x:v>
      </x:c>
      <x:c r="K713" s="50" t="n">
        <x:v>1.56</x:v>
      </x:c>
      <x:c r="L713" s="50" t="n">
        <x:v>1.8</x:v>
      </x:c>
      <x:c r="M713" s="50" t="n">
        <x:v>-0.18</x:v>
      </x:c>
      <x:c r="N713" t="str">
        <x:v>RELATÓRIO LEITURAS INCLINOMÉTRICAS - Empreitada THE EDEN, Estoril_ R10_09-12-25.pdf</x:v>
      </x:c>
      <x:c r="O713" t="n">
        <x:v>16</x:v>
      </x:c>
    </x:row>
    <x:row r="714">
      <x:c r="A714" s="48" t="n">
        <x:v>45971</x:v>
      </x:c>
      <x:c r="B714" t="n">
        <x:v>6</x:v>
      </x:c>
      <x:c r="C714" t="str">
        <x:v>I1</x:v>
      </x:c>
      <x:c r="D714" t="n">
        <x:v>6</x:v>
      </x:c>
      <x:c r="E714" s="50" t="n">
        <x:v>1</x:v>
      </x:c>
      <x:c r="F714" s="50" t="n">
        <x:v>-379.15</x:v>
      </x:c>
      <x:c r="G714" s="50" t="n">
        <x:v>377.39</x:v>
      </x:c>
      <x:c r="H714" s="50" t="n">
        <x:v>-825.89</x:v>
      </x:c>
      <x:c r="I714" s="50" t="n">
        <x:v>863.51</x:v>
      </x:c>
      <x:c r="J714" s="50" t="n">
        <x:v>1.52</x:v>
      </x:c>
      <x:c r="K714" s="50" t="n">
        <x:v>2.45</x:v>
      </x:c>
      <x:c r="L714" s="50" t="n">
        <x:v>2.88</x:v>
      </x:c>
      <x:c r="M714" s="50" t="n">
        <x:v>-0.53</x:v>
      </x:c>
      <x:c r="N714" t="str">
        <x:v>RELATÓRIO LEITURAS INCLINOMÉTRICAS - Empreitada THE EDEN, Estoril_ R10_09-12-25.pdf</x:v>
      </x:c>
      <x:c r="O714" t="n">
        <x:v>16</x:v>
      </x:c>
    </x:row>
    <x:row r="715">
      <x:c r="A715" s="48" t="n">
        <x:v>45971</x:v>
      </x:c>
      <x:c r="B715" t="n">
        <x:v>6</x:v>
      </x:c>
      <x:c r="C715" t="str">
        <x:v>I1</x:v>
      </x:c>
      <x:c r="D715" t="n">
        <x:v>6</x:v>
      </x:c>
      <x:c r="E715" s="50" t="n">
        <x:v>1.5</x:v>
      </x:c>
      <x:c r="F715" s="50" t="n">
        <x:v>-5.99</x:v>
      </x:c>
      <x:c r="G715" s="50" t="n">
        <x:v>19.55</x:v>
      </x:c>
      <x:c r="H715" s="50" t="n">
        <x:v>-268.28</x:v>
      </x:c>
      <x:c r="I715" s="50" t="n">
        <x:v>281.86</x:v>
      </x:c>
      <x:c r="J715" s="50" t="n">
        <x:v>2.2</x:v>
      </x:c>
      <x:c r="K715" s="50" t="n">
        <x:v>2.94</x:v>
      </x:c>
      <x:c r="L715" s="50" t="n">
        <x:v>3.67</x:v>
      </x:c>
      <x:c r="M715" s="50" t="n">
        <x:v>-0.95</x:v>
      </x:c>
      <x:c r="N715" t="str">
        <x:v>RELATÓRIO LEITURAS INCLINOMÉTRICAS - Empreitada THE EDEN, Estoril_ R10_09-12-25.pdf</x:v>
      </x:c>
      <x:c r="O715" t="n">
        <x:v>16</x:v>
      </x:c>
    </x:row>
    <x:row r="716">
      <x:c r="A716" s="48" t="n">
        <x:v>45971</x:v>
      </x:c>
      <x:c r="B716" t="n">
        <x:v>6</x:v>
      </x:c>
      <x:c r="C716" t="str">
        <x:v>I1</x:v>
      </x:c>
      <x:c r="D716" t="n">
        <x:v>6</x:v>
      </x:c>
      <x:c r="E716" s="50" t="n">
        <x:v>2</x:v>
      </x:c>
      <x:c r="F716" s="50" t="n">
        <x:v>12.3</x:v>
      </x:c>
      <x:c r="G716" s="50" t="n">
        <x:v>-3.46</x:v>
      </x:c>
      <x:c r="H716" s="50" t="n">
        <x:v>-228.79</x:v>
      </x:c>
      <x:c r="I716" s="50" t="n">
        <x:v>235.24</x:v>
      </x:c>
      <x:c r="J716" s="50" t="n">
        <x:v>2.05</x:v>
      </x:c>
      <x:c r="K716" s="50" t="n">
        <x:v>3.04</x:v>
      </x:c>
      <x:c r="L716" s="50" t="n">
        <x:v>3.67</x:v>
      </x:c>
      <x:c r="M716" s="50" t="n">
        <x:v>-0.81</x:v>
      </x:c>
      <x:c r="N716" t="str">
        <x:v>RELATÓRIO LEITURAS INCLINOMÉTRICAS - Empreitada THE EDEN, Estoril_ R10_09-12-25.pdf</x:v>
      </x:c>
      <x:c r="O716" t="n">
        <x:v>16</x:v>
      </x:c>
    </x:row>
    <x:row r="717">
      <x:c r="A717" s="48" t="n">
        <x:v>45971</x:v>
      </x:c>
      <x:c r="B717" t="n">
        <x:v>6</x:v>
      </x:c>
      <x:c r="C717" t="str">
        <x:v>I1</x:v>
      </x:c>
      <x:c r="D717" t="n">
        <x:v>6</x:v>
      </x:c>
      <x:c r="E717" s="50" t="n">
        <x:v>2.5</x:v>
      </x:c>
      <x:c r="F717" s="50" t="n">
        <x:v>31.56</x:v>
      </x:c>
      <x:c r="G717" s="50" t="n">
        <x:v>-22.49</x:v>
      </x:c>
      <x:c r="H717" s="50" t="n">
        <x:v>-206.13</x:v>
      </x:c>
      <x:c r="I717" s="50" t="n">
        <x:v>221.16</x:v>
      </x:c>
      <x:c r="J717" s="50" t="n">
        <x:v>2.52</x:v>
      </x:c>
      <x:c r="K717" s="50" t="n">
        <x:v>3.2</x:v>
      </x:c>
      <x:c r="L717" s="50" t="n">
        <x:v>4.07</x:v>
      </x:c>
      <x:c r="M717" s="50" t="n">
        <x:v>-0.72</x:v>
      </x:c>
      <x:c r="N717" t="str">
        <x:v>RELATÓRIO LEITURAS INCLINOMÉTRICAS - Empreitada THE EDEN, Estoril_ R10_09-12-25.pdf</x:v>
      </x:c>
      <x:c r="O717" t="n">
        <x:v>16</x:v>
      </x:c>
    </x:row>
    <x:row r="718">
      <x:c r="A718" s="48" t="n">
        <x:v>45971</x:v>
      </x:c>
      <x:c r="B718" t="n">
        <x:v>6</x:v>
      </x:c>
      <x:c r="C718" t="str">
        <x:v>I1</x:v>
      </x:c>
      <x:c r="D718" t="n">
        <x:v>6</x:v>
      </x:c>
      <x:c r="E718" s="50" t="n">
        <x:v>3</x:v>
      </x:c>
      <x:c r="F718" s="50" t="n">
        <x:v>11.71</x:v>
      </x:c>
      <x:c r="G718" s="50" t="n">
        <x:v>-0.56</x:v>
      </x:c>
      <x:c r="H718" s="50" t="n">
        <x:v>-155.55</x:v>
      </x:c>
      <x:c r="I718" s="50" t="n">
        <x:v>164.62</x:v>
      </x:c>
      <x:c r="J718" s="50" t="n">
        <x:v>2.74</x:v>
      </x:c>
      <x:c r="K718" s="50" t="n">
        <x:v>3.13</x:v>
      </x:c>
      <x:c r="L718" s="50" t="n">
        <x:v>4.16</x:v>
      </x:c>
      <x:c r="M718" s="50" t="n">
        <x:v>-0.67</x:v>
      </x:c>
      <x:c r="N718" t="str">
        <x:v>RELATÓRIO LEITURAS INCLINOMÉTRICAS - Empreitada THE EDEN, Estoril_ R10_09-12-25.pdf</x:v>
      </x:c>
      <x:c r="O718" t="n">
        <x:v>16</x:v>
      </x:c>
    </x:row>
    <x:row r="719">
      <x:c r="A719" s="48" t="n">
        <x:v>45971</x:v>
      </x:c>
      <x:c r="B719" t="n">
        <x:v>6</x:v>
      </x:c>
      <x:c r="C719" t="str">
        <x:v>I1</x:v>
      </x:c>
      <x:c r="D719" t="n">
        <x:v>6</x:v>
      </x:c>
      <x:c r="E719" s="50" t="n">
        <x:v>3.5</x:v>
      </x:c>
      <x:c r="F719" s="50" t="n">
        <x:v>-6.84</x:v>
      </x:c>
      <x:c r="G719" s="50" t="n">
        <x:v>15.91</x:v>
      </x:c>
      <x:c r="H719" s="50" t="n">
        <x:v>-97.41</x:v>
      </x:c>
      <x:c r="I719" s="50" t="n">
        <x:v>111.15</x:v>
      </x:c>
      <x:c r="J719" s="50" t="n">
        <x:v>2.82</x:v>
      </x:c>
      <x:c r="K719" s="50" t="n">
        <x:v>3.01</x:v>
      </x:c>
      <x:c r="L719" s="50" t="n">
        <x:v>4.13</x:v>
      </x:c>
      <x:c r="M719" s="50" t="n">
        <x:v>-0.67</x:v>
      </x:c>
      <x:c r="N719" t="str">
        <x:v>RELATÓRIO LEITURAS INCLINOMÉTRICAS - Empreitada THE EDEN, Estoril_ R10_09-12-25.pdf</x:v>
      </x:c>
      <x:c r="O719" t="n">
        <x:v>16</x:v>
      </x:c>
    </x:row>
    <x:row r="720">
      <x:c r="A720" s="48" t="n">
        <x:v>45971</x:v>
      </x:c>
      <x:c r="B720" t="n">
        <x:v>6</x:v>
      </x:c>
      <x:c r="C720" t="str">
        <x:v>I1</x:v>
      </x:c>
      <x:c r="D720" t="n">
        <x:v>6</x:v>
      </x:c>
      <x:c r="E720" s="50" t="n">
        <x:v>4</x:v>
      </x:c>
      <x:c r="F720" s="50" t="n">
        <x:v>62.44</x:v>
      </x:c>
      <x:c r="G720" s="50" t="n">
        <x:v>-52.6</x:v>
      </x:c>
      <x:c r="H720" s="50" t="n">
        <x:v>-83.95</x:v>
      </x:c>
      <x:c r="I720" s="50" t="n">
        <x:v>77.74</x:v>
      </x:c>
      <x:c r="J720" s="50" t="n">
        <x:v>2.87</x:v>
      </x:c>
      <x:c r="K720" s="50" t="n">
        <x:v>3.03</x:v>
      </x:c>
      <x:c r="L720" s="50" t="n">
        <x:v>4.18</x:v>
      </x:c>
      <x:c r="M720" s="50" t="n">
        <x:v>-0.73</x:v>
      </x:c>
      <x:c r="N720" t="str">
        <x:v>RELATÓRIO LEITURAS INCLINOMÉTRICAS - Empreitada THE EDEN, Estoril_ R10_09-12-25.pdf</x:v>
      </x:c>
      <x:c r="O720" t="n">
        <x:v>16</x:v>
      </x:c>
    </x:row>
    <x:row r="721">
      <x:c r="A721" s="48" t="n">
        <x:v>45971</x:v>
      </x:c>
      <x:c r="B721" t="n">
        <x:v>6</x:v>
      </x:c>
      <x:c r="C721" t="str">
        <x:v>I1</x:v>
      </x:c>
      <x:c r="D721" t="n">
        <x:v>6</x:v>
      </x:c>
      <x:c r="E721" s="50" t="n">
        <x:v>4.5</x:v>
      </x:c>
      <x:c r="F721" s="50" t="n">
        <x:v>59.15</x:v>
      </x:c>
      <x:c r="G721" s="50" t="n">
        <x:v>-49.25</x:v>
      </x:c>
      <x:c r="H721" s="50" t="n">
        <x:v>-46.03</x:v>
      </x:c>
      <x:c r="I721" s="50" t="n">
        <x:v>48.82</x:v>
      </x:c>
      <x:c r="J721" s="50" t="n">
        <x:v>2.94</x:v>
      </x:c>
      <x:c r="K721" s="50" t="n">
        <x:v>2.75</x:v>
      </x:c>
      <x:c r="L721" s="50" t="n">
        <x:v>4.03</x:v>
      </x:c>
      <x:c r="M721" s="50" t="n">
        <x:v>-0.69</x:v>
      </x:c>
      <x:c r="N721" t="str">
        <x:v>RELATÓRIO LEITURAS INCLINOMÉTRICAS - Empreitada THE EDEN, Estoril_ R10_09-12-25.pdf</x:v>
      </x:c>
      <x:c r="O721" t="n">
        <x:v>16</x:v>
      </x:c>
    </x:row>
    <x:row r="722">
      <x:c r="A722" s="48" t="n">
        <x:v>45971</x:v>
      </x:c>
      <x:c r="B722" t="n">
        <x:v>6</x:v>
      </x:c>
      <x:c r="C722" t="str">
        <x:v>I1</x:v>
      </x:c>
      <x:c r="D722" t="n">
        <x:v>6</x:v>
      </x:c>
      <x:c r="E722" s="50" t="n">
        <x:v>5</x:v>
      </x:c>
      <x:c r="F722" s="50" t="n">
        <x:v>3.4</x:v>
      </x:c>
      <x:c r="G722" s="50" t="n">
        <x:v>6.95</x:v>
      </x:c>
      <x:c r="H722" s="50" t="n">
        <x:v>21.39</x:v>
      </x:c>
      <x:c r="I722" s="50" t="n">
        <x:v>-22.21</x:v>
      </x:c>
      <x:c r="J722" s="50" t="n">
        <x:v>3.16</x:v>
      </x:c>
      <x:c r="K722" s="50" t="n">
        <x:v>2.4</x:v>
      </x:c>
      <x:c r="L722" s="50" t="n">
        <x:v>3.97</x:v>
      </x:c>
      <x:c r="M722" s="50" t="n">
        <x:v>-0.78</x:v>
      </x:c>
      <x:c r="N722" t="str">
        <x:v>RELATÓRIO LEITURAS INCLINOMÉTRICAS - Empreitada THE EDEN, Estoril_ R10_09-12-25.pdf</x:v>
      </x:c>
      <x:c r="O722" t="n">
        <x:v>16</x:v>
      </x:c>
    </x:row>
    <x:row r="723">
      <x:c r="A723" s="48" t="n">
        <x:v>45971</x:v>
      </x:c>
      <x:c r="B723" t="n">
        <x:v>6</x:v>
      </x:c>
      <x:c r="C723" t="str">
        <x:v>I1</x:v>
      </x:c>
      <x:c r="D723" t="n">
        <x:v>6</x:v>
      </x:c>
      <x:c r="E723" s="50" t="n">
        <x:v>5.5</x:v>
      </x:c>
      <x:c r="F723" s="50" t="n">
        <x:v>2.51</x:v>
      </x:c>
      <x:c r="G723" s="50" t="n">
        <x:v>7.01</x:v>
      </x:c>
      <x:c r="H723" s="50" t="n">
        <x:v>10.17</x:v>
      </x:c>
      <x:c r="I723" s="50" t="n">
        <x:v>-13.29</x:v>
      </x:c>
      <x:c r="J723" s="50" t="n">
        <x:v>3.25</x:v>
      </x:c>
      <x:c r="K723" s="50" t="n">
        <x:v>2.52</x:v>
      </x:c>
      <x:c r="L723" s="50" t="n">
        <x:v>4.11</x:v>
      </x:c>
      <x:c r="M723" s="50" t="n">
        <x:v>-0.71</x:v>
      </x:c>
      <x:c r="N723" t="str">
        <x:v>RELATÓRIO LEITURAS INCLINOMÉTRICAS - Empreitada THE EDEN, Estoril_ R10_09-12-25.pdf</x:v>
      </x:c>
      <x:c r="O723" t="n">
        <x:v>16</x:v>
      </x:c>
    </x:row>
    <x:row r="724">
      <x:c r="A724" s="48" t="n">
        <x:v>45971</x:v>
      </x:c>
      <x:c r="B724" t="n">
        <x:v>6</x:v>
      </x:c>
      <x:c r="C724" t="str">
        <x:v>I1</x:v>
      </x:c>
      <x:c r="D724" t="n">
        <x:v>6</x:v>
      </x:c>
      <x:c r="E724" s="50" t="n">
        <x:v>6</x:v>
      </x:c>
      <x:c r="F724" s="50" t="n">
        <x:v>17.16</x:v>
      </x:c>
      <x:c r="G724" s="50" t="n">
        <x:v>-8.74</x:v>
      </x:c>
      <x:c r="H724" s="50" t="n">
        <x:v>-45.6</x:v>
      </x:c>
      <x:c r="I724" s="50" t="n">
        <x:v>36.31</x:v>
      </x:c>
      <x:c r="J724" s="50" t="n">
        <x:v>3.35</x:v>
      </x:c>
      <x:c r="K724" s="50" t="n">
        <x:v>2.58</x:v>
      </x:c>
      <x:c r="L724" s="50" t="n">
        <x:v>4.23</x:v>
      </x:c>
      <x:c r="M724" s="50" t="n">
        <x:v>-0.75</x:v>
      </x:c>
      <x:c r="N724" t="str">
        <x:v>RELATÓRIO LEITURAS INCLINOMÉTRICAS - Empreitada THE EDEN, Estoril_ R10_09-12-25.pdf</x:v>
      </x:c>
      <x:c r="O724" t="n">
        <x:v>16</x:v>
      </x:c>
    </x:row>
    <x:row r="725">
      <x:c r="A725" s="48" t="n">
        <x:v>45971</x:v>
      </x:c>
      <x:c r="B725" t="n">
        <x:v>6</x:v>
      </x:c>
      <x:c r="C725" t="str">
        <x:v>I1</x:v>
      </x:c>
      <x:c r="D725" t="n">
        <x:v>6</x:v>
      </x:c>
      <x:c r="E725" s="50" t="n">
        <x:v>6.5</x:v>
      </x:c>
      <x:c r="F725" s="50" t="n">
        <x:v>24.03</x:v>
      </x:c>
      <x:c r="G725" s="50" t="n">
        <x:v>-13.04</x:v>
      </x:c>
      <x:c r="H725" s="50" t="n">
        <x:v>-68.88</x:v>
      </x:c>
      <x:c r="I725" s="50" t="n">
        <x:v>61.06</x:v>
      </x:c>
      <x:c r="J725" s="50" t="n">
        <x:v>3.42</x:v>
      </x:c>
      <x:c r="K725" s="50" t="n">
        <x:v>2.51</x:v>
      </x:c>
      <x:c r="L725" s="50" t="n">
        <x:v>4.24</x:v>
      </x:c>
      <x:c r="M725" s="50" t="n">
        <x:v>-0.7</x:v>
      </x:c>
      <x:c r="N725" t="str">
        <x:v>RELATÓRIO LEITURAS INCLINOMÉTRICAS - Empreitada THE EDEN, Estoril_ R10_09-12-25.pdf</x:v>
      </x:c>
      <x:c r="O725" t="n">
        <x:v>16</x:v>
      </x:c>
    </x:row>
    <x:row r="726">
      <x:c r="A726" s="48" t="n">
        <x:v>45971</x:v>
      </x:c>
      <x:c r="B726" t="n">
        <x:v>6</x:v>
      </x:c>
      <x:c r="C726" t="str">
        <x:v>I1</x:v>
      </x:c>
      <x:c r="D726" t="n">
        <x:v>6</x:v>
      </x:c>
      <x:c r="E726" s="50" t="n">
        <x:v>7</x:v>
      </x:c>
      <x:c r="F726" s="50" t="n">
        <x:v>100.3</x:v>
      </x:c>
      <x:c r="G726" s="50" t="n">
        <x:v>-94.31</x:v>
      </x:c>
      <x:c r="H726" s="50" t="n">
        <x:v>-58.33</x:v>
      </x:c>
      <x:c r="I726" s="50" t="n">
        <x:v>44.36</x:v>
      </x:c>
      <x:c r="J726" s="50" t="n">
        <x:v>3.13</x:v>
      </x:c>
      <x:c r="K726" s="50" t="n">
        <x:v>2.42</x:v>
      </x:c>
      <x:c r="L726" s="50" t="n">
        <x:v>3.96</x:v>
      </x:c>
      <x:c r="M726" s="50" t="n">
        <x:v>-0.59</x:v>
      </x:c>
      <x:c r="N726" t="str">
        <x:v>RELATÓRIO LEITURAS INCLINOMÉTRICAS - Empreitada THE EDEN, Estoril_ R10_09-12-25.pdf</x:v>
      </x:c>
      <x:c r="O726" t="n">
        <x:v>16</x:v>
      </x:c>
    </x:row>
    <x:row r="727">
      <x:c r="A727" s="48" t="n">
        <x:v>45971</x:v>
      </x:c>
      <x:c r="B727" t="n">
        <x:v>6</x:v>
      </x:c>
      <x:c r="C727" t="str">
        <x:v>I1</x:v>
      </x:c>
      <x:c r="D727" t="n">
        <x:v>6</x:v>
      </x:c>
      <x:c r="E727" s="50" t="n">
        <x:v>7.5</x:v>
      </x:c>
      <x:c r="F727" s="50" t="n">
        <x:v>60.77</x:v>
      </x:c>
      <x:c r="G727" s="50" t="n">
        <x:v>-54.94</x:v>
      </x:c>
      <x:c r="H727" s="50" t="n">
        <x:v>-52.35</x:v>
      </x:c>
      <x:c r="I727" s="50" t="n">
        <x:v>42.73</x:v>
      </x:c>
      <x:c r="J727" s="50" t="n">
        <x:v>3.03</x:v>
      </x:c>
      <x:c r="K727" s="50" t="n">
        <x:v>2.44</x:v>
      </x:c>
      <x:c r="L727" s="50" t="n">
        <x:v>3.88</x:v>
      </x:c>
      <x:c r="M727" s="50" t="n">
        <x:v>-0.52</x:v>
      </x:c>
      <x:c r="N727" t="str">
        <x:v>RELATÓRIO LEITURAS INCLINOMÉTRICAS - Empreitada THE EDEN, Estoril_ R10_09-12-25.pdf</x:v>
      </x:c>
      <x:c r="O727" t="n">
        <x:v>16</x:v>
      </x:c>
    </x:row>
    <x:row r="728">
      <x:c r="A728" s="48" t="n">
        <x:v>45971</x:v>
      </x:c>
      <x:c r="B728" t="n">
        <x:v>6</x:v>
      </x:c>
      <x:c r="C728" t="str">
        <x:v>I1</x:v>
      </x:c>
      <x:c r="D728" t="n">
        <x:v>6</x:v>
      </x:c>
      <x:c r="E728" s="50" t="n">
        <x:v>8</x:v>
      </x:c>
      <x:c r="F728" s="50" t="n">
        <x:v>39.36</x:v>
      </x:c>
      <x:c r="G728" s="50" t="n">
        <x:v>-30.82</x:v>
      </x:c>
      <x:c r="H728" s="50" t="n">
        <x:v>-42.33</x:v>
      </x:c>
      <x:c r="I728" s="50" t="n">
        <x:v>37.57</x:v>
      </x:c>
      <x:c r="J728" s="50" t="n">
        <x:v>2.8</x:v>
      </x:c>
      <x:c r="K728" s="50" t="n">
        <x:v>2.42</x:v>
      </x:c>
      <x:c r="L728" s="50" t="n">
        <x:v>3.7</x:v>
      </x:c>
      <x:c r="M728" s="50" t="n">
        <x:v>-0.45</x:v>
      </x:c>
      <x:c r="N728" t="str">
        <x:v>RELATÓRIO LEITURAS INCLINOMÉTRICAS - Empreitada THE EDEN, Estoril_ R10_09-12-25.pdf</x:v>
      </x:c>
      <x:c r="O728" t="n">
        <x:v>16</x:v>
      </x:c>
    </x:row>
    <x:row r="729">
      <x:c r="A729" s="48" t="n">
        <x:v>45971</x:v>
      </x:c>
      <x:c r="B729" t="n">
        <x:v>6</x:v>
      </x:c>
      <x:c r="C729" t="str">
        <x:v>I1</x:v>
      </x:c>
      <x:c r="D729" t="n">
        <x:v>6</x:v>
      </x:c>
      <x:c r="E729" s="50" t="n">
        <x:v>8.5</x:v>
      </x:c>
      <x:c r="F729" s="50" t="n">
        <x:v>1.92</x:v>
      </x:c>
      <x:c r="G729" s="50" t="n">
        <x:v>4.98</x:v>
      </x:c>
      <x:c r="H729" s="50" t="n">
        <x:v>-14.95</x:v>
      </x:c>
      <x:c r="I729" s="50" t="n">
        <x:v>15.57</x:v>
      </x:c>
      <x:c r="J729" s="50" t="n">
        <x:v>2.61</x:v>
      </x:c>
      <x:c r="K729" s="50" t="n">
        <x:v>2.27</x:v>
      </x:c>
      <x:c r="L729" s="50" t="n">
        <x:v>3.46</x:v>
      </x:c>
      <x:c r="M729" s="50" t="n">
        <x:v>-0.43</x:v>
      </x:c>
      <x:c r="N729" t="str">
        <x:v>RELATÓRIO LEITURAS INCLINOMÉTRICAS - Empreitada THE EDEN, Estoril_ R10_09-12-25.pdf</x:v>
      </x:c>
      <x:c r="O729" t="n">
        <x:v>16</x:v>
      </x:c>
    </x:row>
    <x:row r="730">
      <x:c r="A730" s="48" t="n">
        <x:v>45971</x:v>
      </x:c>
      <x:c r="B730" t="n">
        <x:v>6</x:v>
      </x:c>
      <x:c r="C730" t="str">
        <x:v>I1</x:v>
      </x:c>
      <x:c r="D730" t="n">
        <x:v>6</x:v>
      </x:c>
      <x:c r="E730" s="50" t="n">
        <x:v>9</x:v>
      </x:c>
      <x:c r="F730" s="50" t="n">
        <x:v>-43.09</x:v>
      </x:c>
      <x:c r="G730" s="50" t="n">
        <x:v>50.84</x:v>
      </x:c>
      <x:c r="H730" s="50" t="n">
        <x:v>5.68</x:v>
      </x:c>
      <x:c r="I730" s="50" t="n">
        <x:v>-3.45</x:v>
      </x:c>
      <x:c r="J730" s="50" t="n">
        <x:v>2.47</x:v>
      </x:c>
      <x:c r="K730" s="50" t="n">
        <x:v>2.18</x:v>
      </x:c>
      <x:c r="L730" s="50" t="n">
        <x:v>3.3</x:v>
      </x:c>
      <x:c r="M730" s="50" t="n">
        <x:v>-0.42</x:v>
      </x:c>
      <x:c r="N730" t="str">
        <x:v>RELATÓRIO LEITURAS INCLINOMÉTRICAS - Empreitada THE EDEN, Estoril_ R10_09-12-25.pdf</x:v>
      </x:c>
      <x:c r="O730" t="n">
        <x:v>16</x:v>
      </x:c>
    </x:row>
    <x:row r="731">
      <x:c r="A731" s="48" t="n">
        <x:v>45971</x:v>
      </x:c>
      <x:c r="B731" t="n">
        <x:v>6</x:v>
      </x:c>
      <x:c r="C731" t="str">
        <x:v>I1</x:v>
      </x:c>
      <x:c r="D731" t="n">
        <x:v>6</x:v>
      </x:c>
      <x:c r="E731" s="50" t="n">
        <x:v>9.5</x:v>
      </x:c>
      <x:c r="F731" s="50" t="n">
        <x:v>-110.98</x:v>
      </x:c>
      <x:c r="G731" s="50" t="n">
        <x:v>114.87</x:v>
      </x:c>
      <x:c r="H731" s="50" t="n">
        <x:v>23.13</x:v>
      </x:c>
      <x:c r="I731" s="50" t="n">
        <x:v>-21.44</x:v>
      </x:c>
      <x:c r="J731" s="50" t="n">
        <x:v>2.39</x:v>
      </x:c>
      <x:c r="K731" s="50" t="n">
        <x:v>2.15</x:v>
      </x:c>
      <x:c r="L731" s="50" t="n">
        <x:v>3.21</x:v>
      </x:c>
      <x:c r="M731" s="50" t="n">
        <x:v>-0.38</x:v>
      </x:c>
      <x:c r="N731" t="str">
        <x:v>RELATÓRIO LEITURAS INCLINOMÉTRICAS - Empreitada THE EDEN, Estoril_ R10_09-12-25.pdf</x:v>
      </x:c>
      <x:c r="O731" t="n">
        <x:v>16</x:v>
      </x:c>
    </x:row>
    <x:row r="732">
      <x:c r="A732" s="48" t="n">
        <x:v>45971</x:v>
      </x:c>
      <x:c r="B732" t="n">
        <x:v>6</x:v>
      </x:c>
      <x:c r="C732" t="str">
        <x:v>I1</x:v>
      </x:c>
      <x:c r="D732" t="n">
        <x:v>6</x:v>
      </x:c>
      <x:c r="E732" s="50" t="n">
        <x:v>10</x:v>
      </x:c>
      <x:c r="F732" s="50" t="n">
        <x:v>-201.72</x:v>
      </x:c>
      <x:c r="G732" s="50" t="n">
        <x:v>209.95</x:v>
      </x:c>
      <x:c r="H732" s="50" t="n">
        <x:v>-56.7</x:v>
      </x:c>
      <x:c r="I732" s="50" t="n">
        <x:v>52.82</x:v>
      </x:c>
      <x:c r="J732" s="50" t="n">
        <x:v>2.21</x:v>
      </x:c>
      <x:c r="K732" s="50" t="n">
        <x:v>2.14</x:v>
      </x:c>
      <x:c r="L732" s="50" t="n">
        <x:v>3.07</x:v>
      </x:c>
      <x:c r="M732" s="50" t="n">
        <x:v>-0.34</x:v>
      </x:c>
      <x:c r="N732" t="str">
        <x:v>RELATÓRIO LEITURAS INCLINOMÉTRICAS - Empreitada THE EDEN, Estoril_ R10_09-12-25.pdf</x:v>
      </x:c>
      <x:c r="O732" t="n">
        <x:v>16</x:v>
      </x:c>
    </x:row>
    <x:row r="733">
      <x:c r="A733" s="48" t="n">
        <x:v>45971</x:v>
      </x:c>
      <x:c r="B733" t="n">
        <x:v>6</x:v>
      </x:c>
      <x:c r="C733" t="str">
        <x:v>I1</x:v>
      </x:c>
      <x:c r="D733" t="n">
        <x:v>6</x:v>
      </x:c>
      <x:c r="E733" s="50" t="n">
        <x:v>10.5</x:v>
      </x:c>
      <x:c r="F733" s="50" t="n">
        <x:v>-193.81</x:v>
      </x:c>
      <x:c r="G733" s="50" t="n">
        <x:v>202.19</x:v>
      </x:c>
      <x:c r="H733" s="50" t="n">
        <x:v>-33.04</x:v>
      </x:c>
      <x:c r="I733" s="50" t="n">
        <x:v>33.87</x:v>
      </x:c>
      <x:c r="J733" s="50" t="n">
        <x:v>1.96</x:v>
      </x:c>
      <x:c r="K733" s="50" t="n">
        <x:v>1.92</x:v>
      </x:c>
      <x:c r="L733" s="50" t="n">
        <x:v>2.75</x:v>
      </x:c>
      <x:c r="M733" s="50" t="n">
        <x:v>-0.35</x:v>
      </x:c>
      <x:c r="N733" t="str">
        <x:v>RELATÓRIO LEITURAS INCLINOMÉTRICAS - Empreitada THE EDEN, Estoril_ R10_09-12-25.pdf</x:v>
      </x:c>
      <x:c r="O733" t="n">
        <x:v>16</x:v>
      </x:c>
    </x:row>
    <x:row r="734">
      <x:c r="A734" s="48" t="n">
        <x:v>45971</x:v>
      </x:c>
      <x:c r="B734" t="n">
        <x:v>6</x:v>
      </x:c>
      <x:c r="C734" t="str">
        <x:v>I1</x:v>
      </x:c>
      <x:c r="D734" t="n">
        <x:v>6</x:v>
      </x:c>
      <x:c r="E734" s="50" t="n">
        <x:v>11</x:v>
      </x:c>
      <x:c r="F734" s="50" t="n">
        <x:v>-171.98</x:v>
      </x:c>
      <x:c r="G734" s="50" t="n">
        <x:v>173.55</x:v>
      </x:c>
      <x:c r="H734" s="50" t="n">
        <x:v>9.32</x:v>
      </x:c>
      <x:c r="I734" s="50" t="n">
        <x:v>-8.7</x:v>
      </x:c>
      <x:c r="J734" s="50" t="n">
        <x:v>1.86</x:v>
      </x:c>
      <x:c r="K734" s="50" t="n">
        <x:v>2.07</x:v>
      </x:c>
      <x:c r="L734" s="50" t="n">
        <x:v>2.78</x:v>
      </x:c>
      <x:c r="M734" s="50" t="n">
        <x:v>-0.25</x:v>
      </x:c>
      <x:c r="N734" t="str">
        <x:v>RELATÓRIO LEITURAS INCLINOMÉTRICAS - Empreitada THE EDEN, Estoril_ R10_09-12-25.pdf</x:v>
      </x:c>
      <x:c r="O734" t="n">
        <x:v>16</x:v>
      </x:c>
    </x:row>
    <x:row r="735">
      <x:c r="A735" s="48" t="n">
        <x:v>45971</x:v>
      </x:c>
      <x:c r="B735" t="n">
        <x:v>6</x:v>
      </x:c>
      <x:c r="C735" t="str">
        <x:v>I1</x:v>
      </x:c>
      <x:c r="D735" t="n">
        <x:v>6</x:v>
      </x:c>
      <x:c r="E735" s="50" t="n">
        <x:v>11.5</x:v>
      </x:c>
      <x:c r="F735" s="50" t="n">
        <x:v>-77.19</x:v>
      </x:c>
      <x:c r="G735" s="50" t="n">
        <x:v>82.2</x:v>
      </x:c>
      <x:c r="H735" s="50" t="n">
        <x:v>12.85</x:v>
      </x:c>
      <x:c r="I735" s="50" t="n">
        <x:v>-17.17</x:v>
      </x:c>
      <x:c r="J735" s="50" t="n">
        <x:v>1.78</x:v>
      </x:c>
      <x:c r="K735" s="50" t="n">
        <x:v>2.17</x:v>
      </x:c>
      <x:c r="L735" s="50" t="n">
        <x:v>2.81</x:v>
      </x:c>
      <x:c r="M735" s="50" t="n">
        <x:v>-0.25</x:v>
      </x:c>
      <x:c r="N735" t="str">
        <x:v>RELATÓRIO LEITURAS INCLINOMÉTRICAS - Empreitada THE EDEN, Estoril_ R10_09-12-25.pdf</x:v>
      </x:c>
      <x:c r="O735" t="n">
        <x:v>16</x:v>
      </x:c>
    </x:row>
    <x:row r="736">
      <x:c r="A736" s="48" t="n">
        <x:v>45971</x:v>
      </x:c>
      <x:c r="B736" t="n">
        <x:v>6</x:v>
      </x:c>
      <x:c r="C736" t="str">
        <x:v>I1</x:v>
      </x:c>
      <x:c r="D736" t="n">
        <x:v>6</x:v>
      </x:c>
      <x:c r="E736" s="50" t="n">
        <x:v>12</x:v>
      </x:c>
      <x:c r="F736" s="50" t="n">
        <x:v>-145.56</x:v>
      </x:c>
      <x:c r="G736" s="50" t="n">
        <x:v>155.06</x:v>
      </x:c>
      <x:c r="H736" s="50" t="n">
        <x:v>-11.95</x:v>
      </x:c>
      <x:c r="I736" s="50" t="n">
        <x:v>15.37</x:v>
      </x:c>
      <x:c r="J736" s="50" t="n">
        <x:v>1.69</x:v>
      </x:c>
      <x:c r="K736" s="50" t="n">
        <x:v>2.27</x:v>
      </x:c>
      <x:c r="L736" s="50" t="n">
        <x:v>2.83</x:v>
      </x:c>
      <x:c r="M736" s="50" t="n">
        <x:v>-0.06</x:v>
      </x:c>
      <x:c r="N736" t="str">
        <x:v>RELATÓRIO LEITURAS INCLINOMÉTRICAS - Empreitada THE EDEN, Estoril_ R10_09-12-25.pdf</x:v>
      </x:c>
      <x:c r="O736" t="n">
        <x:v>16</x:v>
      </x:c>
    </x:row>
    <x:row r="737">
      <x:c r="A737" s="48" t="n">
        <x:v>45971</x:v>
      </x:c>
      <x:c r="B737" t="n">
        <x:v>6</x:v>
      </x:c>
      <x:c r="C737" t="str">
        <x:v>I1</x:v>
      </x:c>
      <x:c r="D737" t="n">
        <x:v>6</x:v>
      </x:c>
      <x:c r="E737" s="50" t="n">
        <x:v>12.5</x:v>
      </x:c>
      <x:c r="F737" s="50" t="n">
        <x:v>-134.48</x:v>
      </x:c>
      <x:c r="G737" s="50" t="n">
        <x:v>138.34</x:v>
      </x:c>
      <x:c r="H737" s="50" t="n">
        <x:v>52.3</x:v>
      </x:c>
      <x:c r="I737" s="50" t="n">
        <x:v>-44.14</x:v>
      </x:c>
      <x:c r="J737" s="50" t="n">
        <x:v>1.65</x:v>
      </x:c>
      <x:c r="K737" s="50" t="n">
        <x:v>2.14</x:v>
      </x:c>
      <x:c r="L737" s="50" t="n">
        <x:v>2.7</x:v>
      </x:c>
      <x:c r="M737" s="50" t="n">
        <x:v>-0.1</x:v>
      </x:c>
      <x:c r="N737" t="str">
        <x:v>RELATÓRIO LEITURAS INCLINOMÉTRICAS - Empreitada THE EDEN, Estoril_ R10_09-12-25.pdf</x:v>
      </x:c>
      <x:c r="O737" t="n">
        <x:v>16</x:v>
      </x:c>
    </x:row>
    <x:row r="738">
      <x:c r="A738" s="48" t="n">
        <x:v>45971</x:v>
      </x:c>
      <x:c r="B738" t="n">
        <x:v>6</x:v>
      </x:c>
      <x:c r="C738" t="str">
        <x:v>I1</x:v>
      </x:c>
      <x:c r="D738" t="n">
        <x:v>6</x:v>
      </x:c>
      <x:c r="E738" s="50" t="n">
        <x:v>13</x:v>
      </x:c>
      <x:c r="F738" s="50" t="n">
        <x:v>-63.34</x:v>
      </x:c>
      <x:c r="G738" s="50" t="n">
        <x:v>70.37</x:v>
      </x:c>
      <x:c r="H738" s="50" t="n">
        <x:v>49.49</x:v>
      </x:c>
      <x:c r="I738" s="50" t="n">
        <x:v>-36</x:v>
      </x:c>
      <x:c r="J738" s="50" t="n">
        <x:v>1.6</x:v>
      </x:c>
      <x:c r="K738" s="50" t="n">
        <x:v>2.12</x:v>
      </x:c>
      <x:c r="L738" s="50" t="n">
        <x:v>2.66</x:v>
      </x:c>
      <x:c r="M738" s="50" t="n">
        <x:v>-0.11</x:v>
      </x:c>
      <x:c r="N738" t="str">
        <x:v>RELATÓRIO LEITURAS INCLINOMÉTRICAS - Empreitada THE EDEN, Estoril_ R10_09-12-25.pdf</x:v>
      </x:c>
      <x:c r="O738" t="n">
        <x:v>16</x:v>
      </x:c>
    </x:row>
    <x:row r="739">
      <x:c r="A739" s="48" t="n">
        <x:v>45971</x:v>
      </x:c>
      <x:c r="B739" t="n">
        <x:v>6</x:v>
      </x:c>
      <x:c r="C739" t="str">
        <x:v>I1</x:v>
      </x:c>
      <x:c r="D739" t="n">
        <x:v>6</x:v>
      </x:c>
      <x:c r="E739" s="50" t="n">
        <x:v>13.5</x:v>
      </x:c>
      <x:c r="F739" s="50" t="n">
        <x:v>-51.29</x:v>
      </x:c>
      <x:c r="G739" s="50" t="n">
        <x:v>58.18</x:v>
      </x:c>
      <x:c r="H739" s="50" t="n">
        <x:v>62.68</x:v>
      </x:c>
      <x:c r="I739" s="50" t="n">
        <x:v>-56.58</x:v>
      </x:c>
      <x:c r="J739" s="50" t="n">
        <x:v>1.39</x:v>
      </x:c>
      <x:c r="K739" s="50" t="n">
        <x:v>2.07</x:v>
      </x:c>
      <x:c r="L739" s="50" t="n">
        <x:v>2.5</x:v>
      </x:c>
      <x:c r="M739" s="50" t="n">
        <x:v>-0.11</x:v>
      </x:c>
      <x:c r="N739" t="str">
        <x:v>RELATÓRIO LEITURAS INCLINOMÉTRICAS - Empreitada THE EDEN, Estoril_ R10_09-12-25.pdf</x:v>
      </x:c>
      <x:c r="O739" t="n">
        <x:v>16</x:v>
      </x:c>
    </x:row>
    <x:row r="740">
      <x:c r="A740" s="48" t="n">
        <x:v>45971</x:v>
      </x:c>
      <x:c r="B740" t="n">
        <x:v>6</x:v>
      </x:c>
      <x:c r="C740" t="str">
        <x:v>I1</x:v>
      </x:c>
      <x:c r="D740" t="n">
        <x:v>6</x:v>
      </x:c>
      <x:c r="E740" s="50" t="n">
        <x:v>14</x:v>
      </x:c>
      <x:c r="F740" s="50" t="n">
        <x:v>-51.14</x:v>
      </x:c>
      <x:c r="G740" s="50" t="n">
        <x:v>56.13</x:v>
      </x:c>
      <x:c r="H740" s="50" t="n">
        <x:v>82</x:v>
      </x:c>
      <x:c r="I740" s="50" t="n">
        <x:v>-65.22</x:v>
      </x:c>
      <x:c r="J740" s="50" t="n">
        <x:v>1.06</x:v>
      </x:c>
      <x:c r="K740" s="50" t="n">
        <x:v>2.02</x:v>
      </x:c>
      <x:c r="L740" s="50" t="n">
        <x:v>2.28</x:v>
      </x:c>
      <x:c r="M740" s="50" t="n">
        <x:v>-0.09</x:v>
      </x:c>
      <x:c r="N740" t="str">
        <x:v>RELATÓRIO LEITURAS INCLINOMÉTRICAS - Empreitada THE EDEN, Estoril_ R10_09-12-25.pdf</x:v>
      </x:c>
      <x:c r="O740" t="n">
        <x:v>16</x:v>
      </x:c>
    </x:row>
    <x:row r="741">
      <x:c r="A741" s="48" t="n">
        <x:v>45971</x:v>
      </x:c>
      <x:c r="B741" t="n">
        <x:v>6</x:v>
      </x:c>
      <x:c r="C741" t="str">
        <x:v>I1</x:v>
      </x:c>
      <x:c r="D741" t="n">
        <x:v>6</x:v>
      </x:c>
      <x:c r="E741" s="50" t="n">
        <x:v>14.5</x:v>
      </x:c>
      <x:c r="F741" s="50" t="n">
        <x:v>-42.01</x:v>
      </x:c>
      <x:c r="G741" s="50" t="n">
        <x:v>46.86</x:v>
      </x:c>
      <x:c r="H741" s="50" t="n">
        <x:v>108.05</x:v>
      </x:c>
      <x:c r="I741" s="50" t="n">
        <x:v>-94.59</x:v>
      </x:c>
      <x:c r="J741" s="50" t="n">
        <x:v>0.7</x:v>
      </x:c>
      <x:c r="K741" s="50" t="n">
        <x:v>1.7</x:v>
      </x:c>
      <x:c r="L741" s="50" t="n">
        <x:v>1.84</x:v>
      </x:c>
      <x:c r="M741" s="50" t="n">
        <x:v>-0.03</x:v>
      </x:c>
      <x:c r="N741" t="str">
        <x:v>RELATÓRIO LEITURAS INCLINOMÉTRICAS - Empreitada THE EDEN, Estoril_ R10_09-12-25.pdf</x:v>
      </x:c>
      <x:c r="O741" t="n">
        <x:v>16</x:v>
      </x:c>
    </x:row>
    <x:row r="742">
      <x:c r="A742" s="48" t="n">
        <x:v>45971</x:v>
      </x:c>
      <x:c r="B742" t="n">
        <x:v>6</x:v>
      </x:c>
      <x:c r="C742" t="str">
        <x:v>I1</x:v>
      </x:c>
      <x:c r="D742" t="n">
        <x:v>6</x:v>
      </x:c>
      <x:c r="E742" s="50" t="n">
        <x:v>15</x:v>
      </x:c>
      <x:c r="F742" s="50" t="n">
        <x:v>-8.97</x:v>
      </x:c>
      <x:c r="G742" s="50" t="n">
        <x:v>16.24</x:v>
      </x:c>
      <x:c r="H742" s="50" t="n">
        <x:v>117.85</x:v>
      </x:c>
      <x:c r="I742" s="50" t="n">
        <x:v>-105.67</x:v>
      </x:c>
      <x:c r="J742" s="50" t="n">
        <x:v>0.37</x:v>
      </x:c>
      <x:c r="K742" s="50" t="n">
        <x:v>1.57</x:v>
      </x:c>
      <x:c r="L742" s="50" t="n">
        <x:v>1.61</x:v>
      </x:c>
      <x:c r="M742" s="50" t="n">
        <x:v>0.05</x:v>
      </x:c>
      <x:c r="N742" t="str">
        <x:v>RELATÓRIO LEITURAS INCLINOMÉTRICAS - Empreitada THE EDEN, Estoril_ R10_09-12-25.pdf</x:v>
      </x:c>
      <x:c r="O742" t="n">
        <x:v>16</x:v>
      </x:c>
    </x:row>
    <x:row r="743">
      <x:c r="A743" s="48" t="n">
        <x:v>45971</x:v>
      </x:c>
      <x:c r="B743" t="n">
        <x:v>6</x:v>
      </x:c>
      <x:c r="C743" t="str">
        <x:v>I1</x:v>
      </x:c>
      <x:c r="D743" t="n">
        <x:v>6</x:v>
      </x:c>
      <x:c r="E743" s="50" t="n">
        <x:v>15.5</x:v>
      </x:c>
      <x:c r="F743" s="50" t="n">
        <x:v>-34.23</x:v>
      </x:c>
      <x:c r="G743" s="50" t="n">
        <x:v>37.35</x:v>
      </x:c>
      <x:c r="H743" s="50" t="n">
        <x:v>126.53</x:v>
      </x:c>
      <x:c r="I743" s="50" t="n">
        <x:v>-105.18</x:v>
      </x:c>
      <x:c r="J743" s="50" t="n">
        <x:v>0.16</x:v>
      </x:c>
      <x:c r="K743" s="50" t="n">
        <x:v>1.35</x:v>
      </x:c>
      <x:c r="L743" s="50" t="n">
        <x:v>1.36</x:v>
      </x:c>
      <x:c r="M743" s="50" t="n">
        <x:v>0.05</x:v>
      </x:c>
      <x:c r="N743" t="str">
        <x:v>RELATÓRIO LEITURAS INCLINOMÉTRICAS - Empreitada THE EDEN, Estoril_ R10_09-12-25.pdf</x:v>
      </x:c>
      <x:c r="O743" t="n">
        <x:v>16</x:v>
      </x:c>
    </x:row>
    <x:row r="744">
      <x:c r="A744" s="48" t="n">
        <x:v>45971</x:v>
      </x:c>
      <x:c r="B744" t="n">
        <x:v>6</x:v>
      </x:c>
      <x:c r="C744" t="str">
        <x:v>I1</x:v>
      </x:c>
      <x:c r="D744" t="n">
        <x:v>6</x:v>
      </x:c>
      <x:c r="E744" s="50" t="n">
        <x:v>16</x:v>
      </x:c>
      <x:c r="F744" s="50" t="n">
        <x:v>-16.13</x:v>
      </x:c>
      <x:c r="G744" s="50" t="n">
        <x:v>21.68</x:v>
      </x:c>
      <x:c r="H744" s="50" t="n">
        <x:v>-32.92</x:v>
      </x:c>
      <x:c r="I744" s="50" t="n">
        <x:v>31.12</x:v>
      </x:c>
      <x:c r="J744" s="50" t="n">
        <x:v>-0.41</x:v>
      </x:c>
      <x:c r="K744" s="50" t="n">
        <x:v>0.84</x:v>
      </x:c>
      <x:c r="L744" s="50" t="n">
        <x:v>0.94</x:v>
      </x:c>
      <x:c r="M744" s="50" t="n">
        <x:v>0.41</x:v>
      </x:c>
      <x:c r="N744" t="str">
        <x:v>RELATÓRIO LEITURAS INCLINOMÉTRICAS - Empreitada THE EDEN, Estoril_ R10_09-12-25.pdf</x:v>
      </x:c>
      <x:c r="O744" t="n">
        <x:v>16</x:v>
      </x:c>
    </x:row>
    <x:row r="745">
      <x:c r="A745" s="48" t="n">
        <x:v>45971</x:v>
      </x:c>
      <x:c r="B745" t="n">
        <x:v>6</x:v>
      </x:c>
      <x:c r="C745" t="str">
        <x:v>I1</x:v>
      </x:c>
      <x:c r="D745" t="n">
        <x:v>6</x:v>
      </x:c>
      <x:c r="E745" s="50" t="n">
        <x:v>16.5</x:v>
      </x:c>
      <x:c r="F745" s="50" t="n">
        <x:v>4.74</x:v>
      </x:c>
      <x:c r="G745" s="50" t="n">
        <x:v>0.44</x:v>
      </x:c>
      <x:c r="H745" s="50" t="n">
        <x:v>-11.03</x:v>
      </x:c>
      <x:c r="I745" s="50" t="n">
        <x:v>16.96</x:v>
      </x:c>
      <x:c r="J745" s="50" t="n">
        <x:v>-0.41</x:v>
      </x:c>
      <x:c r="K745" s="50" t="n">
        <x:v>0.84</x:v>
      </x:c>
      <x:c r="L745" s="50" t="n">
        <x:v>0.94</x:v>
      </x:c>
      <x:c r="M745" s="50" t="n">
        <x:v>0.44</x:v>
      </x:c>
      <x:c r="N745" t="str">
        <x:v>RELATÓRIO LEITURAS INCLINOMÉTRICAS - Empreitada THE EDEN, Estoril_ R10_09-12-25.pdf</x:v>
      </x:c>
      <x:c r="O745" t="n">
        <x:v>16</x:v>
      </x:c>
    </x:row>
    <x:row r="746">
      <x:c r="A746" s="48" t="n">
        <x:v>45971</x:v>
      </x:c>
      <x:c r="B746" t="n">
        <x:v>6</x:v>
      </x:c>
      <x:c r="C746" t="str">
        <x:v>I1</x:v>
      </x:c>
      <x:c r="D746" t="n">
        <x:v>6</x:v>
      </x:c>
      <x:c r="E746" s="50" t="n">
        <x:v>17</x:v>
      </x:c>
      <x:c r="F746" s="50" t="n">
        <x:v>15.63</x:v>
      </x:c>
      <x:c r="G746" s="50" t="n">
        <x:v>-11.86</x:v>
      </x:c>
      <x:c r="H746" s="50" t="n">
        <x:v>3.55</x:v>
      </x:c>
      <x:c r="I746" s="50" t="n">
        <x:v>0.51</x:v>
      </x:c>
      <x:c r="J746" s="50" t="n">
        <x:v>-0.39</x:v>
      </x:c>
      <x:c r="K746" s="50" t="n">
        <x:v>0.9</x:v>
      </x:c>
      <x:c r="L746" s="50" t="n">
        <x:v>0.98</x:v>
      </x:c>
      <x:c r="M746" s="50" t="n">
        <x:v>0.46</x:v>
      </x:c>
      <x:c r="N746" t="str">
        <x:v>RELATÓRIO LEITURAS INCLINOMÉTRICAS - Empreitada THE EDEN, Estoril_ R10_09-12-25.pdf</x:v>
      </x:c>
      <x:c r="O746" t="n">
        <x:v>16</x:v>
      </x:c>
    </x:row>
    <x:row r="747">
      <x:c r="A747" s="48" t="n">
        <x:v>45971</x:v>
      </x:c>
      <x:c r="B747" t="n">
        <x:v>6</x:v>
      </x:c>
      <x:c r="C747" t="str">
        <x:v>I1</x:v>
      </x:c>
      <x:c r="D747" t="n">
        <x:v>6</x:v>
      </x:c>
      <x:c r="E747" s="50" t="n">
        <x:v>17.5</x:v>
      </x:c>
      <x:c r="F747" s="50" t="n">
        <x:v>-12.14</x:v>
      </x:c>
      <x:c r="G747" s="50" t="n">
        <x:v>16.42</x:v>
      </x:c>
      <x:c r="H747" s="50" t="n">
        <x:v>37.93</x:v>
      </x:c>
      <x:c r="I747" s="50" t="n">
        <x:v>-28.78</x:v>
      </x:c>
      <x:c r="J747" s="50" t="n">
        <x:v>-0.44</x:v>
      </x:c>
      <x:c r="K747" s="50" t="n">
        <x:v>1.02</x:v>
      </x:c>
      <x:c r="L747" s="50" t="n">
        <x:v>1.11</x:v>
      </x:c>
      <x:c r="M747" s="50" t="n">
        <x:v>0.41</x:v>
      </x:c>
      <x:c r="N747" t="str">
        <x:v>RELATÓRIO LEITURAS INCLINOMÉTRICAS - Empreitada THE EDEN, Estoril_ R10_09-12-25.pdf</x:v>
      </x:c>
      <x:c r="O747" t="n">
        <x:v>16</x:v>
      </x:c>
    </x:row>
    <x:row r="748">
      <x:c r="A748" s="48" t="n">
        <x:v>45971</x:v>
      </x:c>
      <x:c r="B748" t="n">
        <x:v>6</x:v>
      </x:c>
      <x:c r="C748" t="str">
        <x:v>I1</x:v>
      </x:c>
      <x:c r="D748" t="n">
        <x:v>6</x:v>
      </x:c>
      <x:c r="E748" s="50" t="n">
        <x:v>18</x:v>
      </x:c>
      <x:c r="F748" s="50" t="n">
        <x:v>-32.05</x:v>
      </x:c>
      <x:c r="G748" s="50" t="n">
        <x:v>35.7</x:v>
      </x:c>
      <x:c r="H748" s="50" t="n">
        <x:v>51.41</x:v>
      </x:c>
      <x:c r="I748" s="50" t="n">
        <x:v>-40.82</x:v>
      </x:c>
      <x:c r="J748" s="50" t="n">
        <x:v>-0.44</x:v>
      </x:c>
      <x:c r="K748" s="50" t="n">
        <x:v>1.04</x:v>
      </x:c>
      <x:c r="L748" s="50" t="n">
        <x:v>1.13</x:v>
      </x:c>
      <x:c r="M748" s="50" t="n">
        <x:v>0.35</x:v>
      </x:c>
      <x:c r="N748" t="str">
        <x:v>RELATÓRIO LEITURAS INCLINOMÉTRICAS - Empreitada THE EDEN, Estoril_ R10_09-12-25.pdf</x:v>
      </x:c>
      <x:c r="O748" t="n">
        <x:v>16</x:v>
      </x:c>
    </x:row>
    <x:row r="749">
      <x:c r="A749" s="48" t="n">
        <x:v>45971</x:v>
      </x:c>
      <x:c r="B749" t="n">
        <x:v>6</x:v>
      </x:c>
      <x:c r="C749" t="str">
        <x:v>I1</x:v>
      </x:c>
      <x:c r="D749" t="n">
        <x:v>6</x:v>
      </x:c>
      <x:c r="E749" s="50" t="n">
        <x:v>18.5</x:v>
      </x:c>
      <x:c r="F749" s="50" t="n">
        <x:v>-35.61</x:v>
      </x:c>
      <x:c r="G749" s="50" t="n">
        <x:v>46.52</x:v>
      </x:c>
      <x:c r="H749" s="50" t="n">
        <x:v>62.14</x:v>
      </x:c>
      <x:c r="I749" s="50" t="n">
        <x:v>-52.31</x:v>
      </x:c>
      <x:c r="J749" s="50" t="n">
        <x:v>-0.46</x:v>
      </x:c>
      <x:c r="K749" s="50" t="n">
        <x:v>1.07</x:v>
      </x:c>
      <x:c r="L749" s="50" t="n">
        <x:v>1.16</x:v>
      </x:c>
      <x:c r="M749" s="50" t="n">
        <x:v>0.26</x:v>
      </x:c>
      <x:c r="N749" t="str">
        <x:v>RELATÓRIO LEITURAS INCLINOMÉTRICAS - Empreitada THE EDEN, Estoril_ R10_09-12-25.pdf</x:v>
      </x:c>
      <x:c r="O749" t="n">
        <x:v>16</x:v>
      </x:c>
    </x:row>
    <x:row r="750">
      <x:c r="A750" s="48" t="n">
        <x:v>45971</x:v>
      </x:c>
      <x:c r="B750" t="n">
        <x:v>6</x:v>
      </x:c>
      <x:c r="C750" t="str">
        <x:v>I1</x:v>
      </x:c>
      <x:c r="D750" t="n">
        <x:v>6</x:v>
      </x:c>
      <x:c r="E750" s="50" t="n">
        <x:v>19</x:v>
      </x:c>
      <x:c r="F750" s="50" t="n">
        <x:v>-138.91</x:v>
      </x:c>
      <x:c r="G750" s="50" t="n">
        <x:v>135.89</x:v>
      </x:c>
      <x:c r="H750" s="50" t="n">
        <x:v>-34.47</x:v>
      </x:c>
      <x:c r="I750" s="50" t="n">
        <x:v>39.25</x:v>
      </x:c>
      <x:c r="J750" s="50" t="n">
        <x:v>-0.47</x:v>
      </x:c>
      <x:c r="K750" s="50" t="n">
        <x:v>0.87</x:v>
      </x:c>
      <x:c r="L750" s="50" t="n">
        <x:v>0.99</x:v>
      </x:c>
      <x:c r="M750" s="50" t="n">
        <x:v>0.13</x:v>
      </x:c>
      <x:c r="N750" t="str">
        <x:v>RELATÓRIO LEITURAS INCLINOMÉTRICAS - Empreitada THE EDEN, Estoril_ R10_09-12-25.pdf</x:v>
      </x:c>
      <x:c r="O750" t="n">
        <x:v>16</x:v>
      </x:c>
    </x:row>
    <x:row r="751">
      <x:c r="A751" s="48" t="n">
        <x:v>45971</x:v>
      </x:c>
      <x:c r="B751" t="n">
        <x:v>6</x:v>
      </x:c>
      <x:c r="C751" t="str">
        <x:v>I1</x:v>
      </x:c>
      <x:c r="D751" t="n">
        <x:v>6</x:v>
      </x:c>
      <x:c r="E751" s="50" t="n">
        <x:v>19.5</x:v>
      </x:c>
      <x:c r="F751" s="50" t="n">
        <x:v>-132.31</x:v>
      </x:c>
      <x:c r="G751" s="50" t="n">
        <x:v>137.31</x:v>
      </x:c>
      <x:c r="H751" s="50" t="n">
        <x:v>-45.24</x:v>
      </x:c>
      <x:c r="I751" s="50" t="n">
        <x:v>40.76</x:v>
      </x:c>
      <x:c r="J751" s="50" t="n">
        <x:v>-0.51</x:v>
      </x:c>
      <x:c r="K751" s="50" t="n">
        <x:v>0.9</x:v>
      </x:c>
      <x:c r="L751" s="50" t="n">
        <x:v>1.03</x:v>
      </x:c>
      <x:c r="M751" s="50" t="n">
        <x:v>0.25</x:v>
      </x:c>
      <x:c r="N751" t="str">
        <x:v>RELATÓRIO LEITURAS INCLINOMÉTRICAS - Empreitada THE EDEN, Estoril_ R10_09-12-25.pdf</x:v>
      </x:c>
      <x:c r="O751" t="n">
        <x:v>16</x:v>
      </x:c>
    </x:row>
    <x:row r="752">
      <x:c r="A752" s="48" t="n">
        <x:v>45971</x:v>
      </x:c>
      <x:c r="B752" t="n">
        <x:v>6</x:v>
      </x:c>
      <x:c r="C752" t="str">
        <x:v>I1</x:v>
      </x:c>
      <x:c r="D752" t="n">
        <x:v>6</x:v>
      </x:c>
      <x:c r="E752" s="50" t="n">
        <x:v>20</x:v>
      </x:c>
      <x:c r="F752" s="50" t="n">
        <x:v>-142.63</x:v>
      </x:c>
      <x:c r="G752" s="50" t="n">
        <x:v>146.16</x:v>
      </x:c>
      <x:c r="H752" s="50" t="n">
        <x:v>-43.28</x:v>
      </x:c>
      <x:c r="I752" s="50" t="n">
        <x:v>37.68</x:v>
      </x:c>
      <x:c r="J752" s="50" t="n">
        <x:v>-0.55</x:v>
      </x:c>
      <x:c r="K752" s="50" t="n">
        <x:v>0.75</x:v>
      </x:c>
      <x:c r="L752" s="50" t="n">
        <x:v>0.93</x:v>
      </x:c>
      <x:c r="M752" s="50" t="n">
        <x:v>0.37</x:v>
      </x:c>
      <x:c r="N752" t="str">
        <x:v>RELATÓRIO LEITURAS INCLINOMÉTRICAS - Empreitada THE EDEN, Estoril_ R10_09-12-25.pdf</x:v>
      </x:c>
      <x:c r="O752" t="n">
        <x:v>16</x:v>
      </x:c>
    </x:row>
    <x:row r="753">
      <x:c r="A753" s="48" t="n">
        <x:v>45971</x:v>
      </x:c>
      <x:c r="B753" t="n">
        <x:v>6</x:v>
      </x:c>
      <x:c r="C753" t="str">
        <x:v>I1</x:v>
      </x:c>
      <x:c r="D753" t="n">
        <x:v>6</x:v>
      </x:c>
      <x:c r="E753" s="50" t="n">
        <x:v>20.5</x:v>
      </x:c>
      <x:c r="F753" s="50" t="n">
        <x:v>-167.41</x:v>
      </x:c>
      <x:c r="G753" s="50" t="n">
        <x:v>171.01</x:v>
      </x:c>
      <x:c r="H753" s="50" t="n">
        <x:v>-29.2</x:v>
      </x:c>
      <x:c r="I753" s="50" t="n">
        <x:v>17.4</x:v>
      </x:c>
      <x:c r="J753" s="50" t="n">
        <x:v>-0.57</x:v>
      </x:c>
      <x:c r="K753" s="50" t="n">
        <x:v>0.68</x:v>
      </x:c>
      <x:c r="L753" s="50" t="n">
        <x:v>0.88</x:v>
      </x:c>
      <x:c r="M753" s="50" t="n">
        <x:v>0.39</x:v>
      </x:c>
      <x:c r="N753" t="str">
        <x:v>RELATÓRIO LEITURAS INCLINOMÉTRICAS - Empreitada THE EDEN, Estoril_ R10_09-12-25.pdf</x:v>
      </x:c>
      <x:c r="O753" t="n">
        <x:v>16</x:v>
      </x:c>
    </x:row>
    <x:row r="754">
      <x:c r="A754" s="48" t="n">
        <x:v>45971</x:v>
      </x:c>
      <x:c r="B754" t="n">
        <x:v>6</x:v>
      </x:c>
      <x:c r="C754" t="str">
        <x:v>I1</x:v>
      </x:c>
      <x:c r="D754" t="n">
        <x:v>6</x:v>
      </x:c>
      <x:c r="E754" s="50" t="n">
        <x:v>21</x:v>
      </x:c>
      <x:c r="F754" s="50" t="n">
        <x:v>-155.34</x:v>
      </x:c>
      <x:c r="G754" s="50" t="n">
        <x:v>158.22</x:v>
      </x:c>
      <x:c r="H754" s="50" t="n">
        <x:v>-9.02</x:v>
      </x:c>
      <x:c r="I754" s="50" t="n">
        <x:v>15.24</x:v>
      </x:c>
      <x:c r="J754" s="50" t="n">
        <x:v>-0.57</x:v>
      </x:c>
      <x:c r="K754" s="50" t="n">
        <x:v>0.6</x:v>
      </x:c>
      <x:c r="L754" s="50" t="n">
        <x:v>0.82</x:v>
      </x:c>
      <x:c r="M754" s="50" t="n">
        <x:v>0.41</x:v>
      </x:c>
      <x:c r="N754" t="str">
        <x:v>RELATÓRIO LEITURAS INCLINOMÉTRICAS - Empreitada THE EDEN, Estoril_ R10_09-12-25.pdf</x:v>
      </x:c>
      <x:c r="O754" t="n">
        <x:v>16</x:v>
      </x:c>
    </x:row>
    <x:row r="755">
      <x:c r="A755" s="48" t="n">
        <x:v>45971</x:v>
      </x:c>
      <x:c r="B755" t="n">
        <x:v>6</x:v>
      </x:c>
      <x:c r="C755" t="str">
        <x:v>I1</x:v>
      </x:c>
      <x:c r="D755" t="n">
        <x:v>6</x:v>
      </x:c>
      <x:c r="E755" s="50" t="n">
        <x:v>21.5</x:v>
      </x:c>
      <x:c r="F755" s="50" t="n">
        <x:v>-75.62</x:v>
      </x:c>
      <x:c r="G755" s="50" t="n">
        <x:v>82.77</x:v>
      </x:c>
      <x:c r="H755" s="50" t="n">
        <x:v>-9.83</x:v>
      </x:c>
      <x:c r="I755" s="50" t="n">
        <x:v>32.28</x:v>
      </x:c>
      <x:c r="J755" s="50" t="n">
        <x:v>-0.56</x:v>
      </x:c>
      <x:c r="K755" s="50" t="n">
        <x:v>0.75</x:v>
      </x:c>
      <x:c r="L755" s="50" t="n">
        <x:v>0.94</x:v>
      </x:c>
      <x:c r="M755" s="50" t="n">
        <x:v>0.41</x:v>
      </x:c>
      <x:c r="N755" t="str">
        <x:v>RELATÓRIO LEITURAS INCLINOMÉTRICAS - Empreitada THE EDEN, Estoril_ R10_09-12-25.pdf</x:v>
      </x:c>
      <x:c r="O755" t="n">
        <x:v>16</x:v>
      </x:c>
    </x:row>
    <x:row r="756">
      <x:c r="A756" s="48" t="n">
        <x:v>45971</x:v>
      </x:c>
      <x:c r="B756" t="n">
        <x:v>6</x:v>
      </x:c>
      <x:c r="C756" t="str">
        <x:v>I1</x:v>
      </x:c>
      <x:c r="D756" t="n">
        <x:v>6</x:v>
      </x:c>
      <x:c r="E756" s="50" t="n">
        <x:v>22</x:v>
      </x:c>
      <x:c r="F756" s="50" t="n">
        <x:v>6.01</x:v>
      </x:c>
      <x:c r="G756" s="50" t="n">
        <x:v>-5.54</x:v>
      </x:c>
      <x:c r="H756" s="50" t="n">
        <x:v>-99.52</x:v>
      </x:c>
      <x:c r="I756" s="50" t="n">
        <x:v>96.72</x:v>
      </x:c>
      <x:c r="J756" s="50" t="n">
        <x:v>-0.6</x:v>
      </x:c>
      <x:c r="K756" s="50" t="n">
        <x:v>0.84</x:v>
      </x:c>
      <x:c r="L756" s="50" t="n">
        <x:v>1.03</x:v>
      </x:c>
      <x:c r="M756" s="50" t="n">
        <x:v>0.43</x:v>
      </x:c>
      <x:c r="N756" t="str">
        <x:v>RELATÓRIO LEITURAS INCLINOMÉTRICAS - Empreitada THE EDEN, Estoril_ R10_09-12-25.pdf</x:v>
      </x:c>
      <x:c r="O756" t="n">
        <x:v>16</x:v>
      </x:c>
    </x:row>
    <x:row r="757">
      <x:c r="A757" s="48" t="n">
        <x:v>45971</x:v>
      </x:c>
      <x:c r="B757" t="n">
        <x:v>6</x:v>
      </x:c>
      <x:c r="C757" t="str">
        <x:v>I1</x:v>
      </x:c>
      <x:c r="D757" t="n">
        <x:v>6</x:v>
      </x:c>
      <x:c r="E757" s="50" t="n">
        <x:v>22.5</x:v>
      </x:c>
      <x:c r="F757" s="50" t="n">
        <x:v>-24.56</x:v>
      </x:c>
      <x:c r="G757" s="50" t="n">
        <x:v>28.14</x:v>
      </x:c>
      <x:c r="H757" s="50" t="n">
        <x:v>-49.01</x:v>
      </x:c>
      <x:c r="I757" s="50" t="n">
        <x:v>42.75</x:v>
      </x:c>
      <x:c r="J757" s="50" t="n">
        <x:v>-0.63</x:v>
      </x:c>
      <x:c r="K757" s="50" t="n">
        <x:v>0.94</x:v>
      </x:c>
      <x:c r="L757" s="50" t="n">
        <x:v>1.13</x:v>
      </x:c>
      <x:c r="M757" s="50" t="n">
        <x:v>0.45</x:v>
      </x:c>
      <x:c r="N757" t="str">
        <x:v>RELATÓRIO LEITURAS INCLINOMÉTRICAS - Empreitada THE EDEN, Estoril_ R10_09-12-25.pdf</x:v>
      </x:c>
      <x:c r="O757" t="n">
        <x:v>16</x:v>
      </x:c>
    </x:row>
    <x:row r="758">
      <x:c r="A758" s="48" t="n">
        <x:v>45971</x:v>
      </x:c>
      <x:c r="B758" t="n">
        <x:v>6</x:v>
      </x:c>
      <x:c r="C758" t="str">
        <x:v>I1</x:v>
      </x:c>
      <x:c r="D758" t="n">
        <x:v>6</x:v>
      </x:c>
      <x:c r="E758" s="50" t="n">
        <x:v>23</x:v>
      </x:c>
      <x:c r="F758" s="50" t="n">
        <x:v>-45.5</x:v>
      </x:c>
      <x:c r="G758" s="50" t="n">
        <x:v>48.09</x:v>
      </x:c>
      <x:c r="H758" s="50" t="n">
        <x:v>-8.43</x:v>
      </x:c>
      <x:c r="I758" s="50" t="n">
        <x:v>2.8</x:v>
      </x:c>
      <x:c r="J758" s="50" t="n">
        <x:v>-0.66</x:v>
      </x:c>
      <x:c r="K758" s="50" t="n">
        <x:v>0.78</x:v>
      </x:c>
      <x:c r="L758" s="50" t="n">
        <x:v>1.02</x:v>
      </x:c>
      <x:c r="M758" s="50" t="n">
        <x:v>0.4</x:v>
      </x:c>
      <x:c r="N758" t="str">
        <x:v>RELATÓRIO LEITURAS INCLINOMÉTRICAS - Empreitada THE EDEN, Estoril_ R10_09-12-25.pdf</x:v>
      </x:c>
      <x:c r="O758" t="n">
        <x:v>16</x:v>
      </x:c>
    </x:row>
    <x:row r="759">
      <x:c r="A759" s="48" t="n">
        <x:v>45971</x:v>
      </x:c>
      <x:c r="B759" t="n">
        <x:v>6</x:v>
      </x:c>
      <x:c r="C759" t="str">
        <x:v>I1</x:v>
      </x:c>
      <x:c r="D759" t="n">
        <x:v>6</x:v>
      </x:c>
      <x:c r="E759" s="50" t="n">
        <x:v>23.5</x:v>
      </x:c>
      <x:c r="F759" s="50" t="n">
        <x:v>-63.41</x:v>
      </x:c>
      <x:c r="G759" s="50" t="n">
        <x:v>67.81</x:v>
      </x:c>
      <x:c r="H759" s="50" t="n">
        <x:v>18.35</x:v>
      </x:c>
      <x:c r="I759" s="50" t="n">
        <x:v>-19.83</x:v>
      </x:c>
      <x:c r="J759" s="50" t="n">
        <x:v>-0.62</x:v>
      </x:c>
      <x:c r="K759" s="50" t="n">
        <x:v>0.64</x:v>
      </x:c>
      <x:c r="L759" s="50" t="n">
        <x:v>0.89</x:v>
      </x:c>
      <x:c r="M759" s="50" t="n">
        <x:v>0.4</x:v>
      </x:c>
      <x:c r="N759" t="str">
        <x:v>RELATÓRIO LEITURAS INCLINOMÉTRICAS - Empreitada THE EDEN, Estoril_ R10_09-12-25.pdf</x:v>
      </x:c>
      <x:c r="O759" t="n">
        <x:v>16</x:v>
      </x:c>
    </x:row>
    <x:row r="760">
      <x:c r="A760" s="48" t="n">
        <x:v>45971</x:v>
      </x:c>
      <x:c r="B760" t="n">
        <x:v>6</x:v>
      </x:c>
      <x:c r="C760" t="str">
        <x:v>I1</x:v>
      </x:c>
      <x:c r="D760" t="n">
        <x:v>6</x:v>
      </x:c>
      <x:c r="E760" s="50" t="n">
        <x:v>24</x:v>
      </x:c>
      <x:c r="F760" s="50" t="n">
        <x:v>-88.28</x:v>
      </x:c>
      <x:c r="G760" s="50" t="n">
        <x:v>92.55</x:v>
      </x:c>
      <x:c r="H760" s="50" t="n">
        <x:v>13.8</x:v>
      </x:c>
      <x:c r="I760" s="50" t="n">
        <x:v>-17.9</x:v>
      </x:c>
      <x:c r="J760" s="50" t="n">
        <x:v>-0.56</x:v>
      </x:c>
      <x:c r="K760" s="50" t="n">
        <x:v>0.58</x:v>
      </x:c>
      <x:c r="L760" s="50" t="n">
        <x:v>0.81</x:v>
      </x:c>
      <x:c r="M760" s="50" t="n">
        <x:v>0.38</x:v>
      </x:c>
      <x:c r="N760" t="str">
        <x:v>RELATÓRIO LEITURAS INCLINOMÉTRICAS - Empreitada THE EDEN, Estoril_ R10_09-12-25.pdf</x:v>
      </x:c>
      <x:c r="O760" t="n">
        <x:v>16</x:v>
      </x:c>
    </x:row>
    <x:row r="761">
      <x:c r="A761" s="48" t="n">
        <x:v>45971</x:v>
      </x:c>
      <x:c r="B761" t="n">
        <x:v>6</x:v>
      </x:c>
      <x:c r="C761" t="str">
        <x:v>I1</x:v>
      </x:c>
      <x:c r="D761" t="n">
        <x:v>6</x:v>
      </x:c>
      <x:c r="E761" s="50" t="n">
        <x:v>24.5</x:v>
      </x:c>
      <x:c r="F761" s="50" t="n">
        <x:v>-119.54</x:v>
      </x:c>
      <x:c r="G761" s="50" t="n">
        <x:v>117.79</x:v>
      </x:c>
      <x:c r="H761" s="50" t="n">
        <x:v>30.8</x:v>
      </x:c>
      <x:c r="I761" s="50" t="n">
        <x:v>-9.66</x:v>
      </x:c>
      <x:c r="J761" s="50" t="n">
        <x:v>-0.56</x:v>
      </x:c>
      <x:c r="K761" s="50" t="n">
        <x:v>0.4</x:v>
      </x:c>
      <x:c r="L761" s="50" t="n">
        <x:v>0.69</x:v>
      </x:c>
      <x:c r="M761" s="50" t="n">
        <x:v>0.28</x:v>
      </x:c>
      <x:c r="N761" t="str">
        <x:v>RELATÓRIO LEITURAS INCLINOMÉTRICAS - Empreitada THE EDEN, Estoril_ R10_09-12-25.pdf</x:v>
      </x:c>
      <x:c r="O761" t="n">
        <x:v>16</x:v>
      </x:c>
    </x:row>
    <x:row r="762">
      <x:c r="A762" s="48" t="n">
        <x:v>45971</x:v>
      </x:c>
      <x:c r="B762" t="n">
        <x:v>6</x:v>
      </x:c>
      <x:c r="C762" t="str">
        <x:v>I1</x:v>
      </x:c>
      <x:c r="D762" t="n">
        <x:v>6</x:v>
      </x:c>
      <x:c r="E762" s="50" t="n">
        <x:v>25</x:v>
      </x:c>
      <x:c r="F762" s="50" t="n">
        <x:v>-106.38</x:v>
      </x:c>
      <x:c r="G762" s="50" t="n">
        <x:v>116.08</x:v>
      </x:c>
      <x:c r="H762" s="50" t="n">
        <x:v>-47.56</x:v>
      </x:c>
      <x:c r="I762" s="50" t="n">
        <x:v>49.21</x:v>
      </x:c>
      <x:c r="J762" s="50" t="n">
        <x:v>-0.52</x:v>
      </x:c>
      <x:c r="K762" s="50" t="n">
        <x:v>0.61</x:v>
      </x:c>
      <x:c r="L762" s="50" t="n">
        <x:v>0.8</x:v>
      </x:c>
      <x:c r="M762" s="50" t="n">
        <x:v>0.73</x:v>
      </x:c>
      <x:c r="N762" t="str">
        <x:v>RELATÓRIO LEITURAS INCLINOMÉTRICAS - Empreitada THE EDEN, Estoril_ R10_09-12-25.pdf</x:v>
      </x:c>
      <x:c r="O762" t="n">
        <x:v>16</x:v>
      </x:c>
    </x:row>
    <x:row r="763">
      <x:c r="A763" s="48" t="n">
        <x:v>45971</x:v>
      </x:c>
      <x:c r="B763" t="n">
        <x:v>6</x:v>
      </x:c>
      <x:c r="C763" t="str">
        <x:v>I1</x:v>
      </x:c>
      <x:c r="D763" t="n">
        <x:v>6</x:v>
      </x:c>
      <x:c r="E763" s="50" t="n">
        <x:v>25.5</x:v>
      </x:c>
      <x:c r="F763" s="50" t="n">
        <x:v>-94.86</x:v>
      </x:c>
      <x:c r="G763" s="50" t="n">
        <x:v>99.84</x:v>
      </x:c>
      <x:c r="H763" s="50" t="n">
        <x:v>-44.21</x:v>
      </x:c>
      <x:c r="I763" s="50" t="n">
        <x:v>42.67</x:v>
      </x:c>
      <x:c r="J763" s="50" t="n">
        <x:v>-0.53</x:v>
      </x:c>
      <x:c r="K763" s="50" t="n">
        <x:v>0.34</x:v>
      </x:c>
      <x:c r="L763" s="50" t="n">
        <x:v>0.63</x:v>
      </x:c>
      <x:c r="M763" s="50" t="n">
        <x:v>0.26</x:v>
      </x:c>
      <x:c r="N763" t="str">
        <x:v>RELATÓRIO LEITURAS INCLINOMÉTRICAS - Empreitada THE EDEN, Estoril_ R10_09-12-25.pdf</x:v>
      </x:c>
      <x:c r="O763" t="n">
        <x:v>16</x:v>
      </x:c>
    </x:row>
    <x:row r="764">
      <x:c r="A764" s="48" t="n">
        <x:v>45971</x:v>
      </x:c>
      <x:c r="B764" t="n">
        <x:v>6</x:v>
      </x:c>
      <x:c r="C764" t="str">
        <x:v>I1</x:v>
      </x:c>
      <x:c r="D764" t="n">
        <x:v>6</x:v>
      </x:c>
      <x:c r="E764" s="50" t="n">
        <x:v>26</x:v>
      </x:c>
      <x:c r="F764" s="50" t="n">
        <x:v>-59.43</x:v>
      </x:c>
      <x:c r="G764" s="50" t="n">
        <x:v>64.9</x:v>
      </x:c>
      <x:c r="H764" s="50" t="n">
        <x:v>-31.14</x:v>
      </x:c>
      <x:c r="I764" s="50" t="n">
        <x:v>25.1</x:v>
      </x:c>
      <x:c r="J764" s="50" t="n">
        <x:v>-0.61</x:v>
      </x:c>
      <x:c r="K764" s="50" t="n">
        <x:v>0.13</x:v>
      </x:c>
      <x:c r="L764" s="50" t="n">
        <x:v>0.63</x:v>
      </x:c>
      <x:c r="M764" s="50" t="n">
        <x:v>0.16</x:v>
      </x:c>
      <x:c r="N764" t="str">
        <x:v>RELATÓRIO LEITURAS INCLINOMÉTRICAS - Empreitada THE EDEN, Estoril_ R10_09-12-25.pdf</x:v>
      </x:c>
      <x:c r="O764" t="n">
        <x:v>16</x:v>
      </x:c>
    </x:row>
    <x:row r="765">
      <x:c r="A765" s="48" t="n">
        <x:v>45971</x:v>
      </x:c>
      <x:c r="B765" t="n">
        <x:v>6</x:v>
      </x:c>
      <x:c r="C765" t="str">
        <x:v>I1</x:v>
      </x:c>
      <x:c r="D765" t="n">
        <x:v>6</x:v>
      </x:c>
      <x:c r="E765" s="50" t="n">
        <x:v>26.5</x:v>
      </x:c>
      <x:c r="F765" s="50" t="n">
        <x:v>-18.91</x:v>
      </x:c>
      <x:c r="G765" s="50" t="n">
        <x:v>24.23</x:v>
      </x:c>
      <x:c r="H765" s="50" t="n">
        <x:v>8.04</x:v>
      </x:c>
      <x:c r="I765" s="50" t="n">
        <x:v>-10.36</x:v>
      </x:c>
      <x:c r="J765" s="50" t="n">
        <x:v>-0.62</x:v>
      </x:c>
      <x:c r="K765" s="50" t="n">
        <x:v>0.11</x:v>
      </x:c>
      <x:c r="L765" s="50" t="n">
        <x:v>0.63</x:v>
      </x:c>
      <x:c r="M765" s="50" t="n">
        <x:v>0.1</x:v>
      </x:c>
      <x:c r="N765" t="str">
        <x:v>RELATÓRIO LEITURAS INCLINOMÉTRICAS - Empreitada THE EDEN, Estoril_ R10_09-12-25.pdf</x:v>
      </x:c>
      <x:c r="O765" t="n">
        <x:v>16</x:v>
      </x:c>
    </x:row>
    <x:row r="766">
      <x:c r="A766" s="48" t="n">
        <x:v>45971</x:v>
      </x:c>
      <x:c r="B766" t="n">
        <x:v>6</x:v>
      </x:c>
      <x:c r="C766" t="str">
        <x:v>I1</x:v>
      </x:c>
      <x:c r="D766" t="n">
        <x:v>6</x:v>
      </x:c>
      <x:c r="E766" s="50" t="n">
        <x:v>27</x:v>
      </x:c>
      <x:c r="F766" s="50" t="n">
        <x:v>33.77</x:v>
      </x:c>
      <x:c r="G766" s="50" t="n">
        <x:v>-27.64</x:v>
      </x:c>
      <x:c r="H766" s="50" t="n">
        <x:v>55.12</x:v>
      </x:c>
      <x:c r="I766" s="50" t="n">
        <x:v>-52.82</x:v>
      </x:c>
      <x:c r="J766" s="50" t="n">
        <x:v>-0.37</x:v>
      </x:c>
      <x:c r="K766" s="50" t="n">
        <x:v>0.1</x:v>
      </x:c>
      <x:c r="L766" s="50" t="n">
        <x:v>0.39</x:v>
      </x:c>
      <x:c r="M766" s="50" t="n">
        <x:v>0.04</x:v>
      </x:c>
      <x:c r="N766" t="str">
        <x:v>RELATÓRIO LEITURAS INCLINOMÉTRICAS - Empreitada THE EDEN, Estoril_ R10_09-12-25.pdf</x:v>
      </x:c>
      <x:c r="O766" t="n">
        <x:v>16</x:v>
      </x:c>
    </x:row>
    <x:row r="767">
      <x:c r="A767" s="48" t="n">
        <x:v>45971</x:v>
      </x:c>
      <x:c r="B767" t="n">
        <x:v>6</x:v>
      </x:c>
      <x:c r="C767" t="str">
        <x:v>I2</x:v>
      </x:c>
      <x:c r="D767" t="n">
        <x:v>6</x:v>
      </x:c>
      <x:c r="E767" s="50" t="n">
        <x:v>0.5</x:v>
      </x:c>
      <x:c r="F767" s="50" t="n">
        <x:v>-395.97</x:v>
      </x:c>
      <x:c r="G767" s="50" t="n">
        <x:v>402.55</x:v>
      </x:c>
      <x:c r="H767" s="50" t="n">
        <x:v>-127.96</x:v>
      </x:c>
      <x:c r="I767" s="50" t="n">
        <x:v>131.37</x:v>
      </x:c>
      <x:c r="J767" s="50" t="n">
        <x:v>0.28</x:v>
      </x:c>
      <x:c r="K767" s="50" t="n">
        <x:v>-5.83</x:v>
      </x:c>
      <x:c r="L767" s="50" t="n">
        <x:v>5.83</x:v>
      </x:c>
      <x:c r="M767" s="50" t="n">
        <x:v>-0.49</x:v>
      </x:c>
      <x:c r="N767" t="str">
        <x:v>RELATÓRIO LEITURAS INCLINOMÉTRICAS - Empreitada THE EDEN, Estoril_ R10_09-12-25.pdf</x:v>
      </x:c>
      <x:c r="O767" t="n">
        <x:v>36</x:v>
      </x:c>
    </x:row>
    <x:row r="768">
      <x:c r="A768" s="48" t="n">
        <x:v>45971</x:v>
      </x:c>
      <x:c r="B768" t="n">
        <x:v>6</x:v>
      </x:c>
      <x:c r="C768" t="str">
        <x:v>I2</x:v>
      </x:c>
      <x:c r="D768" t="n">
        <x:v>6</x:v>
      </x:c>
      <x:c r="E768" s="50" t="n">
        <x:v>1</x:v>
      </x:c>
      <x:c r="F768" s="50" t="n">
        <x:v>-385.43</x:v>
      </x:c>
      <x:c r="G768" s="50" t="n">
        <x:v>397.86</x:v>
      </x:c>
      <x:c r="H768" s="50" t="n">
        <x:v>-129.31</x:v>
      </x:c>
      <x:c r="I768" s="50" t="n">
        <x:v>126.19</x:v>
      </x:c>
      <x:c r="J768" s="50" t="n">
        <x:v>0.72</x:v>
      </x:c>
      <x:c r="K768" s="50" t="n">
        <x:v>-4.73</x:v>
      </x:c>
      <x:c r="L768" s="50" t="n">
        <x:v>4.78</x:v>
      </x:c>
      <x:c r="M768" s="50" t="n">
        <x:v>-0.62</x:v>
      </x:c>
      <x:c r="N768" t="str">
        <x:v>RELATÓRIO LEITURAS INCLINOMÉTRICAS - Empreitada THE EDEN, Estoril_ R10_09-12-25.pdf</x:v>
      </x:c>
      <x:c r="O768" t="n">
        <x:v>36</x:v>
      </x:c>
    </x:row>
    <x:row r="769">
      <x:c r="A769" s="48" t="n">
        <x:v>45971</x:v>
      </x:c>
      <x:c r="B769" t="n">
        <x:v>6</x:v>
      </x:c>
      <x:c r="C769" t="str">
        <x:v>I2</x:v>
      </x:c>
      <x:c r="D769" t="n">
        <x:v>6</x:v>
      </x:c>
      <x:c r="E769" s="50" t="n">
        <x:v>1.5</x:v>
      </x:c>
      <x:c r="F769" s="50" t="n">
        <x:v>-374.85</x:v>
      </x:c>
      <x:c r="G769" s="50" t="n">
        <x:v>381.06</x:v>
      </x:c>
      <x:c r="H769" s="50" t="n">
        <x:v>-142.91</x:v>
      </x:c>
      <x:c r="I769" s="50" t="n">
        <x:v>146.07</x:v>
      </x:c>
      <x:c r="J769" s="50" t="n">
        <x:v>1.42</x:v>
      </x:c>
      <x:c r="K769" s="50" t="n">
        <x:v>-3.61</x:v>
      </x:c>
      <x:c r="L769" s="50" t="n">
        <x:v>3.88</x:v>
      </x:c>
      <x:c r="M769" s="50" t="n">
        <x:v>-0.73</x:v>
      </x:c>
      <x:c r="N769" t="str">
        <x:v>RELATÓRIO LEITURAS INCLINOMÉTRICAS - Empreitada THE EDEN, Estoril_ R10_09-12-25.pdf</x:v>
      </x:c>
      <x:c r="O769" t="n">
        <x:v>36</x:v>
      </x:c>
    </x:row>
    <x:row r="770">
      <x:c r="A770" s="48" t="n">
        <x:v>45971</x:v>
      </x:c>
      <x:c r="B770" t="n">
        <x:v>6</x:v>
      </x:c>
      <x:c r="C770" t="str">
        <x:v>I2</x:v>
      </x:c>
      <x:c r="D770" t="n">
        <x:v>6</x:v>
      </x:c>
      <x:c r="E770" s="50" t="n">
        <x:v>2</x:v>
      </x:c>
      <x:c r="F770" s="50" t="n">
        <x:v>-332.15</x:v>
      </x:c>
      <x:c r="G770" s="50" t="n">
        <x:v>341.65</x:v>
      </x:c>
      <x:c r="H770" s="50" t="n">
        <x:v>-212.38</x:v>
      </x:c>
      <x:c r="I770" s="50" t="n">
        <x:v>211.36</x:v>
      </x:c>
      <x:c r="J770" s="50" t="n">
        <x:v>1.56</x:v>
      </x:c>
      <x:c r="K770" s="50" t="n">
        <x:v>-3.23</x:v>
      </x:c>
      <x:c r="L770" s="50" t="n">
        <x:v>3.59</x:v>
      </x:c>
      <x:c r="M770" s="50" t="n">
        <x:v>-0.68</x:v>
      </x:c>
      <x:c r="N770" t="str">
        <x:v>RELATÓRIO LEITURAS INCLINOMÉTRICAS - Empreitada THE EDEN, Estoril_ R10_09-12-25.pdf</x:v>
      </x:c>
      <x:c r="O770" t="n">
        <x:v>36</x:v>
      </x:c>
    </x:row>
    <x:row r="771">
      <x:c r="A771" s="48" t="n">
        <x:v>45971</x:v>
      </x:c>
      <x:c r="B771" t="n">
        <x:v>6</x:v>
      </x:c>
      <x:c r="C771" t="str">
        <x:v>I2</x:v>
      </x:c>
      <x:c r="D771" t="n">
        <x:v>6</x:v>
      </x:c>
      <x:c r="E771" s="50" t="n">
        <x:v>2.5</x:v>
      </x:c>
      <x:c r="F771" s="50" t="n">
        <x:v>-305.39</x:v>
      </x:c>
      <x:c r="G771" s="50" t="n">
        <x:v>313.43</x:v>
      </x:c>
      <x:c r="H771" s="50" t="n">
        <x:v>-176.49</x:v>
      </x:c>
      <x:c r="I771" s="50" t="n">
        <x:v>194.14</x:v>
      </x:c>
      <x:c r="J771" s="50" t="n">
        <x:v>1.61</x:v>
      </x:c>
      <x:c r="K771" s="50" t="n">
        <x:v>-3.19</x:v>
      </x:c>
      <x:c r="L771" s="50" t="n">
        <x:v>3.58</x:v>
      </x:c>
      <x:c r="M771" s="50" t="n">
        <x:v>-0.59</x:v>
      </x:c>
      <x:c r="N771" t="str">
        <x:v>RELATÓRIO LEITURAS INCLINOMÉTRICAS - Empreitada THE EDEN, Estoril_ R10_09-12-25.pdf</x:v>
      </x:c>
      <x:c r="O771" t="n">
        <x:v>36</x:v>
      </x:c>
    </x:row>
    <x:row r="772">
      <x:c r="A772" s="48" t="n">
        <x:v>45971</x:v>
      </x:c>
      <x:c r="B772" t="n">
        <x:v>6</x:v>
      </x:c>
      <x:c r="C772" t="str">
        <x:v>I2</x:v>
      </x:c>
      <x:c r="D772" t="n">
        <x:v>6</x:v>
      </x:c>
      <x:c r="E772" s="50" t="n">
        <x:v>3</x:v>
      </x:c>
      <x:c r="F772" s="50" t="n">
        <x:v>-267.29</x:v>
      </x:c>
      <x:c r="G772" s="50" t="n">
        <x:v>275.57</x:v>
      </x:c>
      <x:c r="H772" s="50" t="n">
        <x:v>-137.64</x:v>
      </x:c>
      <x:c r="I772" s="50" t="n">
        <x:v>130.78</x:v>
      </x:c>
      <x:c r="J772" s="50" t="n">
        <x:v>1.65</x:v>
      </x:c>
      <x:c r="K772" s="50" t="n">
        <x:v>-3.08</x:v>
      </x:c>
      <x:c r="L772" s="50" t="n">
        <x:v>3.49</x:v>
      </x:c>
      <x:c r="M772" s="50" t="n">
        <x:v>-0.72</x:v>
      </x:c>
      <x:c r="N772" t="str">
        <x:v>RELATÓRIO LEITURAS INCLINOMÉTRICAS - Empreitada THE EDEN, Estoril_ R10_09-12-25.pdf</x:v>
      </x:c>
      <x:c r="O772" t="n">
        <x:v>36</x:v>
      </x:c>
    </x:row>
    <x:row r="773">
      <x:c r="A773" s="48" t="n">
        <x:v>45971</x:v>
      </x:c>
      <x:c r="B773" t="n">
        <x:v>6</x:v>
      </x:c>
      <x:c r="C773" t="str">
        <x:v>I2</x:v>
      </x:c>
      <x:c r="D773" t="n">
        <x:v>6</x:v>
      </x:c>
      <x:c r="E773" s="50" t="n">
        <x:v>3.5</x:v>
      </x:c>
      <x:c r="F773" s="50" t="n">
        <x:v>-205.49</x:v>
      </x:c>
      <x:c r="G773" s="50" t="n">
        <x:v>214.52</x:v>
      </x:c>
      <x:c r="H773" s="50" t="n">
        <x:v>-82.19</x:v>
      </x:c>
      <x:c r="I773" s="50" t="n">
        <x:v>74.23</x:v>
      </x:c>
      <x:c r="J773" s="50" t="n">
        <x:v>1.74</x:v>
      </x:c>
      <x:c r="K773" s="50" t="n">
        <x:v>-2.99</x:v>
      </x:c>
      <x:c r="L773" s="50" t="n">
        <x:v>3.45</x:v>
      </x:c>
      <x:c r="M773" s="50" t="n">
        <x:v>-0.68</x:v>
      </x:c>
      <x:c r="N773" t="str">
        <x:v>RELATÓRIO LEITURAS INCLINOMÉTRICAS - Empreitada THE EDEN, Estoril_ R10_09-12-25.pdf</x:v>
      </x:c>
      <x:c r="O773" t="n">
        <x:v>36</x:v>
      </x:c>
    </x:row>
    <x:row r="774">
      <x:c r="A774" s="48" t="n">
        <x:v>45971</x:v>
      </x:c>
      <x:c r="B774" t="n">
        <x:v>6</x:v>
      </x:c>
      <x:c r="C774" t="str">
        <x:v>I2</x:v>
      </x:c>
      <x:c r="D774" t="n">
        <x:v>6</x:v>
      </x:c>
      <x:c r="E774" s="50" t="n">
        <x:v>4</x:v>
      </x:c>
      <x:c r="F774" s="50" t="n">
        <x:v>-148.81</x:v>
      </x:c>
      <x:c r="G774" s="50" t="n">
        <x:v>160.3</x:v>
      </x:c>
      <x:c r="H774" s="50" t="n">
        <x:v>-63.33</x:v>
      </x:c>
      <x:c r="I774" s="50" t="n">
        <x:v>61.14</x:v>
      </x:c>
      <x:c r="J774" s="50" t="n">
        <x:v>1.87</x:v>
      </x:c>
      <x:c r="K774" s="50" t="n">
        <x:v>-2.78</x:v>
      </x:c>
      <x:c r="L774" s="50" t="n">
        <x:v>3.35</x:v>
      </x:c>
      <x:c r="M774" s="50" t="n">
        <x:v>-0.61</x:v>
      </x:c>
      <x:c r="N774" t="str">
        <x:v>RELATÓRIO LEITURAS INCLINOMÉTRICAS - Empreitada THE EDEN, Estoril_ R10_09-12-25.pdf</x:v>
      </x:c>
      <x:c r="O774" t="n">
        <x:v>36</x:v>
      </x:c>
    </x:row>
    <x:row r="775">
      <x:c r="A775" s="48" t="n">
        <x:v>45971</x:v>
      </x:c>
      <x:c r="B775" t="n">
        <x:v>6</x:v>
      </x:c>
      <x:c r="C775" t="str">
        <x:v>I2</x:v>
      </x:c>
      <x:c r="D775" t="n">
        <x:v>6</x:v>
      </x:c>
      <x:c r="E775" s="50" t="n">
        <x:v>4.5</x:v>
      </x:c>
      <x:c r="F775" s="50" t="n">
        <x:v>-101.31</x:v>
      </x:c>
      <x:c r="G775" s="50" t="n">
        <x:v>109.16</x:v>
      </x:c>
      <x:c r="H775" s="50" t="n">
        <x:v>-125.04</x:v>
      </x:c>
      <x:c r="I775" s="50" t="n">
        <x:v>117.59</x:v>
      </x:c>
      <x:c r="J775" s="50" t="n">
        <x:v>1.99</x:v>
      </x:c>
      <x:c r="K775" s="50" t="n">
        <x:v>-2.66</x:v>
      </x:c>
      <x:c r="L775" s="50" t="n">
        <x:v>3.32</x:v>
      </x:c>
      <x:c r="M775" s="50" t="n">
        <x:v>-0.65</x:v>
      </x:c>
      <x:c r="N775" t="str">
        <x:v>RELATÓRIO LEITURAS INCLINOMÉTRICAS - Empreitada THE EDEN, Estoril_ R10_09-12-25.pdf</x:v>
      </x:c>
      <x:c r="O775" t="n">
        <x:v>36</x:v>
      </x:c>
    </x:row>
    <x:row r="776">
      <x:c r="A776" s="48" t="n">
        <x:v>45971</x:v>
      </x:c>
      <x:c r="B776" t="n">
        <x:v>6</x:v>
      </x:c>
      <x:c r="C776" t="str">
        <x:v>I2</x:v>
      </x:c>
      <x:c r="D776" t="n">
        <x:v>6</x:v>
      </x:c>
      <x:c r="E776" s="50" t="n">
        <x:v>5</x:v>
      </x:c>
      <x:c r="F776" s="50" t="n">
        <x:v>-27.67</x:v>
      </x:c>
      <x:c r="G776" s="50" t="n">
        <x:v>35.68</x:v>
      </x:c>
      <x:c r="H776" s="50" t="n">
        <x:v>-162.09</x:v>
      </x:c>
      <x:c r="I776" s="50" t="n">
        <x:v>151.4</x:v>
      </x:c>
      <x:c r="J776" s="50" t="n">
        <x:v>2.11</x:v>
      </x:c>
      <x:c r="K776" s="50" t="n">
        <x:v>-2.77</x:v>
      </x:c>
      <x:c r="L776" s="50" t="n">
        <x:v>3.48</x:v>
      </x:c>
      <x:c r="M776" s="50" t="n">
        <x:v>-0.52</x:v>
      </x:c>
      <x:c r="N776" t="str">
        <x:v>RELATÓRIO LEITURAS INCLINOMÉTRICAS - Empreitada THE EDEN, Estoril_ R10_09-12-25.pdf</x:v>
      </x:c>
      <x:c r="O776" t="n">
        <x:v>36</x:v>
      </x:c>
    </x:row>
    <x:row r="777">
      <x:c r="A777" s="48" t="n">
        <x:v>45971</x:v>
      </x:c>
      <x:c r="B777" t="n">
        <x:v>6</x:v>
      </x:c>
      <x:c r="C777" t="str">
        <x:v>I2</x:v>
      </x:c>
      <x:c r="D777" t="n">
        <x:v>6</x:v>
      </x:c>
      <x:c r="E777" s="50" t="n">
        <x:v>5.5</x:v>
      </x:c>
      <x:c r="F777" s="50" t="n">
        <x:v>39.07</x:v>
      </x:c>
      <x:c r="G777" s="50" t="n">
        <x:v>-29.11</x:v>
      </x:c>
      <x:c r="H777" s="50" t="n">
        <x:v>-159.18</x:v>
      </x:c>
      <x:c r="I777" s="50" t="n">
        <x:v>148.83</x:v>
      </x:c>
      <x:c r="J777" s="50" t="n">
        <x:v>2.29</x:v>
      </x:c>
      <x:c r="K777" s="50" t="n">
        <x:v>-2.89</x:v>
      </x:c>
      <x:c r="L777" s="50" t="n">
        <x:v>3.69</x:v>
      </x:c>
      <x:c r="M777" s="50" t="n">
        <x:v>-0.31</x:v>
      </x:c>
      <x:c r="N777" t="str">
        <x:v>RELATÓRIO LEITURAS INCLINOMÉTRICAS - Empreitada THE EDEN, Estoril_ R10_09-12-25.pdf</x:v>
      </x:c>
      <x:c r="O777" t="n">
        <x:v>36</x:v>
      </x:c>
    </x:row>
    <x:row r="778">
      <x:c r="A778" s="48" t="n">
        <x:v>45971</x:v>
      </x:c>
      <x:c r="B778" t="n">
        <x:v>6</x:v>
      </x:c>
      <x:c r="C778" t="str">
        <x:v>I2</x:v>
      </x:c>
      <x:c r="D778" t="n">
        <x:v>6</x:v>
      </x:c>
      <x:c r="E778" s="50" t="n">
        <x:v>6</x:v>
      </x:c>
      <x:c r="F778" s="50" t="n">
        <x:v>73.56</x:v>
      </x:c>
      <x:c r="G778" s="50" t="n">
        <x:v>-64.32</x:v>
      </x:c>
      <x:c r="H778" s="50" t="n">
        <x:v>-192.12</x:v>
      </x:c>
      <x:c r="I778" s="50" t="n">
        <x:v>181.98</x:v>
      </x:c>
      <x:c r="J778" s="50" t="n">
        <x:v>2.46</x:v>
      </x:c>
      <x:c r="K778" s="50" t="n">
        <x:v>-3.05</x:v>
      </x:c>
      <x:c r="L778" s="50" t="n">
        <x:v>3.92</x:v>
      </x:c>
      <x:c r="M778" s="50" t="n">
        <x:v>-0.24</x:v>
      </x:c>
      <x:c r="N778" t="str">
        <x:v>RELATÓRIO LEITURAS INCLINOMÉTRICAS - Empreitada THE EDEN, Estoril_ R10_09-12-25.pdf</x:v>
      </x:c>
      <x:c r="O778" t="n">
        <x:v>36</x:v>
      </x:c>
    </x:row>
    <x:row r="779">
      <x:c r="A779" s="48" t="n">
        <x:v>45971</x:v>
      </x:c>
      <x:c r="B779" t="n">
        <x:v>6</x:v>
      </x:c>
      <x:c r="C779" t="str">
        <x:v>I2</x:v>
      </x:c>
      <x:c r="D779" t="n">
        <x:v>6</x:v>
      </x:c>
      <x:c r="E779" s="50" t="n">
        <x:v>6.5</x:v>
      </x:c>
      <x:c r="F779" s="50" t="n">
        <x:v>177.02</x:v>
      </x:c>
      <x:c r="G779" s="50" t="n">
        <x:v>-166.99</x:v>
      </x:c>
      <x:c r="H779" s="50" t="n">
        <x:v>-181.35</x:v>
      </x:c>
      <x:c r="I779" s="50" t="n">
        <x:v>172.05</x:v>
      </x:c>
      <x:c r="J779" s="50" t="n">
        <x:v>2.54</x:v>
      </x:c>
      <x:c r="K779" s="50" t="n">
        <x:v>-3.04</x:v>
      </x:c>
      <x:c r="L779" s="50" t="n">
        <x:v>3.96</x:v>
      </x:c>
      <x:c r="M779" s="50" t="n">
        <x:v>-0.17</x:v>
      </x:c>
      <x:c r="N779" t="str">
        <x:v>RELATÓRIO LEITURAS INCLINOMÉTRICAS - Empreitada THE EDEN, Estoril_ R10_09-12-25.pdf</x:v>
      </x:c>
      <x:c r="O779" t="n">
        <x:v>36</x:v>
      </x:c>
    </x:row>
    <x:row r="780">
      <x:c r="A780" s="48" t="n">
        <x:v>45971</x:v>
      </x:c>
      <x:c r="B780" t="n">
        <x:v>6</x:v>
      </x:c>
      <x:c r="C780" t="str">
        <x:v>I2</x:v>
      </x:c>
      <x:c r="D780" t="n">
        <x:v>6</x:v>
      </x:c>
      <x:c r="E780" s="50" t="n">
        <x:v>7</x:v>
      </x:c>
      <x:c r="F780" s="50" t="n">
        <x:v>280.1</x:v>
      </x:c>
      <x:c r="G780" s="50" t="n">
        <x:v>-271.59</x:v>
      </x:c>
      <x:c r="H780" s="50" t="n">
        <x:v>-186.3</x:v>
      </x:c>
      <x:c r="I780" s="50" t="n">
        <x:v>171.99</x:v>
      </x:c>
      <x:c r="J780" s="50" t="n">
        <x:v>2.63</x:v>
      </x:c>
      <x:c r="K780" s="50" t="n">
        <x:v>-2.89</x:v>
      </x:c>
      <x:c r="L780" s="50" t="n">
        <x:v>3.9</x:v>
      </x:c>
      <x:c r="M780" s="50" t="n">
        <x:v>-0.16</x:v>
      </x:c>
      <x:c r="N780" t="str">
        <x:v>RELATÓRIO LEITURAS INCLINOMÉTRICAS - Empreitada THE EDEN, Estoril_ R10_09-12-25.pdf</x:v>
      </x:c>
      <x:c r="O780" t="n">
        <x:v>36</x:v>
      </x:c>
    </x:row>
    <x:row r="781">
      <x:c r="A781" s="48" t="n">
        <x:v>45971</x:v>
      </x:c>
      <x:c r="B781" t="n">
        <x:v>6</x:v>
      </x:c>
      <x:c r="C781" t="str">
        <x:v>I2</x:v>
      </x:c>
      <x:c r="D781" t="n">
        <x:v>6</x:v>
      </x:c>
      <x:c r="E781" s="50" t="n">
        <x:v>7.5</x:v>
      </x:c>
      <x:c r="F781" s="50" t="n">
        <x:v>304.58</x:v>
      </x:c>
      <x:c r="G781" s="50" t="n">
        <x:v>-287.1</x:v>
      </x:c>
      <x:c r="H781" s="50" t="n">
        <x:v>-165.05</x:v>
      </x:c>
      <x:c r="I781" s="50" t="n">
        <x:v>158.02</x:v>
      </x:c>
      <x:c r="J781" s="50" t="n">
        <x:v>2.66</x:v>
      </x:c>
      <x:c r="K781" s="50" t="n">
        <x:v>-2.68</x:v>
      </x:c>
      <x:c r="L781" s="50" t="n">
        <x:v>3.78</x:v>
      </x:c>
      <x:c r="M781" s="50" t="n">
        <x:v>-0.13</x:v>
      </x:c>
      <x:c r="N781" t="str">
        <x:v>RELATÓRIO LEITURAS INCLINOMÉTRICAS - Empreitada THE EDEN, Estoril_ R10_09-12-25.pdf</x:v>
      </x:c>
      <x:c r="O781" t="n">
        <x:v>36</x:v>
      </x:c>
    </x:row>
    <x:row r="782">
      <x:c r="A782" s="48" t="n">
        <x:v>45971</x:v>
      </x:c>
      <x:c r="B782" t="n">
        <x:v>6</x:v>
      </x:c>
      <x:c r="C782" t="str">
        <x:v>I2</x:v>
      </x:c>
      <x:c r="D782" t="n">
        <x:v>6</x:v>
      </x:c>
      <x:c r="E782" s="50" t="n">
        <x:v>8</x:v>
      </x:c>
      <x:c r="F782" s="50" t="n">
        <x:v>269.71</x:v>
      </x:c>
      <x:c r="G782" s="50" t="n">
        <x:v>-265.63</x:v>
      </x:c>
      <x:c r="H782" s="50" t="n">
        <x:v>-72.89</x:v>
      </x:c>
      <x:c r="I782" s="50" t="n">
        <x:v>70.89</x:v>
      </x:c>
      <x:c r="J782" s="50" t="n">
        <x:v>2.77</x:v>
      </x:c>
      <x:c r="K782" s="50" t="n">
        <x:v>-2.62</x:v>
      </x:c>
      <x:c r="L782" s="50" t="n">
        <x:v>3.81</x:v>
      </x:c>
      <x:c r="M782" s="50" t="n">
        <x:v>-0.18</x:v>
      </x:c>
      <x:c r="N782" t="str">
        <x:v>RELATÓRIO LEITURAS INCLINOMÉTRICAS - Empreitada THE EDEN, Estoril_ R10_09-12-25.pdf</x:v>
      </x:c>
      <x:c r="O782" t="n">
        <x:v>36</x:v>
      </x:c>
    </x:row>
    <x:row r="783">
      <x:c r="A783" s="48" t="n">
        <x:v>45971</x:v>
      </x:c>
      <x:c r="B783" t="n">
        <x:v>6</x:v>
      </x:c>
      <x:c r="C783" t="str">
        <x:v>I2</x:v>
      </x:c>
      <x:c r="D783" t="n">
        <x:v>6</x:v>
      </x:c>
      <x:c r="E783" s="50" t="n">
        <x:v>8.5</x:v>
      </x:c>
      <x:c r="F783" s="50" t="n">
        <x:v>332.87</x:v>
      </x:c>
      <x:c r="G783" s="50" t="n">
        <x:v>-322.09</x:v>
      </x:c>
      <x:c r="H783" s="50" t="n">
        <x:v>-6.94</x:v>
      </x:c>
      <x:c r="I783" s="50" t="n">
        <x:v>23.9</x:v>
      </x:c>
      <x:c r="J783" s="50" t="n">
        <x:v>2.84</x:v>
      </x:c>
      <x:c r="K783" s="50" t="n">
        <x:v>-2.64</x:v>
      </x:c>
      <x:c r="L783" s="50" t="n">
        <x:v>3.87</x:v>
      </x:c>
      <x:c r="M783" s="50" t="n">
        <x:v>-0.21</x:v>
      </x:c>
      <x:c r="N783" t="str">
        <x:v>RELATÓRIO LEITURAS INCLINOMÉTRICAS - Empreitada THE EDEN, Estoril_ R10_09-12-25.pdf</x:v>
      </x:c>
      <x:c r="O783" t="n">
        <x:v>36</x:v>
      </x:c>
    </x:row>
    <x:row r="784">
      <x:c r="A784" s="48" t="n">
        <x:v>45971</x:v>
      </x:c>
      <x:c r="B784" t="n">
        <x:v>6</x:v>
      </x:c>
      <x:c r="C784" t="str">
        <x:v>I2</x:v>
      </x:c>
      <x:c r="D784" t="n">
        <x:v>6</x:v>
      </x:c>
      <x:c r="E784" s="50" t="n">
        <x:v>9</x:v>
      </x:c>
      <x:c r="F784" s="50" t="n">
        <x:v>318.05</x:v>
      </x:c>
      <x:c r="G784" s="50" t="n">
        <x:v>-308.64</x:v>
      </x:c>
      <x:c r="H784" s="50" t="n">
        <x:v>56.58</x:v>
      </x:c>
      <x:c r="I784" s="50" t="n">
        <x:v>-38.87</x:v>
      </x:c>
      <x:c r="J784" s="50" t="n">
        <x:v>2.75</x:v>
      </x:c>
      <x:c r="K784" s="50" t="n">
        <x:v>-2.91</x:v>
      </x:c>
      <x:c r="L784" s="50" t="n">
        <x:v>4.01</x:v>
      </x:c>
      <x:c r="M784" s="50" t="n">
        <x:v>-0.21</x:v>
      </x:c>
      <x:c r="N784" t="str">
        <x:v>RELATÓRIO LEITURAS INCLINOMÉTRICAS - Empreitada THE EDEN, Estoril_ R10_09-12-25.pdf</x:v>
      </x:c>
      <x:c r="O784" t="n">
        <x:v>36</x:v>
      </x:c>
    </x:row>
    <x:row r="785">
      <x:c r="A785" s="48" t="n">
        <x:v>45971</x:v>
      </x:c>
      <x:c r="B785" t="n">
        <x:v>6</x:v>
      </x:c>
      <x:c r="C785" t="str">
        <x:v>I2</x:v>
      </x:c>
      <x:c r="D785" t="n">
        <x:v>6</x:v>
      </x:c>
      <x:c r="E785" s="50" t="n">
        <x:v>9.5</x:v>
      </x:c>
      <x:c r="F785" s="50" t="n">
        <x:v>205.14</x:v>
      </x:c>
      <x:c r="G785" s="50" t="n">
        <x:v>-196.72</x:v>
      </x:c>
      <x:c r="H785" s="50" t="n">
        <x:v>108.46</x:v>
      </x:c>
      <x:c r="I785" s="50" t="n">
        <x:v>-120.28</x:v>
      </x:c>
      <x:c r="J785" s="50" t="n">
        <x:v>2.8</x:v>
      </x:c>
      <x:c r="K785" s="50" t="n">
        <x:v>-3.11</x:v>
      </x:c>
      <x:c r="L785" s="50" t="n">
        <x:v>4.19</x:v>
      </x:c>
      <x:c r="M785" s="50" t="n">
        <x:v>-0.26</x:v>
      </x:c>
      <x:c r="N785" t="str">
        <x:v>RELATÓRIO LEITURAS INCLINOMÉTRICAS - Empreitada THE EDEN, Estoril_ R10_09-12-25.pdf</x:v>
      </x:c>
      <x:c r="O785" t="n">
        <x:v>36</x:v>
      </x:c>
    </x:row>
    <x:row r="786">
      <x:c r="A786" s="48" t="n">
        <x:v>45971</x:v>
      </x:c>
      <x:c r="B786" t="n">
        <x:v>6</x:v>
      </x:c>
      <x:c r="C786" t="str">
        <x:v>I2</x:v>
      </x:c>
      <x:c r="D786" t="n">
        <x:v>6</x:v>
      </x:c>
      <x:c r="E786" s="50" t="n">
        <x:v>10</x:v>
      </x:c>
      <x:c r="F786" s="50" t="n">
        <x:v>61.45</x:v>
      </x:c>
      <x:c r="G786" s="50" t="n">
        <x:v>-44.49</x:v>
      </x:c>
      <x:c r="H786" s="50" t="n">
        <x:v>148.48</x:v>
      </x:c>
      <x:c r="I786" s="50" t="n">
        <x:v>-146.79</x:v>
      </x:c>
      <x:c r="J786" s="50" t="n">
        <x:v>2.9</x:v>
      </x:c>
      <x:c r="K786" s="50" t="n">
        <x:v>-3.19</x:v>
      </x:c>
      <x:c r="L786" s="50" t="n">
        <x:v>4.31</x:v>
      </x:c>
      <x:c r="M786" s="50" t="n">
        <x:v>-0.28</x:v>
      </x:c>
      <x:c r="N786" t="str">
        <x:v>RELATÓRIO LEITURAS INCLINOMÉTRICAS - Empreitada THE EDEN, Estoril_ R10_09-12-25.pdf</x:v>
      </x:c>
      <x:c r="O786" t="n">
        <x:v>36</x:v>
      </x:c>
    </x:row>
    <x:row r="787">
      <x:c r="A787" s="48" t="n">
        <x:v>45971</x:v>
      </x:c>
      <x:c r="B787" t="n">
        <x:v>6</x:v>
      </x:c>
      <x:c r="C787" t="str">
        <x:v>I2</x:v>
      </x:c>
      <x:c r="D787" t="n">
        <x:v>6</x:v>
      </x:c>
      <x:c r="E787" s="50" t="n">
        <x:v>10.5</x:v>
      </x:c>
      <x:c r="F787" s="50" t="n">
        <x:v>77.73</x:v>
      </x:c>
      <x:c r="G787" s="50" t="n">
        <x:v>-70.18</x:v>
      </x:c>
      <x:c r="H787" s="50" t="n">
        <x:v>78.08</x:v>
      </x:c>
      <x:c r="I787" s="50" t="n">
        <x:v>-78.32</x:v>
      </x:c>
      <x:c r="J787" s="50" t="n">
        <x:v>2.86</x:v>
      </x:c>
      <x:c r="K787" s="50" t="n">
        <x:v>-3.4</x:v>
      </x:c>
      <x:c r="L787" s="50" t="n">
        <x:v>4.44</x:v>
      </x:c>
      <x:c r="M787" s="50" t="n">
        <x:v>-0.21</x:v>
      </x:c>
      <x:c r="N787" t="str">
        <x:v>RELATÓRIO LEITURAS INCLINOMÉTRICAS - Empreitada THE EDEN, Estoril_ R10_09-12-25.pdf</x:v>
      </x:c>
      <x:c r="O787" t="n">
        <x:v>36</x:v>
      </x:c>
    </x:row>
    <x:row r="788">
      <x:c r="A788" s="48" t="n">
        <x:v>45971</x:v>
      </x:c>
      <x:c r="B788" t="n">
        <x:v>6</x:v>
      </x:c>
      <x:c r="C788" t="str">
        <x:v>I2</x:v>
      </x:c>
      <x:c r="D788" t="n">
        <x:v>6</x:v>
      </x:c>
      <x:c r="E788" s="50" t="n">
        <x:v>11</x:v>
      </x:c>
      <x:c r="F788" s="50" t="n">
        <x:v>6.99</x:v>
      </x:c>
      <x:c r="G788" s="50" t="n">
        <x:v>3.29</x:v>
      </x:c>
      <x:c r="H788" s="50" t="n">
        <x:v>33.23</x:v>
      </x:c>
      <x:c r="I788" s="50" t="n">
        <x:v>-45.21</x:v>
      </x:c>
      <x:c r="J788" s="50" t="n">
        <x:v>2.8</x:v>
      </x:c>
      <x:c r="K788" s="50" t="n">
        <x:v>-3.4</x:v>
      </x:c>
      <x:c r="L788" s="50" t="n">
        <x:v>4.41</x:v>
      </x:c>
      <x:c r="M788" s="50" t="n">
        <x:v>-0.21</x:v>
      </x:c>
      <x:c r="N788" t="str">
        <x:v>RELATÓRIO LEITURAS INCLINOMÉTRICAS - Empreitada THE EDEN, Estoril_ R10_09-12-25.pdf</x:v>
      </x:c>
      <x:c r="O788" t="n">
        <x:v>36</x:v>
      </x:c>
    </x:row>
    <x:row r="789">
      <x:c r="A789" s="48" t="n">
        <x:v>45971</x:v>
      </x:c>
      <x:c r="B789" t="n">
        <x:v>6</x:v>
      </x:c>
      <x:c r="C789" t="str">
        <x:v>I2</x:v>
      </x:c>
      <x:c r="D789" t="n">
        <x:v>6</x:v>
      </x:c>
      <x:c r="E789" s="50" t="n">
        <x:v>11.5</x:v>
      </x:c>
      <x:c r="F789" s="50" t="n">
        <x:v>-72.45</x:v>
      </x:c>
      <x:c r="G789" s="50" t="n">
        <x:v>76.54</x:v>
      </x:c>
      <x:c r="H789" s="50" t="n">
        <x:v>6.69</x:v>
      </x:c>
      <x:c r="I789" s="50" t="n">
        <x:v>-16.76</x:v>
      </x:c>
      <x:c r="J789" s="50" t="n">
        <x:v>2.64</x:v>
      </x:c>
      <x:c r="K789" s="50" t="n">
        <x:v>-3.41</x:v>
      </x:c>
      <x:c r="L789" s="50" t="n">
        <x:v>4.31</x:v>
      </x:c>
      <x:c r="M789" s="50" t="n">
        <x:v>-0.19</x:v>
      </x:c>
      <x:c r="N789" t="str">
        <x:v>RELATÓRIO LEITURAS INCLINOMÉTRICAS - Empreitada THE EDEN, Estoril_ R10_09-12-25.pdf</x:v>
      </x:c>
      <x:c r="O789" t="n">
        <x:v>36</x:v>
      </x:c>
    </x:row>
    <x:row r="790">
      <x:c r="A790" s="48" t="n">
        <x:v>45971</x:v>
      </x:c>
      <x:c r="B790" t="n">
        <x:v>6</x:v>
      </x:c>
      <x:c r="C790" t="str">
        <x:v>I2</x:v>
      </x:c>
      <x:c r="D790" t="n">
        <x:v>6</x:v>
      </x:c>
      <x:c r="E790" s="50" t="n">
        <x:v>12</x:v>
      </x:c>
      <x:c r="F790" s="50" t="n">
        <x:v>-84.58</x:v>
      </x:c>
      <x:c r="G790" s="50" t="n">
        <x:v>97.33</x:v>
      </x:c>
      <x:c r="H790" s="50" t="n">
        <x:v>19.54</x:v>
      </x:c>
      <x:c r="I790" s="50" t="n">
        <x:v>-27.37</x:v>
      </x:c>
      <x:c r="J790" s="50" t="n">
        <x:v>2.35</x:v>
      </x:c>
      <x:c r="K790" s="50" t="n">
        <x:v>-3.27</x:v>
      </x:c>
      <x:c r="L790" s="50" t="n">
        <x:v>4.03</x:v>
      </x:c>
      <x:c r="M790" s="50" t="n">
        <x:v>-0.13</x:v>
      </x:c>
      <x:c r="N790" t="str">
        <x:v>RELATÓRIO LEITURAS INCLINOMÉTRICAS - Empreitada THE EDEN, Estoril_ R10_09-12-25.pdf</x:v>
      </x:c>
      <x:c r="O790" t="n">
        <x:v>36</x:v>
      </x:c>
    </x:row>
    <x:row r="791">
      <x:c r="A791" s="48" t="n">
        <x:v>45971</x:v>
      </x:c>
      <x:c r="B791" t="n">
        <x:v>6</x:v>
      </x:c>
      <x:c r="C791" t="str">
        <x:v>I2</x:v>
      </x:c>
      <x:c r="D791" t="n">
        <x:v>6</x:v>
      </x:c>
      <x:c r="E791" s="50" t="n">
        <x:v>12.5</x:v>
      </x:c>
      <x:c r="F791" s="50" t="n">
        <x:v>-43.06</x:v>
      </x:c>
      <x:c r="G791" s="50" t="n">
        <x:v>52.66</x:v>
      </x:c>
      <x:c r="H791" s="50" t="n">
        <x:v>16.78</x:v>
      </x:c>
      <x:c r="I791" s="50" t="n">
        <x:v>-21.46</x:v>
      </x:c>
      <x:c r="J791" s="50" t="n">
        <x:v>2.05</x:v>
      </x:c>
      <x:c r="K791" s="50" t="n">
        <x:v>-3.08</x:v>
      </x:c>
      <x:c r="L791" s="50" t="n">
        <x:v>3.7</x:v>
      </x:c>
      <x:c r="M791" s="50" t="n">
        <x:v>-0.11</x:v>
      </x:c>
      <x:c r="N791" t="str">
        <x:v>RELATÓRIO LEITURAS INCLINOMÉTRICAS - Empreitada THE EDEN, Estoril_ R10_09-12-25.pdf</x:v>
      </x:c>
      <x:c r="O791" t="n">
        <x:v>36</x:v>
      </x:c>
    </x:row>
    <x:row r="792">
      <x:c r="A792" s="48" t="n">
        <x:v>45971</x:v>
      </x:c>
      <x:c r="B792" t="n">
        <x:v>6</x:v>
      </x:c>
      <x:c r="C792" t="str">
        <x:v>I2</x:v>
      </x:c>
      <x:c r="D792" t="n">
        <x:v>6</x:v>
      </x:c>
      <x:c r="E792" s="50" t="n">
        <x:v>13</x:v>
      </x:c>
      <x:c r="F792" s="50" t="n">
        <x:v>-97.13</x:v>
      </x:c>
      <x:c r="G792" s="50" t="n">
        <x:v>105.27</x:v>
      </x:c>
      <x:c r="H792" s="50" t="n">
        <x:v>-40.57</x:v>
      </x:c>
      <x:c r="I792" s="50" t="n">
        <x:v>38.16</x:v>
      </x:c>
      <x:c r="J792" s="50" t="n">
        <x:v>1.89</x:v>
      </x:c>
      <x:c r="K792" s="50" t="n">
        <x:v>-2.94</x:v>
      </x:c>
      <x:c r="L792" s="50" t="n">
        <x:v>3.5</x:v>
      </x:c>
      <x:c r="M792" s="50" t="n">
        <x:v>-0.18</x:v>
      </x:c>
      <x:c r="N792" t="str">
        <x:v>RELATÓRIO LEITURAS INCLINOMÉTRICAS - Empreitada THE EDEN, Estoril_ R10_09-12-25.pdf</x:v>
      </x:c>
      <x:c r="O792" t="n">
        <x:v>36</x:v>
      </x:c>
    </x:row>
    <x:row r="793">
      <x:c r="A793" s="48" t="n">
        <x:v>45971</x:v>
      </x:c>
      <x:c r="B793" t="n">
        <x:v>6</x:v>
      </x:c>
      <x:c r="C793" t="str">
        <x:v>I2</x:v>
      </x:c>
      <x:c r="D793" t="n">
        <x:v>6</x:v>
      </x:c>
      <x:c r="E793" s="50" t="n">
        <x:v>13.5</x:v>
      </x:c>
      <x:c r="F793" s="50" t="n">
        <x:v>-262.55</x:v>
      </x:c>
      <x:c r="G793" s="50" t="n">
        <x:v>272.81</x:v>
      </x:c>
      <x:c r="H793" s="50" t="n">
        <x:v>-180.04</x:v>
      </x:c>
      <x:c r="I793" s="50" t="n">
        <x:v>182.53</x:v>
      </x:c>
      <x:c r="J793" s="50" t="n">
        <x:v>1.85</x:v>
      </x:c>
      <x:c r="K793" s="50" t="n">
        <x:v>-2.97</x:v>
      </x:c>
      <x:c r="L793" s="50" t="n">
        <x:v>3.5</x:v>
      </x:c>
      <x:c r="M793" s="50" t="n">
        <x:v>-0.17</x:v>
      </x:c>
      <x:c r="N793" t="str">
        <x:v>RELATÓRIO LEITURAS INCLINOMÉTRICAS - Empreitada THE EDEN, Estoril_ R10_09-12-25.pdf</x:v>
      </x:c>
      <x:c r="O793" t="n">
        <x:v>36</x:v>
      </x:c>
    </x:row>
    <x:row r="794">
      <x:c r="A794" s="48" t="n">
        <x:v>45971</x:v>
      </x:c>
      <x:c r="B794" t="n">
        <x:v>6</x:v>
      </x:c>
      <x:c r="C794" t="str">
        <x:v>I2</x:v>
      </x:c>
      <x:c r="D794" t="n">
        <x:v>6</x:v>
      </x:c>
      <x:c r="E794" s="50" t="n">
        <x:v>14</x:v>
      </x:c>
      <x:c r="F794" s="50" t="n">
        <x:v>-294.18</x:v>
      </x:c>
      <x:c r="G794" s="50" t="n">
        <x:v>303.91</x:v>
      </x:c>
      <x:c r="H794" s="50" t="n">
        <x:v>-293.98</x:v>
      </x:c>
      <x:c r="I794" s="50" t="n">
        <x:v>299.64</x:v>
      </x:c>
      <x:c r="J794" s="50" t="n">
        <x:v>1.85</x:v>
      </x:c>
      <x:c r="K794" s="50" t="n">
        <x:v>-3.01</x:v>
      </x:c>
      <x:c r="L794" s="50" t="n">
        <x:v>3.53</x:v>
      </x:c>
      <x:c r="M794" s="50" t="n">
        <x:v>-0.01</x:v>
      </x:c>
      <x:c r="N794" t="str">
        <x:v>RELATÓRIO LEITURAS INCLINOMÉTRICAS - Empreitada THE EDEN, Estoril_ R10_09-12-25.pdf</x:v>
      </x:c>
      <x:c r="O794" t="n">
        <x:v>36</x:v>
      </x:c>
    </x:row>
    <x:row r="795">
      <x:c r="A795" s="48" t="n">
        <x:v>45971</x:v>
      </x:c>
      <x:c r="B795" t="n">
        <x:v>6</x:v>
      </x:c>
      <x:c r="C795" t="str">
        <x:v>I2</x:v>
      </x:c>
      <x:c r="D795" t="n">
        <x:v>6</x:v>
      </x:c>
      <x:c r="E795" s="50" t="n">
        <x:v>14.5</x:v>
      </x:c>
      <x:c r="F795" s="50" t="n">
        <x:v>-262.58</x:v>
      </x:c>
      <x:c r="G795" s="50" t="n">
        <x:v>271.85</x:v>
      </x:c>
      <x:c r="H795" s="50" t="n">
        <x:v>-253.86</x:v>
      </x:c>
      <x:c r="I795" s="50" t="n">
        <x:v>253.21</x:v>
      </x:c>
      <x:c r="J795" s="50" t="n">
        <x:v>1.82</x:v>
      </x:c>
      <x:c r="K795" s="50" t="n">
        <x:v>-2.83</x:v>
      </x:c>
      <x:c r="L795" s="50" t="n">
        <x:v>3.36</x:v>
      </x:c>
      <x:c r="M795" s="50" t="n">
        <x:v>-0.01</x:v>
      </x:c>
      <x:c r="N795" t="str">
        <x:v>RELATÓRIO LEITURAS INCLINOMÉTRICAS - Empreitada THE EDEN, Estoril_ R10_09-12-25.pdf</x:v>
      </x:c>
      <x:c r="O795" t="n">
        <x:v>36</x:v>
      </x:c>
    </x:row>
    <x:row r="796">
      <x:c r="A796" s="48" t="n">
        <x:v>45971</x:v>
      </x:c>
      <x:c r="B796" t="n">
        <x:v>6</x:v>
      </x:c>
      <x:c r="C796" t="str">
        <x:v>I2</x:v>
      </x:c>
      <x:c r="D796" t="n">
        <x:v>6</x:v>
      </x:c>
      <x:c r="E796" s="50" t="n">
        <x:v>15</x:v>
      </x:c>
      <x:c r="F796" s="50" t="n">
        <x:v>-226.5</x:v>
      </x:c>
      <x:c r="G796" s="50" t="n">
        <x:v>237.22</x:v>
      </x:c>
      <x:c r="H796" s="50" t="n">
        <x:v>-202.51</x:v>
      </x:c>
      <x:c r="I796" s="50" t="n">
        <x:v>194.81</x:v>
      </x:c>
      <x:c r="J796" s="50" t="n">
        <x:v>1.7</x:v>
      </x:c>
      <x:c r="K796" s="50" t="n">
        <x:v>-2.73</x:v>
      </x:c>
      <x:c r="L796" s="50" t="n">
        <x:v>3.22</x:v>
      </x:c>
      <x:c r="M796" s="50" t="n">
        <x:v>0.02</x:v>
      </x:c>
      <x:c r="N796" t="str">
        <x:v>RELATÓRIO LEITURAS INCLINOMÉTRICAS - Empreitada THE EDEN, Estoril_ R10_09-12-25.pdf</x:v>
      </x:c>
      <x:c r="O796" t="n">
        <x:v>36</x:v>
      </x:c>
    </x:row>
    <x:row r="797">
      <x:c r="A797" s="48" t="n">
        <x:v>45971</x:v>
      </x:c>
      <x:c r="B797" t="n">
        <x:v>6</x:v>
      </x:c>
      <x:c r="C797" t="str">
        <x:v>I2</x:v>
      </x:c>
      <x:c r="D797" t="n">
        <x:v>6</x:v>
      </x:c>
      <x:c r="E797" s="50" t="n">
        <x:v>15.5</x:v>
      </x:c>
      <x:c r="F797" s="50" t="n">
        <x:v>-160.35</x:v>
      </x:c>
      <x:c r="G797" s="50" t="n">
        <x:v>166.39</x:v>
      </x:c>
      <x:c r="H797" s="50" t="n">
        <x:v>-187.66</x:v>
      </x:c>
      <x:c r="I797" s="50" t="n">
        <x:v>178.57</x:v>
      </x:c>
      <x:c r="J797" s="50" t="n">
        <x:v>1.59</x:v>
      </x:c>
      <x:c r="K797" s="50" t="n">
        <x:v>-2.65</x:v>
      </x:c>
      <x:c r="L797" s="50" t="n">
        <x:v>3.09</x:v>
      </x:c>
      <x:c r="M797" s="50" t="n">
        <x:v>0.03</x:v>
      </x:c>
      <x:c r="N797" t="str">
        <x:v>RELATÓRIO LEITURAS INCLINOMÉTRICAS - Empreitada THE EDEN, Estoril_ R10_09-12-25.pdf</x:v>
      </x:c>
      <x:c r="O797" t="n">
        <x:v>36</x:v>
      </x:c>
    </x:row>
    <x:row r="798">
      <x:c r="A798" s="48" t="n">
        <x:v>45971</x:v>
      </x:c>
      <x:c r="B798" t="n">
        <x:v>6</x:v>
      </x:c>
      <x:c r="C798" t="str">
        <x:v>I2</x:v>
      </x:c>
      <x:c r="D798" t="n">
        <x:v>6</x:v>
      </x:c>
      <x:c r="E798" s="50" t="n">
        <x:v>16</x:v>
      </x:c>
      <x:c r="F798" s="50" t="n">
        <x:v>-74.74</x:v>
      </x:c>
      <x:c r="G798" s="50" t="n">
        <x:v>82.56</x:v>
      </x:c>
      <x:c r="H798" s="50" t="n">
        <x:v>-162.29</x:v>
      </x:c>
      <x:c r="I798" s="50" t="n">
        <x:v>168.26</x:v>
      </x:c>
      <x:c r="J798" s="50" t="n">
        <x:v>1.53</x:v>
      </x:c>
      <x:c r="K798" s="50" t="n">
        <x:v>-2.53</x:v>
      </x:c>
      <x:c r="L798" s="50" t="n">
        <x:v>2.96</x:v>
      </x:c>
      <x:c r="M798" s="50" t="n">
        <x:v>0.03</x:v>
      </x:c>
      <x:c r="N798" t="str">
        <x:v>RELATÓRIO LEITURAS INCLINOMÉTRICAS - Empreitada THE EDEN, Estoril_ R10_09-12-25.pdf</x:v>
      </x:c>
      <x:c r="O798" t="n">
        <x:v>36</x:v>
      </x:c>
    </x:row>
    <x:row r="799">
      <x:c r="A799" s="48" t="n">
        <x:v>45971</x:v>
      </x:c>
      <x:c r="B799" t="n">
        <x:v>6</x:v>
      </x:c>
      <x:c r="C799" t="str">
        <x:v>I2</x:v>
      </x:c>
      <x:c r="D799" t="n">
        <x:v>6</x:v>
      </x:c>
      <x:c r="E799" s="50" t="n">
        <x:v>16.5</x:v>
      </x:c>
      <x:c r="F799" s="50" t="n">
        <x:v>109.59</x:v>
      </x:c>
      <x:c r="G799" s="50" t="n">
        <x:v>-102.2</x:v>
      </x:c>
      <x:c r="H799" s="50" t="n">
        <x:v>-104.17</x:v>
      </x:c>
      <x:c r="I799" s="50" t="n">
        <x:v>114.25</x:v>
      </x:c>
      <x:c r="J799" s="50" t="n">
        <x:v>1.45</x:v>
      </x:c>
      <x:c r="K799" s="50" t="n">
        <x:v>-2.38</x:v>
      </x:c>
      <x:c r="L799" s="50" t="n">
        <x:v>2.79</x:v>
      </x:c>
      <x:c r="M799" s="50" t="n">
        <x:v>0</x:v>
      </x:c>
      <x:c r="N799" t="str">
        <x:v>RELATÓRIO LEITURAS INCLINOMÉTRICAS - Empreitada THE EDEN, Estoril_ R10_09-12-25.pdf</x:v>
      </x:c>
      <x:c r="O799" t="n">
        <x:v>36</x:v>
      </x:c>
    </x:row>
    <x:row r="800">
      <x:c r="A800" s="48" t="n">
        <x:v>45971</x:v>
      </x:c>
      <x:c r="B800" t="n">
        <x:v>6</x:v>
      </x:c>
      <x:c r="C800" t="str">
        <x:v>I2</x:v>
      </x:c>
      <x:c r="D800" t="n">
        <x:v>6</x:v>
      </x:c>
      <x:c r="E800" s="50" t="n">
        <x:v>17</x:v>
      </x:c>
      <x:c r="F800" s="50" t="n">
        <x:v>269.65</x:v>
      </x:c>
      <x:c r="G800" s="50" t="n">
        <x:v>-260.63</x:v>
      </x:c>
      <x:c r="H800" s="50" t="n">
        <x:v>-60.5</x:v>
      </x:c>
      <x:c r="I800" s="50" t="n">
        <x:v>54.46</x:v>
      </x:c>
      <x:c r="J800" s="50" t="n">
        <x:v>1.38</x:v>
      </x:c>
      <x:c r="K800" s="50" t="n">
        <x:v>-2.35</x:v>
      </x:c>
      <x:c r="L800" s="50" t="n">
        <x:v>2.73</x:v>
      </x:c>
      <x:c r="M800" s="50" t="n">
        <x:v>-0.07</x:v>
      </x:c>
      <x:c r="N800" t="str">
        <x:v>RELATÓRIO LEITURAS INCLINOMÉTRICAS - Empreitada THE EDEN, Estoril_ R10_09-12-25.pdf</x:v>
      </x:c>
      <x:c r="O800" t="n">
        <x:v>36</x:v>
      </x:c>
    </x:row>
    <x:row r="801">
      <x:c r="A801" s="48" t="n">
        <x:v>45971</x:v>
      </x:c>
      <x:c r="B801" t="n">
        <x:v>6</x:v>
      </x:c>
      <x:c r="C801" t="str">
        <x:v>I2</x:v>
      </x:c>
      <x:c r="D801" t="n">
        <x:v>6</x:v>
      </x:c>
      <x:c r="E801" s="50" t="n">
        <x:v>17.5</x:v>
      </x:c>
      <x:c r="F801" s="50" t="n">
        <x:v>321.81</x:v>
      </x:c>
      <x:c r="G801" s="50" t="n">
        <x:v>-316.47</x:v>
      </x:c>
      <x:c r="H801" s="50" t="n">
        <x:v>-75.29</x:v>
      </x:c>
      <x:c r="I801" s="50" t="n">
        <x:v>62.93</x:v>
      </x:c>
      <x:c r="J801" s="50" t="n">
        <x:v>1.27</x:v>
      </x:c>
      <x:c r="K801" s="50" t="n">
        <x:v>-2.1</x:v>
      </x:c>
      <x:c r="L801" s="50" t="n">
        <x:v>2.45</x:v>
      </x:c>
      <x:c r="M801" s="50" t="n">
        <x:v>-0.14</x:v>
      </x:c>
      <x:c r="N801" t="str">
        <x:v>RELATÓRIO LEITURAS INCLINOMÉTRICAS - Empreitada THE EDEN, Estoril_ R10_09-12-25.pdf</x:v>
      </x:c>
      <x:c r="O801" t="n">
        <x:v>36</x:v>
      </x:c>
    </x:row>
    <x:row r="802">
      <x:c r="A802" s="48" t="n">
        <x:v>45971</x:v>
      </x:c>
      <x:c r="B802" t="n">
        <x:v>6</x:v>
      </x:c>
      <x:c r="C802" t="str">
        <x:v>I2</x:v>
      </x:c>
      <x:c r="D802" t="n">
        <x:v>6</x:v>
      </x:c>
      <x:c r="E802" s="50" t="n">
        <x:v>18</x:v>
      </x:c>
      <x:c r="F802" s="50" t="n">
        <x:v>392.24</x:v>
      </x:c>
      <x:c r="G802" s="50" t="n">
        <x:v>-382.59</x:v>
      </x:c>
      <x:c r="H802" s="50" t="n">
        <x:v>-98.7</x:v>
      </x:c>
      <x:c r="I802" s="50" t="n">
        <x:v>98.05</x:v>
      </x:c>
      <x:c r="J802" s="50" t="n">
        <x:v>1.17</x:v>
      </x:c>
      <x:c r="K802" s="50" t="n">
        <x:v>-1.98</x:v>
      </x:c>
      <x:c r="L802" s="50" t="n">
        <x:v>2.3</x:v>
      </x:c>
      <x:c r="M802" s="50" t="n">
        <x:v>-0.12</x:v>
      </x:c>
      <x:c r="N802" t="str">
        <x:v>RELATÓRIO LEITURAS INCLINOMÉTRICAS - Empreitada THE EDEN, Estoril_ R10_09-12-25.pdf</x:v>
      </x:c>
      <x:c r="O802" t="n">
        <x:v>36</x:v>
      </x:c>
    </x:row>
    <x:row r="803">
      <x:c r="A803" s="48" t="n">
        <x:v>45971</x:v>
      </x:c>
      <x:c r="B803" t="n">
        <x:v>6</x:v>
      </x:c>
      <x:c r="C803" t="str">
        <x:v>I2</x:v>
      </x:c>
      <x:c r="D803" t="n">
        <x:v>6</x:v>
      </x:c>
      <x:c r="E803" s="50" t="n">
        <x:v>18.5</x:v>
      </x:c>
      <x:c r="F803" s="50" t="n">
        <x:v>438.37</x:v>
      </x:c>
      <x:c r="G803" s="50" t="n">
        <x:v>-430.5</x:v>
      </x:c>
      <x:c r="H803" s="50" t="n">
        <x:v>-105.02</x:v>
      </x:c>
      <x:c r="I803" s="50" t="n">
        <x:v>113.05</x:v>
      </x:c>
      <x:c r="J803" s="50" t="n">
        <x:v>1.08</x:v>
      </x:c>
      <x:c r="K803" s="50" t="n">
        <x:v>-1.86</x:v>
      </x:c>
      <x:c r="L803" s="50" t="n">
        <x:v>2.15</x:v>
      </x:c>
      <x:c r="M803" s="50" t="n">
        <x:v>-0.14</x:v>
      </x:c>
      <x:c r="N803" t="str">
        <x:v>RELATÓRIO LEITURAS INCLINOMÉTRICAS - Empreitada THE EDEN, Estoril_ R10_09-12-25.pdf</x:v>
      </x:c>
      <x:c r="O803" t="n">
        <x:v>36</x:v>
      </x:c>
    </x:row>
    <x:row r="804">
      <x:c r="A804" s="48" t="n">
        <x:v>45971</x:v>
      </x:c>
      <x:c r="B804" t="n">
        <x:v>6</x:v>
      </x:c>
      <x:c r="C804" t="str">
        <x:v>I2</x:v>
      </x:c>
      <x:c r="D804" t="n">
        <x:v>6</x:v>
      </x:c>
      <x:c r="E804" s="50" t="n">
        <x:v>19</x:v>
      </x:c>
      <x:c r="F804" s="50" t="n">
        <x:v>444.44</x:v>
      </x:c>
      <x:c r="G804" s="50" t="n">
        <x:v>-438.77</x:v>
      </x:c>
      <x:c r="H804" s="50" t="n">
        <x:v>-122.01</x:v>
      </x:c>
      <x:c r="I804" s="50" t="n">
        <x:v>109.05</x:v>
      </x:c>
      <x:c r="J804" s="50" t="n">
        <x:v>1.05</x:v>
      </x:c>
      <x:c r="K804" s="50" t="n">
        <x:v>-1.67</x:v>
      </x:c>
      <x:c r="L804" s="50" t="n">
        <x:v>1.98</x:v>
      </x:c>
      <x:c r="M804" s="50" t="n">
        <x:v>-0.1</x:v>
      </x:c>
      <x:c r="N804" t="str">
        <x:v>RELATÓRIO LEITURAS INCLINOMÉTRICAS - Empreitada THE EDEN, Estoril_ R10_09-12-25.pdf</x:v>
      </x:c>
      <x:c r="O804" t="n">
        <x:v>36</x:v>
      </x:c>
    </x:row>
    <x:row r="805">
      <x:c r="A805" s="48" t="n">
        <x:v>45971</x:v>
      </x:c>
      <x:c r="B805" t="n">
        <x:v>6</x:v>
      </x:c>
      <x:c r="C805" t="str">
        <x:v>I2</x:v>
      </x:c>
      <x:c r="D805" t="n">
        <x:v>6</x:v>
      </x:c>
      <x:c r="E805" s="50" t="n">
        <x:v>19.5</x:v>
      </x:c>
      <x:c r="F805" s="50" t="n">
        <x:v>326.81</x:v>
      </x:c>
      <x:c r="G805" s="50" t="n">
        <x:v>-321.16</x:v>
      </x:c>
      <x:c r="H805" s="50" t="n">
        <x:v>-42.61</x:v>
      </x:c>
      <x:c r="I805" s="50" t="n">
        <x:v>50.92</x:v>
      </x:c>
      <x:c r="J805" s="50" t="n">
        <x:v>0.96</x:v>
      </x:c>
      <x:c r="K805" s="50" t="n">
        <x:v>-1.58</x:v>
      </x:c>
      <x:c r="L805" s="50" t="n">
        <x:v>1.84</x:v>
      </x:c>
      <x:c r="M805" s="50" t="n">
        <x:v>-0.11</x:v>
      </x:c>
      <x:c r="N805" t="str">
        <x:v>RELATÓRIO LEITURAS INCLINOMÉTRICAS - Empreitada THE EDEN, Estoril_ R10_09-12-25.pdf</x:v>
      </x:c>
      <x:c r="O805" t="n">
        <x:v>36</x:v>
      </x:c>
    </x:row>
    <x:row r="806">
      <x:c r="A806" s="48" t="n">
        <x:v>45971</x:v>
      </x:c>
      <x:c r="B806" t="n">
        <x:v>6</x:v>
      </x:c>
      <x:c r="C806" t="str">
        <x:v>I2</x:v>
      </x:c>
      <x:c r="D806" t="n">
        <x:v>6</x:v>
      </x:c>
      <x:c r="E806" s="50" t="n">
        <x:v>20</x:v>
      </x:c>
      <x:c r="F806" s="50" t="n">
        <x:v>191.88</x:v>
      </x:c>
      <x:c r="G806" s="50" t="n">
        <x:v>-183.64</x:v>
      </x:c>
      <x:c r="H806" s="50" t="n">
        <x:v>-0.05</x:v>
      </x:c>
      <x:c r="I806" s="50" t="n">
        <x:v>11.92</x:v>
      </x:c>
      <x:c r="J806" s="50" t="n">
        <x:v>0.9</x:v>
      </x:c>
      <x:c r="K806" s="50" t="n">
        <x:v>-1.51</x:v>
      </x:c>
      <x:c r="L806" s="50" t="n">
        <x:v>1.76</x:v>
      </x:c>
      <x:c r="M806" s="50" t="n">
        <x:v>-0.08</x:v>
      </x:c>
      <x:c r="N806" t="str">
        <x:v>RELATÓRIO LEITURAS INCLINOMÉTRICAS - Empreitada THE EDEN, Estoril_ R10_09-12-25.pdf</x:v>
      </x:c>
      <x:c r="O806" t="n">
        <x:v>36</x:v>
      </x:c>
    </x:row>
    <x:row r="807">
      <x:c r="A807" s="48" t="n">
        <x:v>45971</x:v>
      </x:c>
      <x:c r="B807" t="n">
        <x:v>6</x:v>
      </x:c>
      <x:c r="C807" t="str">
        <x:v>I2</x:v>
      </x:c>
      <x:c r="D807" t="n">
        <x:v>6</x:v>
      </x:c>
      <x:c r="E807" s="50" t="n">
        <x:v>20.5</x:v>
      </x:c>
      <x:c r="F807" s="50" t="n">
        <x:v>156.99</x:v>
      </x:c>
      <x:c r="G807" s="50" t="n">
        <x:v>-150.71</x:v>
      </x:c>
      <x:c r="H807" s="50" t="n">
        <x:v>-7.48</x:v>
      </x:c>
      <x:c r="I807" s="50" t="n">
        <x:v>15.51</x:v>
      </x:c>
      <x:c r="J807" s="50" t="n">
        <x:v>0.76</x:v>
      </x:c>
      <x:c r="K807" s="50" t="n">
        <x:v>-1.35</x:v>
      </x:c>
      <x:c r="L807" s="50" t="n">
        <x:v>1.55</x:v>
      </x:c>
      <x:c r="M807" s="50" t="n">
        <x:v>0.01</x:v>
      </x:c>
      <x:c r="N807" t="str">
        <x:v>RELATÓRIO LEITURAS INCLINOMÉTRICAS - Empreitada THE EDEN, Estoril_ R10_09-12-25.pdf</x:v>
      </x:c>
      <x:c r="O807" t="n">
        <x:v>36</x:v>
      </x:c>
    </x:row>
    <x:row r="808">
      <x:c r="A808" s="48" t="n">
        <x:v>45971</x:v>
      </x:c>
      <x:c r="B808" t="n">
        <x:v>6</x:v>
      </x:c>
      <x:c r="C808" t="str">
        <x:v>I2</x:v>
      </x:c>
      <x:c r="D808" t="n">
        <x:v>6</x:v>
      </x:c>
      <x:c r="E808" s="50" t="n">
        <x:v>21</x:v>
      </x:c>
      <x:c r="F808" s="50" t="n">
        <x:v>117</x:v>
      </x:c>
      <x:c r="G808" s="50" t="n">
        <x:v>-109.06</x:v>
      </x:c>
      <x:c r="H808" s="50" t="n">
        <x:v>-7.15</x:v>
      </x:c>
      <x:c r="I808" s="50" t="n">
        <x:v>20.14</x:v>
      </x:c>
      <x:c r="J808" s="50" t="n">
        <x:v>0.7</x:v>
      </x:c>
      <x:c r="K808" s="50" t="n">
        <x:v>-1.25</x:v>
      </x:c>
      <x:c r="L808" s="50" t="n">
        <x:v>1.43</x:v>
      </x:c>
      <x:c r="M808" s="50" t="n">
        <x:v>0.03</x:v>
      </x:c>
      <x:c r="N808" t="str">
        <x:v>RELATÓRIO LEITURAS INCLINOMÉTRICAS - Empreitada THE EDEN, Estoril_ R10_09-12-25.pdf</x:v>
      </x:c>
      <x:c r="O808" t="n">
        <x:v>36</x:v>
      </x:c>
    </x:row>
    <x:row r="809">
      <x:c r="A809" s="48" t="n">
        <x:v>45971</x:v>
      </x:c>
      <x:c r="B809" t="n">
        <x:v>6</x:v>
      </x:c>
      <x:c r="C809" t="str">
        <x:v>I2</x:v>
      </x:c>
      <x:c r="D809" t="n">
        <x:v>6</x:v>
      </x:c>
      <x:c r="E809" s="50" t="n">
        <x:v>21.5</x:v>
      </x:c>
      <x:c r="F809" s="50" t="n">
        <x:v>-12.09</x:v>
      </x:c>
      <x:c r="G809" s="50" t="n">
        <x:v>20.88</x:v>
      </x:c>
      <x:c r="H809" s="50" t="n">
        <x:v>-17.98</x:v>
      </x:c>
      <x:c r="I809" s="50" t="n">
        <x:v>21.08</x:v>
      </x:c>
      <x:c r="J809" s="50" t="n">
        <x:v>0.53</x:v>
      </x:c>
      <x:c r="K809" s="50" t="n">
        <x:v>-1.38</x:v>
      </x:c>
      <x:c r="L809" s="50" t="n">
        <x:v>1.48</x:v>
      </x:c>
      <x:c r="M809" s="50" t="n">
        <x:v>0.11</x:v>
      </x:c>
      <x:c r="N809" t="str">
        <x:v>RELATÓRIO LEITURAS INCLINOMÉTRICAS - Empreitada THE EDEN, Estoril_ R10_09-12-25.pdf</x:v>
      </x:c>
      <x:c r="O809" t="n">
        <x:v>36</x:v>
      </x:c>
    </x:row>
    <x:row r="810">
      <x:c r="A810" s="48" t="n">
        <x:v>45971</x:v>
      </x:c>
      <x:c r="B810" t="n">
        <x:v>6</x:v>
      </x:c>
      <x:c r="C810" t="str">
        <x:v>I2</x:v>
      </x:c>
      <x:c r="D810" t="n">
        <x:v>6</x:v>
      </x:c>
      <x:c r="E810" s="50" t="n">
        <x:v>22</x:v>
      </x:c>
      <x:c r="F810" s="50" t="n">
        <x:v>-57.43</x:v>
      </x:c>
      <x:c r="G810" s="50" t="n">
        <x:v>64.78</x:v>
      </x:c>
      <x:c r="H810" s="50" t="n">
        <x:v>-12.96</x:v>
      </x:c>
      <x:c r="I810" s="50" t="n">
        <x:v>26.35</x:v>
      </x:c>
      <x:c r="J810" s="50" t="n">
        <x:v>0.5</x:v>
      </x:c>
      <x:c r="K810" s="50" t="n">
        <x:v>-1.16</x:v>
      </x:c>
      <x:c r="L810" s="50" t="n">
        <x:v>1.26</x:v>
      </x:c>
      <x:c r="M810" s="50" t="n">
        <x:v>0.06</x:v>
      </x:c>
      <x:c r="N810" t="str">
        <x:v>RELATÓRIO LEITURAS INCLINOMÉTRICAS - Empreitada THE EDEN, Estoril_ R10_09-12-25.pdf</x:v>
      </x:c>
      <x:c r="O810" t="n">
        <x:v>36</x:v>
      </x:c>
    </x:row>
    <x:row r="811">
      <x:c r="A811" s="48" t="n">
        <x:v>45971</x:v>
      </x:c>
      <x:c r="B811" t="n">
        <x:v>6</x:v>
      </x:c>
      <x:c r="C811" t="str">
        <x:v>I2</x:v>
      </x:c>
      <x:c r="D811" t="n">
        <x:v>6</x:v>
      </x:c>
      <x:c r="E811" s="50" t="n">
        <x:v>22.5</x:v>
      </x:c>
      <x:c r="F811" s="50" t="n">
        <x:v>-44.61</x:v>
      </x:c>
      <x:c r="G811" s="50" t="n">
        <x:v>53.8</x:v>
      </x:c>
      <x:c r="H811" s="50" t="n">
        <x:v>-104.31</x:v>
      </x:c>
      <x:c r="I811" s="50" t="n">
        <x:v>123.61</x:v>
      </x:c>
      <x:c r="J811" s="50" t="n">
        <x:v>0.48</x:v>
      </x:c>
      <x:c r="K811" s="50" t="n">
        <x:v>-1.17</x:v>
      </x:c>
      <x:c r="L811" s="50" t="n">
        <x:v>1.26</x:v>
      </x:c>
      <x:c r="M811" s="50" t="n">
        <x:v>0.03</x:v>
      </x:c>
      <x:c r="N811" t="str">
        <x:v>RELATÓRIO LEITURAS INCLINOMÉTRICAS - Empreitada THE EDEN, Estoril_ R10_09-12-25.pdf</x:v>
      </x:c>
      <x:c r="O811" t="n">
        <x:v>36</x:v>
      </x:c>
    </x:row>
    <x:row r="812">
      <x:c r="A812" s="48" t="n">
        <x:v>45971</x:v>
      </x:c>
      <x:c r="B812" t="n">
        <x:v>6</x:v>
      </x:c>
      <x:c r="C812" t="str">
        <x:v>I2</x:v>
      </x:c>
      <x:c r="D812" t="n">
        <x:v>6</x:v>
      </x:c>
      <x:c r="E812" s="50" t="n">
        <x:v>23</x:v>
      </x:c>
      <x:c r="F812" s="50" t="n">
        <x:v>-58.03</x:v>
      </x:c>
      <x:c r="G812" s="50" t="n">
        <x:v>63.17</x:v>
      </x:c>
      <x:c r="H812" s="50" t="n">
        <x:v>-155.73</x:v>
      </x:c>
      <x:c r="I812" s="50" t="n">
        <x:v>160.15</x:v>
      </x:c>
      <x:c r="J812" s="50" t="n">
        <x:v>0.44</x:v>
      </x:c>
      <x:c r="K812" s="50" t="n">
        <x:v>-0.97</x:v>
      </x:c>
      <x:c r="L812" s="50" t="n">
        <x:v>1.06</x:v>
      </x:c>
      <x:c r="M812" s="50" t="n">
        <x:v>-0.07</x:v>
      </x:c>
      <x:c r="N812" t="str">
        <x:v>RELATÓRIO LEITURAS INCLINOMÉTRICAS - Empreitada THE EDEN, Estoril_ R10_09-12-25.pdf</x:v>
      </x:c>
      <x:c r="O812" t="n">
        <x:v>36</x:v>
      </x:c>
    </x:row>
    <x:row r="813">
      <x:c r="A813" s="48" t="n">
        <x:v>45971</x:v>
      </x:c>
      <x:c r="B813" t="n">
        <x:v>6</x:v>
      </x:c>
      <x:c r="C813" t="str">
        <x:v>I2</x:v>
      </x:c>
      <x:c r="D813" t="n">
        <x:v>6</x:v>
      </x:c>
      <x:c r="E813" s="50" t="n">
        <x:v>23.5</x:v>
      </x:c>
      <x:c r="F813" s="50" t="n">
        <x:v>-122.4</x:v>
      </x:c>
      <x:c r="G813" s="50" t="n">
        <x:v>134.28</x:v>
      </x:c>
      <x:c r="H813" s="50" t="n">
        <x:v>-190.76</x:v>
      </x:c>
      <x:c r="I813" s="50" t="n">
        <x:v>211.81</x:v>
      </x:c>
      <x:c r="J813" s="50" t="n">
        <x:v>0.38</x:v>
      </x:c>
      <x:c r="K813" s="50" t="n">
        <x:v>-0.8</x:v>
      </x:c>
      <x:c r="L813" s="50" t="n">
        <x:v>0.89</x:v>
      </x:c>
      <x:c r="M813" s="50" t="n">
        <x:v>0.07</x:v>
      </x:c>
      <x:c r="N813" t="str">
        <x:v>RELATÓRIO LEITURAS INCLINOMÉTRICAS - Empreitada THE EDEN, Estoril_ R10_09-12-25.pdf</x:v>
      </x:c>
      <x:c r="O813" t="n">
        <x:v>36</x:v>
      </x:c>
    </x:row>
    <x:row r="814">
      <x:c r="A814" s="48" t="n">
        <x:v>45971</x:v>
      </x:c>
      <x:c r="B814" t="n">
        <x:v>6</x:v>
      </x:c>
      <x:c r="C814" t="str">
        <x:v>I2</x:v>
      </x:c>
      <x:c r="D814" t="n">
        <x:v>6</x:v>
      </x:c>
      <x:c r="E814" s="50" t="n">
        <x:v>24</x:v>
      </x:c>
      <x:c r="F814" s="50" t="n">
        <x:v>-156.53</x:v>
      </x:c>
      <x:c r="G814" s="50" t="n">
        <x:v>164.41</x:v>
      </x:c>
      <x:c r="H814" s="50" t="n">
        <x:v>-262.01</x:v>
      </x:c>
      <x:c r="I814" s="50" t="n">
        <x:v>258.82</x:v>
      </x:c>
      <x:c r="J814" s="50" t="n">
        <x:v>0.38</x:v>
      </x:c>
      <x:c r="K814" s="50" t="n">
        <x:v>-0.75</x:v>
      </x:c>
      <x:c r="L814" s="50" t="n">
        <x:v>0.84</x:v>
      </x:c>
      <x:c r="M814" s="50" t="n">
        <x:v>0.01</x:v>
      </x:c>
      <x:c r="N814" t="str">
        <x:v>RELATÓRIO LEITURAS INCLINOMÉTRICAS - Empreitada THE EDEN, Estoril_ R10_09-12-25.pdf</x:v>
      </x:c>
      <x:c r="O814" t="n">
        <x:v>36</x:v>
      </x:c>
    </x:row>
    <x:row r="815">
      <x:c r="A815" s="48" t="n">
        <x:v>45971</x:v>
      </x:c>
      <x:c r="B815" t="n">
        <x:v>6</x:v>
      </x:c>
      <x:c r="C815" t="str">
        <x:v>I2</x:v>
      </x:c>
      <x:c r="D815" t="n">
        <x:v>6</x:v>
      </x:c>
      <x:c r="E815" s="50" t="n">
        <x:v>24.5</x:v>
      </x:c>
      <x:c r="F815" s="50" t="n">
        <x:v>-52.82</x:v>
      </x:c>
      <x:c r="G815" s="50" t="n">
        <x:v>57.16</x:v>
      </x:c>
      <x:c r="H815" s="50" t="n">
        <x:v>-246.4</x:v>
      </x:c>
      <x:c r="I815" s="50" t="n">
        <x:v>238.14</x:v>
      </x:c>
      <x:c r="J815" s="50" t="n">
        <x:v>0.36</x:v>
      </x:c>
      <x:c r="K815" s="50" t="n">
        <x:v>-0.77</x:v>
      </x:c>
      <x:c r="L815" s="50" t="n">
        <x:v>0.85</x:v>
      </x:c>
      <x:c r="M815" s="50" t="n">
        <x:v>0.08</x:v>
      </x:c>
      <x:c r="N815" t="str">
        <x:v>RELATÓRIO LEITURAS INCLINOMÉTRICAS - Empreitada THE EDEN, Estoril_ R10_09-12-25.pdf</x:v>
      </x:c>
      <x:c r="O815" t="n">
        <x:v>36</x:v>
      </x:c>
    </x:row>
    <x:row r="816">
      <x:c r="A816" s="48" t="n">
        <x:v>45971</x:v>
      </x:c>
      <x:c r="B816" t="n">
        <x:v>6</x:v>
      </x:c>
      <x:c r="C816" t="str">
        <x:v>I2</x:v>
      </x:c>
      <x:c r="D816" t="n">
        <x:v>6</x:v>
      </x:c>
      <x:c r="E816" s="50" t="n">
        <x:v>25</x:v>
      </x:c>
      <x:c r="F816" s="50" t="n">
        <x:v>43.25</x:v>
      </x:c>
      <x:c r="G816" s="50" t="n">
        <x:v>-35.19</x:v>
      </x:c>
      <x:c r="H816" s="50" t="n">
        <x:v>-230.06</x:v>
      </x:c>
      <x:c r="I816" s="50" t="n">
        <x:v>219.6</x:v>
      </x:c>
      <x:c r="J816" s="50" t="n">
        <x:v>0.29</x:v>
      </x:c>
      <x:c r="K816" s="50" t="n">
        <x:v>-0.79</x:v>
      </x:c>
      <x:c r="L816" s="50" t="n">
        <x:v>0.84</x:v>
      </x:c>
      <x:c r="M816" s="50" t="n">
        <x:v>0.09</x:v>
      </x:c>
      <x:c r="N816" t="str">
        <x:v>RELATÓRIO LEITURAS INCLINOMÉTRICAS - Empreitada THE EDEN, Estoril_ R10_09-12-25.pdf</x:v>
      </x:c>
      <x:c r="O816" t="n">
        <x:v>36</x:v>
      </x:c>
    </x:row>
    <x:row r="817">
      <x:c r="A817" s="48" t="n">
        <x:v>45971</x:v>
      </x:c>
      <x:c r="B817" t="n">
        <x:v>6</x:v>
      </x:c>
      <x:c r="C817" t="str">
        <x:v>I2</x:v>
      </x:c>
      <x:c r="D817" t="n">
        <x:v>6</x:v>
      </x:c>
      <x:c r="E817" s="50" t="n">
        <x:v>25.5</x:v>
      </x:c>
      <x:c r="F817" s="50" t="n">
        <x:v>100.45</x:v>
      </x:c>
      <x:c r="G817" s="50" t="n">
        <x:v>-92.88</x:v>
      </x:c>
      <x:c r="H817" s="50" t="n">
        <x:v>-183.63</x:v>
      </x:c>
      <x:c r="I817" s="50" t="n">
        <x:v>193.39</x:v>
      </x:c>
      <x:c r="J817" s="50" t="n">
        <x:v>0.21</x:v>
      </x:c>
      <x:c r="K817" s="50" t="n">
        <x:v>-0.6</x:v>
      </x:c>
      <x:c r="L817" s="50" t="n">
        <x:v>0.64</x:v>
      </x:c>
      <x:c r="M817" s="50" t="n">
        <x:v>0.09</x:v>
      </x:c>
      <x:c r="N817" t="str">
        <x:v>RELATÓRIO LEITURAS INCLINOMÉTRICAS - Empreitada THE EDEN, Estoril_ R10_09-12-25.pdf</x:v>
      </x:c>
      <x:c r="O817" t="n">
        <x:v>36</x:v>
      </x:c>
    </x:row>
    <x:row r="818">
      <x:c r="A818" s="48" t="n">
        <x:v>45971</x:v>
      </x:c>
      <x:c r="B818" t="n">
        <x:v>6</x:v>
      </x:c>
      <x:c r="C818" t="str">
        <x:v>I2</x:v>
      </x:c>
      <x:c r="D818" t="n">
        <x:v>6</x:v>
      </x:c>
      <x:c r="E818" s="50" t="n">
        <x:v>26</x:v>
      </x:c>
      <x:c r="F818" s="50" t="n">
        <x:v>146.29</x:v>
      </x:c>
      <x:c r="G818" s="50" t="n">
        <x:v>-136.69</x:v>
      </x:c>
      <x:c r="H818" s="50" t="n">
        <x:v>-234.44</x:v>
      </x:c>
      <x:c r="I818" s="50" t="n">
        <x:v>242.66</x:v>
      </x:c>
      <x:c r="J818" s="50" t="n">
        <x:v>0.16</x:v>
      </x:c>
      <x:c r="K818" s="50" t="n">
        <x:v>-0.13</x:v>
      </x:c>
      <x:c r="L818" s="50" t="n">
        <x:v>0.2</x:v>
      </x:c>
      <x:c r="M818" s="50" t="n">
        <x:v>-0.04</x:v>
      </x:c>
      <x:c r="N818" t="str">
        <x:v>RELATÓRIO LEITURAS INCLINOMÉTRICAS - Empreitada THE EDEN, Estoril_ R10_09-12-25.pdf</x:v>
      </x:c>
      <x:c r="O818" t="n">
        <x:v>36</x:v>
      </x:c>
    </x:row>
    <x:row r="819">
      <x:c r="A819" s="48" t="n">
        <x:v>45971</x:v>
      </x:c>
      <x:c r="B819" t="n">
        <x:v>6</x:v>
      </x:c>
      <x:c r="C819" t="str">
        <x:v>I2</x:v>
      </x:c>
      <x:c r="D819" t="n">
        <x:v>6</x:v>
      </x:c>
      <x:c r="E819" s="50" t="n">
        <x:v>26.5</x:v>
      </x:c>
      <x:c r="F819" s="50" t="n">
        <x:v>150.41</x:v>
      </x:c>
      <x:c r="G819" s="50" t="n">
        <x:v>-143.29</x:v>
      </x:c>
      <x:c r="H819" s="50" t="n">
        <x:v>-256.68</x:v>
      </x:c>
      <x:c r="I819" s="50" t="n">
        <x:v>258.03</x:v>
      </x:c>
      <x:c r="J819" s="50" t="n">
        <x:v>0.09</x:v>
      </x:c>
      <x:c r="K819" s="50" t="n">
        <x:v>0.04</x:v>
      </x:c>
      <x:c r="L819" s="50" t="n">
        <x:v>0.1</x:v>
      </x:c>
      <x:c r="M819" s="50" t="n">
        <x:v>-0.04</x:v>
      </x:c>
      <x:c r="N819" t="str">
        <x:v>RELATÓRIO LEITURAS INCLINOMÉTRICAS - Empreitada THE EDEN, Estoril_ R10_09-12-25.pdf</x:v>
      </x:c>
      <x:c r="O819" t="n">
        <x:v>36</x:v>
      </x:c>
    </x:row>
    <x:row r="820">
      <x:c r="A820" s="48" t="n">
        <x:v>45978</x:v>
      </x:c>
      <x:c r="B820" t="n">
        <x:v>7</x:v>
      </x:c>
      <x:c r="C820" t="str">
        <x:v>I1</x:v>
      </x:c>
      <x:c r="D820" t="n">
        <x:v>7</x:v>
      </x:c>
      <x:c r="E820" s="50" t="n">
        <x:v>0.5</x:v>
      </x:c>
      <x:c r="F820" s="50" t="n">
        <x:v>-378.7</x:v>
      </x:c>
      <x:c r="G820" s="50" t="n">
        <x:v>377.21</x:v>
      </x:c>
      <x:c r="H820" s="50" t="n">
        <x:v>-816.15</x:v>
      </x:c>
      <x:c r="I820" s="50" t="n">
        <x:v>836.78</x:v>
      </x:c>
      <x:c r="J820" s="50" t="n">
        <x:v>0.26</x:v>
      </x:c>
      <x:c r="K820" s="50" t="n">
        <x:v>2.73</x:v>
      </x:c>
      <x:c r="L820" s="50" t="n">
        <x:v>2.75</x:v>
      </x:c>
      <x:c r="M820" s="50" t="n">
        <x:v>0.95</x:v>
      </x:c>
      <x:c r="N820" t="str">
        <x:v>RELATÓRIO LEITURAS INCLINOMÉTRICAS - Empreitada THE EDEN, Estoril_ R10_09-12-25.pdf</x:v>
      </x:c>
      <x:c r="O820" t="n">
        <x:v>18</x:v>
      </x:c>
    </x:row>
    <x:row r="821">
      <x:c r="A821" s="48" t="n">
        <x:v>45978</x:v>
      </x:c>
      <x:c r="B821" t="n">
        <x:v>7</x:v>
      </x:c>
      <x:c r="C821" t="str">
        <x:v>I1</x:v>
      </x:c>
      <x:c r="D821" t="n">
        <x:v>7</x:v>
      </x:c>
      <x:c r="E821" s="50" t="n">
        <x:v>1</x:v>
      </x:c>
      <x:c r="F821" s="50" t="n">
        <x:v>-379.18</x:v>
      </x:c>
      <x:c r="G821" s="50" t="n">
        <x:v>377.62</x:v>
      </x:c>
      <x:c r="H821" s="50" t="n">
        <x:v>-815.98</x:v>
      </x:c>
      <x:c r="I821" s="50" t="n">
        <x:v>836.96</x:v>
      </x:c>
      <x:c r="J821" s="50" t="n">
        <x:v>0.89</x:v>
      </x:c>
      <x:c r="K821" s="50" t="n">
        <x:v>4.09</x:v>
      </x:c>
      <x:c r="L821" s="50" t="n">
        <x:v>4.18</x:v>
      </x:c>
      <x:c r="M821" s="50" t="n">
        <x:v>1.3</x:v>
      </x:c>
      <x:c r="N821" t="str">
        <x:v>RELATÓRIO LEITURAS INCLINOMÉTRICAS - Empreitada THE EDEN, Estoril_ R10_09-12-25.pdf</x:v>
      </x:c>
      <x:c r="O821" t="n">
        <x:v>18</x:v>
      </x:c>
    </x:row>
    <x:row r="822">
      <x:c r="A822" s="48" t="n">
        <x:v>45978</x:v>
      </x:c>
      <x:c r="B822" t="n">
        <x:v>7</x:v>
      </x:c>
      <x:c r="C822" t="str">
        <x:v>I1</x:v>
      </x:c>
      <x:c r="D822" t="n">
        <x:v>7</x:v>
      </x:c>
      <x:c r="E822" s="50" t="n">
        <x:v>1.5</x:v>
      </x:c>
      <x:c r="F822" s="50" t="n">
        <x:v>-7.28</x:v>
      </x:c>
      <x:c r="G822" s="50" t="n">
        <x:v>19.33</x:v>
      </x:c>
      <x:c r="H822" s="50" t="n">
        <x:v>-281.37</x:v>
      </x:c>
      <x:c r="I822" s="50" t="n">
        <x:v>290.63</x:v>
      </x:c>
      <x:c r="J822" s="50" t="n">
        <x:v>1.57</x:v>
      </x:c>
      <x:c r="K822" s="50" t="n">
        <x:v>5.03</x:v>
      </x:c>
      <x:c r="L822" s="50" t="n">
        <x:v>5.27</x:v>
      </x:c>
      <x:c r="M822" s="50" t="n">
        <x:v>1.6</x:v>
      </x:c>
      <x:c r="N822" t="str">
        <x:v>RELATÓRIO LEITURAS INCLINOMÉTRICAS - Empreitada THE EDEN, Estoril_ R10_09-12-25.pdf</x:v>
      </x:c>
      <x:c r="O822" t="n">
        <x:v>18</x:v>
      </x:c>
    </x:row>
    <x:row r="823">
      <x:c r="A823" s="48" t="n">
        <x:v>45978</x:v>
      </x:c>
      <x:c r="B823" t="n">
        <x:v>7</x:v>
      </x:c>
      <x:c r="C823" t="str">
        <x:v>I1</x:v>
      </x:c>
      <x:c r="D823" t="n">
        <x:v>7</x:v>
      </x:c>
      <x:c r="E823" s="50" t="n">
        <x:v>2</x:v>
      </x:c>
      <x:c r="F823" s="50" t="n">
        <x:v>14.02</x:v>
      </x:c>
      <x:c r="G823" s="50" t="n">
        <x:v>-5.39</x:v>
      </x:c>
      <x:c r="H823" s="50" t="n">
        <x:v>-240.25</x:v>
      </x:c>
      <x:c r="I823" s="50" t="n">
        <x:v>240.78</x:v>
      </x:c>
      <x:c r="J823" s="50" t="n">
        <x:v>1.42</x:v>
      </x:c>
      <x:c r="K823" s="50" t="n">
        <x:v>4.86</x:v>
      </x:c>
      <x:c r="L823" s="50" t="n">
        <x:v>5.06</x:v>
      </x:c>
      <x:c r="M823" s="50" t="n">
        <x:v>1.39</x:v>
      </x:c>
      <x:c r="N823" t="str">
        <x:v>RELATÓRIO LEITURAS INCLINOMÉTRICAS - Empreitada THE EDEN, Estoril_ R10_09-12-25.pdf</x:v>
      </x:c>
      <x:c r="O823" t="n">
        <x:v>18</x:v>
      </x:c>
    </x:row>
    <x:row r="824">
      <x:c r="A824" s="48" t="n">
        <x:v>45978</x:v>
      </x:c>
      <x:c r="B824" t="n">
        <x:v>7</x:v>
      </x:c>
      <x:c r="C824" t="str">
        <x:v>I1</x:v>
      </x:c>
      <x:c r="D824" t="n">
        <x:v>7</x:v>
      </x:c>
      <x:c r="E824" s="50" t="n">
        <x:v>2.5</x:v>
      </x:c>
      <x:c r="F824" s="50" t="n">
        <x:v>32.12</x:v>
      </x:c>
      <x:c r="G824" s="50" t="n">
        <x:v>-24.14</x:v>
      </x:c>
      <x:c r="H824" s="50" t="n">
        <x:v>-214.67</x:v>
      </x:c>
      <x:c r="I824" s="50" t="n">
        <x:v>218.05</x:v>
      </x:c>
      <x:c r="J824" s="50" t="n">
        <x:v>1.93</x:v>
      </x:c>
      <x:c r="K824" s="50" t="n">
        <x:v>4.8</x:v>
      </x:c>
      <x:c r="L824" s="50" t="n">
        <x:v>5.17</x:v>
      </x:c>
      <x:c r="M824" s="50" t="n">
        <x:v>1.1</x:v>
      </x:c>
      <x:c r="N824" t="str">
        <x:v>RELATÓRIO LEITURAS INCLINOMÉTRICAS - Empreitada THE EDEN, Estoril_ R10_09-12-25.pdf</x:v>
      </x:c>
      <x:c r="O824" t="n">
        <x:v>18</x:v>
      </x:c>
    </x:row>
    <x:row r="825">
      <x:c r="A825" s="48" t="n">
        <x:v>45978</x:v>
      </x:c>
      <x:c r="B825" t="n">
        <x:v>7</x:v>
      </x:c>
      <x:c r="C825" t="str">
        <x:v>I1</x:v>
      </x:c>
      <x:c r="D825" t="n">
        <x:v>7</x:v>
      </x:c>
      <x:c r="E825" s="50" t="n">
        <x:v>3</x:v>
      </x:c>
      <x:c r="F825" s="50" t="n">
        <x:v>11.61</x:v>
      </x:c>
      <x:c r="G825" s="50" t="n">
        <x:v>-0.75</x:v>
      </x:c>
      <x:c r="H825" s="50" t="n">
        <x:v>-154.35</x:v>
      </x:c>
      <x:c r="I825" s="50" t="n">
        <x:v>172.8</x:v>
      </x:c>
      <x:c r="J825" s="50" t="n">
        <x:v>2.17</x:v>
      </x:c>
      <x:c r="K825" s="50" t="n">
        <x:v>4.66</x:v>
      </x:c>
      <x:c r="L825" s="50" t="n">
        <x:v>5.15</x:v>
      </x:c>
      <x:c r="M825" s="50" t="n">
        <x:v>0.99</x:v>
      </x:c>
      <x:c r="N825" t="str">
        <x:v>RELATÓRIO LEITURAS INCLINOMÉTRICAS - Empreitada THE EDEN, Estoril_ R10_09-12-25.pdf</x:v>
      </x:c>
      <x:c r="O825" t="n">
        <x:v>18</x:v>
      </x:c>
    </x:row>
    <x:row r="826">
      <x:c r="A826" s="48" t="n">
        <x:v>45978</x:v>
      </x:c>
      <x:c r="B826" t="n">
        <x:v>7</x:v>
      </x:c>
      <x:c r="C826" t="str">
        <x:v>I1</x:v>
      </x:c>
      <x:c r="D826" t="n">
        <x:v>7</x:v>
      </x:c>
      <x:c r="E826" s="50" t="n">
        <x:v>3.5</x:v>
      </x:c>
      <x:c r="F826" s="50" t="n">
        <x:v>-7.31</x:v>
      </x:c>
      <x:c r="G826" s="50" t="n">
        <x:v>16.95</x:v>
      </x:c>
      <x:c r="H826" s="50" t="n">
        <x:v>-95.05</x:v>
      </x:c>
      <x:c r="I826" s="50" t="n">
        <x:v>109.28</x:v>
      </x:c>
      <x:c r="J826" s="50" t="n">
        <x:v>2.26</x:v>
      </x:c>
      <x:c r="K826" s="50" t="n">
        <x:v>4.46</x:v>
      </x:c>
      <x:c r="L826" s="50" t="n">
        <x:v>5</x:v>
      </x:c>
      <x:c r="M826" s="50" t="n">
        <x:v>0.87</x:v>
      </x:c>
      <x:c r="N826" t="str">
        <x:v>RELATÓRIO LEITURAS INCLINOMÉTRICAS - Empreitada THE EDEN, Estoril_ R10_09-12-25.pdf</x:v>
      </x:c>
      <x:c r="O826" t="n">
        <x:v>18</x:v>
      </x:c>
    </x:row>
    <x:row r="827">
      <x:c r="A827" s="48" t="n">
        <x:v>45978</x:v>
      </x:c>
      <x:c r="B827" t="n">
        <x:v>7</x:v>
      </x:c>
      <x:c r="C827" t="str">
        <x:v>I1</x:v>
      </x:c>
      <x:c r="D827" t="n">
        <x:v>7</x:v>
      </x:c>
      <x:c r="E827" s="50" t="n">
        <x:v>4</x:v>
      </x:c>
      <x:c r="F827" s="50" t="n">
        <x:v>61.88</x:v>
      </x:c>
      <x:c r="G827" s="50" t="n">
        <x:v>-52.49</x:v>
      </x:c>
      <x:c r="H827" s="50" t="n">
        <x:v>-81.4</x:v>
      </x:c>
      <x:c r="I827" s="50" t="n">
        <x:v>69.01</x:v>
      </x:c>
      <x:c r="J827" s="50" t="n">
        <x:v>2.29</x:v>
      </x:c>
      <x:c r="K827" s="50" t="n">
        <x:v>4.53</x:v>
      </x:c>
      <x:c r="L827" s="50" t="n">
        <x:v>5.08</x:v>
      </x:c>
      <x:c r="M827" s="50" t="n">
        <x:v>0.9</x:v>
      </x:c>
      <x:c r="N827" t="str">
        <x:v>RELATÓRIO LEITURAS INCLINOMÉTRICAS - Empreitada THE EDEN, Estoril_ R10_09-12-25.pdf</x:v>
      </x:c>
      <x:c r="O827" t="n">
        <x:v>18</x:v>
      </x:c>
    </x:row>
    <x:row r="828">
      <x:c r="A828" s="48" t="n">
        <x:v>45978</x:v>
      </x:c>
      <x:c r="B828" t="n">
        <x:v>7</x:v>
      </x:c>
      <x:c r="C828" t="str">
        <x:v>I1</x:v>
      </x:c>
      <x:c r="D828" t="n">
        <x:v>7</x:v>
      </x:c>
      <x:c r="E828" s="50" t="n">
        <x:v>4.5</x:v>
      </x:c>
      <x:c r="F828" s="50" t="n">
        <x:v>59.51</x:v>
      </x:c>
      <x:c r="G828" s="50" t="n">
        <x:v>-50.44</x:v>
      </x:c>
      <x:c r="H828" s="50" t="n">
        <x:v>-46.89</x:v>
      </x:c>
      <x:c r="I828" s="50" t="n">
        <x:v>46.79</x:v>
      </x:c>
      <x:c r="J828" s="50" t="n">
        <x:v>2.35</x:v>
      </x:c>
      <x:c r="K828" s="50" t="n">
        <x:v>4.4</x:v>
      </x:c>
      <x:c r="L828" s="50" t="n">
        <x:v>4.99</x:v>
      </x:c>
      <x:c r="M828" s="50" t="n">
        <x:v>0.96</x:v>
      </x:c>
      <x:c r="N828" t="str">
        <x:v>RELATÓRIO LEITURAS INCLINOMÉTRICAS - Empreitada THE EDEN, Estoril_ R10_09-12-25.pdf</x:v>
      </x:c>
      <x:c r="O828" t="n">
        <x:v>18</x:v>
      </x:c>
    </x:row>
    <x:row r="829">
      <x:c r="A829" s="48" t="n">
        <x:v>45978</x:v>
      </x:c>
      <x:c r="B829" t="n">
        <x:v>7</x:v>
      </x:c>
      <x:c r="C829" t="str">
        <x:v>I1</x:v>
      </x:c>
      <x:c r="D829" t="n">
        <x:v>7</x:v>
      </x:c>
      <x:c r="E829" s="50" t="n">
        <x:v>5</x:v>
      </x:c>
      <x:c r="F829" s="50" t="n">
        <x:v>3.35</x:v>
      </x:c>
      <x:c r="G829" s="50" t="n">
        <x:v>6.79</x:v>
      </x:c>
      <x:c r="H829" s="50" t="n">
        <x:v>19.85</x:v>
      </x:c>
      <x:c r="I829" s="50" t="n">
        <x:v>-9.9</x:v>
      </x:c>
      <x:c r="J829" s="50" t="n">
        <x:v>2.59</x:v>
      </x:c>
      <x:c r="K829" s="50" t="n">
        <x:v>4.05</x:v>
      </x:c>
      <x:c r="L829" s="50" t="n">
        <x:v>4.81</x:v>
      </x:c>
      <x:c r="M829" s="50" t="n">
        <x:v>0.84</x:v>
      </x:c>
      <x:c r="N829" t="str">
        <x:v>RELATÓRIO LEITURAS INCLINOMÉTRICAS - Empreitada THE EDEN, Estoril_ R10_09-12-25.pdf</x:v>
      </x:c>
      <x:c r="O829" t="n">
        <x:v>18</x:v>
      </x:c>
    </x:row>
    <x:row r="830">
      <x:c r="A830" s="48" t="n">
        <x:v>45978</x:v>
      </x:c>
      <x:c r="B830" t="n">
        <x:v>7</x:v>
      </x:c>
      <x:c r="C830" t="str">
        <x:v>I1</x:v>
      </x:c>
      <x:c r="D830" t="n">
        <x:v>7</x:v>
      </x:c>
      <x:c r="E830" s="50" t="n">
        <x:v>5.5</x:v>
      </x:c>
      <x:c r="F830" s="50" t="n">
        <x:v>2.8</x:v>
      </x:c>
      <x:c r="G830" s="50" t="n">
        <x:v>5.99</x:v>
      </x:c>
      <x:c r="H830" s="50" t="n">
        <x:v>9.21</x:v>
      </x:c>
      <x:c r="I830" s="50" t="n">
        <x:v>-12.63</x:v>
      </x:c>
      <x:c r="J830" s="50" t="n">
        <x:v>2.68</x:v>
      </x:c>
      <x:c r="K830" s="50" t="n">
        <x:v>4.01</x:v>
      </x:c>
      <x:c r="L830" s="50" t="n">
        <x:v>4.82</x:v>
      </x:c>
      <x:c r="M830" s="50" t="n">
        <x:v>0.71</x:v>
      </x:c>
      <x:c r="N830" t="str">
        <x:v>RELATÓRIO LEITURAS INCLINOMÉTRICAS - Empreitada THE EDEN, Estoril_ R10_09-12-25.pdf</x:v>
      </x:c>
      <x:c r="O830" t="n">
        <x:v>18</x:v>
      </x:c>
    </x:row>
    <x:row r="831">
      <x:c r="A831" s="48" t="n">
        <x:v>45978</x:v>
      </x:c>
      <x:c r="B831" t="n">
        <x:v>7</x:v>
      </x:c>
      <x:c r="C831" t="str">
        <x:v>I1</x:v>
      </x:c>
      <x:c r="D831" t="n">
        <x:v>7</x:v>
      </x:c>
      <x:c r="E831" s="50" t="n">
        <x:v>6</x:v>
      </x:c>
      <x:c r="F831" s="50" t="n">
        <x:v>16.95</x:v>
      </x:c>
      <x:c r="G831" s="50" t="n">
        <x:v>-9.3</x:v>
      </x:c>
      <x:c r="H831" s="50" t="n">
        <x:v>-48.05</x:v>
      </x:c>
      <x:c r="I831" s="50" t="n">
        <x:v>45.87</x:v>
      </x:c>
      <x:c r="J831" s="50" t="n">
        <x:v>2.8</x:v>
      </x:c>
      <x:c r="K831" s="50" t="n">
        <x:v>4.05</x:v>
      </x:c>
      <x:c r="L831" s="50" t="n">
        <x:v>4.92</x:v>
      </x:c>
      <x:c r="M831" s="50" t="n">
        <x:v>0.69</x:v>
      </x:c>
      <x:c r="N831" t="str">
        <x:v>RELATÓRIO LEITURAS INCLINOMÉTRICAS - Empreitada THE EDEN, Estoril_ R10_09-12-25.pdf</x:v>
      </x:c>
      <x:c r="O831" t="n">
        <x:v>18</x:v>
      </x:c>
    </x:row>
    <x:row r="832">
      <x:c r="A832" s="48" t="n">
        <x:v>45978</x:v>
      </x:c>
      <x:c r="B832" t="n">
        <x:v>7</x:v>
      </x:c>
      <x:c r="C832" t="str">
        <x:v>I1</x:v>
      </x:c>
      <x:c r="D832" t="n">
        <x:v>7</x:v>
      </x:c>
      <x:c r="E832" s="50" t="n">
        <x:v>6.5</x:v>
      </x:c>
      <x:c r="F832" s="50" t="n">
        <x:v>24.38</x:v>
      </x:c>
      <x:c r="G832" s="50" t="n">
        <x:v>-14.47</x:v>
      </x:c>
      <x:c r="H832" s="50" t="n">
        <x:v>-76.82</x:v>
      </x:c>
      <x:c r="I832" s="50" t="n">
        <x:v>67.91</x:v>
      </x:c>
      <x:c r="J832" s="50" t="n">
        <x:v>2.87</x:v>
      </x:c>
      <x:c r="K832" s="50" t="n">
        <x:v>3.82</x:v>
      </x:c>
      <x:c r="L832" s="50" t="n">
        <x:v>4.78</x:v>
      </x:c>
      <x:c r="M832" s="50" t="n">
        <x:v>0.54</x:v>
      </x:c>
      <x:c r="N832" t="str">
        <x:v>RELATÓRIO LEITURAS INCLINOMÉTRICAS - Empreitada THE EDEN, Estoril_ R10_09-12-25.pdf</x:v>
      </x:c>
      <x:c r="O832" t="n">
        <x:v>18</x:v>
      </x:c>
    </x:row>
    <x:row r="833">
      <x:c r="A833" s="48" t="n">
        <x:v>45978</x:v>
      </x:c>
      <x:c r="B833" t="n">
        <x:v>7</x:v>
      </x:c>
      <x:c r="C833" t="str">
        <x:v>I1</x:v>
      </x:c>
      <x:c r="D833" t="n">
        <x:v>7</x:v>
      </x:c>
      <x:c r="E833" s="50" t="n">
        <x:v>7</x:v>
      </x:c>
      <x:c r="F833" s="50" t="n">
        <x:v>100.4</x:v>
      </x:c>
      <x:c r="G833" s="50" t="n">
        <x:v>-95.26</x:v>
      </x:c>
      <x:c r="H833" s="50" t="n">
        <x:v>-60.75</x:v>
      </x:c>
      <x:c r="I833" s="50" t="n">
        <x:v>52.45</x:v>
      </x:c>
      <x:c r="J833" s="50" t="n">
        <x:v>2.6</x:v>
      </x:c>
      <x:c r="K833" s="50" t="n">
        <x:v>3.55</x:v>
      </x:c>
      <x:c r="L833" s="50" t="n">
        <x:v>4.4</x:v>
      </x:c>
      <x:c r="M833" s="50" t="n">
        <x:v>0.45</x:v>
      </x:c>
      <x:c r="N833" t="str">
        <x:v>RELATÓRIO LEITURAS INCLINOMÉTRICAS - Empreitada THE EDEN, Estoril_ R10_09-12-25.pdf</x:v>
      </x:c>
      <x:c r="O833" t="n">
        <x:v>18</x:v>
      </x:c>
    </x:row>
    <x:row r="834">
      <x:c r="A834" s="48" t="n">
        <x:v>45978</x:v>
      </x:c>
      <x:c r="B834" t="n">
        <x:v>7</x:v>
      </x:c>
      <x:c r="C834" t="str">
        <x:v>I1</x:v>
      </x:c>
      <x:c r="D834" t="n">
        <x:v>7</x:v>
      </x:c>
      <x:c r="E834" s="50" t="n">
        <x:v>7.5</x:v>
      </x:c>
      <x:c r="F834" s="50" t="n">
        <x:v>60.66</x:v>
      </x:c>
      <x:c r="G834" s="50" t="n">
        <x:v>-54.86</x:v>
      </x:c>
      <x:c r="H834" s="50" t="n">
        <x:v>-52.24</x:v>
      </x:c>
      <x:c r="I834" s="50" t="n">
        <x:v>53.98</x:v>
      </x:c>
      <x:c r="J834" s="50" t="n">
        <x:v>2.51</x:v>
      </x:c>
      <x:c r="K834" s="50" t="n">
        <x:v>3.43</x:v>
      </x:c>
      <x:c r="L834" s="50" t="n">
        <x:v>4.25</x:v>
      </x:c>
      <x:c r="M834" s="50" t="n">
        <x:v>0.37</x:v>
      </x:c>
      <x:c r="N834" t="str">
        <x:v>RELATÓRIO LEITURAS INCLINOMÉTRICAS - Empreitada THE EDEN, Estoril_ R10_09-12-25.pdf</x:v>
      </x:c>
      <x:c r="O834" t="n">
        <x:v>18</x:v>
      </x:c>
    </x:row>
    <x:row r="835">
      <x:c r="A835" s="48" t="n">
        <x:v>45978</x:v>
      </x:c>
      <x:c r="B835" t="n">
        <x:v>7</x:v>
      </x:c>
      <x:c r="C835" t="str">
        <x:v>I1</x:v>
      </x:c>
      <x:c r="D835" t="n">
        <x:v>7</x:v>
      </x:c>
      <x:c r="E835" s="50" t="n">
        <x:v>8</x:v>
      </x:c>
      <x:c r="F835" s="50" t="n">
        <x:v>40.13</x:v>
      </x:c>
      <x:c r="G835" s="50" t="n">
        <x:v>-31.29</x:v>
      </x:c>
      <x:c r="H835" s="50" t="n">
        <x:v>-40.64</x:v>
      </x:c>
      <x:c r="I835" s="50" t="n">
        <x:v>44.42</x:v>
      </x:c>
      <x:c r="J835" s="50" t="n">
        <x:v>2.28</x:v>
      </x:c>
      <x:c r="K835" s="50" t="n">
        <x:v>3.28</x:v>
      </x:c>
      <x:c r="L835" s="50" t="n">
        <x:v>4</x:v>
      </x:c>
      <x:c r="M835" s="50" t="n">
        <x:v>0.29</x:v>
      </x:c>
      <x:c r="N835" t="str">
        <x:v>RELATÓRIO LEITURAS INCLINOMÉTRICAS - Empreitada THE EDEN, Estoril_ R10_09-12-25.pdf</x:v>
      </x:c>
      <x:c r="O835" t="n">
        <x:v>18</x:v>
      </x:c>
    </x:row>
    <x:row r="836">
      <x:c r="A836" s="48" t="n">
        <x:v>45978</x:v>
      </x:c>
      <x:c r="B836" t="n">
        <x:v>7</x:v>
      </x:c>
      <x:c r="C836" t="str">
        <x:v>I1</x:v>
      </x:c>
      <x:c r="D836" t="n">
        <x:v>7</x:v>
      </x:c>
      <x:c r="E836" s="50" t="n">
        <x:v>8.5</x:v>
      </x:c>
      <x:c r="F836" s="50" t="n">
        <x:v>2.39</x:v>
      </x:c>
      <x:c r="G836" s="50" t="n">
        <x:v>4.3</x:v>
      </x:c>
      <x:c r="H836" s="50" t="n">
        <x:v>-15.11</x:v>
      </x:c>
      <x:c r="I836" s="50" t="n">
        <x:v>19.83</x:v>
      </x:c>
      <x:c r="J836" s="50" t="n">
        <x:v>2.11</x:v>
      </x:c>
      <x:c r="K836" s="50" t="n">
        <x:v>3.07</x:v>
      </x:c>
      <x:c r="L836" s="50" t="n">
        <x:v>3.72</x:v>
      </x:c>
      <x:c r="M836" s="50" t="n">
        <x:v>0.26</x:v>
      </x:c>
      <x:c r="N836" t="str">
        <x:v>RELATÓRIO LEITURAS INCLINOMÉTRICAS - Empreitada THE EDEN, Estoril_ R10_09-12-25.pdf</x:v>
      </x:c>
      <x:c r="O836" t="n">
        <x:v>18</x:v>
      </x:c>
    </x:row>
    <x:row r="837">
      <x:c r="A837" s="48" t="n">
        <x:v>45978</x:v>
      </x:c>
      <x:c r="B837" t="n">
        <x:v>7</x:v>
      </x:c>
      <x:c r="C837" t="str">
        <x:v>I1</x:v>
      </x:c>
      <x:c r="D837" t="n">
        <x:v>7</x:v>
      </x:c>
      <x:c r="E837" s="50" t="n">
        <x:v>9</x:v>
      </x:c>
      <x:c r="F837" s="50" t="n">
        <x:v>-43.16</x:v>
      </x:c>
      <x:c r="G837" s="50" t="n">
        <x:v>51.11</x:v>
      </x:c>
      <x:c r="H837" s="50" t="n">
        <x:v>0.62</x:v>
      </x:c>
      <x:c r="I837" s="50" t="n">
        <x:v>7.04</x:v>
      </x:c>
      <x:c r="J837" s="50" t="n">
        <x:v>1.99</x:v>
      </x:c>
      <x:c r="K837" s="50" t="n">
        <x:v>2.92</x:v>
      </x:c>
      <x:c r="L837" s="50" t="n">
        <x:v>3.53</x:v>
      </x:c>
      <x:c r="M837" s="50" t="n">
        <x:v>0.23</x:v>
      </x:c>
      <x:c r="N837" t="str">
        <x:v>RELATÓRIO LEITURAS INCLINOMÉTRICAS - Empreitada THE EDEN, Estoril_ R10_09-12-25.pdf</x:v>
      </x:c>
      <x:c r="O837" t="n">
        <x:v>18</x:v>
      </x:c>
    </x:row>
    <x:row r="838">
      <x:c r="A838" s="48" t="n">
        <x:v>45978</x:v>
      </x:c>
      <x:c r="B838" t="n">
        <x:v>7</x:v>
      </x:c>
      <x:c r="C838" t="str">
        <x:v>I1</x:v>
      </x:c>
      <x:c r="D838" t="n">
        <x:v>7</x:v>
      </x:c>
      <x:c r="E838" s="50" t="n">
        <x:v>9.5</x:v>
      </x:c>
      <x:c r="F838" s="50" t="n">
        <x:v>-111.27</x:v>
      </x:c>
      <x:c r="G838" s="50" t="n">
        <x:v>114.99</x:v>
      </x:c>
      <x:c r="H838" s="50" t="n">
        <x:v>21.79</x:v>
      </x:c>
      <x:c r="I838" s="50" t="n">
        <x:v>-19.25</x:v>
      </x:c>
      <x:c r="J838" s="50" t="n">
        <x:v>1.9</x:v>
      </x:c>
      <x:c r="K838" s="50" t="n">
        <x:v>2.69</x:v>
      </x:c>
      <x:c r="L838" s="50" t="n">
        <x:v>3.29</x:v>
      </x:c>
      <x:c r="M838" s="50" t="n">
        <x:v>0.08</x:v>
      </x:c>
      <x:c r="N838" t="str">
        <x:v>RELATÓRIO LEITURAS INCLINOMÉTRICAS - Empreitada THE EDEN, Estoril_ R10_09-12-25.pdf</x:v>
      </x:c>
      <x:c r="O838" t="n">
        <x:v>18</x:v>
      </x:c>
    </x:row>
    <x:row r="839">
      <x:c r="A839" s="48" t="n">
        <x:v>45978</x:v>
      </x:c>
      <x:c r="B839" t="n">
        <x:v>7</x:v>
      </x:c>
      <x:c r="C839" t="str">
        <x:v>I1</x:v>
      </x:c>
      <x:c r="D839" t="n">
        <x:v>7</x:v>
      </x:c>
      <x:c r="E839" s="50" t="n">
        <x:v>10</x:v>
      </x:c>
      <x:c r="F839" s="50" t="n">
        <x:v>-202.14</x:v>
      </x:c>
      <x:c r="G839" s="50" t="n">
        <x:v>210.03</x:v>
      </x:c>
      <x:c r="H839" s="50" t="n">
        <x:v>-65.4</x:v>
      </x:c>
      <x:c r="I839" s="50" t="n">
        <x:v>57.91</x:v>
      </x:c>
      <x:c r="J839" s="50" t="n">
        <x:v>1.71</x:v>
      </x:c>
      <x:c r="K839" s="50" t="n">
        <x:v>2.64</x:v>
      </x:c>
      <x:c r="L839" s="50" t="n">
        <x:v>3.15</x:v>
      </x:c>
      <x:c r="M839" s="50" t="n">
        <x:v>0.07</x:v>
      </x:c>
      <x:c r="N839" t="str">
        <x:v>RELATÓRIO LEITURAS INCLINOMÉTRICAS - Empreitada THE EDEN, Estoril_ R10_09-12-25.pdf</x:v>
      </x:c>
      <x:c r="O839" t="n">
        <x:v>18</x:v>
      </x:c>
    </x:row>
    <x:row r="840">
      <x:c r="A840" s="48" t="n">
        <x:v>45978</x:v>
      </x:c>
      <x:c r="B840" t="n">
        <x:v>7</x:v>
      </x:c>
      <x:c r="C840" t="str">
        <x:v>I1</x:v>
      </x:c>
      <x:c r="D840" t="n">
        <x:v>7</x:v>
      </x:c>
      <x:c r="E840" s="50" t="n">
        <x:v>10.5</x:v>
      </x:c>
      <x:c r="F840" s="50" t="n">
        <x:v>-194.33</x:v>
      </x:c>
      <x:c r="G840" s="50" t="n">
        <x:v>202.27</x:v>
      </x:c>
      <x:c r="H840" s="50" t="n">
        <x:v>-34.8</x:v>
      </x:c>
      <x:c r="I840" s="50" t="n">
        <x:v>45.12</x:v>
      </x:c>
      <x:c r="J840" s="50" t="n">
        <x:v>1.46</x:v>
      </x:c>
      <x:c r="K840" s="50" t="n">
        <x:v>2.25</x:v>
      </x:c>
      <x:c r="L840" s="50" t="n">
        <x:v>2.68</x:v>
      </x:c>
      <x:c r="M840" s="50" t="n">
        <x:v>-0.06</x:v>
      </x:c>
      <x:c r="N840" t="str">
        <x:v>RELATÓRIO LEITURAS INCLINOMÉTRICAS - Empreitada THE EDEN, Estoril_ R10_09-12-25.pdf</x:v>
      </x:c>
      <x:c r="O840" t="n">
        <x:v>18</x:v>
      </x:c>
    </x:row>
    <x:row r="841">
      <x:c r="A841" s="48" t="n">
        <x:v>45978</x:v>
      </x:c>
      <x:c r="B841" t="n">
        <x:v>7</x:v>
      </x:c>
      <x:c r="C841" t="str">
        <x:v>I1</x:v>
      </x:c>
      <x:c r="D841" t="n">
        <x:v>7</x:v>
      </x:c>
      <x:c r="E841" s="50" t="n">
        <x:v>11</x:v>
      </x:c>
      <x:c r="F841" s="50" t="n">
        <x:v>-172.2</x:v>
      </x:c>
      <x:c r="G841" s="50" t="n">
        <x:v>173.56</x:v>
      </x:c>
      <x:c r="H841" s="50" t="n">
        <x:v>11.36</x:v>
      </x:c>
      <x:c r="I841" s="50" t="n">
        <x:v>-3.33</x:v>
      </x:c>
      <x:c r="J841" s="50" t="n">
        <x:v>1.35</x:v>
      </x:c>
      <x:c r="K841" s="50" t="n">
        <x:v>2.24</x:v>
      </x:c>
      <x:c r="L841" s="50" t="n">
        <x:v>2.61</x:v>
      </x:c>
      <x:c r="M841" s="50" t="n">
        <x:v>-0.17</x:v>
      </x:c>
      <x:c r="N841" t="str">
        <x:v>RELATÓRIO LEITURAS INCLINOMÉTRICAS - Empreitada THE EDEN, Estoril_ R10_09-12-25.pdf</x:v>
      </x:c>
      <x:c r="O841" t="n">
        <x:v>18</x:v>
      </x:c>
    </x:row>
    <x:row r="842">
      <x:c r="A842" s="48" t="n">
        <x:v>45978</x:v>
      </x:c>
      <x:c r="B842" t="n">
        <x:v>7</x:v>
      </x:c>
      <x:c r="C842" t="str">
        <x:v>I1</x:v>
      </x:c>
      <x:c r="D842" t="n">
        <x:v>7</x:v>
      </x:c>
      <x:c r="E842" s="50" t="n">
        <x:v>11.5</x:v>
      </x:c>
      <x:c r="F842" s="50" t="n">
        <x:v>-76.75</x:v>
      </x:c>
      <x:c r="G842" s="50" t="n">
        <x:v>82.09</x:v>
      </x:c>
      <x:c r="H842" s="50" t="n">
        <x:v>16.62</x:v>
      </x:c>
      <x:c r="I842" s="50" t="n">
        <x:v>-14.47</x:v>
      </x:c>
      <x:c r="J842" s="50" t="n">
        <x:v>1.27</x:v>
      </x:c>
      <x:c r="K842" s="50" t="n">
        <x:v>2.3</x:v>
      </x:c>
      <x:c r="L842" s="50" t="n">
        <x:v>2.62</x:v>
      </x:c>
      <x:c r="M842" s="50" t="n">
        <x:v>-0.18</x:v>
      </x:c>
      <x:c r="N842" t="str">
        <x:v>RELATÓRIO LEITURAS INCLINOMÉTRICAS - Empreitada THE EDEN, Estoril_ R10_09-12-25.pdf</x:v>
      </x:c>
      <x:c r="O842" t="n">
        <x:v>18</x:v>
      </x:c>
    </x:row>
    <x:row r="843">
      <x:c r="A843" s="48" t="n">
        <x:v>45978</x:v>
      </x:c>
      <x:c r="B843" t="n">
        <x:v>7</x:v>
      </x:c>
      <x:c r="C843" t="str">
        <x:v>I1</x:v>
      </x:c>
      <x:c r="D843" t="n">
        <x:v>7</x:v>
      </x:c>
      <x:c r="E843" s="50" t="n">
        <x:v>12</x:v>
      </x:c>
      <x:c r="F843" s="50" t="n">
        <x:v>-145.17</x:v>
      </x:c>
      <x:c r="G843" s="50" t="n">
        <x:v>154.41</x:v>
      </x:c>
      <x:c r="H843" s="50" t="n">
        <x:v>-11.92</x:v>
      </x:c>
      <x:c r="I843" s="50" t="n">
        <x:v>16.74</x:v>
      </x:c>
      <x:c r="J843" s="50" t="n">
        <x:v>1.19</x:v>
      </x:c>
      <x:c r="K843" s="50" t="n">
        <x:v>2.41</x:v>
      </x:c>
      <x:c r="L843" s="50" t="n">
        <x:v>2.69</x:v>
      </x:c>
      <x:c r="M843" s="50" t="n">
        <x:v>-0.15</x:v>
      </x:c>
      <x:c r="N843" t="str">
        <x:v>RELATÓRIO LEITURAS INCLINOMÉTRICAS - Empreitada THE EDEN, Estoril_ R10_09-12-25.pdf</x:v>
      </x:c>
      <x:c r="O843" t="n">
        <x:v>18</x:v>
      </x:c>
    </x:row>
    <x:row r="844">
      <x:c r="A844" s="48" t="n">
        <x:v>45978</x:v>
      </x:c>
      <x:c r="B844" t="n">
        <x:v>7</x:v>
      </x:c>
      <x:c r="C844" t="str">
        <x:v>I1</x:v>
      </x:c>
      <x:c r="D844" t="n">
        <x:v>7</x:v>
      </x:c>
      <x:c r="E844" s="50" t="n">
        <x:v>12.5</x:v>
      </x:c>
      <x:c r="F844" s="50" t="n">
        <x:v>-134.02</x:v>
      </x:c>
      <x:c r="G844" s="50" t="n">
        <x:v>137.49</x:v>
      </x:c>
      <x:c r="H844" s="50" t="n">
        <x:v>52.57</x:v>
      </x:c>
      <x:c r="I844" s="50" t="n">
        <x:v>-43.77</x:v>
      </x:c>
      <x:c r="J844" s="50" t="n">
        <x:v>1.16</x:v>
      </x:c>
      <x:c r="K844" s="50" t="n">
        <x:v>2.26</x:v>
      </x:c>
      <x:c r="L844" s="50" t="n">
        <x:v>2.54</x:v>
      </x:c>
      <x:c r="M844" s="50" t="n">
        <x:v>-0.16</x:v>
      </x:c>
      <x:c r="N844" t="str">
        <x:v>RELATÓRIO LEITURAS INCLINOMÉTRICAS - Empreitada THE EDEN, Estoril_ R10_09-12-25.pdf</x:v>
      </x:c>
      <x:c r="O844" t="n">
        <x:v>18</x:v>
      </x:c>
    </x:row>
    <x:row r="845">
      <x:c r="A845" s="48" t="n">
        <x:v>45978</x:v>
      </x:c>
      <x:c r="B845" t="n">
        <x:v>7</x:v>
      </x:c>
      <x:c r="C845" t="str">
        <x:v>I1</x:v>
      </x:c>
      <x:c r="D845" t="n">
        <x:v>7</x:v>
      </x:c>
      <x:c r="E845" s="50" t="n">
        <x:v>13</x:v>
      </x:c>
      <x:c r="F845" s="50" t="n">
        <x:v>-63.21</x:v>
      </x:c>
      <x:c r="G845" s="50" t="n">
        <x:v>70.2</x:v>
      </x:c>
      <x:c r="H845" s="50" t="n">
        <x:v>48.41</x:v>
      </x:c>
      <x:c r="I845" s="50" t="n">
        <x:v>-34.91</x:v>
      </x:c>
      <x:c r="J845" s="50" t="n">
        <x:v>1.12</x:v>
      </x:c>
      <x:c r="K845" s="50" t="n">
        <x:v>2.24</x:v>
      </x:c>
      <x:c r="L845" s="50" t="n">
        <x:v>2.51</x:v>
      </x:c>
      <x:c r="M845" s="50" t="n">
        <x:v>-0.15</x:v>
      </x:c>
      <x:c r="N845" t="str">
        <x:v>RELATÓRIO LEITURAS INCLINOMÉTRICAS - Empreitada THE EDEN, Estoril_ R10_09-12-25.pdf</x:v>
      </x:c>
      <x:c r="O845" t="n">
        <x:v>18</x:v>
      </x:c>
    </x:row>
    <x:row r="846">
      <x:c r="A846" s="48" t="n">
        <x:v>45978</x:v>
      </x:c>
      <x:c r="B846" t="n">
        <x:v>7</x:v>
      </x:c>
      <x:c r="C846" t="str">
        <x:v>I1</x:v>
      </x:c>
      <x:c r="D846" t="n">
        <x:v>7</x:v>
      </x:c>
      <x:c r="E846" s="50" t="n">
        <x:v>13.5</x:v>
      </x:c>
      <x:c r="F846" s="50" t="n">
        <x:v>-51.42</x:v>
      </x:c>
      <x:c r="G846" s="50" t="n">
        <x:v>57.26</x:v>
      </x:c>
      <x:c r="H846" s="50" t="n">
        <x:v>60.33</x:v>
      </x:c>
      <x:c r="I846" s="50" t="n">
        <x:v>-53.23</x:v>
      </x:c>
      <x:c r="J846" s="50" t="n">
        <x:v>0.92</x:v>
      </x:c>
      <x:c r="K846" s="50" t="n">
        <x:v>2.16</x:v>
      </x:c>
      <x:c r="L846" s="50" t="n">
        <x:v>2.35</x:v>
      </x:c>
      <x:c r="M846" s="50" t="n">
        <x:v>-0.14</x:v>
      </x:c>
      <x:c r="N846" t="str">
        <x:v>RELATÓRIO LEITURAS INCLINOMÉTRICAS - Empreitada THE EDEN, Estoril_ R10_09-12-25.pdf</x:v>
      </x:c>
      <x:c r="O846" t="n">
        <x:v>18</x:v>
      </x:c>
    </x:row>
    <x:row r="847">
      <x:c r="A847" s="48" t="n">
        <x:v>45978</x:v>
      </x:c>
      <x:c r="B847" t="n">
        <x:v>7</x:v>
      </x:c>
      <x:c r="C847" t="str">
        <x:v>I1</x:v>
      </x:c>
      <x:c r="D847" t="n">
        <x:v>7</x:v>
      </x:c>
      <x:c r="E847" s="50" t="n">
        <x:v>14</x:v>
      </x:c>
      <x:c r="F847" s="50" t="n">
        <x:v>-51.26</x:v>
      </x:c>
      <x:c r="G847" s="50" t="n">
        <x:v>55.73</x:v>
      </x:c>
      <x:c r="H847" s="50" t="n">
        <x:v>79.32</x:v>
      </x:c>
      <x:c r="I847" s="50" t="n">
        <x:v>-73.23</x:v>
      </x:c>
      <x:c r="J847" s="50" t="n">
        <x:v>0.6</x:v>
      </x:c>
      <x:c r="K847" s="50" t="n">
        <x:v>2.04</x:v>
      </x:c>
      <x:c r="L847" s="50" t="n">
        <x:v>2.12</x:v>
      </x:c>
      <x:c r="M847" s="50" t="n">
        <x:v>-0.15</x:v>
      </x:c>
      <x:c r="N847" t="str">
        <x:v>RELATÓRIO LEITURAS INCLINOMÉTRICAS - Empreitada THE EDEN, Estoril_ R10_09-12-25.pdf</x:v>
      </x:c>
      <x:c r="O847" t="n">
        <x:v>18</x:v>
      </x:c>
    </x:row>
    <x:row r="848">
      <x:c r="A848" s="48" t="n">
        <x:v>45978</x:v>
      </x:c>
      <x:c r="B848" t="n">
        <x:v>7</x:v>
      </x:c>
      <x:c r="C848" t="str">
        <x:v>I1</x:v>
      </x:c>
      <x:c r="D848" t="n">
        <x:v>7</x:v>
      </x:c>
      <x:c r="E848" s="50" t="n">
        <x:v>14.5</x:v>
      </x:c>
      <x:c r="F848" s="50" t="n">
        <x:v>-41.95</x:v>
      </x:c>
      <x:c r="G848" s="50" t="n">
        <x:v>46.36</x:v>
      </x:c>
      <x:c r="H848" s="50" t="n">
        <x:v>103.71</x:v>
      </x:c>
      <x:c r="I848" s="50" t="n">
        <x:v>-100.12</x:v>
      </x:c>
      <x:c r="J848" s="50" t="n">
        <x:v>0.24</x:v>
      </x:c>
      <x:c r="K848" s="50" t="n">
        <x:v>1.79</x:v>
      </x:c>
      <x:c r="L848" s="50" t="n">
        <x:v>1.8</x:v>
      </x:c>
      <x:c r="M848" s="50" t="n">
        <x:v>-0.03</x:v>
      </x:c>
      <x:c r="N848" t="str">
        <x:v>RELATÓRIO LEITURAS INCLINOMÉTRICAS - Empreitada THE EDEN, Estoril_ R10_09-12-25.pdf</x:v>
      </x:c>
      <x:c r="O848" t="n">
        <x:v>18</x:v>
      </x:c>
    </x:row>
    <x:row r="849">
      <x:c r="A849" s="48" t="n">
        <x:v>45978</x:v>
      </x:c>
      <x:c r="B849" t="n">
        <x:v>7</x:v>
      </x:c>
      <x:c r="C849" t="str">
        <x:v>I1</x:v>
      </x:c>
      <x:c r="D849" t="n">
        <x:v>7</x:v>
      </x:c>
      <x:c r="E849" s="50" t="n">
        <x:v>15</x:v>
      </x:c>
      <x:c r="F849" s="50" t="n">
        <x:v>-8.97</x:v>
      </x:c>
      <x:c r="G849" s="50" t="n">
        <x:v>15.33</x:v>
      </x:c>
      <x:c r="H849" s="50" t="n">
        <x:v>114.07</x:v>
      </x:c>
      <x:c r="I849" s="50" t="n">
        <x:v>-107.34</x:v>
      </x:c>
      <x:c r="J849" s="50" t="n">
        <x:v>-0.08</x:v>
      </x:c>
      <x:c r="K849" s="50" t="n">
        <x:v>1.67</x:v>
      </x:c>
      <x:c r="L849" s="50" t="n">
        <x:v>1.67</x:v>
      </x:c>
      <x:c r="M849" s="50" t="n">
        <x:v>0.06</x:v>
      </x:c>
      <x:c r="N849" t="str">
        <x:v>RELATÓRIO LEITURAS INCLINOMÉTRICAS - Empreitada THE EDEN, Estoril_ R10_09-12-25.pdf</x:v>
      </x:c>
      <x:c r="O849" t="n">
        <x:v>18</x:v>
      </x:c>
    </x:row>
    <x:row r="850">
      <x:c r="A850" s="48" t="n">
        <x:v>45978</x:v>
      </x:c>
      <x:c r="B850" t="n">
        <x:v>7</x:v>
      </x:c>
      <x:c r="C850" t="str">
        <x:v>I1</x:v>
      </x:c>
      <x:c r="D850" t="n">
        <x:v>7</x:v>
      </x:c>
      <x:c r="E850" s="50" t="n">
        <x:v>15.5</x:v>
      </x:c>
      <x:c r="F850" s="50" t="n">
        <x:v>-34.89</x:v>
      </x:c>
      <x:c r="G850" s="50" t="n">
        <x:v>36.45</x:v>
      </x:c>
      <x:c r="H850" s="50" t="n">
        <x:v>122.53</x:v>
      </x:c>
      <x:c r="I850" s="50" t="n">
        <x:v>-101.86</x:v>
      </x:c>
      <x:c r="J850" s="50" t="n">
        <x:v>-0.28</x:v>
      </x:c>
      <x:c r="K850" s="50" t="n">
        <x:v>1.43</x:v>
      </x:c>
      <x:c r="L850" s="50" t="n">
        <x:v>1.45</x:v>
      </x:c>
      <x:c r="M850" s="50" t="n">
        <x:v>0.09</x:v>
      </x:c>
      <x:c r="N850" t="str">
        <x:v>RELATÓRIO LEITURAS INCLINOMÉTRICAS - Empreitada THE EDEN, Estoril_ R10_09-12-25.pdf</x:v>
      </x:c>
      <x:c r="O850" t="n">
        <x:v>18</x:v>
      </x:c>
    </x:row>
    <x:row r="851">
      <x:c r="A851" s="48" t="n">
        <x:v>45978</x:v>
      </x:c>
      <x:c r="B851" t="n">
        <x:v>7</x:v>
      </x:c>
      <x:c r="C851" t="str">
        <x:v>I1</x:v>
      </x:c>
      <x:c r="D851" t="n">
        <x:v>7</x:v>
      </x:c>
      <x:c r="E851" s="50" t="n">
        <x:v>16</x:v>
      </x:c>
      <x:c r="F851" s="50" t="n">
        <x:v>-16.21</x:v>
      </x:c>
      <x:c r="G851" s="50" t="n">
        <x:v>19.81</x:v>
      </x:c>
      <x:c r="H851" s="50" t="n">
        <x:v>-31.54</x:v>
      </x:c>
      <x:c r="I851" s="50" t="n">
        <x:v>37.23</x:v>
      </x:c>
      <x:c r="J851" s="50" t="n">
        <x:v>-0.85</x:v>
      </x:c>
      <x:c r="K851" s="50" t="n">
        <x:v>0.83</x:v>
      </x:c>
      <x:c r="L851" s="50" t="n">
        <x:v>1.19</x:v>
      </x:c>
      <x:c r="M851" s="50" t="n">
        <x:v>0.25</x:v>
      </x:c>
      <x:c r="N851" t="str">
        <x:v>RELATÓRIO LEITURAS INCLINOMÉTRICAS - Empreitada THE EDEN, Estoril_ R10_09-12-25.pdf</x:v>
      </x:c>
      <x:c r="O851" t="n">
        <x:v>18</x:v>
      </x:c>
    </x:row>
    <x:row r="852">
      <x:c r="A852" s="48" t="n">
        <x:v>45978</x:v>
      </x:c>
      <x:c r="B852" t="n">
        <x:v>7</x:v>
      </x:c>
      <x:c r="C852" t="str">
        <x:v>I1</x:v>
      </x:c>
      <x:c r="D852" t="n">
        <x:v>7</x:v>
      </x:c>
      <x:c r="E852" s="50" t="n">
        <x:v>16.5</x:v>
      </x:c>
      <x:c r="F852" s="50" t="n">
        <x:v>4.44</x:v>
      </x:c>
      <x:c r="G852" s="50" t="n">
        <x:v>0.01</x:v>
      </x:c>
      <x:c r="H852" s="50" t="n">
        <x:v>-9.27</x:v>
      </x:c>
      <x:c r="I852" s="50" t="n">
        <x:v>21.12</x:v>
      </x:c>
      <x:c r="J852" s="50" t="n">
        <x:v>-0.83</x:v>
      </x:c>
      <x:c r="K852" s="50" t="n">
        <x:v>0.77</x:v>
      </x:c>
      <x:c r="L852" s="50" t="n">
        <x:v>1.13</x:v>
      </x:c>
      <x:c r="M852" s="50" t="n">
        <x:v>0.19</x:v>
      </x:c>
      <x:c r="N852" t="str">
        <x:v>RELATÓRIO LEITURAS INCLINOMÉTRICAS - Empreitada THE EDEN, Estoril_ R10_09-12-25.pdf</x:v>
      </x:c>
      <x:c r="O852" t="n">
        <x:v>18</x:v>
      </x:c>
    </x:row>
    <x:row r="853">
      <x:c r="A853" s="48" t="n">
        <x:v>45978</x:v>
      </x:c>
      <x:c r="B853" t="n">
        <x:v>7</x:v>
      </x:c>
      <x:c r="C853" t="str">
        <x:v>I1</x:v>
      </x:c>
      <x:c r="D853" t="n">
        <x:v>7</x:v>
      </x:c>
      <x:c r="E853" s="50" t="n">
        <x:v>17</x:v>
      </x:c>
      <x:c r="F853" s="50" t="n">
        <x:v>16.07</x:v>
      </x:c>
      <x:c r="G853" s="50" t="n">
        <x:v>-12.78</x:v>
      </x:c>
      <x:c r="H853" s="50" t="n">
        <x:v>5.67</x:v>
      </x:c>
      <x:c r="I853" s="50" t="n">
        <x:v>4.7</x:v>
      </x:c>
      <x:c r="J853" s="50" t="n">
        <x:v>-0.81</x:v>
      </x:c>
      <x:c r="K853" s="50" t="n">
        <x:v>0.8</x:v>
      </x:c>
      <x:c r="L853" s="50" t="n">
        <x:v>1.14</x:v>
      </x:c>
      <x:c r="M853" s="50" t="n">
        <x:v>0.15</x:v>
      </x:c>
      <x:c r="N853" t="str">
        <x:v>RELATÓRIO LEITURAS INCLINOMÉTRICAS - Empreitada THE EDEN, Estoril_ R10_09-12-25.pdf</x:v>
      </x:c>
      <x:c r="O853" t="n">
        <x:v>18</x:v>
      </x:c>
    </x:row>
    <x:row r="854">
      <x:c r="A854" s="48" t="n">
        <x:v>45978</x:v>
      </x:c>
      <x:c r="B854" t="n">
        <x:v>7</x:v>
      </x:c>
      <x:c r="C854" t="str">
        <x:v>I1</x:v>
      </x:c>
      <x:c r="D854" t="n">
        <x:v>7</x:v>
      </x:c>
      <x:c r="E854" s="50" t="n">
        <x:v>17.5</x:v>
      </x:c>
      <x:c r="F854" s="50" t="n">
        <x:v>-11.77</x:v>
      </x:c>
      <x:c r="G854" s="50" t="n">
        <x:v>16.26</x:v>
      </x:c>
      <x:c r="H854" s="50" t="n">
        <x:v>38.13</x:v>
      </x:c>
      <x:c r="I854" s="50" t="n">
        <x:v>-27.29</x:v>
      </x:c>
      <x:c r="J854" s="50" t="n">
        <x:v>-0.83</x:v>
      </x:c>
      <x:c r="K854" s="50" t="n">
        <x:v>0.89</x:v>
      </x:c>
      <x:c r="L854" s="50" t="n">
        <x:v>1.22</x:v>
      </x:c>
      <x:c r="M854" s="50" t="n">
        <x:v>0.11</x:v>
      </x:c>
      <x:c r="N854" t="str">
        <x:v>RELATÓRIO LEITURAS INCLINOMÉTRICAS - Empreitada THE EDEN, Estoril_ R10_09-12-25.pdf</x:v>
      </x:c>
      <x:c r="O854" t="n">
        <x:v>18</x:v>
      </x:c>
    </x:row>
    <x:row r="855">
      <x:c r="A855" s="48" t="n">
        <x:v>45978</x:v>
      </x:c>
      <x:c r="B855" t="n">
        <x:v>7</x:v>
      </x:c>
      <x:c r="C855" t="str">
        <x:v>I1</x:v>
      </x:c>
      <x:c r="D855" t="n">
        <x:v>7</x:v>
      </x:c>
      <x:c r="E855" s="50" t="n">
        <x:v>18</x:v>
      </x:c>
      <x:c r="F855" s="50" t="n">
        <x:v>-31.76</x:v>
      </x:c>
      <x:c r="G855" s="50" t="n">
        <x:v>34.87</x:v>
      </x:c>
      <x:c r="H855" s="50" t="n">
        <x:v>54.27</x:v>
      </x:c>
      <x:c r="I855" s="50" t="n">
        <x:v>-41.72</x:v>
      </x:c>
      <x:c r="J855" s="50" t="n">
        <x:v>-0.83</x:v>
      </x:c>
      <x:c r="K855" s="50" t="n">
        <x:v>0.89</x:v>
      </x:c>
      <x:c r="L855" s="50" t="n">
        <x:v>1.22</x:v>
      </x:c>
      <x:c r="M855" s="50" t="n">
        <x:v>0.09</x:v>
      </x:c>
      <x:c r="N855" t="str">
        <x:v>RELATÓRIO LEITURAS INCLINOMÉTRICAS - Empreitada THE EDEN, Estoril_ R10_09-12-25.pdf</x:v>
      </x:c>
      <x:c r="O855" t="n">
        <x:v>18</x:v>
      </x:c>
    </x:row>
    <x:row r="856">
      <x:c r="A856" s="48" t="n">
        <x:v>45978</x:v>
      </x:c>
      <x:c r="B856" t="n">
        <x:v>7</x:v>
      </x:c>
      <x:c r="C856" t="str">
        <x:v>I1</x:v>
      </x:c>
      <x:c r="D856" t="n">
        <x:v>7</x:v>
      </x:c>
      <x:c r="E856" s="50" t="n">
        <x:v>18.5</x:v>
      </x:c>
      <x:c r="F856" s="50" t="n">
        <x:v>-35.29</x:v>
      </x:c>
      <x:c r="G856" s="50" t="n">
        <x:v>45.07</x:v>
      </x:c>
      <x:c r="H856" s="50" t="n">
        <x:v>76.07</x:v>
      </x:c>
      <x:c r="I856" s="50" t="n">
        <x:v>-55.99</x:v>
      </x:c>
      <x:c r="J856" s="50" t="n">
        <x:v>-0.84</x:v>
      </x:c>
      <x:c r="K856" s="50" t="n">
        <x:v>0.97</x:v>
      </x:c>
      <x:c r="L856" s="50" t="n">
        <x:v>1.28</x:v>
      </x:c>
      <x:c r="M856" s="50" t="n">
        <x:v>0.12</x:v>
      </x:c>
      <x:c r="N856" t="str">
        <x:v>RELATÓRIO LEITURAS INCLINOMÉTRICAS - Empreitada THE EDEN, Estoril_ R10_09-12-25.pdf</x:v>
      </x:c>
      <x:c r="O856" t="n">
        <x:v>18</x:v>
      </x:c>
    </x:row>
    <x:row r="857">
      <x:c r="A857" s="48" t="n">
        <x:v>45978</x:v>
      </x:c>
      <x:c r="B857" t="n">
        <x:v>7</x:v>
      </x:c>
      <x:c r="C857" t="str">
        <x:v>I1</x:v>
      </x:c>
      <x:c r="D857" t="n">
        <x:v>7</x:v>
      </x:c>
      <x:c r="E857" s="50" t="n">
        <x:v>19</x:v>
      </x:c>
      <x:c r="F857" s="50" t="n">
        <x:v>-138.4</x:v>
      </x:c>
      <x:c r="G857" s="50" t="n">
        <x:v>135.6</x:v>
      </x:c>
      <x:c r="H857" s="50" t="n">
        <x:v>-27.57</x:v>
      </x:c>
      <x:c r="I857" s="50" t="n">
        <x:v>44.89</x:v>
      </x:c>
      <x:c r="J857" s="50" t="n">
        <x:v>-0.83</x:v>
      </x:c>
      <x:c r="K857" s="50" t="n">
        <x:v>0.99</x:v>
      </x:c>
      <x:c r="L857" s="50" t="n">
        <x:v>1.29</x:v>
      </x:c>
      <x:c r="M857" s="50" t="n">
        <x:v>0.3</x:v>
      </x:c>
      <x:c r="N857" t="str">
        <x:v>RELATÓRIO LEITURAS INCLINOMÉTRICAS - Empreitada THE EDEN, Estoril_ R10_09-12-25.pdf</x:v>
      </x:c>
      <x:c r="O857" t="n">
        <x:v>18</x:v>
      </x:c>
    </x:row>
    <x:row r="858">
      <x:c r="A858" s="48" t="n">
        <x:v>45978</x:v>
      </x:c>
      <x:c r="B858" t="n">
        <x:v>7</x:v>
      </x:c>
      <x:c r="C858" t="str">
        <x:v>I1</x:v>
      </x:c>
      <x:c r="D858" t="n">
        <x:v>7</x:v>
      </x:c>
      <x:c r="E858" s="50" t="n">
        <x:v>19.5</x:v>
      </x:c>
      <x:c r="F858" s="50" t="n">
        <x:v>-132.35</x:v>
      </x:c>
      <x:c r="G858" s="50" t="n">
        <x:v>135.35</x:v>
      </x:c>
      <x:c r="H858" s="50" t="n">
        <x:v>-36.25</x:v>
      </x:c>
      <x:c r="I858" s="50" t="n">
        <x:v>39.58</x:v>
      </x:c>
      <x:c r="J858" s="50" t="n">
        <x:v>-0.85</x:v>
      </x:c>
      <x:c r="K858" s="50" t="n">
        <x:v>1.03</x:v>
      </x:c>
      <x:c r="L858" s="50" t="n">
        <x:v>1.34</x:v>
      </x:c>
      <x:c r="M858" s="50" t="n">
        <x:v>0.31</x:v>
      </x:c>
      <x:c r="N858" t="str">
        <x:v>RELATÓRIO LEITURAS INCLINOMÉTRICAS - Empreitada THE EDEN, Estoril_ R10_09-12-25.pdf</x:v>
      </x:c>
      <x:c r="O858" t="n">
        <x:v>18</x:v>
      </x:c>
    </x:row>
    <x:row r="859">
      <x:c r="A859" s="48" t="n">
        <x:v>45978</x:v>
      </x:c>
      <x:c r="B859" t="n">
        <x:v>7</x:v>
      </x:c>
      <x:c r="C859" t="str">
        <x:v>I1</x:v>
      </x:c>
      <x:c r="D859" t="n">
        <x:v>7</x:v>
      </x:c>
      <x:c r="E859" s="50" t="n">
        <x:v>20</x:v>
      </x:c>
      <x:c r="F859" s="50" t="n">
        <x:v>-141.92</x:v>
      </x:c>
      <x:c r="G859" s="50" t="n">
        <x:v>145</x:v>
      </x:c>
      <x:c r="H859" s="50" t="n">
        <x:v>-35.47</x:v>
      </x:c>
      <x:c r="I859" s="50" t="n">
        <x:v>41.46</x:v>
      </x:c>
      <x:c r="J859" s="50" t="n">
        <x:v>-0.87</x:v>
      </x:c>
      <x:c r="K859" s="50" t="n">
        <x:v>1.02</x:v>
      </x:c>
      <x:c r="L859" s="50" t="n">
        <x:v>1.34</x:v>
      </x:c>
      <x:c r="M859" s="50" t="n">
        <x:v>0.41</x:v>
      </x:c>
      <x:c r="N859" t="str">
        <x:v>RELATÓRIO LEITURAS INCLINOMÉTRICAS - Empreitada THE EDEN, Estoril_ R10_09-12-25.pdf</x:v>
      </x:c>
      <x:c r="O859" t="n">
        <x:v>18</x:v>
      </x:c>
    </x:row>
    <x:row r="860">
      <x:c r="A860" s="48" t="n">
        <x:v>45978</x:v>
      </x:c>
      <x:c r="B860" t="n">
        <x:v>7</x:v>
      </x:c>
      <x:c r="C860" t="str">
        <x:v>I1</x:v>
      </x:c>
      <x:c r="D860" t="n">
        <x:v>7</x:v>
      </x:c>
      <x:c r="E860" s="50" t="n">
        <x:v>20.5</x:v>
      </x:c>
      <x:c r="F860" s="50" t="n">
        <x:v>-167.39</x:v>
      </x:c>
      <x:c r="G860" s="50" t="n">
        <x:v>170.28</x:v>
      </x:c>
      <x:c r="H860" s="50" t="n">
        <x:v>-26.54</x:v>
      </x:c>
      <x:c r="I860" s="50" t="n">
        <x:v>24.69</x:v>
      </x:c>
      <x:c r="J860" s="50" t="n">
        <x:v>-0.86</x:v>
      </x:c>
      <x:c r="K860" s="50" t="n">
        <x:v>0.99</x:v>
      </x:c>
      <x:c r="L860" s="50" t="n">
        <x:v>1.31</x:v>
      </x:c>
      <x:c r="M860" s="50" t="n">
        <x:v>0.43</x:v>
      </x:c>
      <x:c r="N860" t="str">
        <x:v>RELATÓRIO LEITURAS INCLINOMÉTRICAS - Empreitada THE EDEN, Estoril_ R10_09-12-25.pdf</x:v>
      </x:c>
      <x:c r="O860" t="n">
        <x:v>18</x:v>
      </x:c>
    </x:row>
    <x:row r="861">
      <x:c r="A861" s="48" t="n">
        <x:v>45978</x:v>
      </x:c>
      <x:c r="B861" t="n">
        <x:v>7</x:v>
      </x:c>
      <x:c r="C861" t="str">
        <x:v>I1</x:v>
      </x:c>
      <x:c r="D861" t="n">
        <x:v>7</x:v>
      </x:c>
      <x:c r="E861" s="50" t="n">
        <x:v>21</x:v>
      </x:c>
      <x:c r="F861" s="50" t="n">
        <x:v>-156.1</x:v>
      </x:c>
      <x:c r="G861" s="50" t="n">
        <x:v>156.4</x:v>
      </x:c>
      <x:c r="H861" s="50" t="n">
        <x:v>-19.1</x:v>
      </x:c>
      <x:c r="I861" s="50" t="n">
        <x:v>15.02</x:v>
      </x:c>
      <x:c r="J861" s="50" t="n">
        <x:v>-0.86</x:v>
      </x:c>
      <x:c r="K861" s="50" t="n">
        <x:v>0.85</x:v>
      </x:c>
      <x:c r="L861" s="50" t="n">
        <x:v>1.21</x:v>
      </x:c>
      <x:c r="M861" s="50" t="n">
        <x:v>0.38</x:v>
      </x:c>
      <x:c r="N861" t="str">
        <x:v>RELATÓRIO LEITURAS INCLINOMÉTRICAS - Empreitada THE EDEN, Estoril_ R10_09-12-25.pdf</x:v>
      </x:c>
      <x:c r="O861" t="n">
        <x:v>18</x:v>
      </x:c>
    </x:row>
    <x:row r="862">
      <x:c r="A862" s="48" t="n">
        <x:v>45978</x:v>
      </x:c>
      <x:c r="B862" t="n">
        <x:v>7</x:v>
      </x:c>
      <x:c r="C862" t="str">
        <x:v>I1</x:v>
      </x:c>
      <x:c r="D862" t="n">
        <x:v>7</x:v>
      </x:c>
      <x:c r="E862" s="50" t="n">
        <x:v>21.5</x:v>
      </x:c>
      <x:c r="F862" s="50" t="n">
        <x:v>-74.83</x:v>
      </x:c>
      <x:c r="G862" s="50" t="n">
        <x:v>81.51</x:v>
      </x:c>
      <x:c r="H862" s="50" t="n">
        <x:v>-15.91</x:v>
      </x:c>
      <x:c r="I862" s="50" t="n">
        <x:v>38.63</x:v>
      </x:c>
      <x:c r="J862" s="50" t="n">
        <x:v>-0.84</x:v>
      </x:c>
      <x:c r="K862" s="50" t="n">
        <x:v>0.88</x:v>
      </x:c>
      <x:c r="L862" s="50" t="n">
        <x:v>1.22</x:v>
      </x:c>
      <x:c r="M862" s="50" t="n">
        <x:v>0.28</x:v>
      </x:c>
      <x:c r="N862" t="str">
        <x:v>RELATÓRIO LEITURAS INCLINOMÉTRICAS - Empreitada THE EDEN, Estoril_ R10_09-12-25.pdf</x:v>
      </x:c>
      <x:c r="O862" t="n">
        <x:v>18</x:v>
      </x:c>
    </x:row>
    <x:row r="863">
      <x:c r="A863" s="48" t="n">
        <x:v>45978</x:v>
      </x:c>
      <x:c r="B863" t="n">
        <x:v>7</x:v>
      </x:c>
      <x:c r="C863" t="str">
        <x:v>I1</x:v>
      </x:c>
      <x:c r="D863" t="n">
        <x:v>7</x:v>
      </x:c>
      <x:c r="E863" s="50" t="n">
        <x:v>22</x:v>
      </x:c>
      <x:c r="F863" s="50" t="n">
        <x:v>5.83</x:v>
      </x:c>
      <x:c r="G863" s="50" t="n">
        <x:v>-7.41</x:v>
      </x:c>
      <x:c r="H863" s="50" t="n">
        <x:v>-96.43</x:v>
      </x:c>
      <x:c r="I863" s="50" t="n">
        <x:v>99.31</x:v>
      </x:c>
      <x:c r="J863" s="50" t="n">
        <x:v>-0.84</x:v>
      </x:c>
      <x:c r="K863" s="50" t="n">
        <x:v>0.81</x:v>
      </x:c>
      <x:c r="L863" s="50" t="n">
        <x:v>1.17</x:v>
      </x:c>
      <x:c r="M863" s="50" t="n">
        <x:v>0.15</x:v>
      </x:c>
      <x:c r="N863" t="str">
        <x:v>RELATÓRIO LEITURAS INCLINOMÉTRICAS - Empreitada THE EDEN, Estoril_ R10_09-12-25.pdf</x:v>
      </x:c>
      <x:c r="O863" t="n">
        <x:v>18</x:v>
      </x:c>
    </x:row>
    <x:row r="864">
      <x:c r="A864" s="48" t="n">
        <x:v>45978</x:v>
      </x:c>
      <x:c r="B864" t="n">
        <x:v>7</x:v>
      </x:c>
      <x:c r="C864" t="str">
        <x:v>I1</x:v>
      </x:c>
      <x:c r="D864" t="n">
        <x:v>7</x:v>
      </x:c>
      <x:c r="E864" s="50" t="n">
        <x:v>22.5</x:v>
      </x:c>
      <x:c r="F864" s="50" t="n">
        <x:v>-24.72</x:v>
      </x:c>
      <x:c r="G864" s="50" t="n">
        <x:v>26.28</x:v>
      </x:c>
      <x:c r="H864" s="50" t="n">
        <x:v>-43.65</x:v>
      </x:c>
      <x:c r="I864" s="50" t="n">
        <x:v>42.29</x:v>
      </x:c>
      <x:c r="J864" s="50" t="n">
        <x:v>-0.86</x:v>
      </x:c>
      <x:c r="K864" s="50" t="n">
        <x:v>0.92</x:v>
      </x:c>
      <x:c r="L864" s="50" t="n">
        <x:v>1.26</x:v>
      </x:c>
      <x:c r="M864" s="50" t="n">
        <x:v>0.13</x:v>
      </x:c>
      <x:c r="N864" t="str">
        <x:v>RELATÓRIO LEITURAS INCLINOMÉTRICAS - Empreitada THE EDEN, Estoril_ R10_09-12-25.pdf</x:v>
      </x:c>
      <x:c r="O864" t="n">
        <x:v>18</x:v>
      </x:c>
    </x:row>
    <x:row r="865">
      <x:c r="A865" s="48" t="n">
        <x:v>45978</x:v>
      </x:c>
      <x:c r="B865" t="n">
        <x:v>7</x:v>
      </x:c>
      <x:c r="C865" t="str">
        <x:v>I1</x:v>
      </x:c>
      <x:c r="D865" t="n">
        <x:v>7</x:v>
      </x:c>
      <x:c r="E865" s="50" t="n">
        <x:v>23</x:v>
      </x:c>
      <x:c r="F865" s="50" t="n">
        <x:v>-46.51</x:v>
      </x:c>
      <x:c r="G865" s="50" t="n">
        <x:v>47.23</x:v>
      </x:c>
      <x:c r="H865" s="50" t="n">
        <x:v>-4.56</x:v>
      </x:c>
      <x:c r="I865" s="50" t="n">
        <x:v>14.03</x:v>
      </x:c>
      <x:c r="J865" s="50" t="n">
        <x:v>-0.87</x:v>
      </x:c>
      <x:c r="K865" s="50" t="n">
        <x:v>0.84</x:v>
      </x:c>
      <x:c r="L865" s="50" t="n">
        <x:v>1.21</x:v>
      </x:c>
      <x:c r="M865" s="50" t="n">
        <x:v>0.18</x:v>
      </x:c>
      <x:c r="N865" t="str">
        <x:v>RELATÓRIO LEITURAS INCLINOMÉTRICAS - Empreitada THE EDEN, Estoril_ R10_09-12-25.pdf</x:v>
      </x:c>
      <x:c r="O865" t="n">
        <x:v>18</x:v>
      </x:c>
    </x:row>
    <x:row r="866">
      <x:c r="A866" s="48" t="n">
        <x:v>45978</x:v>
      </x:c>
      <x:c r="B866" t="n">
        <x:v>7</x:v>
      </x:c>
      <x:c r="C866" t="str">
        <x:v>I1</x:v>
      </x:c>
      <x:c r="D866" t="n">
        <x:v>7</x:v>
      </x:c>
      <x:c r="E866" s="50" t="n">
        <x:v>23.5</x:v>
      </x:c>
      <x:c r="F866" s="50" t="n">
        <x:v>-63.26</x:v>
      </x:c>
      <x:c r="G866" s="50" t="n">
        <x:v>66.22</x:v>
      </x:c>
      <x:c r="H866" s="50" t="n">
        <x:v>25.93</x:v>
      </x:c>
      <x:c r="I866" s="50" t="n">
        <x:v>-19.59</x:v>
      </x:c>
      <x:c r="J866" s="50" t="n">
        <x:v>-0.83</x:v>
      </x:c>
      <x:c r="K866" s="50" t="n">
        <x:v>0.6</x:v>
      </x:c>
      <x:c r="L866" s="50" t="n">
        <x:v>1.03</x:v>
      </x:c>
      <x:c r="M866" s="50" t="n">
        <x:v>0.13</x:v>
      </x:c>
      <x:c r="N866" t="str">
        <x:v>RELATÓRIO LEITURAS INCLINOMÉTRICAS - Empreitada THE EDEN, Estoril_ R10_09-12-25.pdf</x:v>
      </x:c>
      <x:c r="O866" t="n">
        <x:v>18</x:v>
      </x:c>
    </x:row>
    <x:row r="867">
      <x:c r="A867" s="48" t="n">
        <x:v>45978</x:v>
      </x:c>
      <x:c r="B867" t="n">
        <x:v>7</x:v>
      </x:c>
      <x:c r="C867" t="str">
        <x:v>I1</x:v>
      </x:c>
      <x:c r="D867" t="n">
        <x:v>7</x:v>
      </x:c>
      <x:c r="E867" s="50" t="n">
        <x:v>24</x:v>
      </x:c>
      <x:c r="F867" s="50" t="n">
        <x:v>-88.66</x:v>
      </x:c>
      <x:c r="G867" s="50" t="n">
        <x:v>90.25</x:v>
      </x:c>
      <x:c r="H867" s="50" t="n">
        <x:v>14.4</x:v>
      </x:c>
      <x:c r="I867" s="50" t="n">
        <x:v>-14.22</x:v>
      </x:c>
      <x:c r="J867" s="50" t="n">
        <x:v>-0.75</x:v>
      </x:c>
      <x:c r="K867" s="50" t="n">
        <x:v>0.63</x:v>
      </x:c>
      <x:c r="L867" s="50" t="n">
        <x:v>0.98</x:v>
      </x:c>
      <x:c r="M867" s="50" t="n">
        <x:v>0.18</x:v>
      </x:c>
      <x:c r="N867" t="str">
        <x:v>RELATÓRIO LEITURAS INCLINOMÉTRICAS - Empreitada THE EDEN, Estoril_ R10_09-12-25.pdf</x:v>
      </x:c>
      <x:c r="O867" t="n">
        <x:v>18</x:v>
      </x:c>
    </x:row>
    <x:row r="868">
      <x:c r="A868" s="48" t="n">
        <x:v>45978</x:v>
      </x:c>
      <x:c r="B868" t="n">
        <x:v>7</x:v>
      </x:c>
      <x:c r="C868" t="str">
        <x:v>I1</x:v>
      </x:c>
      <x:c r="D868" t="n">
        <x:v>7</x:v>
      </x:c>
      <x:c r="E868" s="50" t="n">
        <x:v>24.5</x:v>
      </x:c>
      <x:c r="F868" s="50" t="n">
        <x:v>-120.4</x:v>
      </x:c>
      <x:c r="G868" s="50" t="n">
        <x:v>115.32</x:v>
      </x:c>
      <x:c r="H868" s="50" t="n">
        <x:v>39.87</x:v>
      </x:c>
      <x:c r="I868" s="50" t="n">
        <x:v>-6</x:v>
      </x:c>
      <x:c r="J868" s="50" t="n">
        <x:v>-0.72</x:v>
      </x:c>
      <x:c r="K868" s="50" t="n">
        <x:v>0.42</x:v>
      </x:c>
      <x:c r="L868" s="50" t="n">
        <x:v>0.83</x:v>
      </x:c>
      <x:c r="M868" s="50" t="n">
        <x:v>0.15</x:v>
      </x:c>
      <x:c r="N868" t="str">
        <x:v>RELATÓRIO LEITURAS INCLINOMÉTRICAS - Empreitada THE EDEN, Estoril_ R10_09-12-25.pdf</x:v>
      </x:c>
      <x:c r="O868" t="n">
        <x:v>18</x:v>
      </x:c>
    </x:row>
    <x:row r="869">
      <x:c r="A869" s="48" t="n">
        <x:v>45978</x:v>
      </x:c>
      <x:c r="B869" t="n">
        <x:v>7</x:v>
      </x:c>
      <x:c r="C869" t="str">
        <x:v>I1</x:v>
      </x:c>
      <x:c r="D869" t="n">
        <x:v>7</x:v>
      </x:c>
      <x:c r="E869" s="50" t="n">
        <x:v>25</x:v>
      </x:c>
      <x:c r="F869" s="50" t="n">
        <x:v>-108</x:v>
      </x:c>
      <x:c r="G869" s="50" t="n">
        <x:v>114.68</x:v>
      </x:c>
      <x:c r="H869" s="50" t="n">
        <x:v>-55.52</x:v>
      </x:c>
      <x:c r="I869" s="50" t="n">
        <x:v>58.58</x:v>
      </x:c>
      <x:c r="J869" s="50" t="n">
        <x:v>-0.66</x:v>
      </x:c>
      <x:c r="K869" s="50" t="n">
        <x:v>0.7</x:v>
      </x:c>
      <x:c r="L869" s="50" t="n">
        <x:v>0.96</x:v>
      </x:c>
      <x:c r="M869" s="50" t="n">
        <x:v>0.16</x:v>
      </x:c>
      <x:c r="N869" t="str">
        <x:v>RELATÓRIO LEITURAS INCLINOMÉTRICAS - Empreitada THE EDEN, Estoril_ R10_09-12-25.pdf</x:v>
      </x:c>
      <x:c r="O869" t="n">
        <x:v>18</x:v>
      </x:c>
    </x:row>
    <x:row r="870">
      <x:c r="A870" s="48" t="n">
        <x:v>45978</x:v>
      </x:c>
      <x:c r="B870" t="n">
        <x:v>7</x:v>
      </x:c>
      <x:c r="C870" t="str">
        <x:v>I1</x:v>
      </x:c>
      <x:c r="D870" t="n">
        <x:v>7</x:v>
      </x:c>
      <x:c r="E870" s="50" t="n">
        <x:v>25.5</x:v>
      </x:c>
      <x:c r="F870" s="50" t="n">
        <x:v>-95.13</x:v>
      </x:c>
      <x:c r="G870" s="50" t="n">
        <x:v>96.86</x:v>
      </x:c>
      <x:c r="H870" s="50" t="n">
        <x:v>-42.78</x:v>
      </x:c>
      <x:c r="I870" s="50" t="n">
        <x:v>38.75</x:v>
      </x:c>
      <x:c r="J870" s="50" t="n">
        <x:v>-0.67</x:v>
      </x:c>
      <x:c r="K870" s="50" t="n">
        <x:v>0.21</x:v>
      </x:c>
      <x:c r="L870" s="50" t="n">
        <x:v>0.71</x:v>
      </x:c>
      <x:c r="M870" s="50" t="n">
        <x:v>0.08</x:v>
      </x:c>
      <x:c r="N870" t="str">
        <x:v>RELATÓRIO LEITURAS INCLINOMÉTRICAS - Empreitada THE EDEN, Estoril_ R10_09-12-25.pdf</x:v>
      </x:c>
      <x:c r="O870" t="n">
        <x:v>18</x:v>
      </x:c>
    </x:row>
    <x:row r="871">
      <x:c r="A871" s="48" t="n">
        <x:v>45978</x:v>
      </x:c>
      <x:c r="B871" t="n">
        <x:v>7</x:v>
      </x:c>
      <x:c r="C871" t="str">
        <x:v>I1</x:v>
      </x:c>
      <x:c r="D871" t="n">
        <x:v>7</x:v>
      </x:c>
      <x:c r="E871" s="50" t="n">
        <x:v>26</x:v>
      </x:c>
      <x:c r="F871" s="50" t="n">
        <x:v>-58.33</x:v>
      </x:c>
      <x:c r="G871" s="50" t="n">
        <x:v>60.88</x:v>
      </x:c>
      <x:c r="H871" s="50" t="n">
        <x:v>-24.09</x:v>
      </x:c>
      <x:c r="I871" s="50" t="n">
        <x:v>27.01</x:v>
      </x:c>
      <x:c r="J871" s="50" t="n">
        <x:v>-0.72</x:v>
      </x:c>
      <x:c r="K871" s="50" t="n">
        <x:v>0.07</x:v>
      </x:c>
      <x:c r="L871" s="50" t="n">
        <x:v>0.73</x:v>
      </x:c>
      <x:c r="M871" s="50" t="n">
        <x:v>0.1</x:v>
      </x:c>
      <x:c r="N871" t="str">
        <x:v>RELATÓRIO LEITURAS INCLINOMÉTRICAS - Empreitada THE EDEN, Estoril_ R10_09-12-25.pdf</x:v>
      </x:c>
      <x:c r="O871" t="n">
        <x:v>18</x:v>
      </x:c>
    </x:row>
    <x:row r="872">
      <x:c r="A872" s="48" t="n">
        <x:v>45978</x:v>
      </x:c>
      <x:c r="B872" t="n">
        <x:v>7</x:v>
      </x:c>
      <x:c r="C872" t="str">
        <x:v>I1</x:v>
      </x:c>
      <x:c r="D872" t="n">
        <x:v>7</x:v>
      </x:c>
      <x:c r="E872" s="50" t="n">
        <x:v>26.5</x:v>
      </x:c>
      <x:c r="F872" s="50" t="n">
        <x:v>-20.18</x:v>
      </x:c>
      <x:c r="G872" s="50" t="n">
        <x:v>22</x:v>
      </x:c>
      <x:c r="H872" s="50" t="n">
        <x:v>3.99</x:v>
      </x:c>
      <x:c r="I872" s="50" t="n">
        <x:v>-10.35</x:v>
      </x:c>
      <x:c r="J872" s="50" t="n">
        <x:v>-0.67</x:v>
      </x:c>
      <x:c r="K872" s="50" t="n">
        <x:v>0.11</x:v>
      </x:c>
      <x:c r="L872" s="50" t="n">
        <x:v>0.67</x:v>
      </x:c>
      <x:c r="M872" s="50" t="n">
        <x:v>0.05</x:v>
      </x:c>
      <x:c r="N872" t="str">
        <x:v>RELATÓRIO LEITURAS INCLINOMÉTRICAS - Empreitada THE EDEN, Estoril_ R10_09-12-25.pdf</x:v>
      </x:c>
      <x:c r="O872" t="n">
        <x:v>18</x:v>
      </x:c>
    </x:row>
    <x:row r="873">
      <x:c r="A873" s="48" t="n">
        <x:v>45978</x:v>
      </x:c>
      <x:c r="B873" t="n">
        <x:v>7</x:v>
      </x:c>
      <x:c r="C873" t="str">
        <x:v>I1</x:v>
      </x:c>
      <x:c r="D873" t="n">
        <x:v>7</x:v>
      </x:c>
      <x:c r="E873" s="50" t="n">
        <x:v>27</x:v>
      </x:c>
      <x:c r="F873" s="50" t="n">
        <x:v>32.82</x:v>
      </x:c>
      <x:c r="G873" s="50" t="n">
        <x:v>-31.38</x:v>
      </x:c>
      <x:c r="H873" s="50" t="n">
        <x:v>52.24</x:v>
      </x:c>
      <x:c r="I873" s="50" t="n">
        <x:v>-59.72</x:v>
      </x:c>
      <x:c r="J873" s="50" t="n">
        <x:v>-0.41</x:v>
      </x:c>
      <x:c r="K873" s="50" t="n">
        <x:v>0.05</x:v>
      </x:c>
      <x:c r="L873" s="50" t="n">
        <x:v>0.41</x:v>
      </x:c>
      <x:c r="M873" s="50" t="n">
        <x:v>0.02</x:v>
      </x:c>
      <x:c r="N873" t="str">
        <x:v>RELATÓRIO LEITURAS INCLINOMÉTRICAS - Empreitada THE EDEN, Estoril_ R10_09-12-25.pdf</x:v>
      </x:c>
      <x:c r="O873" t="n">
        <x:v>18</x:v>
      </x:c>
    </x:row>
    <x:row r="874">
      <x:c r="A874" s="48" t="n">
        <x:v>45978</x:v>
      </x:c>
      <x:c r="B874" t="n">
        <x:v>7</x:v>
      </x:c>
      <x:c r="C874" t="str">
        <x:v>I2</x:v>
      </x:c>
      <x:c r="D874" t="n">
        <x:v>7</x:v>
      </x:c>
      <x:c r="E874" s="50" t="n">
        <x:v>0.5</x:v>
      </x:c>
      <x:c r="F874" s="50" t="n">
        <x:v>-407.49</x:v>
      </x:c>
      <x:c r="G874" s="50" t="n">
        <x:v>394.58</x:v>
      </x:c>
      <x:c r="H874" s="50" t="n">
        <x:v>-126.64</x:v>
      </x:c>
      <x:c r="I874" s="50" t="n">
        <x:v>119.49</x:v>
      </x:c>
      <x:c r="J874" s="50" t="n">
        <x:v>0.96</x:v>
      </x:c>
      <x:c r="K874" s="50" t="n">
        <x:v>-7.2</x:v>
      </x:c>
      <x:c r="L874" s="50" t="n">
        <x:v>7.26</x:v>
      </x:c>
      <x:c r="M874" s="50" t="n">
        <x:v>1.43</x:v>
      </x:c>
      <x:c r="N874" t="str">
        <x:v>RELATÓRIO LEITURAS INCLINOMÉTRICAS - Empreitada THE EDEN, Estoril_ R10_09-12-25.pdf</x:v>
      </x:c>
      <x:c r="O874" t="n">
        <x:v>38</x:v>
      </x:c>
    </x:row>
    <x:row r="875">
      <x:c r="A875" s="48" t="n">
        <x:v>45978</x:v>
      </x:c>
      <x:c r="B875" t="n">
        <x:v>7</x:v>
      </x:c>
      <x:c r="C875" t="str">
        <x:v>I2</x:v>
      </x:c>
      <x:c r="D875" t="n">
        <x:v>7</x:v>
      </x:c>
      <x:c r="E875" s="50" t="n">
        <x:v>1</x:v>
      </x:c>
      <x:c r="F875" s="50" t="n">
        <x:v>-396.5</x:v>
      </x:c>
      <x:c r="G875" s="50" t="n">
        <x:v>402.73</x:v>
      </x:c>
      <x:c r="H875" s="50" t="n">
        <x:v>-119.99</x:v>
      </x:c>
      <x:c r="I875" s="50" t="n">
        <x:v>122.23</x:v>
      </x:c>
      <x:c r="J875" s="50" t="n">
        <x:v>1.36</x:v>
      </x:c>
      <x:c r="K875" s="50" t="n">
        <x:v>-5.93</x:v>
      </x:c>
      <x:c r="L875" s="50" t="n">
        <x:v>6.09</x:v>
      </x:c>
      <x:c r="M875" s="50" t="n">
        <x:v>1.3</x:v>
      </x:c>
      <x:c r="N875" t="str">
        <x:v>RELATÓRIO LEITURAS INCLINOMÉTRICAS - Empreitada THE EDEN, Estoril_ R10_09-12-25.pdf</x:v>
      </x:c>
      <x:c r="O875" t="n">
        <x:v>38</x:v>
      </x:c>
    </x:row>
    <x:row r="876">
      <x:c r="A876" s="48" t="n">
        <x:v>45978</x:v>
      </x:c>
      <x:c r="B876" t="n">
        <x:v>7</x:v>
      </x:c>
      <x:c r="C876" t="str">
        <x:v>I2</x:v>
      </x:c>
      <x:c r="D876" t="n">
        <x:v>7</x:v>
      </x:c>
      <x:c r="E876" s="50" t="n">
        <x:v>1.5</x:v>
      </x:c>
      <x:c r="F876" s="50" t="n">
        <x:v>-375.41</x:v>
      </x:c>
      <x:c r="G876" s="50" t="n">
        <x:v>382.25</x:v>
      </x:c>
      <x:c r="H876" s="50" t="n">
        <x:v>-135.47</x:v>
      </x:c>
      <x:c r="I876" s="50" t="n">
        <x:v>148.93</x:v>
      </x:c>
      <x:c r="J876" s="50" t="n">
        <x:v>1.86</x:v>
      </x:c>
      <x:c r="K876" s="50" t="n">
        <x:v>-4.65</x:v>
      </x:c>
      <x:c r="L876" s="50" t="n">
        <x:v>5.01</x:v>
      </x:c>
      <x:c r="M876" s="50" t="n">
        <x:v>1.13</x:v>
      </x:c>
      <x:c r="N876" t="str">
        <x:v>RELATÓRIO LEITURAS INCLINOMÉTRICAS - Empreitada THE EDEN, Estoril_ R10_09-12-25.pdf</x:v>
      </x:c>
      <x:c r="O876" t="n">
        <x:v>38</x:v>
      </x:c>
    </x:row>
    <x:row r="877">
      <x:c r="A877" s="48" t="n">
        <x:v>45978</x:v>
      </x:c>
      <x:c r="B877" t="n">
        <x:v>7</x:v>
      </x:c>
      <x:c r="C877" t="str">
        <x:v>I2</x:v>
      </x:c>
      <x:c r="D877" t="n">
        <x:v>7</x:v>
      </x:c>
      <x:c r="E877" s="50" t="n">
        <x:v>2</x:v>
      </x:c>
      <x:c r="F877" s="50" t="n">
        <x:v>-330.97</x:v>
      </x:c>
      <x:c r="G877" s="50" t="n">
        <x:v>341.65</x:v>
      </x:c>
      <x:c r="H877" s="50" t="n">
        <x:v>-207.19</x:v>
      </x:c>
      <x:c r="I877" s="50" t="n">
        <x:v>209.06</x:v>
      </x:c>
      <x:c r="J877" s="50" t="n">
        <x:v>1.98</x:v>
      </x:c>
      <x:c r="K877" s="50" t="n">
        <x:v>-4.21</x:v>
      </x:c>
      <x:c r="L877" s="50" t="n">
        <x:v>4.66</x:v>
      </x:c>
      <x:c r="M877" s="50" t="n">
        <x:v>1.07</x:v>
      </x:c>
      <x:c r="N877" t="str">
        <x:v>RELATÓRIO LEITURAS INCLINOMÉTRICAS - Empreitada THE EDEN, Estoril_ R10_09-12-25.pdf</x:v>
      </x:c>
      <x:c r="O877" t="n">
        <x:v>38</x:v>
      </x:c>
    </x:row>
    <x:row r="878">
      <x:c r="A878" s="48" t="n">
        <x:v>45978</x:v>
      </x:c>
      <x:c r="B878" t="n">
        <x:v>7</x:v>
      </x:c>
      <x:c r="C878" t="str">
        <x:v>I2</x:v>
      </x:c>
      <x:c r="D878" t="n">
        <x:v>7</x:v>
      </x:c>
      <x:c r="E878" s="50" t="n">
        <x:v>2.5</x:v>
      </x:c>
      <x:c r="F878" s="50" t="n">
        <x:v>-304.68</x:v>
      </x:c>
      <x:c r="G878" s="50" t="n">
        <x:v>313.62</x:v>
      </x:c>
      <x:c r="H878" s="50" t="n">
        <x:v>-192.76</x:v>
      </x:c>
      <x:c r="I878" s="50" t="n">
        <x:v>194.25</x:v>
      </x:c>
      <x:c r="J878" s="50" t="n">
        <x:v>2.05</x:v>
      </x:c>
      <x:c r="K878" s="50" t="n">
        <x:v>-4.08</x:v>
      </x:c>
      <x:c r="L878" s="50" t="n">
        <x:v>4.57</x:v>
      </x:c>
      <x:c r="M878" s="50" t="n">
        <x:v>0.99</x:v>
      </x:c>
      <x:c r="N878" t="str">
        <x:v>RELATÓRIO LEITURAS INCLINOMÉTRICAS - Empreitada THE EDEN, Estoril_ R10_09-12-25.pdf</x:v>
      </x:c>
      <x:c r="O878" t="n">
        <x:v>38</x:v>
      </x:c>
    </x:row>
    <x:row r="879">
      <x:c r="A879" s="48" t="n">
        <x:v>45978</x:v>
      </x:c>
      <x:c r="B879" t="n">
        <x:v>7</x:v>
      </x:c>
      <x:c r="C879" t="str">
        <x:v>I2</x:v>
      </x:c>
      <x:c r="D879" t="n">
        <x:v>7</x:v>
      </x:c>
      <x:c r="E879" s="50" t="n">
        <x:v>3</x:v>
      </x:c>
      <x:c r="F879" s="50" t="n">
        <x:v>-267.35</x:v>
      </x:c>
      <x:c r="G879" s="50" t="n">
        <x:v>276.22</x:v>
      </x:c>
      <x:c r="H879" s="50" t="n">
        <x:v>-137.04</x:v>
      </x:c>
      <x:c r="I879" s="50" t="n">
        <x:v>128.1</x:v>
      </x:c>
      <x:c r="J879" s="50" t="n">
        <x:v>2.09</x:v>
      </x:c>
      <x:c r="K879" s="50" t="n">
        <x:v>-4.17</x:v>
      </x:c>
      <x:c r="L879" s="50" t="n">
        <x:v>4.67</x:v>
      </x:c>
      <x:c r="M879" s="50" t="n">
        <x:v>1.17</x:v>
      </x:c>
      <x:c r="N879" t="str">
        <x:v>RELATÓRIO LEITURAS INCLINOMÉTRICAS - Empreitada THE EDEN, Estoril_ R10_09-12-25.pdf</x:v>
      </x:c>
      <x:c r="O879" t="n">
        <x:v>38</x:v>
      </x:c>
    </x:row>
    <x:row r="880">
      <x:c r="A880" s="48" t="n">
        <x:v>45978</x:v>
      </x:c>
      <x:c r="B880" t="n">
        <x:v>7</x:v>
      </x:c>
      <x:c r="C880" t="str">
        <x:v>I2</x:v>
      </x:c>
      <x:c r="D880" t="n">
        <x:v>7</x:v>
      </x:c>
      <x:c r="E880" s="50" t="n">
        <x:v>3.5</x:v>
      </x:c>
      <x:c r="F880" s="50" t="n">
        <x:v>-205.59</x:v>
      </x:c>
      <x:c r="G880" s="50" t="n">
        <x:v>214.87</x:v>
      </x:c>
      <x:c r="H880" s="50" t="n">
        <x:v>-74.03</x:v>
      </x:c>
      <x:c r="I880" s="50" t="n">
        <x:v>72.48</x:v>
      </x:c>
      <x:c r="J880" s="50" t="n">
        <x:v>2.17</x:v>
      </x:c>
      <x:c r="K880" s="50" t="n">
        <x:v>-4.04</x:v>
      </x:c>
      <x:c r="L880" s="50" t="n">
        <x:v>4.58</x:v>
      </x:c>
      <x:c r="M880" s="50" t="n">
        <x:v>1.13</x:v>
      </x:c>
      <x:c r="N880" t="str">
        <x:v>RELATÓRIO LEITURAS INCLINOMÉTRICAS - Empreitada THE EDEN, Estoril_ R10_09-12-25.pdf</x:v>
      </x:c>
      <x:c r="O880" t="n">
        <x:v>38</x:v>
      </x:c>
    </x:row>
    <x:row r="881">
      <x:c r="A881" s="48" t="n">
        <x:v>45978</x:v>
      </x:c>
      <x:c r="B881" t="n">
        <x:v>7</x:v>
      </x:c>
      <x:c r="C881" t="str">
        <x:v>I2</x:v>
      </x:c>
      <x:c r="D881" t="n">
        <x:v>7</x:v>
      </x:c>
      <x:c r="E881" s="50" t="n">
        <x:v>4</x:v>
      </x:c>
      <x:c r="F881" s="50" t="n">
        <x:v>-149.45</x:v>
      </x:c>
      <x:c r="G881" s="50" t="n">
        <x:v>160.36</x:v>
      </x:c>
      <x:c r="H881" s="50" t="n">
        <x:v>-66.94</x:v>
      </x:c>
      <x:c r="I881" s="50" t="n">
        <x:v>65.23</x:v>
      </x:c>
      <x:c r="J881" s="50" t="n">
        <x:v>2.29</x:v>
      </x:c>
      <x:c r="K881" s="50" t="n">
        <x:v>-3.7</x:v>
      </x:c>
      <x:c r="L881" s="50" t="n">
        <x:v>4.36</x:v>
      </x:c>
      <x:c r="M881" s="50" t="n">
        <x:v>1.01</x:v>
      </x:c>
      <x:c r="N881" t="str">
        <x:v>RELATÓRIO LEITURAS INCLINOMÉTRICAS - Empreitada THE EDEN, Estoril_ R10_09-12-25.pdf</x:v>
      </x:c>
      <x:c r="O881" t="n">
        <x:v>38</x:v>
      </x:c>
    </x:row>
    <x:row r="882">
      <x:c r="A882" s="48" t="n">
        <x:v>45978</x:v>
      </x:c>
      <x:c r="B882" t="n">
        <x:v>7</x:v>
      </x:c>
      <x:c r="C882" t="str">
        <x:v>I2</x:v>
      </x:c>
      <x:c r="D882" t="n">
        <x:v>7</x:v>
      </x:c>
      <x:c r="E882" s="50" t="n">
        <x:v>4.5</x:v>
      </x:c>
      <x:c r="F882" s="50" t="n">
        <x:v>-101.49</x:v>
      </x:c>
      <x:c r="G882" s="50" t="n">
        <x:v>109.42</x:v>
      </x:c>
      <x:c r="H882" s="50" t="n">
        <x:v>-120.58</x:v>
      </x:c>
      <x:c r="I882" s="50" t="n">
        <x:v>118.26</x:v>
      </x:c>
      <x:c r="J882" s="50" t="n">
        <x:v>2.41</x:v>
      </x:c>
      <x:c r="K882" s="50" t="n">
        <x:v>-3.68</x:v>
      </x:c>
      <x:c r="L882" s="50" t="n">
        <x:v>4.4</x:v>
      </x:c>
      <x:c r="M882" s="50" t="n">
        <x:v>1.08</x:v>
      </x:c>
      <x:c r="N882" t="str">
        <x:v>RELATÓRIO LEITURAS INCLINOMÉTRICAS - Empreitada THE EDEN, Estoril_ R10_09-12-25.pdf</x:v>
      </x:c>
      <x:c r="O882" t="n">
        <x:v>38</x:v>
      </x:c>
    </x:row>
    <x:row r="883">
      <x:c r="A883" s="48" t="n">
        <x:v>45978</x:v>
      </x:c>
      <x:c r="B883" t="n">
        <x:v>7</x:v>
      </x:c>
      <x:c r="C883" t="str">
        <x:v>I2</x:v>
      </x:c>
      <x:c r="D883" t="n">
        <x:v>7</x:v>
      </x:c>
      <x:c r="E883" s="50" t="n">
        <x:v>5</x:v>
      </x:c>
      <x:c r="F883" s="50" t="n">
        <x:v>-27.55</x:v>
      </x:c>
      <x:c r="G883" s="50" t="n">
        <x:v>36.18</x:v>
      </x:c>
      <x:c r="H883" s="50" t="n">
        <x:v>-156.64</x:v>
      </x:c>
      <x:c r="I883" s="50" t="n">
        <x:v>166.42</x:v>
      </x:c>
      <x:c r="J883" s="50" t="n">
        <x:v>2.52</x:v>
      </x:c>
      <x:c r="K883" s="50" t="n">
        <x:v>-3.75</x:v>
      </x:c>
      <x:c r="L883" s="50" t="n">
        <x:v>4.52</x:v>
      </x:c>
      <x:c r="M883" s="50" t="n">
        <x:v>1.03</x:v>
      </x:c>
      <x:c r="N883" t="str">
        <x:v>RELATÓRIO LEITURAS INCLINOMÉTRICAS - Empreitada THE EDEN, Estoril_ R10_09-12-25.pdf</x:v>
      </x:c>
      <x:c r="O883" t="n">
        <x:v>38</x:v>
      </x:c>
    </x:row>
    <x:row r="884">
      <x:c r="A884" s="48" t="n">
        <x:v>45978</x:v>
      </x:c>
      <x:c r="B884" t="n">
        <x:v>7</x:v>
      </x:c>
      <x:c r="C884" t="str">
        <x:v>I2</x:v>
      </x:c>
      <x:c r="D884" t="n">
        <x:v>7</x:v>
      </x:c>
      <x:c r="E884" s="50" t="n">
        <x:v>5.5</x:v>
      </x:c>
      <x:c r="F884" s="50" t="n">
        <x:v>39.07</x:v>
      </x:c>
      <x:c r="G884" s="50" t="n">
        <x:v>-29.59</x:v>
      </x:c>
      <x:c r="H884" s="50" t="n">
        <x:v>-156.42</x:v>
      </x:c>
      <x:c r="I884" s="50" t="n">
        <x:v>149.04</x:v>
      </x:c>
      <x:c r="J884" s="50" t="n">
        <x:v>2.7</x:v>
      </x:c>
      <x:c r="K884" s="50" t="n">
        <x:v>-3.98</x:v>
      </x:c>
      <x:c r="L884" s="50" t="n">
        <x:v>4.82</x:v>
      </x:c>
      <x:c r="M884" s="50" t="n">
        <x:v>1.13</x:v>
      </x:c>
      <x:c r="N884" t="str">
        <x:v>RELATÓRIO LEITURAS INCLINOMÉTRICAS - Empreitada THE EDEN, Estoril_ R10_09-12-25.pdf</x:v>
      </x:c>
      <x:c r="O884" t="n">
        <x:v>38</x:v>
      </x:c>
    </x:row>
    <x:row r="885">
      <x:c r="A885" s="48" t="n">
        <x:v>45978</x:v>
      </x:c>
      <x:c r="B885" t="n">
        <x:v>7</x:v>
      </x:c>
      <x:c r="C885" t="str">
        <x:v>I2</x:v>
      </x:c>
      <x:c r="D885" t="n">
        <x:v>7</x:v>
      </x:c>
      <x:c r="E885" s="50" t="n">
        <x:v>6</x:v>
      </x:c>
      <x:c r="F885" s="50" t="n">
        <x:v>73.83</x:v>
      </x:c>
      <x:c r="G885" s="50" t="n">
        <x:v>-64.97</x:v>
      </x:c>
      <x:c r="H885" s="50" t="n">
        <x:v>-186.28</x:v>
      </x:c>
      <x:c r="I885" s="50" t="n">
        <x:v>182.16</x:v>
      </x:c>
      <x:c r="J885" s="50" t="n">
        <x:v>2.88</x:v>
      </x:c>
      <x:c r="K885" s="50" t="n">
        <x:v>-4.11</x:v>
      </x:c>
      <x:c r="L885" s="50" t="n">
        <x:v>5.02</x:v>
      </x:c>
      <x:c r="M885" s="50" t="n">
        <x:v>1.1</x:v>
      </x:c>
      <x:c r="N885" t="str">
        <x:v>RELATÓRIO LEITURAS INCLINOMÉTRICAS - Empreitada THE EDEN, Estoril_ R10_09-12-25.pdf</x:v>
      </x:c>
      <x:c r="O885" t="n">
        <x:v>38</x:v>
      </x:c>
    </x:row>
    <x:row r="886">
      <x:c r="A886" s="48" t="n">
        <x:v>45978</x:v>
      </x:c>
      <x:c r="B886" t="n">
        <x:v>7</x:v>
      </x:c>
      <x:c r="C886" t="str">
        <x:v>I2</x:v>
      </x:c>
      <x:c r="D886" t="n">
        <x:v>7</x:v>
      </x:c>
      <x:c r="E886" s="50" t="n">
        <x:v>6.5</x:v>
      </x:c>
      <x:c r="F886" s="50" t="n">
        <x:v>176.8</x:v>
      </x:c>
      <x:c r="G886" s="50" t="n">
        <x:v>-167.66</x:v>
      </x:c>
      <x:c r="H886" s="50" t="n">
        <x:v>-175.39</x:v>
      </x:c>
      <x:c r="I886" s="50" t="n">
        <x:v>171.05</x:v>
      </x:c>
      <x:c r="J886" s="50" t="n">
        <x:v>2.97</x:v>
      </x:c>
      <x:c r="K886" s="50" t="n">
        <x:v>-4.03</x:v>
      </x:c>
      <x:c r="L886" s="50" t="n">
        <x:v>5</x:v>
      </x:c>
      <x:c r="M886" s="50" t="n">
        <x:v>1.04</x:v>
      </x:c>
      <x:c r="N886" t="str">
        <x:v>RELATÓRIO LEITURAS INCLINOMÉTRICAS - Empreitada THE EDEN, Estoril_ R10_09-12-25.pdf</x:v>
      </x:c>
      <x:c r="O886" t="n">
        <x:v>38</x:v>
      </x:c>
    </x:row>
    <x:row r="887">
      <x:c r="A887" s="48" t="n">
        <x:v>45978</x:v>
      </x:c>
      <x:c r="B887" t="n">
        <x:v>7</x:v>
      </x:c>
      <x:c r="C887" t="str">
        <x:v>I2</x:v>
      </x:c>
      <x:c r="D887" t="n">
        <x:v>7</x:v>
      </x:c>
      <x:c r="E887" s="50" t="n">
        <x:v>7</x:v>
      </x:c>
      <x:c r="F887" s="50" t="n">
        <x:v>279.85</x:v>
      </x:c>
      <x:c r="G887" s="50" t="n">
        <x:v>-271.25</x:v>
      </x:c>
      <x:c r="H887" s="50" t="n">
        <x:v>-188.87</x:v>
      </x:c>
      <x:c r="I887" s="50" t="n">
        <x:v>175.47</x:v>
      </x:c>
      <x:c r="J887" s="50" t="n">
        <x:v>3.06</x:v>
      </x:c>
      <x:c r="K887" s="50" t="n">
        <x:v>-3.79</x:v>
      </x:c>
      <x:c r="L887" s="50" t="n">
        <x:v>4.87</x:v>
      </x:c>
      <x:c r="M887" s="50" t="n">
        <x:v>0.97</x:v>
      </x:c>
      <x:c r="N887" t="str">
        <x:v>RELATÓRIO LEITURAS INCLINOMÉTRICAS - Empreitada THE EDEN, Estoril_ R10_09-12-25.pdf</x:v>
      </x:c>
      <x:c r="O887" t="n">
        <x:v>38</x:v>
      </x:c>
    </x:row>
    <x:row r="888">
      <x:c r="A888" s="48" t="n">
        <x:v>45978</x:v>
      </x:c>
      <x:c r="B888" t="n">
        <x:v>7</x:v>
      </x:c>
      <x:c r="C888" t="str">
        <x:v>I2</x:v>
      </x:c>
      <x:c r="D888" t="n">
        <x:v>7</x:v>
      </x:c>
      <x:c r="E888" s="50" t="n">
        <x:v>7.5</x:v>
      </x:c>
      <x:c r="F888" s="50" t="n">
        <x:v>303.98</x:v>
      </x:c>
      <x:c r="G888" s="50" t="n">
        <x:v>-286.76</x:v>
      </x:c>
      <x:c r="H888" s="50" t="n">
        <x:v>-163.84</x:v>
      </x:c>
      <x:c r="I888" s="50" t="n">
        <x:v>158.01</x:v>
      </x:c>
      <x:c r="J888" s="50" t="n">
        <x:v>3.08</x:v>
      </x:c>
      <x:c r="K888" s="50" t="n">
        <x:v>-3.67</x:v>
      </x:c>
      <x:c r="L888" s="50" t="n">
        <x:v>4.79</x:v>
      </x:c>
      <x:c r="M888" s="50" t="n">
        <x:v>1.01</x:v>
      </x:c>
      <x:c r="N888" t="str">
        <x:v>RELATÓRIO LEITURAS INCLINOMÉTRICAS - Empreitada THE EDEN, Estoril_ R10_09-12-25.pdf</x:v>
      </x:c>
      <x:c r="O888" t="n">
        <x:v>38</x:v>
      </x:c>
    </x:row>
    <x:row r="889">
      <x:c r="A889" s="48" t="n">
        <x:v>45978</x:v>
      </x:c>
      <x:c r="B889" t="n">
        <x:v>7</x:v>
      </x:c>
      <x:c r="C889" t="str">
        <x:v>I2</x:v>
      </x:c>
      <x:c r="D889" t="n">
        <x:v>7</x:v>
      </x:c>
      <x:c r="E889" s="50" t="n">
        <x:v>8</x:v>
      </x:c>
      <x:c r="F889" s="50" t="n">
        <x:v>270.46</x:v>
      </x:c>
      <x:c r="G889" s="50" t="n">
        <x:v>-265.81</x:v>
      </x:c>
      <x:c r="H889" s="50" t="n">
        <x:v>-69.67</x:v>
      </x:c>
      <x:c r="I889" s="50" t="n">
        <x:v>69.66</x:v>
      </x:c>
      <x:c r="J889" s="50" t="n">
        <x:v>3.18</x:v>
      </x:c>
      <x:c r="K889" s="50" t="n">
        <x:v>-3.59</x:v>
      </x:c>
      <x:c r="L889" s="50" t="n">
        <x:v>4.79</x:v>
      </x:c>
      <x:c r="M889" s="50" t="n">
        <x:v>0.98</x:v>
      </x:c>
      <x:c r="N889" t="str">
        <x:v>RELATÓRIO LEITURAS INCLINOMÉTRICAS - Empreitada THE EDEN, Estoril_ R10_09-12-25.pdf</x:v>
      </x:c>
      <x:c r="O889" t="n">
        <x:v>38</x:v>
      </x:c>
    </x:row>
    <x:row r="890">
      <x:c r="A890" s="48" t="n">
        <x:v>45978</x:v>
      </x:c>
      <x:c r="B890" t="n">
        <x:v>7</x:v>
      </x:c>
      <x:c r="C890" t="str">
        <x:v>I2</x:v>
      </x:c>
      <x:c r="D890" t="n">
        <x:v>7</x:v>
      </x:c>
      <x:c r="E890" s="50" t="n">
        <x:v>8.5</x:v>
      </x:c>
      <x:c r="F890" s="50" t="n">
        <x:v>332.88</x:v>
      </x:c>
      <x:c r="G890" s="50" t="n">
        <x:v>-322.1</x:v>
      </x:c>
      <x:c r="H890" s="50" t="n">
        <x:v>-3.06</x:v>
      </x:c>
      <x:c r="I890" s="50" t="n">
        <x:v>8.45</x:v>
      </x:c>
      <x:c r="J890" s="50" t="n">
        <x:v>3.26</x:v>
      </x:c>
      <x:c r="K890" s="50" t="n">
        <x:v>-3.55</x:v>
      </x:c>
      <x:c r="L890" s="50" t="n">
        <x:v>4.82</x:v>
      </x:c>
      <x:c r="M890" s="50" t="n">
        <x:v>0.95</x:v>
      </x:c>
      <x:c r="N890" t="str">
        <x:v>RELATÓRIO LEITURAS INCLINOMÉTRICAS - Empreitada THE EDEN, Estoril_ R10_09-12-25.pdf</x:v>
      </x:c>
      <x:c r="O890" t="n">
        <x:v>38</x:v>
      </x:c>
    </x:row>
    <x:row r="891">
      <x:c r="A891" s="48" t="n">
        <x:v>45978</x:v>
      </x:c>
      <x:c r="B891" t="n">
        <x:v>7</x:v>
      </x:c>
      <x:c r="C891" t="str">
        <x:v>I2</x:v>
      </x:c>
      <x:c r="D891" t="n">
        <x:v>7</x:v>
      </x:c>
      <x:c r="E891" s="50" t="n">
        <x:v>9</x:v>
      </x:c>
      <x:c r="F891" s="50" t="n">
        <x:v>317.23</x:v>
      </x:c>
      <x:c r="G891" s="50" t="n">
        <x:v>-308.3</x:v>
      </x:c>
      <x:c r="H891" s="50" t="n">
        <x:v>58.18</x:v>
      </x:c>
      <x:c r="I891" s="50" t="n">
        <x:v>-48.23</x:v>
      </x:c>
      <x:c r="J891" s="50" t="n">
        <x:v>3.18</x:v>
      </x:c>
      <x:c r="K891" s="50" t="n">
        <x:v>-3.58</x:v>
      </x:c>
      <x:c r="L891" s="50" t="n">
        <x:v>4.79</x:v>
      </x:c>
      <x:c r="M891" s="50" t="n">
        <x:v>0.78</x:v>
      </x:c>
      <x:c r="N891" t="str">
        <x:v>RELATÓRIO LEITURAS INCLINOMÉTRICAS - Empreitada THE EDEN, Estoril_ R10_09-12-25.pdf</x:v>
      </x:c>
      <x:c r="O891" t="n">
        <x:v>38</x:v>
      </x:c>
    </x:row>
    <x:row r="892">
      <x:c r="A892" s="48" t="n">
        <x:v>45978</x:v>
      </x:c>
      <x:c r="B892" t="n">
        <x:v>7</x:v>
      </x:c>
      <x:c r="C892" t="str">
        <x:v>I2</x:v>
      </x:c>
      <x:c r="D892" t="n">
        <x:v>7</x:v>
      </x:c>
      <x:c r="E892" s="50" t="n">
        <x:v>9.5</x:v>
      </x:c>
      <x:c r="F892" s="50" t="n">
        <x:v>204.06</x:v>
      </x:c>
      <x:c r="G892" s="50" t="n">
        <x:v>-197.15</x:v>
      </x:c>
      <x:c r="H892" s="50" t="n">
        <x:v>111.08</x:v>
      </x:c>
      <x:c r="I892" s="50" t="n">
        <x:v>-128.36</x:v>
      </x:c>
      <x:c r="J892" s="50" t="n">
        <x:v>3.21</x:v>
      </x:c>
      <x:c r="K892" s="50" t="n">
        <x:v>-3.64</x:v>
      </x:c>
      <x:c r="L892" s="50" t="n">
        <x:v>4.86</x:v>
      </x:c>
      <x:c r="M892" s="50" t="n">
        <x:v>0.67</x:v>
      </x:c>
      <x:c r="N892" t="str">
        <x:v>RELATÓRIO LEITURAS INCLINOMÉTRICAS - Empreitada THE EDEN, Estoril_ R10_09-12-25.pdf</x:v>
      </x:c>
      <x:c r="O892" t="n">
        <x:v>38</x:v>
      </x:c>
    </x:row>
    <x:row r="893">
      <x:c r="A893" s="48" t="n">
        <x:v>45978</x:v>
      </x:c>
      <x:c r="B893" t="n">
        <x:v>7</x:v>
      </x:c>
      <x:c r="C893" t="str">
        <x:v>I2</x:v>
      </x:c>
      <x:c r="D893" t="n">
        <x:v>7</x:v>
      </x:c>
      <x:c r="E893" s="50" t="n">
        <x:v>10</x:v>
      </x:c>
      <x:c r="F893" s="50" t="n">
        <x:v>60.33</x:v>
      </x:c>
      <x:c r="G893" s="50" t="n">
        <x:v>-43.75</x:v>
      </x:c>
      <x:c r="H893" s="50" t="n">
        <x:v>144.44</x:v>
      </x:c>
      <x:c r="I893" s="50" t="n">
        <x:v>-150.06</x:v>
      </x:c>
      <x:c r="J893" s="50" t="n">
        <x:v>3.3</x:v>
      </x:c>
      <x:c r="K893" s="50" t="n">
        <x:v>-3.59</x:v>
      </x:c>
      <x:c r="L893" s="50" t="n">
        <x:v>4.88</x:v>
      </x:c>
      <x:c r="M893" s="50" t="n">
        <x:v>0.57</x:v>
      </x:c>
      <x:c r="N893" t="str">
        <x:v>RELATÓRIO LEITURAS INCLINOMÉTRICAS - Empreitada THE EDEN, Estoril_ R10_09-12-25.pdf</x:v>
      </x:c>
      <x:c r="O893" t="n">
        <x:v>38</x:v>
      </x:c>
    </x:row>
    <x:row r="894">
      <x:c r="A894" s="48" t="n">
        <x:v>45978</x:v>
      </x:c>
      <x:c r="B894" t="n">
        <x:v>7</x:v>
      </x:c>
      <x:c r="C894" t="str">
        <x:v>I2</x:v>
      </x:c>
      <x:c r="D894" t="n">
        <x:v>7</x:v>
      </x:c>
      <x:c r="E894" s="50" t="n">
        <x:v>10.5</x:v>
      </x:c>
      <x:c r="F894" s="50" t="n">
        <x:v>76.72</x:v>
      </x:c>
      <x:c r="G894" s="50" t="n">
        <x:v>-70.68</x:v>
      </x:c>
      <x:c r="H894" s="50" t="n">
        <x:v>81.39</x:v>
      </x:c>
      <x:c r="I894" s="50" t="n">
        <x:v>-78.25</x:v>
      </x:c>
      <x:c r="J894" s="50" t="n">
        <x:v>3.24</x:v>
      </x:c>
      <x:c r="K894" s="50" t="n">
        <x:v>-3.8</x:v>
      </x:c>
      <x:c r="L894" s="50" t="n">
        <x:v>5</x:v>
      </x:c>
      <x:c r="M894" s="50" t="n">
        <x:v>0.56</x:v>
      </x:c>
      <x:c r="N894" t="str">
        <x:v>RELATÓRIO LEITURAS INCLINOMÉTRICAS - Empreitada THE EDEN, Estoril_ R10_09-12-25.pdf</x:v>
      </x:c>
      <x:c r="O894" t="n">
        <x:v>38</x:v>
      </x:c>
    </x:row>
    <x:row r="895">
      <x:c r="A895" s="48" t="n">
        <x:v>45978</x:v>
      </x:c>
      <x:c r="B895" t="n">
        <x:v>7</x:v>
      </x:c>
      <x:c r="C895" t="str">
        <x:v>I2</x:v>
      </x:c>
      <x:c r="D895" t="n">
        <x:v>7</x:v>
      </x:c>
      <x:c r="E895" s="50" t="n">
        <x:v>11</x:v>
      </x:c>
      <x:c r="F895" s="50" t="n">
        <x:v>6.15</x:v>
      </x:c>
      <x:c r="G895" s="50" t="n">
        <x:v>3</x:v>
      </x:c>
      <x:c r="H895" s="50" t="n">
        <x:v>32.93</x:v>
      </x:c>
      <x:c r="I895" s="50" t="n">
        <x:v>-44.36</x:v>
      </x:c>
      <x:c r="J895" s="50" t="n">
        <x:v>3.18</x:v>
      </x:c>
      <x:c r="K895" s="50" t="n">
        <x:v>-3.77</x:v>
      </x:c>
      <x:c r="L895" s="50" t="n">
        <x:v>4.93</x:v>
      </x:c>
      <x:c r="M895" s="50" t="n">
        <x:v>0.52</x:v>
      </x:c>
      <x:c r="N895" t="str">
        <x:v>RELATÓRIO LEITURAS INCLINOMÉTRICAS - Empreitada THE EDEN, Estoril_ R10_09-12-25.pdf</x:v>
      </x:c>
      <x:c r="O895" t="n">
        <x:v>38</x:v>
      </x:c>
    </x:row>
    <x:row r="896">
      <x:c r="A896" s="48" t="n">
        <x:v>45978</x:v>
      </x:c>
      <x:c r="B896" t="n">
        <x:v>7</x:v>
      </x:c>
      <x:c r="C896" t="str">
        <x:v>I2</x:v>
      </x:c>
      <x:c r="D896" t="n">
        <x:v>7</x:v>
      </x:c>
      <x:c r="E896" s="50" t="n">
        <x:v>11.5</x:v>
      </x:c>
      <x:c r="F896" s="50" t="n">
        <x:v>-73.39</x:v>
      </x:c>
      <x:c r="G896" s="50" t="n">
        <x:v>76.34</x:v>
      </x:c>
      <x:c r="H896" s="50" t="n">
        <x:v>8.44</x:v>
      </x:c>
      <x:c r="I896" s="50" t="n">
        <x:v>-15.69</x:v>
      </x:c>
      <x:c r="J896" s="50" t="n">
        <x:v>3</x:v>
      </x:c>
      <x:c r="K896" s="50" t="n">
        <x:v>-3.8</x:v>
      </x:c>
      <x:c r="L896" s="50" t="n">
        <x:v>4.84</x:v>
      </x:c>
      <x:c r="M896" s="50" t="n">
        <x:v>0.53</x:v>
      </x:c>
      <x:c r="N896" t="str">
        <x:v>RELATÓRIO LEITURAS INCLINOMÉTRICAS - Empreitada THE EDEN, Estoril_ R10_09-12-25.pdf</x:v>
      </x:c>
      <x:c r="O896" t="n">
        <x:v>38</x:v>
      </x:c>
    </x:row>
    <x:row r="897">
      <x:c r="A897" s="48" t="n">
        <x:v>45978</x:v>
      </x:c>
      <x:c r="B897" t="n">
        <x:v>7</x:v>
      </x:c>
      <x:c r="C897" t="str">
        <x:v>I2</x:v>
      </x:c>
      <x:c r="D897" t="n">
        <x:v>7</x:v>
      </x:c>
      <x:c r="E897" s="50" t="n">
        <x:v>12</x:v>
      </x:c>
      <x:c r="F897" s="50" t="n">
        <x:v>-85.47</x:v>
      </x:c>
      <x:c r="G897" s="50" t="n">
        <x:v>97.43</x:v>
      </x:c>
      <x:c r="H897" s="50" t="n">
        <x:v>20.08</x:v>
      </x:c>
      <x:c r="I897" s="50" t="n">
        <x:v>-24.41</x:v>
      </x:c>
      <x:c r="J897" s="50" t="n">
        <x:v>2.71</x:v>
      </x:c>
      <x:c r="K897" s="50" t="n">
        <x:v>-3.64</x:v>
      </x:c>
      <x:c r="L897" s="50" t="n">
        <x:v>4.54</x:v>
      </x:c>
      <x:c r="M897" s="50" t="n">
        <x:v>0.51</x:v>
      </x:c>
      <x:c r="N897" t="str">
        <x:v>RELATÓRIO LEITURAS INCLINOMÉTRICAS - Empreitada THE EDEN, Estoril_ R10_09-12-25.pdf</x:v>
      </x:c>
      <x:c r="O897" t="n">
        <x:v>38</x:v>
      </x:c>
    </x:row>
    <x:row r="898">
      <x:c r="A898" s="48" t="n">
        <x:v>45978</x:v>
      </x:c>
      <x:c r="B898" t="n">
        <x:v>7</x:v>
      </x:c>
      <x:c r="C898" t="str">
        <x:v>I2</x:v>
      </x:c>
      <x:c r="D898" t="n">
        <x:v>7</x:v>
      </x:c>
      <x:c r="E898" s="50" t="n">
        <x:v>12.5</x:v>
      </x:c>
      <x:c r="F898" s="50" t="n">
        <x:v>-44.77</x:v>
      </x:c>
      <x:c r="G898" s="50" t="n">
        <x:v>53.09</x:v>
      </x:c>
      <x:c r="H898" s="50" t="n">
        <x:v>10.32</x:v>
      </x:c>
      <x:c r="I898" s="50" t="n">
        <x:v>-19.27</x:v>
      </x:c>
      <x:c r="J898" s="50" t="n">
        <x:v>2.39</x:v>
      </x:c>
      <x:c r="K898" s="50" t="n">
        <x:v>-3.48</x:v>
      </x:c>
      <x:c r="L898" s="50" t="n">
        <x:v>4.22</x:v>
      </x:c>
      <x:c r="M898" s="50" t="n">
        <x:v>0.53</x:v>
      </x:c>
      <x:c r="N898" t="str">
        <x:v>RELATÓRIO LEITURAS INCLINOMÉTRICAS - Empreitada THE EDEN, Estoril_ R10_09-12-25.pdf</x:v>
      </x:c>
      <x:c r="O898" t="n">
        <x:v>38</x:v>
      </x:c>
    </x:row>
    <x:row r="899">
      <x:c r="A899" s="48" t="n">
        <x:v>45978</x:v>
      </x:c>
      <x:c r="B899" t="n">
        <x:v>7</x:v>
      </x:c>
      <x:c r="C899" t="str">
        <x:v>I2</x:v>
      </x:c>
      <x:c r="D899" t="n">
        <x:v>7</x:v>
      </x:c>
      <x:c r="E899" s="50" t="n">
        <x:v>13</x:v>
      </x:c>
      <x:c r="F899" s="50" t="n">
        <x:v>-98.01</x:v>
      </x:c>
      <x:c r="G899" s="50" t="n">
        <x:v>105.85</x:v>
      </x:c>
      <x:c r="H899" s="50" t="n">
        <x:v>-34.56</x:v>
      </x:c>
      <x:c r="I899" s="50" t="n">
        <x:v>39.81</x:v>
      </x:c>
      <x:c r="J899" s="50" t="n">
        <x:v>2.2</x:v>
      </x:c>
      <x:c r="K899" s="50" t="n">
        <x:v>-3.46</x:v>
      </x:c>
      <x:c r="L899" s="50" t="n">
        <x:v>4.1</x:v>
      </x:c>
      <x:c r="M899" s="50" t="n">
        <x:v>0.6</x:v>
      </x:c>
      <x:c r="N899" t="str">
        <x:v>RELATÓRIO LEITURAS INCLINOMÉTRICAS - Empreitada THE EDEN, Estoril_ R10_09-12-25.pdf</x:v>
      </x:c>
      <x:c r="O899" t="n">
        <x:v>38</x:v>
      </x:c>
    </x:row>
    <x:row r="900">
      <x:c r="A900" s="48" t="n">
        <x:v>45978</x:v>
      </x:c>
      <x:c r="B900" t="n">
        <x:v>7</x:v>
      </x:c>
      <x:c r="C900" t="str">
        <x:v>I2</x:v>
      </x:c>
      <x:c r="D900" t="n">
        <x:v>7</x:v>
      </x:c>
      <x:c r="E900" s="50" t="n">
        <x:v>13.5</x:v>
      </x:c>
      <x:c r="F900" s="50" t="n">
        <x:v>-263.84</x:v>
      </x:c>
      <x:c r="G900" s="50" t="n">
        <x:v>273.75</x:v>
      </x:c>
      <x:c r="H900" s="50" t="n">
        <x:v>-156.7</x:v>
      </x:c>
      <x:c r="I900" s="50" t="n">
        <x:v>177.11</x:v>
      </x:c>
      <x:c r="J900" s="50" t="n">
        <x:v>2.15</x:v>
      </x:c>
      <x:c r="K900" s="50" t="n">
        <x:v>-3.43</x:v>
      </x:c>
      <x:c r="L900" s="50" t="n">
        <x:v>4.04</x:v>
      </x:c>
      <x:c r="M900" s="50" t="n">
        <x:v>0.55</x:v>
      </x:c>
      <x:c r="N900" t="str">
        <x:v>RELATÓRIO LEITURAS INCLINOMÉTRICAS - Empreitada THE EDEN, Estoril_ R10_09-12-25.pdf</x:v>
      </x:c>
      <x:c r="O900" t="n">
        <x:v>38</x:v>
      </x:c>
    </x:row>
    <x:row r="901">
      <x:c r="A901" s="48" t="n">
        <x:v>45978</x:v>
      </x:c>
      <x:c r="B901" t="n">
        <x:v>7</x:v>
      </x:c>
      <x:c r="C901" t="str">
        <x:v>I2</x:v>
      </x:c>
      <x:c r="D901" t="n">
        <x:v>7</x:v>
      </x:c>
      <x:c r="E901" s="50" t="n">
        <x:v>14</x:v>
      </x:c>
      <x:c r="F901" s="50" t="n">
        <x:v>-295.27</x:v>
      </x:c>
      <x:c r="G901" s="50" t="n">
        <x:v>304.59</x:v>
      </x:c>
      <x:c r="H901" s="50" t="n">
        <x:v>-297.92</x:v>
      </x:c>
      <x:c r="I901" s="50" t="n">
        <x:v>300.4</x:v>
      </x:c>
      <x:c r="J901" s="50" t="n">
        <x:v>2.12</x:v>
      </x:c>
      <x:c r="K901" s="50" t="n">
        <x:v>-3.1</x:v>
      </x:c>
      <x:c r="L901" s="50" t="n">
        <x:v>3.76</x:v>
      </x:c>
      <x:c r="M901" s="50" t="n">
        <x:v>0.23</x:v>
      </x:c>
      <x:c r="N901" t="str">
        <x:v>RELATÓRIO LEITURAS INCLINOMÉTRICAS - Empreitada THE EDEN, Estoril_ R10_09-12-25.pdf</x:v>
      </x:c>
      <x:c r="O901" t="n">
        <x:v>38</x:v>
      </x:c>
    </x:row>
    <x:row r="902">
      <x:c r="A902" s="48" t="n">
        <x:v>45978</x:v>
      </x:c>
      <x:c r="B902" t="n">
        <x:v>7</x:v>
      </x:c>
      <x:c r="C902" t="str">
        <x:v>I2</x:v>
      </x:c>
      <x:c r="D902" t="n">
        <x:v>7</x:v>
      </x:c>
      <x:c r="E902" s="50" t="n">
        <x:v>14.5</x:v>
      </x:c>
      <x:c r="F902" s="50" t="n">
        <x:v>-263.98</x:v>
      </x:c>
      <x:c r="G902" s="50" t="n">
        <x:v>272.99</x:v>
      </x:c>
      <x:c r="H902" s="50" t="n">
        <x:v>-253.17</x:v>
      </x:c>
      <x:c r="I902" s="50" t="n">
        <x:v>253.71</x:v>
      </x:c>
      <x:c r="J902" s="50" t="n">
        <x:v>2.07</x:v>
      </x:c>
      <x:c r="K902" s="50" t="n">
        <x:v>-2.99</x:v>
      </x:c>
      <x:c r="L902" s="50" t="n">
        <x:v>3.63</x:v>
      </x:c>
      <x:c r="M902" s="50" t="n">
        <x:v>0.27</x:v>
      </x:c>
      <x:c r="N902" t="str">
        <x:v>RELATÓRIO LEITURAS INCLINOMÉTRICAS - Empreitada THE EDEN, Estoril_ R10_09-12-25.pdf</x:v>
      </x:c>
      <x:c r="O902" t="n">
        <x:v>38</x:v>
      </x:c>
    </x:row>
    <x:row r="903">
      <x:c r="A903" s="48" t="n">
        <x:v>45978</x:v>
      </x:c>
      <x:c r="B903" t="n">
        <x:v>7</x:v>
      </x:c>
      <x:c r="C903" t="str">
        <x:v>I2</x:v>
      </x:c>
      <x:c r="D903" t="n">
        <x:v>7</x:v>
      </x:c>
      <x:c r="E903" s="50" t="n">
        <x:v>15</x:v>
      </x:c>
      <x:c r="F903" s="50" t="n">
        <x:v>-226.85</x:v>
      </x:c>
      <x:c r="G903" s="50" t="n">
        <x:v>237.95</x:v>
      </x:c>
      <x:c r="H903" s="50" t="n">
        <x:v>-202.35</x:v>
      </x:c>
      <x:c r="I903" s="50" t="n">
        <x:v>194.07</x:v>
      </x:c>
      <x:c r="J903" s="50" t="n">
        <x:v>1.92</x:v>
      </x:c>
      <x:c r="K903" s="50" t="n">
        <x:v>-2.88</x:v>
      </x:c>
      <x:c r="L903" s="50" t="n">
        <x:v>3.47</x:v>
      </x:c>
      <x:c r="M903" s="50" t="n">
        <x:v>0.25</x:v>
      </x:c>
      <x:c r="N903" t="str">
        <x:v>RELATÓRIO LEITURAS INCLINOMÉTRICAS - Empreitada THE EDEN, Estoril_ R10_09-12-25.pdf</x:v>
      </x:c>
      <x:c r="O903" t="n">
        <x:v>38</x:v>
      </x:c>
    </x:row>
    <x:row r="904">
      <x:c r="A904" s="48" t="n">
        <x:v>45978</x:v>
      </x:c>
      <x:c r="B904" t="n">
        <x:v>7</x:v>
      </x:c>
      <x:c r="C904" t="str">
        <x:v>I2</x:v>
      </x:c>
      <x:c r="D904" t="n">
        <x:v>7</x:v>
      </x:c>
      <x:c r="E904" s="50" t="n">
        <x:v>15.5</x:v>
      </x:c>
      <x:c r="F904" s="50" t="n">
        <x:v>-161.54</x:v>
      </x:c>
      <x:c r="G904" s="50" t="n">
        <x:v>166.81</x:v>
      </x:c>
      <x:c r="H904" s="50" t="n">
        <x:v>-188.68</x:v>
      </x:c>
      <x:c r="I904" s="50" t="n">
        <x:v>177.57</x:v>
      </x:c>
      <x:c r="J904" s="50" t="n">
        <x:v>1.8</x:v>
      </x:c>
      <x:c r="K904" s="50" t="n">
        <x:v>-2.79</x:v>
      </x:c>
      <x:c r="L904" s="50" t="n">
        <x:v>3.32</x:v>
      </x:c>
      <x:c r="M904" s="50" t="n">
        <x:v>0.23</x:v>
      </x:c>
      <x:c r="N904" t="str">
        <x:v>RELATÓRIO LEITURAS INCLINOMÉTRICAS - Empreitada THE EDEN, Estoril_ R10_09-12-25.pdf</x:v>
      </x:c>
      <x:c r="O904" t="n">
        <x:v>38</x:v>
      </x:c>
    </x:row>
    <x:row r="905">
      <x:c r="A905" s="48" t="n">
        <x:v>45978</x:v>
      </x:c>
      <x:c r="B905" t="n">
        <x:v>7</x:v>
      </x:c>
      <x:c r="C905" t="str">
        <x:v>I2</x:v>
      </x:c>
      <x:c r="D905" t="n">
        <x:v>7</x:v>
      </x:c>
      <x:c r="E905" s="50" t="n">
        <x:v>16</x:v>
      </x:c>
      <x:c r="F905" s="50" t="n">
        <x:v>-75.36</x:v>
      </x:c>
      <x:c r="G905" s="50" t="n">
        <x:v>83.17</x:v>
      </x:c>
      <x:c r="H905" s="50" t="n">
        <x:v>-162.41</x:v>
      </x:c>
      <x:c r="I905" s="50" t="n">
        <x:v>169.33</x:v>
      </x:c>
      <x:c r="J905" s="50" t="n">
        <x:v>1.71</x:v>
      </x:c>
      <x:c r="K905" s="50" t="n">
        <x:v>-2.67</x:v>
      </x:c>
      <x:c r="L905" s="50" t="n">
        <x:v>3.18</x:v>
      </x:c>
      <x:c r="M905" s="50" t="n">
        <x:v>0.22</x:v>
      </x:c>
      <x:c r="N905" t="str">
        <x:v>RELATÓRIO LEITURAS INCLINOMÉTRICAS - Empreitada THE EDEN, Estoril_ R10_09-12-25.pdf</x:v>
      </x:c>
      <x:c r="O905" t="n">
        <x:v>38</x:v>
      </x:c>
    </x:row>
    <x:row r="906">
      <x:c r="A906" s="48" t="n">
        <x:v>45978</x:v>
      </x:c>
      <x:c r="B906" t="n">
        <x:v>7</x:v>
      </x:c>
      <x:c r="C906" t="str">
        <x:v>I2</x:v>
      </x:c>
      <x:c r="D906" t="n">
        <x:v>7</x:v>
      </x:c>
      <x:c r="E906" s="50" t="n">
        <x:v>16.5</x:v>
      </x:c>
      <x:c r="F906" s="50" t="n">
        <x:v>107.84</x:v>
      </x:c>
      <x:c r="G906" s="50" t="n">
        <x:v>-102.08</x:v>
      </x:c>
      <x:c r="H906" s="50" t="n">
        <x:v>-107.35</x:v>
      </x:c>
      <x:c r="I906" s="50" t="n">
        <x:v>113.69</x:v>
      </x:c>
      <x:c r="J906" s="50" t="n">
        <x:v>1.62</x:v>
      </x:c>
      <x:c r="K906" s="50" t="n">
        <x:v>-2.54</x:v>
      </x:c>
      <x:c r="L906" s="50" t="n">
        <x:v>3.01</x:v>
      </x:c>
      <x:c r="M906" s="50" t="n">
        <x:v>0.22</x:v>
      </x:c>
      <x:c r="N906" t="str">
        <x:v>RELATÓRIO LEITURAS INCLINOMÉTRICAS - Empreitada THE EDEN, Estoril_ R10_09-12-25.pdf</x:v>
      </x:c>
      <x:c r="O906" t="n">
        <x:v>38</x:v>
      </x:c>
    </x:row>
    <x:row r="907">
      <x:c r="A907" s="48" t="n">
        <x:v>45978</x:v>
      </x:c>
      <x:c r="B907" t="n">
        <x:v>7</x:v>
      </x:c>
      <x:c r="C907" t="str">
        <x:v>I2</x:v>
      </x:c>
      <x:c r="D907" t="n">
        <x:v>7</x:v>
      </x:c>
      <x:c r="E907" s="50" t="n">
        <x:v>17</x:v>
      </x:c>
      <x:c r="F907" s="50" t="n">
        <x:v>268.56</x:v>
      </x:c>
      <x:c r="G907" s="50" t="n">
        <x:v>-260.75</x:v>
      </x:c>
      <x:c r="H907" s="50" t="n">
        <x:v>-61.32</x:v>
      </x:c>
      <x:c r="I907" s="50" t="n">
        <x:v>55.84</x:v>
      </x:c>
      <x:c r="J907" s="50" t="n">
        <x:v>1.53</x:v>
      </x:c>
      <x:c r="K907" s="50" t="n">
        <x:v>-2.54</x:v>
      </x:c>
      <x:c r="L907" s="50" t="n">
        <x:v>2.97</x:v>
      </x:c>
      <x:c r="M907" s="50" t="n">
        <x:v>0.24</x:v>
      </x:c>
      <x:c r="N907" t="str">
        <x:v>RELATÓRIO LEITURAS INCLINOMÉTRICAS - Empreitada THE EDEN, Estoril_ R10_09-12-25.pdf</x:v>
      </x:c>
      <x:c r="O907" t="n">
        <x:v>38</x:v>
      </x:c>
    </x:row>
    <x:row r="908">
      <x:c r="A908" s="48" t="n">
        <x:v>45978</x:v>
      </x:c>
      <x:c r="B908" t="n">
        <x:v>7</x:v>
      </x:c>
      <x:c r="C908" t="str">
        <x:v>I2</x:v>
      </x:c>
      <x:c r="D908" t="n">
        <x:v>7</x:v>
      </x:c>
      <x:c r="E908" s="50" t="n">
        <x:v>17.5</x:v>
      </x:c>
      <x:c r="F908" s="50" t="n">
        <x:v>321.07</x:v>
      </x:c>
      <x:c r="G908" s="50" t="n">
        <x:v>-316.17</x:v>
      </x:c>
      <x:c r="H908" s="50" t="n">
        <x:v>-75.29</x:v>
      </x:c>
      <x:c r="I908" s="50" t="n">
        <x:v>63.04</x:v>
      </x:c>
      <x:c r="J908" s="50" t="n">
        <x:v>1.4</x:v>
      </x:c>
      <x:c r="K908" s="50" t="n">
        <x:v>-2.31</x:v>
      </x:c>
      <x:c r="L908" s="50" t="n">
        <x:v>2.7</x:v>
      </x:c>
      <x:c r="M908" s="50" t="n">
        <x:v>0.26</x:v>
      </x:c>
      <x:c r="N908" t="str">
        <x:v>RELATÓRIO LEITURAS INCLINOMÉTRICAS - Empreitada THE EDEN, Estoril_ R10_09-12-25.pdf</x:v>
      </x:c>
      <x:c r="O908" t="n">
        <x:v>38</x:v>
      </x:c>
    </x:row>
    <x:row r="909">
      <x:c r="A909" s="48" t="n">
        <x:v>45978</x:v>
      </x:c>
      <x:c r="B909" t="n">
        <x:v>7</x:v>
      </x:c>
      <x:c r="C909" t="str">
        <x:v>I2</x:v>
      </x:c>
      <x:c r="D909" t="n">
        <x:v>7</x:v>
      </x:c>
      <x:c r="E909" s="50" t="n">
        <x:v>18</x:v>
      </x:c>
      <x:c r="F909" s="50" t="n">
        <x:v>391.56</x:v>
      </x:c>
      <x:c r="G909" s="50" t="n">
        <x:v>-382.46</x:v>
      </x:c>
      <x:c r="H909" s="50" t="n">
        <x:v>-102.11</x:v>
      </x:c>
      <x:c r="I909" s="50" t="n">
        <x:v>99.05</x:v>
      </x:c>
      <x:c r="J909" s="50" t="n">
        <x:v>1.29</x:v>
      </x:c>
      <x:c r="K909" s="50" t="n">
        <x:v>-2.2</x:v>
      </x:c>
      <x:c r="L909" s="50" t="n">
        <x:v>2.55</x:v>
      </x:c>
      <x:c r="M909" s="50" t="n">
        <x:v>0.25</x:v>
      </x:c>
      <x:c r="N909" t="str">
        <x:v>RELATÓRIO LEITURAS INCLINOMÉTRICAS - Empreitada THE EDEN, Estoril_ R10_09-12-25.pdf</x:v>
      </x:c>
      <x:c r="O909" t="n">
        <x:v>38</x:v>
      </x:c>
    </x:row>
    <x:row r="910">
      <x:c r="A910" s="48" t="n">
        <x:v>45978</x:v>
      </x:c>
      <x:c r="B910" t="n">
        <x:v>7</x:v>
      </x:c>
      <x:c r="C910" t="str">
        <x:v>I2</x:v>
      </x:c>
      <x:c r="D910" t="n">
        <x:v>7</x:v>
      </x:c>
      <x:c r="E910" s="50" t="n">
        <x:v>18.5</x:v>
      </x:c>
      <x:c r="F910" s="50" t="n">
        <x:v>437.61</x:v>
      </x:c>
      <x:c r="G910" s="50" t="n">
        <x:v>-430.43</x:v>
      </x:c>
      <x:c r="H910" s="50" t="n">
        <x:v>-107.28</x:v>
      </x:c>
      <x:c r="I910" s="50" t="n">
        <x:v>114.77</x:v>
      </x:c>
      <x:c r="J910" s="50" t="n">
        <x:v>1.19</x:v>
      </x:c>
      <x:c r="K910" s="50" t="n">
        <x:v>-2.13</x:v>
      </x:c>
      <x:c r="L910" s="50" t="n">
        <x:v>2.44</x:v>
      </x:c>
      <x:c r="M910" s="50" t="n">
        <x:v>0.29</x:v>
      </x:c>
      <x:c r="N910" t="str">
        <x:v>RELATÓRIO LEITURAS INCLINOMÉTRICAS - Empreitada THE EDEN, Estoril_ R10_09-12-25.pdf</x:v>
      </x:c>
      <x:c r="O910" t="n">
        <x:v>38</x:v>
      </x:c>
    </x:row>
    <x:row r="911">
      <x:c r="A911" s="48" t="n">
        <x:v>45978</x:v>
      </x:c>
      <x:c r="B911" t="n">
        <x:v>7</x:v>
      </x:c>
      <x:c r="C911" t="str">
        <x:v>I2</x:v>
      </x:c>
      <x:c r="D911" t="n">
        <x:v>7</x:v>
      </x:c>
      <x:c r="E911" s="50" t="n">
        <x:v>19</x:v>
      </x:c>
      <x:c r="F911" s="50" t="n">
        <x:v>445.03</x:v>
      </x:c>
      <x:c r="G911" s="50" t="n">
        <x:v>-438.19</x:v>
      </x:c>
      <x:c r="H911" s="50" t="n">
        <x:v>-107.97</x:v>
      </x:c>
      <x:c r="I911" s="50" t="n">
        <x:v>109.42</x:v>
      </x:c>
      <x:c r="J911" s="50" t="n">
        <x:v>1.15</x:v>
      </x:c>
      <x:c r="K911" s="50" t="n">
        <x:v>-2</x:v>
      </x:c>
      <x:c r="L911" s="50" t="n">
        <x:v>2.31</x:v>
      </x:c>
      <x:c r="M911" s="50" t="n">
        <x:v>0.33</x:v>
      </x:c>
      <x:c r="N911" t="str">
        <x:v>RELATÓRIO LEITURAS INCLINOMÉTRICAS - Empreitada THE EDEN, Estoril_ R10_09-12-25.pdf</x:v>
      </x:c>
      <x:c r="O911" t="n">
        <x:v>38</x:v>
      </x:c>
    </x:row>
    <x:row r="912">
      <x:c r="A912" s="48" t="n">
        <x:v>45978</x:v>
      </x:c>
      <x:c r="B912" t="n">
        <x:v>7</x:v>
      </x:c>
      <x:c r="C912" t="str">
        <x:v>I2</x:v>
      </x:c>
      <x:c r="D912" t="n">
        <x:v>7</x:v>
      </x:c>
      <x:c r="E912" s="50" t="n">
        <x:v>19.5</x:v>
      </x:c>
      <x:c r="F912" s="50" t="n">
        <x:v>326.45</x:v>
      </x:c>
      <x:c r="G912" s="50" t="n">
        <x:v>-320.43</x:v>
      </x:c>
      <x:c r="H912" s="50" t="n">
        <x:v>-41.52</x:v>
      </x:c>
      <x:c r="I912" s="50" t="n">
        <x:v>50.46</x:v>
      </x:c>
      <x:c r="J912" s="50" t="n">
        <x:v>1.06</x:v>
      </x:c>
      <x:c r="K912" s="50" t="n">
        <x:v>-1.73</x:v>
      </x:c>
      <x:c r="L912" s="50" t="n">
        <x:v>2.03</x:v>
      </x:c>
      <x:c r="M912" s="50" t="n">
        <x:v>0.18</x:v>
      </x:c>
      <x:c r="N912" t="str">
        <x:v>RELATÓRIO LEITURAS INCLINOMÉTRICAS - Empreitada THE EDEN, Estoril_ R10_09-12-25.pdf</x:v>
      </x:c>
      <x:c r="O912" t="n">
        <x:v>38</x:v>
      </x:c>
    </x:row>
    <x:row r="913">
      <x:c r="A913" s="48" t="n">
        <x:v>45978</x:v>
      </x:c>
      <x:c r="B913" t="n">
        <x:v>7</x:v>
      </x:c>
      <x:c r="C913" t="str">
        <x:v>I2</x:v>
      </x:c>
      <x:c r="D913" t="n">
        <x:v>7</x:v>
      </x:c>
      <x:c r="E913" s="50" t="n">
        <x:v>20</x:v>
      </x:c>
      <x:c r="F913" s="50" t="n">
        <x:v>191.74</x:v>
      </x:c>
      <x:c r="G913" s="50" t="n">
        <x:v>-183.46</x:v>
      </x:c>
      <x:c r="H913" s="50" t="n">
        <x:v>-1.13</x:v>
      </x:c>
      <x:c r="I913" s="50" t="n">
        <x:v>5.93</x:v>
      </x:c>
      <x:c r="J913" s="50" t="n">
        <x:v>0.98</x:v>
      </x:c>
      <x:c r="K913" s="50" t="n">
        <x:v>-1.65</x:v>
      </x:c>
      <x:c r="L913" s="50" t="n">
        <x:v>1.92</x:v>
      </x:c>
      <x:c r="M913" s="50" t="n">
        <x:v>0.16</x:v>
      </x:c>
      <x:c r="N913" t="str">
        <x:v>RELATÓRIO LEITURAS INCLINOMÉTRICAS - Empreitada THE EDEN, Estoril_ R10_09-12-25.pdf</x:v>
      </x:c>
      <x:c r="O913" t="n">
        <x:v>38</x:v>
      </x:c>
    </x:row>
    <x:row r="914">
      <x:c r="A914" s="48" t="n">
        <x:v>45978</x:v>
      </x:c>
      <x:c r="B914" t="n">
        <x:v>7</x:v>
      </x:c>
      <x:c r="C914" t="str">
        <x:v>I2</x:v>
      </x:c>
      <x:c r="D914" t="n">
        <x:v>7</x:v>
      </x:c>
      <x:c r="E914" s="50" t="n">
        <x:v>20.5</x:v>
      </x:c>
      <x:c r="F914" s="50" t="n">
        <x:v>156.61</x:v>
      </x:c>
      <x:c r="G914" s="50" t="n">
        <x:v>-149.76</x:v>
      </x:c>
      <x:c r="H914" s="50" t="n">
        <x:v>-6.76</x:v>
      </x:c>
      <x:c r="I914" s="50" t="n">
        <x:v>9.28</x:v>
      </x:c>
      <x:c r="J914" s="50" t="n">
        <x:v>0.84</x:v>
      </x:c>
      <x:c r="K914" s="50" t="n">
        <x:v>-1.42</x:v>
      </x:c>
      <x:c r="L914" s="50" t="n">
        <x:v>1.65</x:v>
      </x:c>
      <x:c r="M914" s="50" t="n">
        <x:v>0.1</x:v>
      </x:c>
      <x:c r="N914" t="str">
        <x:v>RELATÓRIO LEITURAS INCLINOMÉTRICAS - Empreitada THE EDEN, Estoril_ R10_09-12-25.pdf</x:v>
      </x:c>
      <x:c r="O914" t="n">
        <x:v>38</x:v>
      </x:c>
    </x:row>
    <x:row r="915">
      <x:c r="A915" s="48" t="n">
        <x:v>45978</x:v>
      </x:c>
      <x:c r="B915" t="n">
        <x:v>7</x:v>
      </x:c>
      <x:c r="C915" t="str">
        <x:v>I2</x:v>
      </x:c>
      <x:c r="D915" t="n">
        <x:v>7</x:v>
      </x:c>
      <x:c r="E915" s="50" t="n">
        <x:v>21</x:v>
      </x:c>
      <x:c r="F915" s="50" t="n">
        <x:v>116.67</x:v>
      </x:c>
      <x:c r="G915" s="50" t="n">
        <x:v>-108.61</x:v>
      </x:c>
      <x:c r="H915" s="50" t="n">
        <x:v>-6.91</x:v>
      </x:c>
      <x:c r="I915" s="50" t="n">
        <x:v>19.03</x:v>
      </x:c>
      <x:c r="J915" s="50" t="n">
        <x:v>0.77</x:v>
      </x:c>
      <x:c r="K915" s="50" t="n">
        <x:v>-1.23</x:v>
      </x:c>
      <x:c r="L915" s="50" t="n">
        <x:v>1.45</x:v>
      </x:c>
      <x:c r="M915" s="50" t="n">
        <x:v>0.02</x:v>
      </x:c>
      <x:c r="N915" t="str">
        <x:v>RELATÓRIO LEITURAS INCLINOMÉTRICAS - Empreitada THE EDEN, Estoril_ R10_09-12-25.pdf</x:v>
      </x:c>
      <x:c r="O915" t="n">
        <x:v>38</x:v>
      </x:c>
    </x:row>
    <x:row r="916">
      <x:c r="A916" s="48" t="n">
        <x:v>45978</x:v>
      </x:c>
      <x:c r="B916" t="n">
        <x:v>7</x:v>
      </x:c>
      <x:c r="C916" t="str">
        <x:v>I2</x:v>
      </x:c>
      <x:c r="D916" t="n">
        <x:v>7</x:v>
      </x:c>
      <x:c r="E916" s="50" t="n">
        <x:v>21.5</x:v>
      </x:c>
      <x:c r="F916" s="50" t="n">
        <x:v>-12.49</x:v>
      </x:c>
      <x:c r="G916" s="50" t="n">
        <x:v>21.69</x:v>
      </x:c>
      <x:c r="H916" s="50" t="n">
        <x:v>-20.45</x:v>
      </x:c>
      <x:c r="I916" s="50" t="n">
        <x:v>19.31</x:v>
      </x:c>
      <x:c r="J916" s="50" t="n">
        <x:v>0.59</x:v>
      </x:c>
      <x:c r="K916" s="50" t="n">
        <x:v>-1.35</x:v>
      </x:c>
      <x:c r="L916" s="50" t="n">
        <x:v>1.47</x:v>
      </x:c>
      <x:c r="M916" s="50" t="n">
        <x:v>-0.01</x:v>
      </x:c>
      <x:c r="N916" t="str">
        <x:v>RELATÓRIO LEITURAS INCLINOMÉTRICAS - Empreitada THE EDEN, Estoril_ R10_09-12-25.pdf</x:v>
      </x:c>
      <x:c r="O916" t="n">
        <x:v>38</x:v>
      </x:c>
    </x:row>
    <x:row r="917">
      <x:c r="A917" s="48" t="n">
        <x:v>45978</x:v>
      </x:c>
      <x:c r="B917" t="n">
        <x:v>7</x:v>
      </x:c>
      <x:c r="C917" t="str">
        <x:v>I2</x:v>
      </x:c>
      <x:c r="D917" t="n">
        <x:v>7</x:v>
      </x:c>
      <x:c r="E917" s="50" t="n">
        <x:v>22</x:v>
      </x:c>
      <x:c r="F917" s="50" t="n">
        <x:v>-57.96</x:v>
      </x:c>
      <x:c r="G917" s="50" t="n">
        <x:v>64.3</x:v>
      </x:c>
      <x:c r="H917" s="50" t="n">
        <x:v>-7.51</x:v>
      </x:c>
      <x:c r="I917" s="50" t="n">
        <x:v>24.55</x:v>
      </x:c>
      <x:c r="J917" s="50" t="n">
        <x:v>0.54</x:v>
      </x:c>
      <x:c r="K917" s="50" t="n">
        <x:v>-1.13</x:v>
      </x:c>
      <x:c r="L917" s="50" t="n">
        <x:v>1.26</x:v>
      </x:c>
      <x:c r="M917" s="50" t="n">
        <x:v>0</x:v>
      </x:c>
      <x:c r="N917" t="str">
        <x:v>RELATÓRIO LEITURAS INCLINOMÉTRICAS - Empreitada THE EDEN, Estoril_ R10_09-12-25.pdf</x:v>
      </x:c>
      <x:c r="O917" t="n">
        <x:v>38</x:v>
      </x:c>
    </x:row>
    <x:row r="918">
      <x:c r="A918" s="48" t="n">
        <x:v>45978</x:v>
      </x:c>
      <x:c r="B918" t="n">
        <x:v>7</x:v>
      </x:c>
      <x:c r="C918" t="str">
        <x:v>I2</x:v>
      </x:c>
      <x:c r="D918" t="n">
        <x:v>7</x:v>
      </x:c>
      <x:c r="E918" s="50" t="n">
        <x:v>22.5</x:v>
      </x:c>
      <x:c r="F918" s="50" t="n">
        <x:v>-44.78</x:v>
      </x:c>
      <x:c r="G918" s="50" t="n">
        <x:v>53.79</x:v>
      </x:c>
      <x:c r="H918" s="50" t="n">
        <x:v>-102.66</x:v>
      </x:c>
      <x:c r="I918" s="50" t="n">
        <x:v>120.61</x:v>
      </x:c>
      <x:c r="J918" s="50" t="n">
        <x:v>0.52</x:v>
      </x:c>
      <x:c r="K918" s="50" t="n">
        <x:v>-1.06</x:v>
      </x:c>
      <x:c r="L918" s="50" t="n">
        <x:v>1.18</x:v>
      </x:c>
      <x:c r="M918" s="50" t="n">
        <x:v>-0.09</x:v>
      </x:c>
      <x:c r="N918" t="str">
        <x:v>RELATÓRIO LEITURAS INCLINOMÉTRICAS - Empreitada THE EDEN, Estoril_ R10_09-12-25.pdf</x:v>
      </x:c>
      <x:c r="O918" t="n">
        <x:v>38</x:v>
      </x:c>
    </x:row>
    <x:row r="919">
      <x:c r="A919" s="48" t="n">
        <x:v>45978</x:v>
      </x:c>
      <x:c r="B919" t="n">
        <x:v>7</x:v>
      </x:c>
      <x:c r="C919" t="str">
        <x:v>I2</x:v>
      </x:c>
      <x:c r="D919" t="n">
        <x:v>7</x:v>
      </x:c>
      <x:c r="E919" s="50" t="n">
        <x:v>23</x:v>
      </x:c>
      <x:c r="F919" s="50" t="n">
        <x:v>-58.79</x:v>
      </x:c>
      <x:c r="G919" s="50" t="n">
        <x:v>62.87</x:v>
      </x:c>
      <x:c r="H919" s="50" t="n">
        <x:v>-162.57</x:v>
      </x:c>
      <x:c r="I919" s="50" t="n">
        <x:v>162.35</x:v>
      </x:c>
      <x:c r="J919" s="50" t="n">
        <x:v>0.48</x:v>
      </x:c>
      <x:c r="K919" s="50" t="n">
        <x:v>-0.8</x:v>
      </x:c>
      <x:c r="L919" s="50" t="n">
        <x:v>0.93</x:v>
      </x:c>
      <x:c r="M919" s="50" t="n">
        <x:v>-0.13</x:v>
      </x:c>
      <x:c r="N919" t="str">
        <x:v>RELATÓRIO LEITURAS INCLINOMÉTRICAS - Empreitada THE EDEN, Estoril_ R10_09-12-25.pdf</x:v>
      </x:c>
      <x:c r="O919" t="n">
        <x:v>38</x:v>
      </x:c>
    </x:row>
    <x:row r="920">
      <x:c r="A920" s="48" t="n">
        <x:v>45978</x:v>
      </x:c>
      <x:c r="B920" t="n">
        <x:v>7</x:v>
      </x:c>
      <x:c r="C920" t="str">
        <x:v>I2</x:v>
      </x:c>
      <x:c r="D920" t="n">
        <x:v>7</x:v>
      </x:c>
      <x:c r="E920" s="50" t="n">
        <x:v>23.5</x:v>
      </x:c>
      <x:c r="F920" s="50" t="n">
        <x:v>-123.75</x:v>
      </x:c>
      <x:c r="G920" s="50" t="n">
        <x:v>134.75</x:v>
      </x:c>
      <x:c r="H920" s="50" t="n">
        <x:v>-203.2</x:v>
      </x:c>
      <x:c r="I920" s="50" t="n">
        <x:v>207.82</x:v>
      </x:c>
      <x:c r="J920" s="50" t="n">
        <x:v>0.42</x:v>
      </x:c>
      <x:c r="K920" s="50" t="n">
        <x:v>-0.74</x:v>
      </x:c>
      <x:c r="L920" s="50" t="n">
        <x:v>0.85</x:v>
      </x:c>
      <x:c r="M920" s="50" t="n">
        <x:v>-0.04</x:v>
      </x:c>
      <x:c r="N920" t="str">
        <x:v>RELATÓRIO LEITURAS INCLINOMÉTRICAS - Empreitada THE EDEN, Estoril_ R10_09-12-25.pdf</x:v>
      </x:c>
      <x:c r="O920" t="n">
        <x:v>38</x:v>
      </x:c>
    </x:row>
    <x:row r="921">
      <x:c r="A921" s="48" t="n">
        <x:v>45978</x:v>
      </x:c>
      <x:c r="B921" t="n">
        <x:v>7</x:v>
      </x:c>
      <x:c r="C921" t="str">
        <x:v>I2</x:v>
      </x:c>
      <x:c r="D921" t="n">
        <x:v>7</x:v>
      </x:c>
      <x:c r="E921" s="50" t="n">
        <x:v>24</x:v>
      </x:c>
      <x:c r="F921" s="50" t="n">
        <x:v>-156.59</x:v>
      </x:c>
      <x:c r="G921" s="50" t="n">
        <x:v>164.99</x:v>
      </x:c>
      <x:c r="H921" s="50" t="n">
        <x:v>-251.45</x:v>
      </x:c>
      <x:c r="I921" s="50" t="n">
        <x:v>260.24</x:v>
      </x:c>
      <x:c r="J921" s="50" t="n">
        <x:v>0.39</x:v>
      </x:c>
      <x:c r="K921" s="50" t="n">
        <x:v>-0.79</x:v>
      </x:c>
      <x:c r="L921" s="50" t="n">
        <x:v>0.89</x:v>
      </x:c>
      <x:c r="M921" s="50" t="n">
        <x:v>0.05</x:v>
      </x:c>
      <x:c r="N921" t="str">
        <x:v>RELATÓRIO LEITURAS INCLINOMÉTRICAS - Empreitada THE EDEN, Estoril_ R10_09-12-25.pdf</x:v>
      </x:c>
      <x:c r="O921" t="n">
        <x:v>38</x:v>
      </x:c>
    </x:row>
    <x:row r="922">
      <x:c r="A922" s="48" t="n">
        <x:v>45978</x:v>
      </x:c>
      <x:c r="B922" t="n">
        <x:v>7</x:v>
      </x:c>
      <x:c r="C922" t="str">
        <x:v>I2</x:v>
      </x:c>
      <x:c r="D922" t="n">
        <x:v>7</x:v>
      </x:c>
      <x:c r="E922" s="50" t="n">
        <x:v>24.5</x:v>
      </x:c>
      <x:c r="F922" s="50" t="n">
        <x:v>-53.07</x:v>
      </x:c>
      <x:c r="G922" s="50" t="n">
        <x:v>56.77</x:v>
      </x:c>
      <x:c r="H922" s="50" t="n">
        <x:v>-247.61</x:v>
      </x:c>
      <x:c r="I922" s="50" t="n">
        <x:v>239.06</x:v>
      </x:c>
      <x:c r="J922" s="50" t="n">
        <x:v>0.36</x:v>
      </x:c>
      <x:c r="K922" s="50" t="n">
        <x:v>-0.7</x:v>
      </x:c>
      <x:c r="L922" s="50" t="n">
        <x:v>0.79</x:v>
      </x:c>
      <x:c r="M922" s="50" t="n">
        <x:v>-0.06</x:v>
      </x:c>
      <x:c r="N922" t="str">
        <x:v>RELATÓRIO LEITURAS INCLINOMÉTRICAS - Empreitada THE EDEN, Estoril_ R10_09-12-25.pdf</x:v>
      </x:c>
      <x:c r="O922" t="n">
        <x:v>38</x:v>
      </x:c>
    </x:row>
    <x:row r="923">
      <x:c r="A923" s="48" t="n">
        <x:v>45978</x:v>
      </x:c>
      <x:c r="B923" t="n">
        <x:v>7</x:v>
      </x:c>
      <x:c r="C923" t="str">
        <x:v>I2</x:v>
      </x:c>
      <x:c r="D923" t="n">
        <x:v>7</x:v>
      </x:c>
      <x:c r="E923" s="50" t="n">
        <x:v>25</x:v>
      </x:c>
      <x:c r="F923" s="50" t="n">
        <x:v>43.54</x:v>
      </x:c>
      <x:c r="G923" s="50" t="n">
        <x:v>-34.94</x:v>
      </x:c>
      <x:c r="H923" s="50" t="n">
        <x:v>-233.25</x:v>
      </x:c>
      <x:c r="I923" s="50" t="n">
        <x:v>222.88</x:v>
      </x:c>
      <x:c r="J923" s="50" t="n">
        <x:v>0.29</x:v>
      </x:c>
      <x:c r="K923" s="50" t="n">
        <x:v>-0.75</x:v>
      </x:c>
      <x:c r="L923" s="50" t="n">
        <x:v>0.81</x:v>
      </x:c>
      <x:c r="M923" s="50" t="n">
        <x:v>-0.04</x:v>
      </x:c>
      <x:c r="N923" t="str">
        <x:v>RELATÓRIO LEITURAS INCLINOMÉTRICAS - Empreitada THE EDEN, Estoril_ R10_09-12-25.pdf</x:v>
      </x:c>
      <x:c r="O923" t="n">
        <x:v>38</x:v>
      </x:c>
    </x:row>
    <x:row r="924">
      <x:c r="A924" s="48" t="n">
        <x:v>45978</x:v>
      </x:c>
      <x:c r="B924" t="n">
        <x:v>7</x:v>
      </x:c>
      <x:c r="C924" t="str">
        <x:v>I2</x:v>
      </x:c>
      <x:c r="D924" t="n">
        <x:v>7</x:v>
      </x:c>
      <x:c r="E924" s="50" t="n">
        <x:v>25.5</x:v>
      </x:c>
      <x:c r="F924" s="50" t="n">
        <x:v>100.12</x:v>
      </x:c>
      <x:c r="G924" s="50" t="n">
        <x:v>-93.75</x:v>
      </x:c>
      <x:c r="H924" s="50" t="n">
        <x:v>-189.67</x:v>
      </x:c>
      <x:c r="I924" s="50" t="n">
        <x:v>190.3</x:v>
      </x:c>
      <x:c r="J924" s="50" t="n">
        <x:v>0.22</x:v>
      </x:c>
      <x:c r="K924" s="50" t="n">
        <x:v>-0.64</x:v>
      </x:c>
      <x:c r="L924" s="50" t="n">
        <x:v>0.68</x:v>
      </x:c>
      <x:c r="M924" s="50" t="n">
        <x:v>0.04</x:v>
      </x:c>
      <x:c r="N924" t="str">
        <x:v>RELATÓRIO LEITURAS INCLINOMÉTRICAS - Empreitada THE EDEN, Estoril_ R10_09-12-25.pdf</x:v>
      </x:c>
      <x:c r="O924" t="n">
        <x:v>38</x:v>
      </x:c>
    </x:row>
    <x:row r="925">
      <x:c r="A925" s="48" t="n">
        <x:v>45978</x:v>
      </x:c>
      <x:c r="B925" t="n">
        <x:v>7</x:v>
      </x:c>
      <x:c r="C925" t="str">
        <x:v>I2</x:v>
      </x:c>
      <x:c r="D925" t="n">
        <x:v>7</x:v>
      </x:c>
      <x:c r="E925" s="50" t="n">
        <x:v>26</x:v>
      </x:c>
      <x:c r="F925" s="50" t="n">
        <x:v>145.55</x:v>
      </x:c>
      <x:c r="G925" s="50" t="n">
        <x:v>-136.76</x:v>
      </x:c>
      <x:c r="H925" s="50" t="n">
        <x:v>-233.6</x:v>
      </x:c>
      <x:c r="I925" s="50" t="n">
        <x:v>240.08</x:v>
      </x:c>
      <x:c r="J925" s="50" t="n">
        <x:v>0.17</x:v>
      </x:c>
      <x:c r="K925" s="50" t="n">
        <x:v>-0.2</x:v>
      </x:c>
      <x:c r="L925" s="50" t="n">
        <x:v>0.27</x:v>
      </x:c>
      <x:c r="M925" s="50" t="n">
        <x:v>0.06</x:v>
      </x:c>
      <x:c r="N925" t="str">
        <x:v>RELATÓRIO LEITURAS INCLINOMÉTRICAS - Empreitada THE EDEN, Estoril_ R10_09-12-25.pdf</x:v>
      </x:c>
      <x:c r="O925" t="n">
        <x:v>38</x:v>
      </x:c>
    </x:row>
    <x:row r="926">
      <x:c r="A926" s="48" t="n">
        <x:v>45978</x:v>
      </x:c>
      <x:c r="B926" t="n">
        <x:v>7</x:v>
      </x:c>
      <x:c r="C926" t="str">
        <x:v>I2</x:v>
      </x:c>
      <x:c r="D926" t="n">
        <x:v>7</x:v>
      </x:c>
      <x:c r="E926" s="50" t="n">
        <x:v>26.5</x:v>
      </x:c>
      <x:c r="F926" s="50" t="n">
        <x:v>150.13</x:v>
      </x:c>
      <x:c r="G926" s="50" t="n">
        <x:v>-143.42</x:v>
      </x:c>
      <x:c r="H926" s="50" t="n">
        <x:v>-253.09</x:v>
      </x:c>
      <x:c r="I926" s="50" t="n">
        <x:v>258.82</x:v>
      </x:c>
      <x:c r="J926" s="50" t="n">
        <x:v>0.1</x:v>
      </x:c>
      <x:c r="K926" s="50" t="n">
        <x:v>0</x:v>
      </x:c>
      <x:c r="L926" s="50" t="n">
        <x:v>0.1</x:v>
      </x:c>
      <x:c r="M926" s="50" t="n">
        <x:v>-0.01</x:v>
      </x:c>
      <x:c r="N926" t="str">
        <x:v>RELATÓRIO LEITURAS INCLINOMÉTRICAS - Empreitada THE EDEN, Estoril_ R10_09-12-25.pdf</x:v>
      </x:c>
      <x:c r="O926" t="n">
        <x:v>38</x:v>
      </x:c>
    </x:row>
    <x:row r="927">
      <x:c r="A927" s="48" t="n">
        <x:v>45978</x:v>
      </x:c>
      <x:c r="B927" t="n">
        <x:v>6</x:v>
      </x:c>
      <x:c r="C927" t="str">
        <x:v>I3</x:v>
      </x:c>
      <x:c r="D927" t="n">
        <x:v>6</x:v>
      </x:c>
      <x:c r="E927" s="50" t="n">
        <x:v>0.5</x:v>
      </x:c>
      <x:c r="F927" s="50" t="n">
        <x:v>409.39</x:v>
      </x:c>
      <x:c r="G927" s="50" t="n">
        <x:v>-398.52</x:v>
      </x:c>
      <x:c r="H927" s="50" t="n">
        <x:v>484.06</x:v>
      </x:c>
      <x:c r="I927" s="50" t="n">
        <x:v>-472.19</x:v>
      </x:c>
      <x:c r="J927" s="50" t="n">
        <x:v>0.19</x:v>
      </x:c>
      <x:c r="K927" s="50" t="n">
        <x:v>-0.12</x:v>
      </x:c>
      <x:c r="L927" s="50" t="n">
        <x:v>0.22</x:v>
      </x:c>
      <x:c r="M927" s="50" t="n">
        <x:v>-1.21</x:v>
      </x:c>
      <x:c r="N927" t="str">
        <x:v>RELATÓRIO LEITURAS INCLINOMÉTRICAS - Empreitada THE EDEN, Estoril_ R10_09-12-25.pdf</x:v>
      </x:c>
      <x:c r="O927" t="n">
        <x:v>56</x:v>
      </x:c>
    </x:row>
    <x:row r="928">
      <x:c r="A928" s="48" t="n">
        <x:v>45978</x:v>
      </x:c>
      <x:c r="B928" t="n">
        <x:v>6</x:v>
      </x:c>
      <x:c r="C928" t="str">
        <x:v>I3</x:v>
      </x:c>
      <x:c r="D928" t="n">
        <x:v>6</x:v>
      </x:c>
      <x:c r="E928" s="50" t="n">
        <x:v>1</x:v>
      </x:c>
      <x:c r="F928" s="50" t="n">
        <x:v>409.41</x:v>
      </x:c>
      <x:c r="G928" s="50" t="n">
        <x:v>-398.89</x:v>
      </x:c>
      <x:c r="H928" s="50" t="n">
        <x:v>483.73</x:v>
      </x:c>
      <x:c r="I928" s="50" t="n">
        <x:v>-472.24</x:v>
      </x:c>
      <x:c r="J928" s="50" t="n">
        <x:v>0.2</x:v>
      </x:c>
      <x:c r="K928" s="50" t="n">
        <x:v>-0.3</x:v>
      </x:c>
      <x:c r="L928" s="50" t="n">
        <x:v>0.36</x:v>
      </x:c>
      <x:c r="M928" s="50" t="n">
        <x:v>-0.8</x:v>
      </x:c>
      <x:c r="N928" t="str">
        <x:v>RELATÓRIO LEITURAS INCLINOMÉTRICAS - Empreitada THE EDEN, Estoril_ R10_09-12-25.pdf</x:v>
      </x:c>
      <x:c r="O928" t="n">
        <x:v>56</x:v>
      </x:c>
    </x:row>
    <x:row r="929">
      <x:c r="A929" s="48" t="n">
        <x:v>45978</x:v>
      </x:c>
      <x:c r="B929" t="n">
        <x:v>6</x:v>
      </x:c>
      <x:c r="C929" t="str">
        <x:v>I3</x:v>
      </x:c>
      <x:c r="D929" t="n">
        <x:v>6</x:v>
      </x:c>
      <x:c r="E929" s="50" t="n">
        <x:v>1.5</x:v>
      </x:c>
      <x:c r="F929" s="50" t="n">
        <x:v>438.62</x:v>
      </x:c>
      <x:c r="G929" s="50" t="n">
        <x:v>-433.55</x:v>
      </x:c>
      <x:c r="H929" s="50" t="n">
        <x:v>406.62</x:v>
      </x:c>
      <x:c r="I929" s="50" t="n">
        <x:v>-400.4</x:v>
      </x:c>
      <x:c r="J929" s="50" t="n">
        <x:v>0.23</x:v>
      </x:c>
      <x:c r="K929" s="50" t="n">
        <x:v>-0.47</x:v>
      </x:c>
      <x:c r="L929" s="50" t="n">
        <x:v>0.53</x:v>
      </x:c>
      <x:c r="M929" s="50" t="n">
        <x:v>-0.36</x:v>
      </x:c>
      <x:c r="N929" t="str">
        <x:v>RELATÓRIO LEITURAS INCLINOMÉTRICAS - Empreitada THE EDEN, Estoril_ R10_09-12-25.pdf</x:v>
      </x:c>
      <x:c r="O929" t="n">
        <x:v>56</x:v>
      </x:c>
    </x:row>
    <x:row r="930">
      <x:c r="A930" s="48" t="n">
        <x:v>45978</x:v>
      </x:c>
      <x:c r="B930" t="n">
        <x:v>6</x:v>
      </x:c>
      <x:c r="C930" t="str">
        <x:v>I3</x:v>
      </x:c>
      <x:c r="D930" t="n">
        <x:v>6</x:v>
      </x:c>
      <x:c r="E930" s="50" t="n">
        <x:v>2</x:v>
      </x:c>
      <x:c r="F930" s="50" t="n">
        <x:v>498.6</x:v>
      </x:c>
      <x:c r="G930" s="50" t="n">
        <x:v>-491.4</x:v>
      </x:c>
      <x:c r="H930" s="50" t="n">
        <x:v>240.26</x:v>
      </x:c>
      <x:c r="I930" s="50" t="n">
        <x:v>-225.56</x:v>
      </x:c>
      <x:c r="J930" s="50" t="n">
        <x:v>0.25</x:v>
      </x:c>
      <x:c r="K930" s="50" t="n">
        <x:v>-0.64</x:v>
      </x:c>
      <x:c r="L930" s="50" t="n">
        <x:v>0.69</x:v>
      </x:c>
      <x:c r="M930" s="50" t="n">
        <x:v>-0.13</x:v>
      </x:c>
      <x:c r="N930" t="str">
        <x:v>RELATÓRIO LEITURAS INCLINOMÉTRICAS - Empreitada THE EDEN, Estoril_ R10_09-12-25.pdf</x:v>
      </x:c>
      <x:c r="O930" t="n">
        <x:v>56</x:v>
      </x:c>
    </x:row>
    <x:row r="931">
      <x:c r="A931" s="48" t="n">
        <x:v>45978</x:v>
      </x:c>
      <x:c r="B931" t="n">
        <x:v>6</x:v>
      </x:c>
      <x:c r="C931" t="str">
        <x:v>I3</x:v>
      </x:c>
      <x:c r="D931" t="n">
        <x:v>6</x:v>
      </x:c>
      <x:c r="E931" s="50" t="n">
        <x:v>2.5</x:v>
      </x:c>
      <x:c r="F931" s="50" t="n">
        <x:v>451.11</x:v>
      </x:c>
      <x:c r="G931" s="50" t="n">
        <x:v>-444.66</x:v>
      </x:c>
      <x:c r="H931" s="50" t="n">
        <x:v>121.98</x:v>
      </x:c>
      <x:c r="I931" s="50" t="n">
        <x:v>-107.97</x:v>
      </x:c>
      <x:c r="J931" s="50" t="n">
        <x:v>0.31</x:v>
      </x:c>
      <x:c r="K931" s="50" t="n">
        <x:v>-0.81</x:v>
      </x:c>
      <x:c r="L931" s="50" t="n">
        <x:v>0.87</x:v>
      </x:c>
      <x:c r="M931" s="50" t="n">
        <x:v>-0.04</x:v>
      </x:c>
      <x:c r="N931" t="str">
        <x:v>RELATÓRIO LEITURAS INCLINOMÉTRICAS - Empreitada THE EDEN, Estoril_ R10_09-12-25.pdf</x:v>
      </x:c>
      <x:c r="O931" t="n">
        <x:v>56</x:v>
      </x:c>
    </x:row>
    <x:row r="932">
      <x:c r="A932" s="48" t="n">
        <x:v>45978</x:v>
      </x:c>
      <x:c r="B932" t="n">
        <x:v>6</x:v>
      </x:c>
      <x:c r="C932" t="str">
        <x:v>I3</x:v>
      </x:c>
      <x:c r="D932" t="n">
        <x:v>6</x:v>
      </x:c>
      <x:c r="E932" s="50" t="n">
        <x:v>3</x:v>
      </x:c>
      <x:c r="F932" s="50" t="n">
        <x:v>400.46</x:v>
      </x:c>
      <x:c r="G932" s="50" t="n">
        <x:v>-391.41</x:v>
      </x:c>
      <x:c r="H932" s="50" t="n">
        <x:v>-14.75</x:v>
      </x:c>
      <x:c r="I932" s="50" t="n">
        <x:v>18.64</x:v>
      </x:c>
      <x:c r="J932" s="50" t="n">
        <x:v>0.36</x:v>
      </x:c>
      <x:c r="K932" s="50" t="n">
        <x:v>-1.07</x:v>
      </x:c>
      <x:c r="L932" s="50" t="n">
        <x:v>1.13</x:v>
      </x:c>
      <x:c r="M932" s="50" t="n">
        <x:v>0.22</x:v>
      </x:c>
      <x:c r="N932" t="str">
        <x:v>RELATÓRIO LEITURAS INCLINOMÉTRICAS - Empreitada THE EDEN, Estoril_ R10_09-12-25.pdf</x:v>
      </x:c>
      <x:c r="O932" t="n">
        <x:v>56</x:v>
      </x:c>
    </x:row>
    <x:row r="933">
      <x:c r="A933" s="48" t="n">
        <x:v>45978</x:v>
      </x:c>
      <x:c r="B933" t="n">
        <x:v>6</x:v>
      </x:c>
      <x:c r="C933" t="str">
        <x:v>I3</x:v>
      </x:c>
      <x:c r="D933" t="n">
        <x:v>6</x:v>
      </x:c>
      <x:c r="E933" s="50" t="n">
        <x:v>3.5</x:v>
      </x:c>
      <x:c r="F933" s="50" t="n">
        <x:v>358.59</x:v>
      </x:c>
      <x:c r="G933" s="50" t="n">
        <x:v>-351.9</x:v>
      </x:c>
      <x:c r="H933" s="50" t="n">
        <x:v>-85.33</x:v>
      </x:c>
      <x:c r="I933" s="50" t="n">
        <x:v>97.42</x:v>
      </x:c>
      <x:c r="J933" s="50" t="n">
        <x:v>0.43</x:v>
      </x:c>
      <x:c r="K933" s="50" t="n">
        <x:v>-1.36</x:v>
      </x:c>
      <x:c r="L933" s="50" t="n">
        <x:v>1.43</x:v>
      </x:c>
      <x:c r="M933" s="50" t="n">
        <x:v>0.48</x:v>
      </x:c>
      <x:c r="N933" t="str">
        <x:v>RELATÓRIO LEITURAS INCLINOMÉTRICAS - Empreitada THE EDEN, Estoril_ R10_09-12-25.pdf</x:v>
      </x:c>
      <x:c r="O933" t="n">
        <x:v>56</x:v>
      </x:c>
    </x:row>
    <x:row r="934">
      <x:c r="A934" s="48" t="n">
        <x:v>45978</x:v>
      </x:c>
      <x:c r="B934" t="n">
        <x:v>6</x:v>
      </x:c>
      <x:c r="C934" t="str">
        <x:v>I3</x:v>
      </x:c>
      <x:c r="D934" t="n">
        <x:v>6</x:v>
      </x:c>
      <x:c r="E934" s="50" t="n">
        <x:v>4</x:v>
      </x:c>
      <x:c r="F934" s="50" t="n">
        <x:v>348.75</x:v>
      </x:c>
      <x:c r="G934" s="50" t="n">
        <x:v>-340.96</x:v>
      </x:c>
      <x:c r="H934" s="50" t="n">
        <x:v>-101.26</x:v>
      </x:c>
      <x:c r="I934" s="50" t="n">
        <x:v>119.98</x:v>
      </x:c>
      <x:c r="J934" s="50" t="n">
        <x:v>0.47</x:v>
      </x:c>
      <x:c r="K934" s="50" t="n">
        <x:v>-1.25</x:v>
      </x:c>
      <x:c r="L934" s="50" t="n">
        <x:v>1.34</x:v>
      </x:c>
      <x:c r="M934" s="50" t="n">
        <x:v>0.34</x:v>
      </x:c>
      <x:c r="N934" t="str">
        <x:v>RELATÓRIO LEITURAS INCLINOMÉTRICAS - Empreitada THE EDEN, Estoril_ R10_09-12-25.pdf</x:v>
      </x:c>
      <x:c r="O934" t="n">
        <x:v>56</x:v>
      </x:c>
    </x:row>
    <x:row r="935">
      <x:c r="A935" s="48" t="n">
        <x:v>45978</x:v>
      </x:c>
      <x:c r="B935" t="n">
        <x:v>6</x:v>
      </x:c>
      <x:c r="C935" t="str">
        <x:v>I3</x:v>
      </x:c>
      <x:c r="D935" t="n">
        <x:v>6</x:v>
      </x:c>
      <x:c r="E935" s="50" t="n">
        <x:v>4.5</x:v>
      </x:c>
      <x:c r="F935" s="50" t="n">
        <x:v>351.47</x:v>
      </x:c>
      <x:c r="G935" s="50" t="n">
        <x:v>-342.15</x:v>
      </x:c>
      <x:c r="H935" s="50" t="n">
        <x:v>-105.28</x:v>
      </x:c>
      <x:c r="I935" s="50" t="n">
        <x:v>123.7</x:v>
      </x:c>
      <x:c r="J935" s="50" t="n">
        <x:v>0.55</x:v>
      </x:c>
      <x:c r="K935" s="50" t="n">
        <x:v>-1.2</x:v>
      </x:c>
      <x:c r="L935" s="50" t="n">
        <x:v>1.32</x:v>
      </x:c>
      <x:c r="M935" s="50" t="n">
        <x:v>0.27</x:v>
      </x:c>
      <x:c r="N935" t="str">
        <x:v>RELATÓRIO LEITURAS INCLINOMÉTRICAS - Empreitada THE EDEN, Estoril_ R10_09-12-25.pdf</x:v>
      </x:c>
      <x:c r="O935" t="n">
        <x:v>56</x:v>
      </x:c>
    </x:row>
    <x:row r="936">
      <x:c r="A936" s="48" t="n">
        <x:v>45978</x:v>
      </x:c>
      <x:c r="B936" t="n">
        <x:v>6</x:v>
      </x:c>
      <x:c r="C936" t="str">
        <x:v>I3</x:v>
      </x:c>
      <x:c r="D936" t="n">
        <x:v>6</x:v>
      </x:c>
      <x:c r="E936" s="50" t="n">
        <x:v>5</x:v>
      </x:c>
      <x:c r="F936" s="50" t="n">
        <x:v>287.12</x:v>
      </x:c>
      <x:c r="G936" s="50" t="n">
        <x:v>-280.35</x:v>
      </x:c>
      <x:c r="H936" s="50" t="n">
        <x:v>-66.38</x:v>
      </x:c>
      <x:c r="I936" s="50" t="n">
        <x:v>90.09</x:v>
      </x:c>
      <x:c r="J936" s="50" t="n">
        <x:v>0.61</x:v>
      </x:c>
      <x:c r="K936" s="50" t="n">
        <x:v>-1.26</x:v>
      </x:c>
      <x:c r="L936" s="50" t="n">
        <x:v>1.4</x:v>
      </x:c>
      <x:c r="M936" s="50" t="n">
        <x:v>0.42</x:v>
      </x:c>
      <x:c r="N936" t="str">
        <x:v>RELATÓRIO LEITURAS INCLINOMÉTRICAS - Empreitada THE EDEN, Estoril_ R10_09-12-25.pdf</x:v>
      </x:c>
      <x:c r="O936" t="n">
        <x:v>56</x:v>
      </x:c>
    </x:row>
    <x:row r="937">
      <x:c r="A937" s="48" t="n">
        <x:v>45978</x:v>
      </x:c>
      <x:c r="B937" t="n">
        <x:v>6</x:v>
      </x:c>
      <x:c r="C937" t="str">
        <x:v>I3</x:v>
      </x:c>
      <x:c r="D937" t="n">
        <x:v>6</x:v>
      </x:c>
      <x:c r="E937" s="50" t="n">
        <x:v>5.5</x:v>
      </x:c>
      <x:c r="F937" s="50" t="n">
        <x:v>204.27</x:v>
      </x:c>
      <x:c r="G937" s="50" t="n">
        <x:v>-195.28</x:v>
      </x:c>
      <x:c r="H937" s="50" t="n">
        <x:v>-18.29</x:v>
      </x:c>
      <x:c r="I937" s="50" t="n">
        <x:v>27.78</x:v>
      </x:c>
      <x:c r="J937" s="50" t="n">
        <x:v>0.64</x:v>
      </x:c>
      <x:c r="K937" s="50" t="n">
        <x:v>-1.46</x:v>
      </x:c>
      <x:c r="L937" s="50" t="n">
        <x:v>1.6</x:v>
      </x:c>
      <x:c r="M937" s="50" t="n">
        <x:v>0.79</x:v>
      </x:c>
      <x:c r="N937" t="str">
        <x:v>RELATÓRIO LEITURAS INCLINOMÉTRICAS - Empreitada THE EDEN, Estoril_ R10_09-12-25.pdf</x:v>
      </x:c>
      <x:c r="O937" t="n">
        <x:v>56</x:v>
      </x:c>
    </x:row>
    <x:row r="938">
      <x:c r="A938" s="48" t="n">
        <x:v>45978</x:v>
      </x:c>
      <x:c r="B938" t="n">
        <x:v>6</x:v>
      </x:c>
      <x:c r="C938" t="str">
        <x:v>I3</x:v>
      </x:c>
      <x:c r="D938" t="n">
        <x:v>6</x:v>
      </x:c>
      <x:c r="E938" s="50" t="n">
        <x:v>6</x:v>
      </x:c>
      <x:c r="F938" s="50" t="n">
        <x:v>171.35</x:v>
      </x:c>
      <x:c r="G938" s="50" t="n">
        <x:v>-163.96</x:v>
      </x:c>
      <x:c r="H938" s="50" t="n">
        <x:v>21.83</x:v>
      </x:c>
      <x:c r="I938" s="50" t="n">
        <x:v>-11.87</x:v>
      </x:c>
      <x:c r="J938" s="50" t="n">
        <x:v>0.66</x:v>
      </x:c>
      <x:c r="K938" s="50" t="n">
        <x:v>-1.39</x:v>
      </x:c>
      <x:c r="L938" s="50" t="n">
        <x:v>1.54</x:v>
      </x:c>
      <x:c r="M938" s="50" t="n">
        <x:v>0.72</x:v>
      </x:c>
      <x:c r="N938" t="str">
        <x:v>RELATÓRIO LEITURAS INCLINOMÉTRICAS - Empreitada THE EDEN, Estoril_ R10_09-12-25.pdf</x:v>
      </x:c>
      <x:c r="O938" t="n">
        <x:v>56</x:v>
      </x:c>
    </x:row>
    <x:row r="939">
      <x:c r="A939" s="48" t="n">
        <x:v>45978</x:v>
      </x:c>
      <x:c r="B939" t="n">
        <x:v>6</x:v>
      </x:c>
      <x:c r="C939" t="str">
        <x:v>I3</x:v>
      </x:c>
      <x:c r="D939" t="n">
        <x:v>6</x:v>
      </x:c>
      <x:c r="E939" s="50" t="n">
        <x:v>6.5</x:v>
      </x:c>
      <x:c r="F939" s="50" t="n">
        <x:v>174.96</x:v>
      </x:c>
      <x:c r="G939" s="50" t="n">
        <x:v>-166.74</x:v>
      </x:c>
      <x:c r="H939" s="50" t="n">
        <x:v>76.36</x:v>
      </x:c>
      <x:c r="I939" s="50" t="n">
        <x:v>-63.9</x:v>
      </x:c>
      <x:c r="J939" s="50" t="n">
        <x:v>0.74</x:v>
      </x:c>
      <x:c r="K939" s="50" t="n">
        <x:v>-1.54</x:v>
      </x:c>
      <x:c r="L939" s="50" t="n">
        <x:v>1.71</x:v>
      </x:c>
      <x:c r="M939" s="50" t="n">
        <x:v>0.91</x:v>
      </x:c>
      <x:c r="N939" t="str">
        <x:v>RELATÓRIO LEITURAS INCLINOMÉTRICAS - Empreitada THE EDEN, Estoril_ R10_09-12-25.pdf</x:v>
      </x:c>
      <x:c r="O939" t="n">
        <x:v>56</x:v>
      </x:c>
    </x:row>
    <x:row r="940">
      <x:c r="A940" s="48" t="n">
        <x:v>45978</x:v>
      </x:c>
      <x:c r="B940" t="n">
        <x:v>6</x:v>
      </x:c>
      <x:c r="C940" t="str">
        <x:v>I3</x:v>
      </x:c>
      <x:c r="D940" t="n">
        <x:v>6</x:v>
      </x:c>
      <x:c r="E940" s="50" t="n">
        <x:v>7</x:v>
      </x:c>
      <x:c r="F940" s="50" t="n">
        <x:v>135.79</x:v>
      </x:c>
      <x:c r="G940" s="50" t="n">
        <x:v>-128.84</x:v>
      </x:c>
      <x:c r="H940" s="50" t="n">
        <x:v>135.94</x:v>
      </x:c>
      <x:c r="I940" s="50" t="n">
        <x:v>-131.62</x:v>
      </x:c>
      <x:c r="J940" s="50" t="n">
        <x:v>0.79</x:v>
      </x:c>
      <x:c r="K940" s="50" t="n">
        <x:v>-1.6</x:v>
      </x:c>
      <x:c r="L940" s="50" t="n">
        <x:v>1.78</x:v>
      </x:c>
      <x:c r="M940" s="50" t="n">
        <x:v>0.96</x:v>
      </x:c>
      <x:c r="N940" t="str">
        <x:v>RELATÓRIO LEITURAS INCLINOMÉTRICAS - Empreitada THE EDEN, Estoril_ R10_09-12-25.pdf</x:v>
      </x:c>
      <x:c r="O940" t="n">
        <x:v>56</x:v>
      </x:c>
    </x:row>
    <x:row r="941">
      <x:c r="A941" s="48" t="n">
        <x:v>45978</x:v>
      </x:c>
      <x:c r="B941" t="n">
        <x:v>6</x:v>
      </x:c>
      <x:c r="C941" t="str">
        <x:v>I3</x:v>
      </x:c>
      <x:c r="D941" t="n">
        <x:v>6</x:v>
      </x:c>
      <x:c r="E941" s="50" t="n">
        <x:v>7.5</x:v>
      </x:c>
      <x:c r="F941" s="50" t="n">
        <x:v>94.46</x:v>
      </x:c>
      <x:c r="G941" s="50" t="n">
        <x:v>-87.41</x:v>
      </x:c>
      <x:c r="H941" s="50" t="n">
        <x:v>210.97</x:v>
      </x:c>
      <x:c r="I941" s="50" t="n">
        <x:v>-203.36</x:v>
      </x:c>
      <x:c r="J941" s="50" t="n">
        <x:v>0.82</x:v>
      </x:c>
      <x:c r="K941" s="50" t="n">
        <x:v>-1.62</x:v>
      </x:c>
      <x:c r="L941" s="50" t="n">
        <x:v>0</x:v>
      </x:c>
      <x:c r="M941" s="50" t="n">
        <x:v>-0.85</x:v>
      </x:c>
      <x:c r="N941" t="str">
        <x:v>RELATÓRIO LEITURAS INCLINOMÉTRICAS - Empreitada THE EDEN, Estoril_ R10_09-12-25.pdf</x:v>
      </x:c>
      <x:c r="O941" t="n">
        <x:v>56</x:v>
      </x:c>
    </x:row>
    <x:row r="942">
      <x:c r="A942" s="48" t="n">
        <x:v>45978</x:v>
      </x:c>
      <x:c r="B942" t="n">
        <x:v>6</x:v>
      </x:c>
      <x:c r="C942" t="str">
        <x:v>I3</x:v>
      </x:c>
      <x:c r="D942" t="n">
        <x:v>6</x:v>
      </x:c>
      <x:c r="E942" s="50" t="n">
        <x:v>8</x:v>
      </x:c>
      <x:c r="F942" s="50" t="n">
        <x:v>97.07</x:v>
      </x:c>
      <x:c r="G942" s="50" t="n">
        <x:v>-92.46</x:v>
      </x:c>
      <x:c r="H942" s="50" t="n">
        <x:v>231</x:v>
      </x:c>
      <x:c r="I942" s="50" t="n">
        <x:v>-238.27</x:v>
      </x:c>
      <x:c r="J942" s="50" t="n">
        <x:v>0.81</x:v>
      </x:c>
      <x:c r="K942" s="50" t="n">
        <x:v>-1.46</x:v>
      </x:c>
      <x:c r="L942" s="50" t="n">
        <x:v>1.67</x:v>
      </x:c>
      <x:c r="M942" s="50" t="n">
        <x:v>0.81</x:v>
      </x:c>
      <x:c r="N942" t="str">
        <x:v>RELATÓRIO LEITURAS INCLINOMÉTRICAS - Empreitada THE EDEN, Estoril_ R10_09-12-25.pdf</x:v>
      </x:c>
      <x:c r="O942" t="n">
        <x:v>56</x:v>
      </x:c>
    </x:row>
    <x:row r="943">
      <x:c r="A943" s="48" t="n">
        <x:v>45978</x:v>
      </x:c>
      <x:c r="B943" t="n">
        <x:v>6</x:v>
      </x:c>
      <x:c r="C943" t="str">
        <x:v>I3</x:v>
      </x:c>
      <x:c r="D943" t="n">
        <x:v>6</x:v>
      </x:c>
      <x:c r="E943" s="50" t="n">
        <x:v>8.5</x:v>
      </x:c>
      <x:c r="F943" s="50" t="n">
        <x:v>127.96</x:v>
      </x:c>
      <x:c r="G943" s="50" t="n">
        <x:v>-122.65</x:v>
      </x:c>
      <x:c r="H943" s="50" t="n">
        <x:v>321.16</x:v>
      </x:c>
      <x:c r="I943" s="50" t="n">
        <x:v>-317.46</x:v>
      </x:c>
      <x:c r="J943" s="50" t="n">
        <x:v>0.84</x:v>
      </x:c>
      <x:c r="K943" s="50" t="n">
        <x:v>-1.58</x:v>
      </x:c>
      <x:c r="L943" s="50" t="n">
        <x:v>1.79</x:v>
      </x:c>
      <x:c r="M943" s="50" t="n">
        <x:v>0.97</x:v>
      </x:c>
      <x:c r="N943" t="str">
        <x:v>RELATÓRIO LEITURAS INCLINOMÉTRICAS - Empreitada THE EDEN, Estoril_ R10_09-12-25.pdf</x:v>
      </x:c>
      <x:c r="O943" t="n">
        <x:v>56</x:v>
      </x:c>
    </x:row>
    <x:row r="944">
      <x:c r="A944" s="48" t="n">
        <x:v>45978</x:v>
      </x:c>
      <x:c r="B944" t="n">
        <x:v>6</x:v>
      </x:c>
      <x:c r="C944" t="str">
        <x:v>I3</x:v>
      </x:c>
      <x:c r="D944" t="n">
        <x:v>6</x:v>
      </x:c>
      <x:c r="E944" s="50" t="n">
        <x:v>9</x:v>
      </x:c>
      <x:c r="F944" s="50" t="n">
        <x:v>177.96</x:v>
      </x:c>
      <x:c r="G944" s="50" t="n">
        <x:v>-169.99</x:v>
      </x:c>
      <x:c r="H944" s="50" t="n">
        <x:v>371.62</x:v>
      </x:c>
      <x:c r="I944" s="50" t="n">
        <x:v>-369.47</x:v>
      </x:c>
      <x:c r="J944" s="50" t="n">
        <x:v>0.87</x:v>
      </x:c>
      <x:c r="K944" s="50" t="n">
        <x:v>-1.41</x:v>
      </x:c>
      <x:c r="L944" s="50" t="n">
        <x:v>1.66</x:v>
      </x:c>
      <x:c r="M944" s="50" t="n">
        <x:v>0.82</x:v>
      </x:c>
      <x:c r="N944" t="str">
        <x:v>RELATÓRIO LEITURAS INCLINOMÉTRICAS - Empreitada THE EDEN, Estoril_ R10_09-12-25.pdf</x:v>
      </x:c>
      <x:c r="O944" t="n">
        <x:v>56</x:v>
      </x:c>
    </x:row>
    <x:row r="945">
      <x:c r="A945" s="48" t="n">
        <x:v>45978</x:v>
      </x:c>
      <x:c r="B945" t="n">
        <x:v>6</x:v>
      </x:c>
      <x:c r="C945" t="str">
        <x:v>I3</x:v>
      </x:c>
      <x:c r="D945" t="n">
        <x:v>6</x:v>
      </x:c>
      <x:c r="E945" s="50" t="n">
        <x:v>9.5</x:v>
      </x:c>
      <x:c r="F945" s="50" t="n">
        <x:v>161.51</x:v>
      </x:c>
      <x:c r="G945" s="50" t="n">
        <x:v>-158.57</x:v>
      </x:c>
      <x:c r="H945" s="50" t="n">
        <x:v>430.63</x:v>
      </x:c>
      <x:c r="I945" s="50" t="n">
        <x:v>-419.27</x:v>
      </x:c>
      <x:c r="J945" s="50" t="n">
        <x:v>0.86</x:v>
      </x:c>
      <x:c r="K945" s="50" t="n">
        <x:v>-1.25</x:v>
      </x:c>
      <x:c r="L945" s="50" t="n">
        <x:v>1.52</x:v>
      </x:c>
      <x:c r="M945" s="50" t="n">
        <x:v>0.66</x:v>
      </x:c>
      <x:c r="N945" t="str">
        <x:v>RELATÓRIO LEITURAS INCLINOMÉTRICAS - Empreitada THE EDEN, Estoril_ R10_09-12-25.pdf</x:v>
      </x:c>
      <x:c r="O945" t="n">
        <x:v>56</x:v>
      </x:c>
    </x:row>
    <x:row r="946">
      <x:c r="A946" s="48" t="n">
        <x:v>45978</x:v>
      </x:c>
      <x:c r="B946" t="n">
        <x:v>6</x:v>
      </x:c>
      <x:c r="C946" t="str">
        <x:v>I3</x:v>
      </x:c>
      <x:c r="D946" t="n">
        <x:v>6</x:v>
      </x:c>
      <x:c r="E946" s="50" t="n">
        <x:v>10</x:v>
      </x:c>
      <x:c r="F946" s="50" t="n">
        <x:v>145.05</x:v>
      </x:c>
      <x:c r="G946" s="50" t="n">
        <x:v>-140.34</x:v>
      </x:c>
      <x:c r="H946" s="50" t="n">
        <x:v>447.45</x:v>
      </x:c>
      <x:c r="I946" s="50" t="n">
        <x:v>-434.29</x:v>
      </x:c>
      <x:c r="J946" s="50" t="n">
        <x:v>0.81</x:v>
      </x:c>
      <x:c r="K946" s="50" t="n">
        <x:v>-1</x:v>
      </x:c>
      <x:c r="L946" s="50" t="n">
        <x:v>1.29</x:v>
      </x:c>
      <x:c r="M946" s="50" t="n">
        <x:v>0.4</x:v>
      </x:c>
      <x:c r="N946" t="str">
        <x:v>RELATÓRIO LEITURAS INCLINOMÉTRICAS - Empreitada THE EDEN, Estoril_ R10_09-12-25.pdf</x:v>
      </x:c>
      <x:c r="O946" t="n">
        <x:v>56</x:v>
      </x:c>
    </x:row>
    <x:row r="947">
      <x:c r="A947" s="48" t="n">
        <x:v>45978</x:v>
      </x:c>
      <x:c r="B947" t="n">
        <x:v>6</x:v>
      </x:c>
      <x:c r="C947" t="str">
        <x:v>I3</x:v>
      </x:c>
      <x:c r="D947" t="n">
        <x:v>6</x:v>
      </x:c>
      <x:c r="E947" s="50" t="n">
        <x:v>10.5</x:v>
      </x:c>
      <x:c r="F947" s="50" t="n">
        <x:v>331.27</x:v>
      </x:c>
      <x:c r="G947" s="50" t="n">
        <x:v>-325.24</x:v>
      </x:c>
      <x:c r="H947" s="50" t="n">
        <x:v>464.78</x:v>
      </x:c>
      <x:c r="I947" s="50" t="n">
        <x:v>-453.52</x:v>
      </x:c>
      <x:c r="J947" s="50" t="n">
        <x:v>0.82</x:v>
      </x:c>
      <x:c r="K947" s="50" t="n">
        <x:v>-1.03</x:v>
      </x:c>
      <x:c r="L947" s="50" t="n">
        <x:v>1.32</x:v>
      </x:c>
      <x:c r="M947" s="50" t="n">
        <x:v>0.46</x:v>
      </x:c>
      <x:c r="N947" t="str">
        <x:v>RELATÓRIO LEITURAS INCLINOMÉTRICAS - Empreitada THE EDEN, Estoril_ R10_09-12-25.pdf</x:v>
      </x:c>
      <x:c r="O947" t="n">
        <x:v>56</x:v>
      </x:c>
    </x:row>
    <x:row r="948">
      <x:c r="A948" s="48" t="n">
        <x:v>45978</x:v>
      </x:c>
      <x:c r="B948" t="n">
        <x:v>6</x:v>
      </x:c>
      <x:c r="C948" t="str">
        <x:v>I3</x:v>
      </x:c>
      <x:c r="D948" t="n">
        <x:v>6</x:v>
      </x:c>
      <x:c r="E948" s="50" t="n">
        <x:v>11</x:v>
      </x:c>
      <x:c r="F948" s="50" t="n">
        <x:v>343.75</x:v>
      </x:c>
      <x:c r="G948" s="50" t="n">
        <x:v>-337.7</x:v>
      </x:c>
      <x:c r="H948" s="50" t="n">
        <x:v>456.33</x:v>
      </x:c>
      <x:c r="I948" s="50" t="n">
        <x:v>-449.13</x:v>
      </x:c>
      <x:c r="J948" s="50" t="n">
        <x:v>0.87</x:v>
      </x:c>
      <x:c r="K948" s="50" t="n">
        <x:v>-1.07</x:v>
      </x:c>
      <x:c r="L948" s="50" t="n">
        <x:v>1.38</x:v>
      </x:c>
      <x:c r="M948" s="50" t="n">
        <x:v>0.6</x:v>
      </x:c>
      <x:c r="N948" t="str">
        <x:v>RELATÓRIO LEITURAS INCLINOMÉTRICAS - Empreitada THE EDEN, Estoril_ R10_09-12-25.pdf</x:v>
      </x:c>
      <x:c r="O948" t="n">
        <x:v>56</x:v>
      </x:c>
    </x:row>
    <x:row r="949">
      <x:c r="A949" s="48" t="n">
        <x:v>45978</x:v>
      </x:c>
      <x:c r="B949" t="n">
        <x:v>6</x:v>
      </x:c>
      <x:c r="C949" t="str">
        <x:v>I3</x:v>
      </x:c>
      <x:c r="D949" t="n">
        <x:v>6</x:v>
      </x:c>
      <x:c r="E949" s="50" t="n">
        <x:v>11.5</x:v>
      </x:c>
      <x:c r="F949" s="50" t="n">
        <x:v>317.5</x:v>
      </x:c>
      <x:c r="G949" s="50" t="n">
        <x:v>-306.55</x:v>
      </x:c>
      <x:c r="H949" s="50" t="n">
        <x:v>375</x:v>
      </x:c>
      <x:c r="I949" s="50" t="n">
        <x:v>-365.76</x:v>
      </x:c>
      <x:c r="J949" s="50" t="n">
        <x:v>0.84</x:v>
      </x:c>
      <x:c r="K949" s="50" t="n">
        <x:v>-1.07</x:v>
      </x:c>
      <x:c r="L949" s="50" t="n">
        <x:v>1.36</x:v>
      </x:c>
      <x:c r="M949" s="50" t="n">
        <x:v>0.63</x:v>
      </x:c>
      <x:c r="N949" t="str">
        <x:v>RELATÓRIO LEITURAS INCLINOMÉTRICAS - Empreitada THE EDEN, Estoril_ R10_09-12-25.pdf</x:v>
      </x:c>
      <x:c r="O949" t="n">
        <x:v>56</x:v>
      </x:c>
    </x:row>
    <x:row r="950">
      <x:c r="A950" s="48" t="n">
        <x:v>45978</x:v>
      </x:c>
      <x:c r="B950" t="n">
        <x:v>6</x:v>
      </x:c>
      <x:c r="C950" t="str">
        <x:v>I3</x:v>
      </x:c>
      <x:c r="D950" t="n">
        <x:v>6</x:v>
      </x:c>
      <x:c r="E950" s="50" t="n">
        <x:v>12</x:v>
      </x:c>
      <x:c r="F950" s="50" t="n">
        <x:v>295.45</x:v>
      </x:c>
      <x:c r="G950" s="50" t="n">
        <x:v>-286.09</x:v>
      </x:c>
      <x:c r="H950" s="50" t="n">
        <x:v>274.72</x:v>
      </x:c>
      <x:c r="I950" s="50" t="n">
        <x:v>-268.56</x:v>
      </x:c>
      <x:c r="J950" s="50" t="n">
        <x:v>0.79</x:v>
      </x:c>
      <x:c r="K950" s="50" t="n">
        <x:v>-1.02</x:v>
      </x:c>
      <x:c r="L950" s="50" t="n">
        <x:v>1.29</x:v>
      </x:c>
      <x:c r="M950" s="50" t="n">
        <x:v>0.63</x:v>
      </x:c>
      <x:c r="N950" t="str">
        <x:v>RELATÓRIO LEITURAS INCLINOMÉTRICAS - Empreitada THE EDEN, Estoril_ R10_09-12-25.pdf</x:v>
      </x:c>
      <x:c r="O950" t="n">
        <x:v>56</x:v>
      </x:c>
    </x:row>
    <x:row r="951">
      <x:c r="A951" s="48" t="n">
        <x:v>45978</x:v>
      </x:c>
      <x:c r="B951" t="n">
        <x:v>6</x:v>
      </x:c>
      <x:c r="C951" t="str">
        <x:v>I3</x:v>
      </x:c>
      <x:c r="D951" t="n">
        <x:v>6</x:v>
      </x:c>
      <x:c r="E951" s="50" t="n">
        <x:v>12.5</x:v>
      </x:c>
      <x:c r="F951" s="50" t="n">
        <x:v>248.85</x:v>
      </x:c>
      <x:c r="G951" s="50" t="n">
        <x:v>-241.6</x:v>
      </x:c>
      <x:c r="H951" s="50" t="n">
        <x:v>191.18</x:v>
      </x:c>
      <x:c r="I951" s="50" t="n">
        <x:v>-182.61</x:v>
      </x:c>
      <x:c r="J951" s="50" t="n">
        <x:v>0.78</x:v>
      </x:c>
      <x:c r="K951" s="50" t="n">
        <x:v>-1.31</x:v>
      </x:c>
      <x:c r="L951" s="50" t="n">
        <x:v>1.52</x:v>
      </x:c>
      <x:c r="M951" s="50" t="n">
        <x:v>0.91</x:v>
      </x:c>
      <x:c r="N951" t="str">
        <x:v>RELATÓRIO LEITURAS INCLINOMÉTRICAS - Empreitada THE EDEN, Estoril_ R10_09-12-25.pdf</x:v>
      </x:c>
      <x:c r="O951" t="n">
        <x:v>56</x:v>
      </x:c>
    </x:row>
    <x:row r="952">
      <x:c r="A952" s="48" t="n">
        <x:v>45978</x:v>
      </x:c>
      <x:c r="B952" t="n">
        <x:v>6</x:v>
      </x:c>
      <x:c r="C952" t="str">
        <x:v>I3</x:v>
      </x:c>
      <x:c r="D952" t="n">
        <x:v>6</x:v>
      </x:c>
      <x:c r="E952" s="50" t="n">
        <x:v>13</x:v>
      </x:c>
      <x:c r="F952" s="50" t="n">
        <x:v>218.61</x:v>
      </x:c>
      <x:c r="G952" s="50" t="n">
        <x:v>-210.37</x:v>
      </x:c>
      <x:c r="H952" s="50" t="n">
        <x:v>135.69</x:v>
      </x:c>
      <x:c r="I952" s="50" t="n">
        <x:v>-123.8</x:v>
      </x:c>
      <x:c r="J952" s="50" t="n">
        <x:v>0.77</x:v>
      </x:c>
      <x:c r="K952" s="50" t="n">
        <x:v>-1.41</x:v>
      </x:c>
      <x:c r="L952" s="50" t="n">
        <x:v>1.61</x:v>
      </x:c>
      <x:c r="M952" s="50" t="n">
        <x:v>0.94</x:v>
      </x:c>
      <x:c r="N952" t="str">
        <x:v>RELATÓRIO LEITURAS INCLINOMÉTRICAS - Empreitada THE EDEN, Estoril_ R10_09-12-25.pdf</x:v>
      </x:c>
      <x:c r="O952" t="n">
        <x:v>56</x:v>
      </x:c>
    </x:row>
    <x:row r="953">
      <x:c r="A953" s="48" t="n">
        <x:v>45978</x:v>
      </x:c>
      <x:c r="B953" t="n">
        <x:v>6</x:v>
      </x:c>
      <x:c r="C953" t="str">
        <x:v>I3</x:v>
      </x:c>
      <x:c r="D953" t="n">
        <x:v>6</x:v>
      </x:c>
      <x:c r="E953" s="50" t="n">
        <x:v>13.5</x:v>
      </x:c>
      <x:c r="F953" s="50" t="n">
        <x:v>188.73</x:v>
      </x:c>
      <x:c r="G953" s="50" t="n">
        <x:v>-183.19</x:v>
      </x:c>
      <x:c r="H953" s="50" t="n">
        <x:v>148.15</x:v>
      </x:c>
      <x:c r="I953" s="50" t="n">
        <x:v>-150.63</x:v>
      </x:c>
      <x:c r="J953" s="50" t="n">
        <x:v>0.72</x:v>
      </x:c>
      <x:c r="K953" s="50" t="n">
        <x:v>-1.34</x:v>
      </x:c>
      <x:c r="L953" s="50" t="n">
        <x:v>1.52</x:v>
      </x:c>
      <x:c r="M953" s="50" t="n">
        <x:v>0.86</x:v>
      </x:c>
      <x:c r="N953" t="str">
        <x:v>RELATÓRIO LEITURAS INCLINOMÉTRICAS - Empreitada THE EDEN, Estoril_ R10_09-12-25.pdf</x:v>
      </x:c>
      <x:c r="O953" t="n">
        <x:v>56</x:v>
      </x:c>
    </x:row>
    <x:row r="954">
      <x:c r="A954" s="48" t="n">
        <x:v>45978</x:v>
      </x:c>
      <x:c r="B954" t="n">
        <x:v>6</x:v>
      </x:c>
      <x:c r="C954" t="str">
        <x:v>I3</x:v>
      </x:c>
      <x:c r="D954" t="n">
        <x:v>6</x:v>
      </x:c>
      <x:c r="E954" s="50" t="n">
        <x:v>14</x:v>
      </x:c>
      <x:c r="F954" s="50" t="n">
        <x:v>146.92</x:v>
      </x:c>
      <x:c r="G954" s="50" t="n">
        <x:v>-141.86</x:v>
      </x:c>
      <x:c r="H954" s="50" t="n">
        <x:v>157.07</x:v>
      </x:c>
      <x:c r="I954" s="50" t="n">
        <x:v>-159.93</x:v>
      </x:c>
      <x:c r="J954" s="50" t="n">
        <x:v>0.62</x:v>
      </x:c>
      <x:c r="K954" s="50" t="n">
        <x:v>-0.81</x:v>
      </x:c>
      <x:c r="L954" s="50" t="n">
        <x:v>1.02</x:v>
      </x:c>
      <x:c r="M954" s="50" t="n">
        <x:v>0.49</x:v>
      </x:c>
      <x:c r="N954" t="str">
        <x:v>RELATÓRIO LEITURAS INCLINOMÉTRICAS - Empreitada THE EDEN, Estoril_ R10_09-12-25.pdf</x:v>
      </x:c>
      <x:c r="O954" t="n">
        <x:v>56</x:v>
      </x:c>
    </x:row>
    <x:row r="955">
      <x:c r="A955" s="48" t="n">
        <x:v>45978</x:v>
      </x:c>
      <x:c r="B955" t="n">
        <x:v>6</x:v>
      </x:c>
      <x:c r="C955" t="str">
        <x:v>I3</x:v>
      </x:c>
      <x:c r="D955" t="n">
        <x:v>6</x:v>
      </x:c>
      <x:c r="E955" s="50" t="n">
        <x:v>14.5</x:v>
      </x:c>
      <x:c r="F955" s="50" t="n">
        <x:v>141.39</x:v>
      </x:c>
      <x:c r="G955" s="50" t="n">
        <x:v>-135.14</x:v>
      </x:c>
      <x:c r="H955" s="50" t="n">
        <x:v>187.47</x:v>
      </x:c>
      <x:c r="I955" s="50" t="n">
        <x:v>-179.08</x:v>
      </x:c>
      <x:c r="J955" s="50" t="n">
        <x:v>0.64</x:v>
      </x:c>
      <x:c r="K955" s="50" t="n">
        <x:v>-1.28</x:v>
      </x:c>
      <x:c r="L955" s="50" t="n">
        <x:v>1.43</x:v>
      </x:c>
      <x:c r="M955" s="50" t="n">
        <x:v>0.54</x:v>
      </x:c>
      <x:c r="N955" t="str">
        <x:v>RELATÓRIO LEITURAS INCLINOMÉTRICAS - Empreitada THE EDEN, Estoril_ R10_09-12-25.pdf</x:v>
      </x:c>
      <x:c r="O955" t="n">
        <x:v>56</x:v>
      </x:c>
    </x:row>
    <x:row r="956">
      <x:c r="A956" s="48" t="n">
        <x:v>45978</x:v>
      </x:c>
      <x:c r="B956" t="n">
        <x:v>6</x:v>
      </x:c>
      <x:c r="C956" t="str">
        <x:v>I3</x:v>
      </x:c>
      <x:c r="D956" t="n">
        <x:v>6</x:v>
      </x:c>
      <x:c r="E956" s="50" t="n">
        <x:v>15</x:v>
      </x:c>
      <x:c r="F956" s="50" t="n">
        <x:v>145.69</x:v>
      </x:c>
      <x:c r="G956" s="50" t="n">
        <x:v>-139.43</x:v>
      </x:c>
      <x:c r="H956" s="50" t="n">
        <x:v>269.98</x:v>
      </x:c>
      <x:c r="I956" s="50" t="n">
        <x:v>-257.75</x:v>
      </x:c>
      <x:c r="J956" s="50" t="n">
        <x:v>0.58</x:v>
      </x:c>
      <x:c r="K956" s="50" t="n">
        <x:v>-1.43</x:v>
      </x:c>
      <x:c r="L956" s="50" t="n">
        <x:v>1.54</x:v>
      </x:c>
      <x:c r="M956" s="50" t="n">
        <x:v>0.49</x:v>
      </x:c>
      <x:c r="N956" t="str">
        <x:v>RELATÓRIO LEITURAS INCLINOMÉTRICAS - Empreitada THE EDEN, Estoril_ R10_09-12-25.pdf</x:v>
      </x:c>
      <x:c r="O956" t="n">
        <x:v>56</x:v>
      </x:c>
    </x:row>
    <x:row r="957">
      <x:c r="A957" s="48" t="n">
        <x:v>45978</x:v>
      </x:c>
      <x:c r="B957" t="n">
        <x:v>6</x:v>
      </x:c>
      <x:c r="C957" t="str">
        <x:v>I3</x:v>
      </x:c>
      <x:c r="D957" t="n">
        <x:v>6</x:v>
      </x:c>
      <x:c r="E957" s="50" t="n">
        <x:v>15.5</x:v>
      </x:c>
      <x:c r="F957" s="50" t="n">
        <x:v>58.23</x:v>
      </x:c>
      <x:c r="G957" s="50" t="n">
        <x:v>-56.52</x:v>
      </x:c>
      <x:c r="H957" s="50" t="n">
        <x:v>348.23</x:v>
      </x:c>
      <x:c r="I957" s="50" t="n">
        <x:v>-338.4</x:v>
      </x:c>
      <x:c r="J957" s="50" t="n">
        <x:v>0.51</x:v>
      </x:c>
      <x:c r="K957" s="50" t="n">
        <x:v>-1.35</x:v>
      </x:c>
      <x:c r="L957" s="50" t="n">
        <x:v>1.44</x:v>
      </x:c>
      <x:c r="M957" s="50" t="n">
        <x:v>0.4</x:v>
      </x:c>
      <x:c r="N957" t="str">
        <x:v>RELATÓRIO LEITURAS INCLINOMÉTRICAS - Empreitada THE EDEN, Estoril_ R10_09-12-25.pdf</x:v>
      </x:c>
      <x:c r="O957" t="n">
        <x:v>56</x:v>
      </x:c>
    </x:row>
    <x:row r="958">
      <x:c r="A958" s="48" t="n">
        <x:v>45978</x:v>
      </x:c>
      <x:c r="B958" t="n">
        <x:v>6</x:v>
      </x:c>
      <x:c r="C958" t="str">
        <x:v>I3</x:v>
      </x:c>
      <x:c r="D958" t="n">
        <x:v>6</x:v>
      </x:c>
      <x:c r="E958" s="50" t="n">
        <x:v>16</x:v>
      </x:c>
      <x:c r="F958" s="50" t="n">
        <x:v>201.83</x:v>
      </x:c>
      <x:c r="G958" s="50" t="n">
        <x:v>-188</x:v>
      </x:c>
      <x:c r="H958" s="50" t="n">
        <x:v>188.38</x:v>
      </x:c>
      <x:c r="I958" s="50" t="n">
        <x:v>-180.11</x:v>
      </x:c>
      <x:c r="J958" s="50" t="n">
        <x:v>0.47</x:v>
      </x:c>
      <x:c r="K958" s="50" t="n">
        <x:v>-1.3</x:v>
      </x:c>
      <x:c r="L958" s="50" t="n">
        <x:v>1.38</x:v>
      </x:c>
      <x:c r="M958" s="50" t="n">
        <x:v>0.43</x:v>
      </x:c>
      <x:c r="N958" t="str">
        <x:v>RELATÓRIO LEITURAS INCLINOMÉTRICAS - Empreitada THE EDEN, Estoril_ R10_09-12-25.pdf</x:v>
      </x:c>
      <x:c r="O958" t="n">
        <x:v>56</x:v>
      </x:c>
    </x:row>
    <x:row r="959">
      <x:c r="A959" s="48" t="n">
        <x:v>45978</x:v>
      </x:c>
      <x:c r="B959" t="n">
        <x:v>6</x:v>
      </x:c>
      <x:c r="C959" t="str">
        <x:v>I3</x:v>
      </x:c>
      <x:c r="D959" t="n">
        <x:v>6</x:v>
      </x:c>
      <x:c r="E959" s="50" t="n">
        <x:v>16.5</x:v>
      </x:c>
      <x:c r="F959" s="50" t="n">
        <x:v>324.74</x:v>
      </x:c>
      <x:c r="G959" s="50" t="n">
        <x:v>-320.52</x:v>
      </x:c>
      <x:c r="H959" s="50" t="n">
        <x:v>207.04</x:v>
      </x:c>
      <x:c r="I959" s="50" t="n">
        <x:v>-190.21</x:v>
      </x:c>
      <x:c r="J959" s="50" t="n">
        <x:v>0.51</x:v>
      </x:c>
      <x:c r="K959" s="50" t="n">
        <x:v>-1.47</x:v>
      </x:c>
      <x:c r="L959" s="50" t="n">
        <x:v>1.56</x:v>
      </x:c>
      <x:c r="M959" s="50" t="n">
        <x:v>0.42</x:v>
      </x:c>
      <x:c r="N959" t="str">
        <x:v>RELATÓRIO LEITURAS INCLINOMÉTRICAS - Empreitada THE EDEN, Estoril_ R10_09-12-25.pdf</x:v>
      </x:c>
      <x:c r="O959" t="n">
        <x:v>56</x:v>
      </x:c>
    </x:row>
    <x:row r="960">
      <x:c r="A960" s="48" t="n">
        <x:v>45978</x:v>
      </x:c>
      <x:c r="B960" t="n">
        <x:v>6</x:v>
      </x:c>
      <x:c r="C960" t="str">
        <x:v>I3</x:v>
      </x:c>
      <x:c r="D960" t="n">
        <x:v>6</x:v>
      </x:c>
      <x:c r="E960" s="50" t="n">
        <x:v>17</x:v>
      </x:c>
      <x:c r="F960" s="50" t="n">
        <x:v>385.08</x:v>
      </x:c>
      <x:c r="G960" s="50" t="n">
        <x:v>-376.04</x:v>
      </x:c>
      <x:c r="H960" s="50" t="n">
        <x:v>245.51</x:v>
      </x:c>
      <x:c r="I960" s="50" t="n">
        <x:v>-243.41</x:v>
      </x:c>
      <x:c r="J960" s="50" t="n">
        <x:v>0.53</x:v>
      </x:c>
      <x:c r="K960" s="50" t="n">
        <x:v>-1.31</x:v>
      </x:c>
      <x:c r="L960" s="50" t="n">
        <x:v>1.41</x:v>
      </x:c>
      <x:c r="M960" s="50" t="n">
        <x:v>0.34</x:v>
      </x:c>
      <x:c r="N960" t="str">
        <x:v>RELATÓRIO LEITURAS INCLINOMÉTRICAS - Empreitada THE EDEN, Estoril_ R10_09-12-25.pdf</x:v>
      </x:c>
      <x:c r="O960" t="n">
        <x:v>56</x:v>
      </x:c>
    </x:row>
    <x:row r="961">
      <x:c r="A961" s="48" t="n">
        <x:v>45978</x:v>
      </x:c>
      <x:c r="B961" t="n">
        <x:v>6</x:v>
      </x:c>
      <x:c r="C961" t="str">
        <x:v>I3</x:v>
      </x:c>
      <x:c r="D961" t="n">
        <x:v>6</x:v>
      </x:c>
      <x:c r="E961" s="50" t="n">
        <x:v>17.5</x:v>
      </x:c>
      <x:c r="F961" s="50" t="n">
        <x:v>380.5</x:v>
      </x:c>
      <x:c r="G961" s="50" t="n">
        <x:v>-375.19</x:v>
      </x:c>
      <x:c r="H961" s="50" t="n">
        <x:v>170.95</x:v>
      </x:c>
      <x:c r="I961" s="50" t="n">
        <x:v>-161.94</x:v>
      </x:c>
      <x:c r="J961" s="50" t="n">
        <x:v>0.52</x:v>
      </x:c>
      <x:c r="K961" s="50" t="n">
        <x:v>-1.14</x:v>
      </x:c>
      <x:c r="L961" s="50" t="n">
        <x:v>1.25</x:v>
      </x:c>
      <x:c r="M961" s="50" t="n">
        <x:v>0.53</x:v>
      </x:c>
      <x:c r="N961" t="str">
        <x:v>RELATÓRIO LEITURAS INCLINOMÉTRICAS - Empreitada THE EDEN, Estoril_ R10_09-12-25.pdf</x:v>
      </x:c>
      <x:c r="O961" t="n">
        <x:v>56</x:v>
      </x:c>
    </x:row>
    <x:row r="962">
      <x:c r="A962" s="48" t="n">
        <x:v>45978</x:v>
      </x:c>
      <x:c r="B962" t="n">
        <x:v>6</x:v>
      </x:c>
      <x:c r="C962" t="str">
        <x:v>I3</x:v>
      </x:c>
      <x:c r="D962" t="n">
        <x:v>6</x:v>
      </x:c>
      <x:c r="E962" s="50" t="n">
        <x:v>18</x:v>
      </x:c>
      <x:c r="F962" s="50" t="n">
        <x:v>348.09</x:v>
      </x:c>
      <x:c r="G962" s="50" t="n">
        <x:v>-340.73</x:v>
      </x:c>
      <x:c r="H962" s="50" t="n">
        <x:v>94.92</x:v>
      </x:c>
      <x:c r="I962" s="50" t="n">
        <x:v>-98.42</x:v>
      </x:c>
      <x:c r="J962" s="50" t="n">
        <x:v>0.51</x:v>
      </x:c>
      <x:c r="K962" s="50" t="n">
        <x:v>-0.61</x:v>
      </x:c>
      <x:c r="L962" s="50" t="n">
        <x:v>0.8</x:v>
      </x:c>
      <x:c r="M962" s="50" t="n">
        <x:v>0.35</x:v>
      </x:c>
      <x:c r="N962" t="str">
        <x:v>RELATÓRIO LEITURAS INCLINOMÉTRICAS - Empreitada THE EDEN, Estoril_ R10_09-12-25.pdf</x:v>
      </x:c>
      <x:c r="O962" t="n">
        <x:v>56</x:v>
      </x:c>
    </x:row>
    <x:row r="963">
      <x:c r="A963" s="48" t="n">
        <x:v>45978</x:v>
      </x:c>
      <x:c r="B963" t="n">
        <x:v>6</x:v>
      </x:c>
      <x:c r="C963" t="str">
        <x:v>I3</x:v>
      </x:c>
      <x:c r="D963" t="n">
        <x:v>6</x:v>
      </x:c>
      <x:c r="E963" s="50" t="n">
        <x:v>18.5</x:v>
      </x:c>
      <x:c r="F963" s="50" t="n">
        <x:v>317.7</x:v>
      </x:c>
      <x:c r="G963" s="50" t="n">
        <x:v>-312.52</x:v>
      </x:c>
      <x:c r="H963" s="50" t="n">
        <x:v>55.6</x:v>
      </x:c>
      <x:c r="I963" s="50" t="n">
        <x:v>-60.65</x:v>
      </x:c>
      <x:c r="J963" s="50" t="n">
        <x:v>0.48</x:v>
      </x:c>
      <x:c r="K963" s="50" t="n">
        <x:v>-0.59</x:v>
      </x:c>
      <x:c r="L963" s="50" t="n">
        <x:v>0.76</x:v>
      </x:c>
      <x:c r="M963" s="50" t="n">
        <x:v>0.33</x:v>
      </x:c>
      <x:c r="N963" t="str">
        <x:v>RELATÓRIO LEITURAS INCLINOMÉTRICAS - Empreitada THE EDEN, Estoril_ R10_09-12-25.pdf</x:v>
      </x:c>
      <x:c r="O963" t="n">
        <x:v>56</x:v>
      </x:c>
    </x:row>
    <x:row r="964">
      <x:c r="A964" s="48" t="n">
        <x:v>45978</x:v>
      </x:c>
      <x:c r="B964" t="n">
        <x:v>6</x:v>
      </x:c>
      <x:c r="C964" t="str">
        <x:v>I3</x:v>
      </x:c>
      <x:c r="D964" t="n">
        <x:v>6</x:v>
      </x:c>
      <x:c r="E964" s="50" t="n">
        <x:v>19</x:v>
      </x:c>
      <x:c r="F964" s="50" t="n">
        <x:v>304.09</x:v>
      </x:c>
      <x:c r="G964" s="50" t="n">
        <x:v>-299.21</x:v>
      </x:c>
      <x:c r="H964" s="50" t="n">
        <x:v>51.17</x:v>
      </x:c>
      <x:c r="I964" s="50" t="n">
        <x:v>-48.66</x:v>
      </x:c>
      <x:c r="J964" s="50" t="n">
        <x:v>0.39</x:v>
      </x:c>
      <x:c r="K964" s="50" t="n">
        <x:v>-0.8</x:v>
      </x:c>
      <x:c r="L964" s="50" t="n">
        <x:v>0.89</x:v>
      </x:c>
      <x:c r="M964" s="50" t="n">
        <x:v>0.48</x:v>
      </x:c>
      <x:c r="N964" t="str">
        <x:v>RELATÓRIO LEITURAS INCLINOMÉTRICAS - Empreitada THE EDEN, Estoril_ R10_09-12-25.pdf</x:v>
      </x:c>
      <x:c r="O964" t="n">
        <x:v>56</x:v>
      </x:c>
    </x:row>
    <x:row r="965">
      <x:c r="A965" s="48" t="n">
        <x:v>45978</x:v>
      </x:c>
      <x:c r="B965" t="n">
        <x:v>6</x:v>
      </x:c>
      <x:c r="C965" t="str">
        <x:v>I3</x:v>
      </x:c>
      <x:c r="D965" t="n">
        <x:v>6</x:v>
      </x:c>
      <x:c r="E965" s="50" t="n">
        <x:v>19.5</x:v>
      </x:c>
      <x:c r="F965" s="50" t="n">
        <x:v>210.45</x:v>
      </x:c>
      <x:c r="G965" s="50" t="n">
        <x:v>-203.96</x:v>
      </x:c>
      <x:c r="H965" s="50" t="n">
        <x:v>102.16</x:v>
      </x:c>
      <x:c r="I965" s="50" t="n">
        <x:v>-96.35</x:v>
      </x:c>
      <x:c r="J965" s="50" t="n">
        <x:v>0.34</x:v>
      </x:c>
      <x:c r="K965" s="50" t="n">
        <x:v>-0.91</x:v>
      </x:c>
      <x:c r="L965" s="50" t="n">
        <x:v>0.97</x:v>
      </x:c>
      <x:c r="M965" s="50" t="n">
        <x:v>0.51</x:v>
      </x:c>
      <x:c r="N965" t="str">
        <x:v>RELATÓRIO LEITURAS INCLINOMÉTRICAS - Empreitada THE EDEN, Estoril_ R10_09-12-25.pdf</x:v>
      </x:c>
      <x:c r="O965" t="n">
        <x:v>56</x:v>
      </x:c>
    </x:row>
    <x:row r="966">
      <x:c r="A966" s="48" t="n">
        <x:v>45978</x:v>
      </x:c>
      <x:c r="B966" t="n">
        <x:v>6</x:v>
      </x:c>
      <x:c r="C966" t="str">
        <x:v>I3</x:v>
      </x:c>
      <x:c r="D966" t="n">
        <x:v>6</x:v>
      </x:c>
      <x:c r="E966" s="50" t="n">
        <x:v>20</x:v>
      </x:c>
      <x:c r="F966" s="50" t="n">
        <x:v>145.46</x:v>
      </x:c>
      <x:c r="G966" s="50" t="n">
        <x:v>-139.82</x:v>
      </x:c>
      <x:c r="H966" s="50" t="n">
        <x:v>138.49</x:v>
      </x:c>
      <x:c r="I966" s="50" t="n">
        <x:v>-148.31</x:v>
      </x:c>
      <x:c r="J966" s="50" t="n">
        <x:v>0.2</x:v>
      </x:c>
      <x:c r="K966" s="50" t="n">
        <x:v>-0.47</x:v>
      </x:c>
      <x:c r="L966" s="50" t="n">
        <x:v>0.51</x:v>
      </x:c>
      <x:c r="M966" s="50" t="n">
        <x:v>0.28</x:v>
      </x:c>
      <x:c r="N966" t="str">
        <x:v>RELATÓRIO LEITURAS INCLINOMÉTRICAS - Empreitada THE EDEN, Estoril_ R10_09-12-25.pdf</x:v>
      </x:c>
      <x:c r="O966" t="n">
        <x:v>56</x:v>
      </x:c>
    </x:row>
    <x:row r="967">
      <x:c r="A967" s="48" t="n">
        <x:v>45978</x:v>
      </x:c>
      <x:c r="B967" t="n">
        <x:v>6</x:v>
      </x:c>
      <x:c r="C967" t="str">
        <x:v>I3</x:v>
      </x:c>
      <x:c r="D967" t="n">
        <x:v>6</x:v>
      </x:c>
      <x:c r="E967" s="50" t="n">
        <x:v>20.5</x:v>
      </x:c>
      <x:c r="F967" s="50" t="n">
        <x:v>154.63</x:v>
      </x:c>
      <x:c r="G967" s="50" t="n">
        <x:v>-149.84</x:v>
      </x:c>
      <x:c r="H967" s="50" t="n">
        <x:v>149.32</x:v>
      </x:c>
      <x:c r="I967" s="50" t="n">
        <x:v>-161.59</x:v>
      </x:c>
      <x:c r="J967" s="50" t="n">
        <x:v>0.18</x:v>
      </x:c>
      <x:c r="K967" s="50" t="n">
        <x:v>-0.33</x:v>
      </x:c>
      <x:c r="L967" s="50" t="n">
        <x:v>0.37</x:v>
      </x:c>
      <x:c r="M967" s="50" t="n">
        <x:v>0.17</x:v>
      </x:c>
      <x:c r="N967" t="str">
        <x:v>RELATÓRIO LEITURAS INCLINOMÉTRICAS - Empreitada THE EDEN, Estoril_ R10_09-12-25.pdf</x:v>
      </x:c>
      <x:c r="O967" t="n">
        <x:v>56</x:v>
      </x:c>
    </x:row>
    <x:row r="968">
      <x:c r="A968" s="48" t="n">
        <x:v>45978</x:v>
      </x:c>
      <x:c r="B968" t="n">
        <x:v>6</x:v>
      </x:c>
      <x:c r="C968" t="str">
        <x:v>I3</x:v>
      </x:c>
      <x:c r="D968" t="n">
        <x:v>6</x:v>
      </x:c>
      <x:c r="E968" s="50" t="n">
        <x:v>21</x:v>
      </x:c>
      <x:c r="F968" s="50" t="n">
        <x:v>163.05</x:v>
      </x:c>
      <x:c r="G968" s="50" t="n">
        <x:v>-157.67</x:v>
      </x:c>
      <x:c r="H968" s="50" t="n">
        <x:v>160.86</x:v>
      </x:c>
      <x:c r="I968" s="50" t="n">
        <x:v>-178.03</x:v>
      </x:c>
      <x:c r="J968" s="50" t="n">
        <x:v>0.16</x:v>
      </x:c>
      <x:c r="K968" s="50" t="n">
        <x:v>0.01</x:v>
      </x:c>
      <x:c r="L968" s="50" t="n">
        <x:v>0.16</x:v>
      </x:c>
      <x:c r="M968" s="50" t="n">
        <x:v>-0.06</x:v>
      </x:c>
      <x:c r="N968" t="str">
        <x:v>RELATÓRIO LEITURAS INCLINOMÉTRICAS - Empreitada THE EDEN, Estoril_ R10_09-12-25.pdf</x:v>
      </x:c>
      <x:c r="O968" t="n">
        <x:v>56</x:v>
      </x:c>
    </x:row>
    <x:row r="969">
      <x:c r="A969" s="48" t="n">
        <x:v>45978</x:v>
      </x:c>
      <x:c r="B969" t="n">
        <x:v>6</x:v>
      </x:c>
      <x:c r="C969" t="str">
        <x:v>I3</x:v>
      </x:c>
      <x:c r="D969" t="n">
        <x:v>6</x:v>
      </x:c>
      <x:c r="E969" s="50" t="n">
        <x:v>21.5</x:v>
      </x:c>
      <x:c r="F969" s="50" t="n">
        <x:v>180.15</x:v>
      </x:c>
      <x:c r="G969" s="50" t="n">
        <x:v>-173.61</x:v>
      </x:c>
      <x:c r="H969" s="50" t="n">
        <x:v>162.21</x:v>
      </x:c>
      <x:c r="I969" s="50" t="n">
        <x:v>-170.93</x:v>
      </x:c>
      <x:c r="J969" s="50" t="n">
        <x:v>0.1</x:v>
      </x:c>
      <x:c r="K969" s="50" t="n">
        <x:v>0.16</x:v>
      </x:c>
      <x:c r="L969" s="50" t="n">
        <x:v>0.19</x:v>
      </x:c>
      <x:c r="M969" s="50" t="n">
        <x:v>-0.05</x:v>
      </x:c>
      <x:c r="N969" t="str">
        <x:v>RELATÓRIO LEITURAS INCLINOMÉTRICAS - Empreitada THE EDEN, Estoril_ R10_09-12-25.pdf</x:v>
      </x:c>
      <x:c r="O969" t="n">
        <x:v>56</x:v>
      </x:c>
    </x:row>
    <x:row r="970">
      <x:c r="A970" s="48" t="n">
        <x:v>45978</x:v>
      </x:c>
      <x:c r="B970" t="n">
        <x:v>6</x:v>
      </x:c>
      <x:c r="C970" t="str">
        <x:v>I3</x:v>
      </x:c>
      <x:c r="D970" t="n">
        <x:v>6</x:v>
      </x:c>
      <x:c r="E970" s="50" t="n">
        <x:v>22</x:v>
      </x:c>
      <x:c r="F970" s="50" t="n">
        <x:v>189.65</x:v>
      </x:c>
      <x:c r="G970" s="50" t="n">
        <x:v>-182.4</x:v>
      </x:c>
      <x:c r="H970" s="50" t="n">
        <x:v>185.42</x:v>
      </x:c>
      <x:c r="I970" s="50" t="n">
        <x:v>-185.29</x:v>
      </x:c>
      <x:c r="J970" s="50" t="n">
        <x:v>0.05</x:v>
      </x:c>
      <x:c r="K970" s="50" t="n">
        <x:v>0.13</x:v>
      </x:c>
      <x:c r="L970" s="50" t="n">
        <x:v>0.14</x:v>
      </x:c>
      <x:c r="M970" s="50" t="n">
        <x:v>-0.07</x:v>
      </x:c>
      <x:c r="N970" t="str">
        <x:v>RELATÓRIO LEITURAS INCLINOMÉTRICAS - Empreitada THE EDEN, Estoril_ R10_09-12-25.pdf</x:v>
      </x:c>
      <x:c r="O970" t="n">
        <x:v>56</x:v>
      </x:c>
    </x:row>
    <x:row r="971">
      <x:c r="A971" s="48" t="n">
        <x:v>45985</x:v>
      </x:c>
      <x:c r="B971" t="n">
        <x:v>8</x:v>
      </x:c>
      <x:c r="C971" t="str">
        <x:v>I1</x:v>
      </x:c>
      <x:c r="D971" t="n">
        <x:v>8</x:v>
      </x:c>
      <x:c r="E971" s="50" t="n">
        <x:v>0.5</x:v>
      </x:c>
      <x:c r="F971" s="50" t="n">
        <x:v>-364.04</x:v>
      </x:c>
      <x:c r="G971" s="50" t="n">
        <x:v>364.6</x:v>
      </x:c>
      <x:c r="H971" s="50" t="n">
        <x:v>-802.83</x:v>
      </x:c>
      <x:c r="I971" s="50" t="n">
        <x:v>833.98</x:v>
      </x:c>
      <x:c r="J971" s="50" t="n">
        <x:v>-0.18</x:v>
      </x:c>
      <x:c r="K971" s="50" t="n">
        <x:v>3.47</x:v>
      </x:c>
      <x:c r="L971" s="50" t="n">
        <x:v>3.47</x:v>
      </x:c>
      <x:c r="M971" s="50" t="n">
        <x:v>0.72</x:v>
      </x:c>
      <x:c r="N971" t="str">
        <x:v>RELATÓRIO LEITURAS INCLINOMÉTRICAS - Empreitada THE EDEN, Estoril_ R10_09-12-25.pdf</x:v>
      </x:c>
      <x:c r="O971" t="n">
        <x:v>20</x:v>
      </x:c>
    </x:row>
    <x:row r="972">
      <x:c r="A972" s="48" t="n">
        <x:v>45985</x:v>
      </x:c>
      <x:c r="B972" t="n">
        <x:v>8</x:v>
      </x:c>
      <x:c r="C972" t="str">
        <x:v>I1</x:v>
      </x:c>
      <x:c r="D972" t="n">
        <x:v>8</x:v>
      </x:c>
      <x:c r="E972" s="50" t="n">
        <x:v>1</x:v>
      </x:c>
      <x:c r="F972" s="50" t="n">
        <x:v>-364.24</x:v>
      </x:c>
      <x:c r="G972" s="50" t="n">
        <x:v>364.46</x:v>
      </x:c>
      <x:c r="H972" s="50" t="n">
        <x:v>-803.01</x:v>
      </x:c>
      <x:c r="I972" s="50" t="n">
        <x:v>834.54</x:v>
      </x:c>
      <x:c r="J972" s="50" t="n">
        <x:v>0.79</x:v>
      </x:c>
      <x:c r="K972" s="50" t="n">
        <x:v>5.02</x:v>
      </x:c>
      <x:c r="L972" s="50" t="n">
        <x:v>5.08</x:v>
      </x:c>
      <x:c r="M972" s="50" t="n">
        <x:v>0.9</x:v>
      </x:c>
      <x:c r="N972" t="str">
        <x:v>RELATÓRIO LEITURAS INCLINOMÉTRICAS - Empreitada THE EDEN, Estoril_ R10_09-12-25.pdf</x:v>
      </x:c>
      <x:c r="O972" t="n">
        <x:v>20</x:v>
      </x:c>
    </x:row>
    <x:row r="973">
      <x:c r="A973" s="48" t="n">
        <x:v>45985</x:v>
      </x:c>
      <x:c r="B973" t="n">
        <x:v>8</x:v>
      </x:c>
      <x:c r="C973" t="str">
        <x:v>I1</x:v>
      </x:c>
      <x:c r="D973" t="n">
        <x:v>8</x:v>
      </x:c>
      <x:c r="E973" s="50" t="n">
        <x:v>1.5</x:v>
      </x:c>
      <x:c r="F973" s="50" t="n">
        <x:v>-10.41</x:v>
      </x:c>
      <x:c r="G973" s="50" t="n">
        <x:v>22.59</x:v>
      </x:c>
      <x:c r="H973" s="50" t="n">
        <x:v>-270.51</x:v>
      </x:c>
      <x:c r="I973" s="50" t="n">
        <x:v>294.45</x:v>
      </x:c>
      <x:c r="J973" s="50" t="n">
        <x:v>1.82</x:v>
      </x:c>
      <x:c r="K973" s="50" t="n">
        <x:v>6.16</x:v>
      </x:c>
      <x:c r="L973" s="50" t="n">
        <x:v>6.42</x:v>
      </x:c>
      <x:c r="M973" s="50" t="n">
        <x:v>1.15</x:v>
      </x:c>
      <x:c r="N973" t="str">
        <x:v>RELATÓRIO LEITURAS INCLINOMÉTRICAS - Empreitada THE EDEN, Estoril_ R10_09-12-25.pdf</x:v>
      </x:c>
      <x:c r="O973" t="n">
        <x:v>20</x:v>
      </x:c>
    </x:row>
    <x:row r="974">
      <x:c r="A974" s="48" t="n">
        <x:v>45985</x:v>
      </x:c>
      <x:c r="B974" t="n">
        <x:v>8</x:v>
      </x:c>
      <x:c r="C974" t="str">
        <x:v>I1</x:v>
      </x:c>
      <x:c r="D974" t="n">
        <x:v>8</x:v>
      </x:c>
      <x:c r="E974" s="50" t="n">
        <x:v>2</x:v>
      </x:c>
      <x:c r="F974" s="50" t="n">
        <x:v>20.54</x:v>
      </x:c>
      <x:c r="G974" s="50" t="n">
        <x:v>-11.93</x:v>
      </x:c>
      <x:c r="H974" s="50" t="n">
        <x:v>-235.36</x:v>
      </x:c>
      <x:c r="I974" s="50" t="n">
        <x:v>246.06</x:v>
      </x:c>
      <x:c r="J974" s="50" t="n">
        <x:v>1.59</x:v>
      </x:c>
      <x:c r="K974" s="50" t="n">
        <x:v>6.07</x:v>
      </x:c>
      <x:c r="L974" s="50" t="n">
        <x:v>6.27</x:v>
      </x:c>
      <x:c r="M974" s="50" t="n">
        <x:v>1.21</x:v>
      </x:c>
      <x:c r="N974" t="str">
        <x:v>RELATÓRIO LEITURAS INCLINOMÉTRICAS - Empreitada THE EDEN, Estoril_ R10_09-12-25.pdf</x:v>
      </x:c>
      <x:c r="O974" t="n">
        <x:v>20</x:v>
      </x:c>
    </x:row>
    <x:row r="975">
      <x:c r="A975" s="48" t="n">
        <x:v>45985</x:v>
      </x:c>
      <x:c r="B975" t="n">
        <x:v>8</x:v>
      </x:c>
      <x:c r="C975" t="str">
        <x:v>I1</x:v>
      </x:c>
      <x:c r="D975" t="n">
        <x:v>8</x:v>
      </x:c>
      <x:c r="E975" s="50" t="n">
        <x:v>2.5</x:v>
      </x:c>
      <x:c r="F975" s="50" t="n">
        <x:v>37.9</x:v>
      </x:c>
      <x:c r="G975" s="50" t="n">
        <x:v>-30.87</x:v>
      </x:c>
      <x:c r="H975" s="50" t="n">
        <x:v>-207.14</x:v>
      </x:c>
      <x:c r="I975" s="50" t="n">
        <x:v>224.18</x:v>
      </x:c>
      <x:c r="J975" s="50" t="n">
        <x:v>2.26</x:v>
      </x:c>
      <x:c r="K975" s="50" t="n">
        <x:v>6.01</x:v>
      </x:c>
      <x:c r="L975" s="50" t="n">
        <x:v>6.42</x:v>
      </x:c>
      <x:c r="M975" s="50" t="n">
        <x:v>1.25</x:v>
      </x:c>
      <x:c r="N975" t="str">
        <x:v>RELATÓRIO LEITURAS INCLINOMÉTRICAS - Empreitada THE EDEN, Estoril_ R10_09-12-25.pdf</x:v>
      </x:c>
      <x:c r="O975" t="n">
        <x:v>20</x:v>
      </x:c>
    </x:row>
    <x:row r="976">
      <x:c r="A976" s="48" t="n">
        <x:v>45985</x:v>
      </x:c>
      <x:c r="B976" t="n">
        <x:v>8</x:v>
      </x:c>
      <x:c r="C976" t="str">
        <x:v>I1</x:v>
      </x:c>
      <x:c r="D976" t="n">
        <x:v>8</x:v>
      </x:c>
      <x:c r="E976" s="50" t="n">
        <x:v>3</x:v>
      </x:c>
      <x:c r="F976" s="50" t="n">
        <x:v>13.61</x:v>
      </x:c>
      <x:c r="G976" s="50" t="n">
        <x:v>-3.24</x:v>
      </x:c>
      <x:c r="H976" s="50" t="n">
        <x:v>-151.29</x:v>
      </x:c>
      <x:c r="I976" s="50" t="n">
        <x:v>168.77</x:v>
      </x:c>
      <x:c r="J976" s="50" t="n">
        <x:v>2.67</x:v>
      </x:c>
      <x:c r="K976" s="50" t="n">
        <x:v>5.89</x:v>
      </x:c>
      <x:c r="L976" s="50" t="n">
        <x:v>6.47</x:v>
      </x:c>
      <x:c r="M976" s="50" t="n">
        <x:v>1.32</x:v>
      </x:c>
      <x:c r="N976" t="str">
        <x:v>RELATÓRIO LEITURAS INCLINOMÉTRICAS - Empreitada THE EDEN, Estoril_ R10_09-12-25.pdf</x:v>
      </x:c>
      <x:c r="O976" t="n">
        <x:v>20</x:v>
      </x:c>
    </x:row>
    <x:row r="977">
      <x:c r="A977" s="48" t="n">
        <x:v>45985</x:v>
      </x:c>
      <x:c r="B977" t="n">
        <x:v>8</x:v>
      </x:c>
      <x:c r="C977" t="str">
        <x:v>I1</x:v>
      </x:c>
      <x:c r="D977" t="n">
        <x:v>8</x:v>
      </x:c>
      <x:c r="E977" s="50" t="n">
        <x:v>3.5</x:v>
      </x:c>
      <x:c r="F977" s="50" t="n">
        <x:v>-7.6</x:v>
      </x:c>
      <x:c r="G977" s="50" t="n">
        <x:v>16.18</x:v>
      </x:c>
      <x:c r="H977" s="50" t="n">
        <x:v>-89.44</x:v>
      </x:c>
      <x:c r="I977" s="50" t="n">
        <x:v>114.64</x:v>
      </x:c>
      <x:c r="J977" s="50" t="n">
        <x:v>2.8</x:v>
      </x:c>
      <x:c r="K977" s="50" t="n">
        <x:v>5.78</x:v>
      </x:c>
      <x:c r="L977" s="50" t="n">
        <x:v>6.42</x:v>
      </x:c>
      <x:c r="M977" s="50" t="n">
        <x:v>1.42</x:v>
      </x:c>
      <x:c r="N977" t="str">
        <x:v>RELATÓRIO LEITURAS INCLINOMÉTRICAS - Empreitada THE EDEN, Estoril_ R10_09-12-25.pdf</x:v>
      </x:c>
      <x:c r="O977" t="n">
        <x:v>20</x:v>
      </x:c>
    </x:row>
    <x:row r="978">
      <x:c r="A978" s="48" t="n">
        <x:v>45985</x:v>
      </x:c>
      <x:c r="B978" t="n">
        <x:v>8</x:v>
      </x:c>
      <x:c r="C978" t="str">
        <x:v>I1</x:v>
      </x:c>
      <x:c r="D978" t="n">
        <x:v>8</x:v>
      </x:c>
      <x:c r="E978" s="50" t="n">
        <x:v>4</x:v>
      </x:c>
      <x:c r="F978" s="50" t="n">
        <x:v>62.62</x:v>
      </x:c>
      <x:c r="G978" s="50" t="n">
        <x:v>-53</x:v>
      </x:c>
      <x:c r="H978" s="50" t="n">
        <x:v>-70.41</x:v>
      </x:c>
      <x:c r="I978" s="50" t="n">
        <x:v>76.38</x:v>
      </x:c>
      <x:c r="J978" s="50" t="n">
        <x:v>2.84</x:v>
      </x:c>
      <x:c r="K978" s="50" t="n">
        <x:v>5.85</x:v>
      </x:c>
      <x:c r="L978" s="50" t="n">
        <x:v>6.5</x:v>
      </x:c>
      <x:c r="M978" s="50" t="n">
        <x:v>1.43</x:v>
      </x:c>
      <x:c r="N978" t="str">
        <x:v>RELATÓRIO LEITURAS INCLINOMÉTRICAS - Empreitada THE EDEN, Estoril_ R10_09-12-25.pdf</x:v>
      </x:c>
      <x:c r="O978" t="n">
        <x:v>20</x:v>
      </x:c>
    </x:row>
    <x:row r="979">
      <x:c r="A979" s="48" t="n">
        <x:v>45985</x:v>
      </x:c>
      <x:c r="B979" t="n">
        <x:v>8</x:v>
      </x:c>
      <x:c r="C979" t="str">
        <x:v>I1</x:v>
      </x:c>
      <x:c r="D979" t="n">
        <x:v>8</x:v>
      </x:c>
      <x:c r="E979" s="50" t="n">
        <x:v>4.5</x:v>
      </x:c>
      <x:c r="F979" s="50" t="n">
        <x:v>66.54</x:v>
      </x:c>
      <x:c r="G979" s="50" t="n">
        <x:v>-55.8</x:v>
      </x:c>
      <x:c r="H979" s="50" t="n">
        <x:v>-41.83</x:v>
      </x:c>
      <x:c r="I979" s="50" t="n">
        <x:v>47.8</x:v>
      </x:c>
      <x:c r="J979" s="50" t="n">
        <x:v>2.92</x:v>
      </x:c>
      <x:c r="K979" s="50" t="n">
        <x:v>5.76</x:v>
      </x:c>
      <x:c r="L979" s="50" t="n">
        <x:v>6.46</x:v>
      </x:c>
      <x:c r="M979" s="50" t="n">
        <x:v>1.47</x:v>
      </x:c>
      <x:c r="N979" t="str">
        <x:v>RELATÓRIO LEITURAS INCLINOMÉTRICAS - Empreitada THE EDEN, Estoril_ R10_09-12-25.pdf</x:v>
      </x:c>
      <x:c r="O979" t="n">
        <x:v>20</x:v>
      </x:c>
    </x:row>
    <x:row r="980">
      <x:c r="A980" s="48" t="n">
        <x:v>45985</x:v>
      </x:c>
      <x:c r="B980" t="n">
        <x:v>8</x:v>
      </x:c>
      <x:c r="C980" t="str">
        <x:v>I1</x:v>
      </x:c>
      <x:c r="D980" t="n">
        <x:v>8</x:v>
      </x:c>
      <x:c r="E980" s="50" t="n">
        <x:v>5</x:v>
      </x:c>
      <x:c r="F980" s="50" t="n">
        <x:v>7.44</x:v>
      </x:c>
      <x:c r="G980" s="50" t="n">
        <x:v>3.92</x:v>
      </x:c>
      <x:c r="H980" s="50" t="n">
        <x:v>20.07</x:v>
      </x:c>
      <x:c r="I980" s="50" t="n">
        <x:v>-10.61</x:v>
      </x:c>
      <x:c r="J980" s="50" t="n">
        <x:v>3.31</x:v>
      </x:c>
      <x:c r="K980" s="50" t="n">
        <x:v>5.47</x:v>
      </x:c>
      <x:c r="L980" s="50" t="n">
        <x:v>6.39</x:v>
      </x:c>
      <x:c r="M980" s="50" t="n">
        <x:v>1.58</x:v>
      </x:c>
      <x:c r="N980" t="str">
        <x:v>RELATÓRIO LEITURAS INCLINOMÉTRICAS - Empreitada THE EDEN, Estoril_ R10_09-12-25.pdf</x:v>
      </x:c>
      <x:c r="O980" t="n">
        <x:v>20</x:v>
      </x:c>
    </x:row>
    <x:row r="981">
      <x:c r="A981" s="48" t="n">
        <x:v>45985</x:v>
      </x:c>
      <x:c r="B981" t="n">
        <x:v>8</x:v>
      </x:c>
      <x:c r="C981" t="str">
        <x:v>I1</x:v>
      </x:c>
      <x:c r="D981" t="n">
        <x:v>8</x:v>
      </x:c>
      <x:c r="E981" s="50" t="n">
        <x:v>5.5</x:v>
      </x:c>
      <x:c r="F981" s="50" t="n">
        <x:v>6.34</x:v>
      </x:c>
      <x:c r="G981" s="50" t="n">
        <x:v>3.56</x:v>
      </x:c>
      <x:c r="H981" s="50" t="n">
        <x:v>14.6</x:v>
      </x:c>
      <x:c r="I981" s="50" t="n">
        <x:v>-13.52</x:v>
      </x:c>
      <x:c r="J981" s="50" t="n">
        <x:v>3.49</x:v>
      </x:c>
      <x:c r="K981" s="50" t="n">
        <x:v>5.43</x:v>
      </x:c>
      <x:c r="L981" s="50" t="n">
        <x:v>6.46</x:v>
      </x:c>
      <x:c r="M981" s="50" t="n">
        <x:v>1.64</x:v>
      </x:c>
      <x:c r="N981" t="str">
        <x:v>RELATÓRIO LEITURAS INCLINOMÉTRICAS - Empreitada THE EDEN, Estoril_ R10_09-12-25.pdf</x:v>
      </x:c>
      <x:c r="O981" t="n">
        <x:v>20</x:v>
      </x:c>
    </x:row>
    <x:row r="982">
      <x:c r="A982" s="48" t="n">
        <x:v>45985</x:v>
      </x:c>
      <x:c r="B982" t="n">
        <x:v>8</x:v>
      </x:c>
      <x:c r="C982" t="str">
        <x:v>I1</x:v>
      </x:c>
      <x:c r="D982" t="n">
        <x:v>8</x:v>
      </x:c>
      <x:c r="E982" s="50" t="n">
        <x:v>6</x:v>
      </x:c>
      <x:c r="F982" s="50" t="n">
        <x:v>22.74</x:v>
      </x:c>
      <x:c r="G982" s="50" t="n">
        <x:v>-13.7</x:v>
      </x:c>
      <x:c r="H982" s="50" t="n">
        <x:v>-45.57</x:v>
      </x:c>
      <x:c r="I982" s="50" t="n">
        <x:v>45.1</x:v>
      </x:c>
      <x:c r="J982" s="50" t="n">
        <x:v>3.68</x:v>
      </x:c>
      <x:c r="K982" s="50" t="n">
        <x:v>5.55</x:v>
      </x:c>
      <x:c r="L982" s="50" t="n">
        <x:v>6.66</x:v>
      </x:c>
      <x:c r="M982" s="50" t="n">
        <x:v>1.74</x:v>
      </x:c>
      <x:c r="N982" t="str">
        <x:v>RELATÓRIO LEITURAS INCLINOMÉTRICAS - Empreitada THE EDEN, Estoril_ R10_09-12-25.pdf</x:v>
      </x:c>
      <x:c r="O982" t="n">
        <x:v>20</x:v>
      </x:c>
    </x:row>
    <x:row r="983">
      <x:c r="A983" s="48" t="n">
        <x:v>45985</x:v>
      </x:c>
      <x:c r="B983" t="n">
        <x:v>8</x:v>
      </x:c>
      <x:c r="C983" t="str">
        <x:v>I1</x:v>
      </x:c>
      <x:c r="D983" t="n">
        <x:v>8</x:v>
      </x:c>
      <x:c r="E983" s="50" t="n">
        <x:v>6.5</x:v>
      </x:c>
      <x:c r="F983" s="50" t="n">
        <x:v>28.37</x:v>
      </x:c>
      <x:c r="G983" s="50" t="n">
        <x:v>-15.04</x:v>
      </x:c>
      <x:c r="H983" s="50" t="n">
        <x:v>-65.48</x:v>
      </x:c>
      <x:c r="I983" s="50" t="n">
        <x:v>83.41</x:v>
      </x:c>
      <x:c r="J983" s="50" t="n">
        <x:v>3.88</x:v>
      </x:c>
      <x:c r="K983" s="50" t="n">
        <x:v>5.37</x:v>
      </x:c>
      <x:c r="L983" s="50" t="n">
        <x:v>6.62</x:v>
      </x:c>
      <x:c r="M983" s="50" t="n">
        <x:v>1.84</x:v>
      </x:c>
      <x:c r="N983" t="str">
        <x:v>RELATÓRIO LEITURAS INCLINOMÉTRICAS - Empreitada THE EDEN, Estoril_ R10_09-12-25.pdf</x:v>
      </x:c>
      <x:c r="O983" t="n">
        <x:v>20</x:v>
      </x:c>
    </x:row>
    <x:row r="984">
      <x:c r="A984" s="48" t="n">
        <x:v>45985</x:v>
      </x:c>
      <x:c r="B984" t="n">
        <x:v>8</x:v>
      </x:c>
      <x:c r="C984" t="str">
        <x:v>I1</x:v>
      </x:c>
      <x:c r="D984" t="n">
        <x:v>8</x:v>
      </x:c>
      <x:c r="E984" s="50" t="n">
        <x:v>7</x:v>
      </x:c>
      <x:c r="F984" s="50" t="n">
        <x:v>106.72</x:v>
      </x:c>
      <x:c r="G984" s="50" t="n">
        <x:v>-99.36</x:v>
      </x:c>
      <x:c r="H984" s="50" t="n">
        <x:v>-50.08</x:v>
      </x:c>
      <x:c r="I984" s="50" t="n">
        <x:v>58.67</x:v>
      </x:c>
      <x:c r="J984" s="50" t="n">
        <x:v>3.67</x:v>
      </x:c>
      <x:c r="K984" s="50" t="n">
        <x:v>5.04</x:v>
      </x:c>
      <x:c r="L984" s="50" t="n">
        <x:v>6.24</x:v>
      </x:c>
      <x:c r="M984" s="50" t="n">
        <x:v>1.84</x:v>
      </x:c>
      <x:c r="N984" t="str">
        <x:v>RELATÓRIO LEITURAS INCLINOMÉTRICAS - Empreitada THE EDEN, Estoril_ R10_09-12-25.pdf</x:v>
      </x:c>
      <x:c r="O984" t="n">
        <x:v>20</x:v>
      </x:c>
    </x:row>
    <x:row r="985">
      <x:c r="A985" s="48" t="n">
        <x:v>45985</x:v>
      </x:c>
      <x:c r="B985" t="n">
        <x:v>8</x:v>
      </x:c>
      <x:c r="C985" t="str">
        <x:v>I1</x:v>
      </x:c>
      <x:c r="D985" t="n">
        <x:v>8</x:v>
      </x:c>
      <x:c r="E985" s="50" t="n">
        <x:v>7.5</x:v>
      </x:c>
      <x:c r="F985" s="50" t="n">
        <x:v>63.25</x:v>
      </x:c>
      <x:c r="G985" s="50" t="n">
        <x:v>-55.34</x:v>
      </x:c>
      <x:c r="H985" s="50" t="n">
        <x:v>-49.22</x:v>
      </x:c>
      <x:c r="I985" s="50" t="n">
        <x:v>58.72</x:v>
      </x:c>
      <x:c r="J985" s="50" t="n">
        <x:v>3.71</x:v>
      </x:c>
      <x:c r="K985" s="50" t="n">
        <x:v>4.98</x:v>
      </x:c>
      <x:c r="L985" s="50" t="n">
        <x:v>6.21</x:v>
      </x:c>
      <x:c r="M985" s="50" t="n">
        <x:v>1.96</x:v>
      </x:c>
      <x:c r="N985" t="str">
        <x:v>RELATÓRIO LEITURAS INCLINOMÉTRICAS - Empreitada THE EDEN, Estoril_ R10_09-12-25.pdf</x:v>
      </x:c>
      <x:c r="O985" t="n">
        <x:v>20</x:v>
      </x:c>
    </x:row>
    <x:row r="986">
      <x:c r="A986" s="48" t="n">
        <x:v>45985</x:v>
      </x:c>
      <x:c r="B986" t="n">
        <x:v>8</x:v>
      </x:c>
      <x:c r="C986" t="str">
        <x:v>I1</x:v>
      </x:c>
      <x:c r="D986" t="n">
        <x:v>8</x:v>
      </x:c>
      <x:c r="E986" s="50" t="n">
        <x:v>8</x:v>
      </x:c>
      <x:c r="F986" s="50" t="n">
        <x:v>39.71</x:v>
      </x:c>
      <x:c r="G986" s="50" t="n">
        <x:v>-29.96</x:v>
      </x:c>
      <x:c r="H986" s="50" t="n">
        <x:v>-49.45</x:v>
      </x:c>
      <x:c r="I986" s="50" t="n">
        <x:v>59.2</x:v>
      </x:c>
      <x:c r="J986" s="50" t="n">
        <x:v>3.52</x:v>
      </x:c>
      <x:c r="K986" s="50" t="n">
        <x:v>4.8</x:v>
      </x:c>
      <x:c r="L986" s="50" t="n">
        <x:v>5.96</x:v>
      </x:c>
      <x:c r="M986" s="50" t="n">
        <x:v>1.96</x:v>
      </x:c>
      <x:c r="N986" t="str">
        <x:v>RELATÓRIO LEITURAS INCLINOMÉTRICAS - Empreitada THE EDEN, Estoril_ R10_09-12-25.pdf</x:v>
      </x:c>
      <x:c r="O986" t="n">
        <x:v>20</x:v>
      </x:c>
    </x:row>
    <x:row r="987">
      <x:c r="A987" s="48" t="n">
        <x:v>45985</x:v>
      </x:c>
      <x:c r="B987" t="n">
        <x:v>8</x:v>
      </x:c>
      <x:c r="C987" t="str">
        <x:v>I1</x:v>
      </x:c>
      <x:c r="D987" t="n">
        <x:v>8</x:v>
      </x:c>
      <x:c r="E987" s="50" t="n">
        <x:v>8.5</x:v>
      </x:c>
      <x:c r="F987" s="50" t="n">
        <x:v>2.17</x:v>
      </x:c>
      <x:c r="G987" s="50" t="n">
        <x:v>6.21</x:v>
      </x:c>
      <x:c r="H987" s="50" t="n">
        <x:v>-22.56</x:v>
      </x:c>
      <x:c r="I987" s="50" t="n">
        <x:v>24.46</x:v>
      </x:c>
      <x:c r="J987" s="50" t="n">
        <x:v>3.33</x:v>
      </x:c>
      <x:c r="K987" s="50" t="n">
        <x:v>4.3</x:v>
      </x:c>
      <x:c r="L987" s="50" t="n">
        <x:v>5.44</x:v>
      </x:c>
      <x:c r="M987" s="50" t="n">
        <x:v>1.71</x:v>
      </x:c>
      <x:c r="N987" t="str">
        <x:v>RELATÓRIO LEITURAS INCLINOMÉTRICAS - Empreitada THE EDEN, Estoril_ R10_09-12-25.pdf</x:v>
      </x:c>
      <x:c r="O987" t="n">
        <x:v>20</x:v>
      </x:c>
    </x:row>
    <x:row r="988">
      <x:c r="A988" s="48" t="n">
        <x:v>45985</x:v>
      </x:c>
      <x:c r="B988" t="n">
        <x:v>8</x:v>
      </x:c>
      <x:c r="C988" t="str">
        <x:v>I1</x:v>
      </x:c>
      <x:c r="D988" t="n">
        <x:v>8</x:v>
      </x:c>
      <x:c r="E988" s="50" t="n">
        <x:v>9</x:v>
      </x:c>
      <x:c r="F988" s="50" t="n">
        <x:v>-43.47</x:v>
      </x:c>
      <x:c r="G988" s="50" t="n">
        <x:v>51.85</x:v>
      </x:c>
      <x:c r="H988" s="50" t="n">
        <x:v>-0.85</x:v>
      </x:c>
      <x:c r="I988" s="50" t="n">
        <x:v>1.17</x:v>
      </x:c>
      <x:c r="J988" s="50" t="n">
        <x:v>3.18</x:v>
      </x:c>
      <x:c r="K988" s="50" t="n">
        <x:v>4</x:v>
      </x:c>
      <x:c r="L988" s="50" t="n">
        <x:v>5.11</x:v>
      </x:c>
      <x:c r="M988" s="50" t="n">
        <x:v>1.58</x:v>
      </x:c>
      <x:c r="N988" t="str">
        <x:v>RELATÓRIO LEITURAS INCLINOMÉTRICAS - Empreitada THE EDEN, Estoril_ R10_09-12-25.pdf</x:v>
      </x:c>
      <x:c r="O988" t="n">
        <x:v>20</x:v>
      </x:c>
    </x:row>
    <x:row r="989">
      <x:c r="A989" s="48" t="n">
        <x:v>45985</x:v>
      </x:c>
      <x:c r="B989" t="n">
        <x:v>8</x:v>
      </x:c>
      <x:c r="C989" t="str">
        <x:v>I1</x:v>
      </x:c>
      <x:c r="D989" t="n">
        <x:v>8</x:v>
      </x:c>
      <x:c r="E989" s="50" t="n">
        <x:v>9.5</x:v>
      </x:c>
      <x:c r="F989" s="50" t="n">
        <x:v>-115.51</x:v>
      </x:c>
      <x:c r="G989" s="50" t="n">
        <x:v>120.03</x:v>
      </x:c>
      <x:c r="H989" s="50" t="n">
        <x:v>9.28</x:v>
      </x:c>
      <x:c r="I989" s="50" t="n">
        <x:v>-10.16</x:v>
      </x:c>
      <x:c r="J989" s="50" t="n">
        <x:v>3.07</x:v>
      </x:c>
      <x:c r="K989" s="50" t="n">
        <x:v>3.83</x:v>
      </x:c>
      <x:c r="L989" s="50" t="n">
        <x:v>4.91</x:v>
      </x:c>
      <x:c r="M989" s="50" t="n">
        <x:v>1.62</x:v>
      </x:c>
      <x:c r="N989" t="str">
        <x:v>RELATÓRIO LEITURAS INCLINOMÉTRICAS - Empreitada THE EDEN, Estoril_ R10_09-12-25.pdf</x:v>
      </x:c>
      <x:c r="O989" t="n">
        <x:v>20</x:v>
      </x:c>
    </x:row>
    <x:row r="990">
      <x:c r="A990" s="48" t="n">
        <x:v>45985</x:v>
      </x:c>
      <x:c r="B990" t="n">
        <x:v>8</x:v>
      </x:c>
      <x:c r="C990" t="str">
        <x:v>I1</x:v>
      </x:c>
      <x:c r="D990" t="n">
        <x:v>8</x:v>
      </x:c>
      <x:c r="E990" s="50" t="n">
        <x:v>10</x:v>
      </x:c>
      <x:c r="F990" s="50" t="n">
        <x:v>-208.95</x:v>
      </x:c>
      <x:c r="G990" s="50" t="n">
        <x:v>218.12</x:v>
      </x:c>
      <x:c r="H990" s="50" t="n">
        <x:v>-68.04</x:v>
      </x:c>
      <x:c r="I990" s="50" t="n">
        <x:v>66.48</x:v>
      </x:c>
      <x:c r="J990" s="50" t="n">
        <x:v>2.77</x:v>
      </x:c>
      <x:c r="K990" s="50" t="n">
        <x:v>3.5</x:v>
      </x:c>
      <x:c r="L990" s="50" t="n">
        <x:v>4.47</x:v>
      </x:c>
      <x:c r="M990" s="50" t="n">
        <x:v>1.32</x:v>
      </x:c>
      <x:c r="N990" t="str">
        <x:v>RELATÓRIO LEITURAS INCLINOMÉTRICAS - Empreitada THE EDEN, Estoril_ R10_09-12-25.pdf</x:v>
      </x:c>
      <x:c r="O990" t="n">
        <x:v>20</x:v>
      </x:c>
    </x:row>
    <x:row r="991">
      <x:c r="A991" s="48" t="n">
        <x:v>45985</x:v>
      </x:c>
      <x:c r="B991" t="n">
        <x:v>8</x:v>
      </x:c>
      <x:c r="C991" t="str">
        <x:v>I1</x:v>
      </x:c>
      <x:c r="D991" t="n">
        <x:v>8</x:v>
      </x:c>
      <x:c r="E991" s="50" t="n">
        <x:v>10.5</x:v>
      </x:c>
      <x:c r="F991" s="50" t="n">
        <x:v>-197.43</x:v>
      </x:c>
      <x:c r="G991" s="50" t="n">
        <x:v>205.94</x:v>
      </x:c>
      <x:c r="H991" s="50" t="n">
        <x:v>-42.62</x:v>
      </x:c>
      <x:c r="I991" s="50" t="n">
        <x:v>47.74</x:v>
      </x:c>
      <x:c r="J991" s="50" t="n">
        <x:v>2.33</x:v>
      </x:c>
      <x:c r="K991" s="50" t="n">
        <x:v>2.98</x:v>
      </x:c>
      <x:c r="L991" s="50" t="n">
        <x:v>3.78</x:v>
      </x:c>
      <x:c r="M991" s="50" t="n">
        <x:v>1.1</x:v>
      </x:c>
      <x:c r="N991" t="str">
        <x:v>RELATÓRIO LEITURAS INCLINOMÉTRICAS - Empreitada THE EDEN, Estoril_ R10_09-12-25.pdf</x:v>
      </x:c>
      <x:c r="O991" t="n">
        <x:v>20</x:v>
      </x:c>
    </x:row>
    <x:row r="992">
      <x:c r="A992" s="48" t="n">
        <x:v>45985</x:v>
      </x:c>
      <x:c r="B992" t="n">
        <x:v>8</x:v>
      </x:c>
      <x:c r="C992" t="str">
        <x:v>I1</x:v>
      </x:c>
      <x:c r="D992" t="n">
        <x:v>8</x:v>
      </x:c>
      <x:c r="E992" s="50" t="n">
        <x:v>11</x:v>
      </x:c>
      <x:c r="F992" s="50" t="n">
        <x:v>-175.22</x:v>
      </x:c>
      <x:c r="G992" s="50" t="n">
        <x:v>178.25</x:v>
      </x:c>
      <x:c r="H992" s="50" t="n">
        <x:v>8.03</x:v>
      </x:c>
      <x:c r="I992" s="50" t="n">
        <x:v>2.87</x:v>
      </x:c>
      <x:c r="J992" s="50" t="n">
        <x:v>2.14</x:v>
      </x:c>
      <x:c r="K992" s="50" t="n">
        <x:v>2.83</x:v>
      </x:c>
      <x:c r="L992" s="50" t="n">
        <x:v>3.55</x:v>
      </x:c>
      <x:c r="M992" s="50" t="n">
        <x:v>0.94</x:v>
      </x:c>
      <x:c r="N992" t="str">
        <x:v>RELATÓRIO LEITURAS INCLINOMÉTRICAS - Empreitada THE EDEN, Estoril_ R10_09-12-25.pdf</x:v>
      </x:c>
      <x:c r="O992" t="n">
        <x:v>20</x:v>
      </x:c>
    </x:row>
    <x:row r="993">
      <x:c r="A993" s="48" t="n">
        <x:v>45985</x:v>
      </x:c>
      <x:c r="B993" t="n">
        <x:v>8</x:v>
      </x:c>
      <x:c r="C993" t="str">
        <x:v>I1</x:v>
      </x:c>
      <x:c r="D993" t="n">
        <x:v>8</x:v>
      </x:c>
      <x:c r="E993" s="50" t="n">
        <x:v>11.5</x:v>
      </x:c>
      <x:c r="F993" s="50" t="n">
        <x:v>-79.72</x:v>
      </x:c>
      <x:c r="G993" s="50" t="n">
        <x:v>84.41</x:v>
      </x:c>
      <x:c r="H993" s="50" t="n">
        <x:v>-3.74</x:v>
      </x:c>
      <x:c r="I993" s="50" t="n">
        <x:v>-9.5</x:v>
      </x:c>
      <x:c r="J993" s="50" t="n">
        <x:v>1.96</x:v>
      </x:c>
      <x:c r="K993" s="50" t="n">
        <x:v>2.77</x:v>
      </x:c>
      <x:c r="L993" s="50" t="n">
        <x:v>3.4</x:v>
      </x:c>
      <x:c r="M993" s="50" t="n">
        <x:v>0.77</x:v>
      </x:c>
      <x:c r="N993" t="str">
        <x:v>RELATÓRIO LEITURAS INCLINOMÉTRICAS - Empreitada THE EDEN, Estoril_ R10_09-12-25.pdf</x:v>
      </x:c>
      <x:c r="O993" t="n">
        <x:v>20</x:v>
      </x:c>
    </x:row>
    <x:row r="994">
      <x:c r="A994" s="48" t="n">
        <x:v>45985</x:v>
      </x:c>
      <x:c r="B994" t="n">
        <x:v>8</x:v>
      </x:c>
      <x:c r="C994" t="str">
        <x:v>I1</x:v>
      </x:c>
      <x:c r="D994" t="n">
        <x:v>8</x:v>
      </x:c>
      <x:c r="E994" s="50" t="n">
        <x:v>12</x:v>
      </x:c>
      <x:c r="F994" s="50" t="n">
        <x:v>-146.02</x:v>
      </x:c>
      <x:c r="G994" s="50" t="n">
        <x:v>156.07</x:v>
      </x:c>
      <x:c r="H994" s="50" t="n">
        <x:v>-12.22</x:v>
      </x:c>
      <x:c r="I994" s="50" t="n">
        <x:v>19.32</x:v>
      </x:c>
      <x:c r="J994" s="50" t="n">
        <x:v>1.81</x:v>
      </x:c>
      <x:c r="K994" s="50" t="n">
        <x:v>2.57</x:v>
      </x:c>
      <x:c r="L994" s="50" t="n">
        <x:v>3.14</x:v>
      </x:c>
      <x:c r="M994" s="50" t="n">
        <x:v>0.46</x:v>
      </x:c>
      <x:c r="N994" t="str">
        <x:v>RELATÓRIO LEITURAS INCLINOMÉTRICAS - Empreitada THE EDEN, Estoril_ R10_09-12-25.pdf</x:v>
      </x:c>
      <x:c r="O994" t="n">
        <x:v>20</x:v>
      </x:c>
    </x:row>
    <x:row r="995">
      <x:c r="A995" s="48" t="n">
        <x:v>45985</x:v>
      </x:c>
      <x:c r="B995" t="n">
        <x:v>8</x:v>
      </x:c>
      <x:c r="C995" t="str">
        <x:v>I1</x:v>
      </x:c>
      <x:c r="D995" t="n">
        <x:v>8</x:v>
      </x:c>
      <x:c r="E995" s="50" t="n">
        <x:v>12.5</x:v>
      </x:c>
      <x:c r="F995" s="50" t="n">
        <x:v>-135.46</x:v>
      </x:c>
      <x:c r="G995" s="50" t="n">
        <x:v>138.32</x:v>
      </x:c>
      <x:c r="H995" s="50" t="n">
        <x:v>50.44</x:v>
      </x:c>
      <x:c r="I995" s="50" t="n">
        <x:v>-53.46</x:v>
      </x:c>
      <x:c r="J995" s="50" t="n">
        <x:v>1.75</x:v>
      </x:c>
      <x:c r="K995" s="50" t="n">
        <x:v>2.39</x:v>
      </x:c>
      <x:c r="L995" s="50" t="n">
        <x:v>2.96</x:v>
      </x:c>
      <x:c r="M995" s="50" t="n">
        <x:v>0.42</x:v>
      </x:c>
      <x:c r="N995" t="str">
        <x:v>RELATÓRIO LEITURAS INCLINOMÉTRICAS - Empreitada THE EDEN, Estoril_ R10_09-12-25.pdf</x:v>
      </x:c>
      <x:c r="O995" t="n">
        <x:v>20</x:v>
      </x:c>
    </x:row>
    <x:row r="996">
      <x:c r="A996" s="48" t="n">
        <x:v>45985</x:v>
      </x:c>
      <x:c r="B996" t="n">
        <x:v>8</x:v>
      </x:c>
      <x:c r="C996" t="str">
        <x:v>I1</x:v>
      </x:c>
      <x:c r="D996" t="n">
        <x:v>8</x:v>
      </x:c>
      <x:c r="E996" s="50" t="n">
        <x:v>13</x:v>
      </x:c>
      <x:c r="F996" s="50" t="n">
        <x:v>-66.26</x:v>
      </x:c>
      <x:c r="G996" s="50" t="n">
        <x:v>72.79</x:v>
      </x:c>
      <x:c r="H996" s="50" t="n">
        <x:v>48.1</x:v>
      </x:c>
      <x:c r="I996" s="50" t="n">
        <x:v>-39.87</x:v>
      </x:c>
      <x:c r="J996" s="50" t="n">
        <x:v>1.69</x:v>
      </x:c>
      <x:c r="K996" s="50" t="n">
        <x:v>2.46</x:v>
      </x:c>
      <x:c r="L996" s="50" t="n">
        <x:v>2.98</x:v>
      </x:c>
      <x:c r="M996" s="50" t="n">
        <x:v>0.48</x:v>
      </x:c>
      <x:c r="N996" t="str">
        <x:v>RELATÓRIO LEITURAS INCLINOMÉTRICAS - Empreitada THE EDEN, Estoril_ R10_09-12-25.pdf</x:v>
      </x:c>
      <x:c r="O996" t="n">
        <x:v>20</x:v>
      </x:c>
    </x:row>
    <x:row r="997">
      <x:c r="A997" s="48" t="n">
        <x:v>45985</x:v>
      </x:c>
      <x:c r="B997" t="n">
        <x:v>8</x:v>
      </x:c>
      <x:c r="C997" t="str">
        <x:v>I1</x:v>
      </x:c>
      <x:c r="D997" t="n">
        <x:v>8</x:v>
      </x:c>
      <x:c r="E997" s="50" t="n">
        <x:v>13.5</x:v>
      </x:c>
      <x:c r="F997" s="50" t="n">
        <x:v>-54.07</x:v>
      </x:c>
      <x:c r="G997" s="50" t="n">
        <x:v>59.66</x:v>
      </x:c>
      <x:c r="H997" s="50" t="n">
        <x:v>64.3</x:v>
      </x:c>
      <x:c r="I997" s="50" t="n">
        <x:v>-56.33</x:v>
      </x:c>
      <x:c r="J997" s="50" t="n">
        <x:v>1.41</x:v>
      </x:c>
      <x:c r="K997" s="50" t="n">
        <x:v>2.44</x:v>
      </x:c>
      <x:c r="L997" s="50" t="n">
        <x:v>2.82</x:v>
      </x:c>
      <x:c r="M997" s="50" t="n">
        <x:v>0.47</x:v>
      </x:c>
      <x:c r="N997" t="str">
        <x:v>RELATÓRIO LEITURAS INCLINOMÉTRICAS - Empreitada THE EDEN, Estoril_ R10_09-12-25.pdf</x:v>
      </x:c>
      <x:c r="O997" t="n">
        <x:v>20</x:v>
      </x:c>
    </x:row>
    <x:row r="998">
      <x:c r="A998" s="48" t="n">
        <x:v>45985</x:v>
      </x:c>
      <x:c r="B998" t="n">
        <x:v>8</x:v>
      </x:c>
      <x:c r="C998" t="str">
        <x:v>I1</x:v>
      </x:c>
      <x:c r="D998" t="n">
        <x:v>8</x:v>
      </x:c>
      <x:c r="E998" s="50" t="n">
        <x:v>14</x:v>
      </x:c>
      <x:c r="F998" s="50" t="n">
        <x:v>-53.84</x:v>
      </x:c>
      <x:c r="G998" s="50" t="n">
        <x:v>58.54</x:v>
      </x:c>
      <x:c r="H998" s="50" t="n">
        <x:v>78.91</x:v>
      </x:c>
      <x:c r="I998" s="50" t="n">
        <x:v>-70.77</x:v>
      </x:c>
      <x:c r="J998" s="50" t="n">
        <x:v>1.03</x:v>
      </x:c>
      <x:c r="K998" s="50" t="n">
        <x:v>2.4</x:v>
      </x:c>
      <x:c r="L998" s="50" t="n">
        <x:v>2.61</x:v>
      </x:c>
      <x:c r="M998" s="50" t="n">
        <x:v>0.49</x:v>
      </x:c>
      <x:c r="N998" t="str">
        <x:v>RELATÓRIO LEITURAS INCLINOMÉTRICAS - Empreitada THE EDEN, Estoril_ R10_09-12-25.pdf</x:v>
      </x:c>
      <x:c r="O998" t="n">
        <x:v>20</x:v>
      </x:c>
    </x:row>
    <x:row r="999">
      <x:c r="A999" s="48" t="n">
        <x:v>45985</x:v>
      </x:c>
      <x:c r="B999" t="n">
        <x:v>8</x:v>
      </x:c>
      <x:c r="C999" t="str">
        <x:v>I1</x:v>
      </x:c>
      <x:c r="D999" t="n">
        <x:v>8</x:v>
      </x:c>
      <x:c r="E999" s="50" t="n">
        <x:v>14.5</x:v>
      </x:c>
      <x:c r="F999" s="50" t="n">
        <x:v>-43.79</x:v>
      </x:c>
      <x:c r="G999" s="50" t="n">
        <x:v>49</x:v>
      </x:c>
      <x:c r="H999" s="50" t="n">
        <x:v>102.67</x:v>
      </x:c>
      <x:c r="I999" s="50" t="n">
        <x:v>-96.54</x:v>
      </x:c>
      <x:c r="J999" s="50" t="n">
        <x:v>0.61</x:v>
      </x:c>
      <x:c r="K999" s="50" t="n">
        <x:v>2.12</x:v>
      </x:c>
      <x:c r="L999" s="50" t="n">
        <x:v>2.2</x:v>
      </x:c>
      <x:c r="M999" s="50" t="n">
        <x:v>0.4</x:v>
      </x:c>
      <x:c r="N999" t="str">
        <x:v>RELATÓRIO LEITURAS INCLINOMÉTRICAS - Empreitada THE EDEN, Estoril_ R10_09-12-25.pdf</x:v>
      </x:c>
      <x:c r="O999" t="n">
        <x:v>20</x:v>
      </x:c>
    </x:row>
    <x:row r="1000">
      <x:c r="A1000" s="48" t="n">
        <x:v>45985</x:v>
      </x:c>
      <x:c r="B1000" t="n">
        <x:v>8</x:v>
      </x:c>
      <x:c r="C1000" t="str">
        <x:v>I1</x:v>
      </x:c>
      <x:c r="D1000" t="n">
        <x:v>8</x:v>
      </x:c>
      <x:c r="E1000" s="50" t="n">
        <x:v>15</x:v>
      </x:c>
      <x:c r="F1000" s="50" t="n">
        <x:v>-11</x:v>
      </x:c>
      <x:c r="G1000" s="50" t="n">
        <x:v>17.2</x:v>
      </x:c>
      <x:c r="H1000" s="50" t="n">
        <x:v>114.12</x:v>
      </x:c>
      <x:c r="I1000" s="50" t="n">
        <x:v>-104.88</x:v>
      </x:c>
      <x:c r="J1000" s="50" t="n">
        <x:v>0.23</x:v>
      </x:c>
      <x:c r="K1000" s="50" t="n">
        <x:v>1.94</x:v>
      </x:c>
      <x:c r="L1000" s="50" t="n">
        <x:v>1.96</x:v>
      </x:c>
      <x:c r="M1000" s="50" t="n">
        <x:v>0.28</x:v>
      </x:c>
      <x:c r="N1000" t="str">
        <x:v>RELATÓRIO LEITURAS INCLINOMÉTRICAS - Empreitada THE EDEN, Estoril_ R10_09-12-25.pdf</x:v>
      </x:c>
      <x:c r="O1000" t="n">
        <x:v>20</x:v>
      </x:c>
    </x:row>
    <x:row r="1001">
      <x:c r="A1001" s="48" t="n">
        <x:v>45985</x:v>
      </x:c>
      <x:c r="B1001" t="n">
        <x:v>8</x:v>
      </x:c>
      <x:c r="C1001" t="str">
        <x:v>I1</x:v>
      </x:c>
      <x:c r="D1001" t="n">
        <x:v>8</x:v>
      </x:c>
      <x:c r="E1001" s="50" t="n">
        <x:v>15.5</x:v>
      </x:c>
      <x:c r="F1001" s="50" t="n">
        <x:v>-38.16</x:v>
      </x:c>
      <x:c r="G1001" s="50" t="n">
        <x:v>40.65</x:v>
      </x:c>
      <x:c r="H1001" s="50" t="n">
        <x:v>107.88</x:v>
      </x:c>
      <x:c r="I1001" s="50" t="n">
        <x:v>-97.69</x:v>
      </x:c>
      <x:c r="J1001" s="50" t="n">
        <x:v>-0.02</x:v>
      </x:c>
      <x:c r="K1001" s="50" t="n">
        <x:v>1.67</x:v>
      </x:c>
      <x:c r="L1001" s="50" t="n">
        <x:v>1.67</x:v>
      </x:c>
      <x:c r="M1001" s="50" t="n">
        <x:v>0.21</x:v>
      </x:c>
      <x:c r="N1001" t="str">
        <x:v>RELATÓRIO LEITURAS INCLINOMÉTRICAS - Empreitada THE EDEN, Estoril_ R10_09-12-25.pdf</x:v>
      </x:c>
      <x:c r="O1001" t="n">
        <x:v>20</x:v>
      </x:c>
    </x:row>
    <x:row r="1002">
      <x:c r="A1002" s="48" t="n">
        <x:v>45985</x:v>
      </x:c>
      <x:c r="B1002" t="n">
        <x:v>8</x:v>
      </x:c>
      <x:c r="C1002" t="str">
        <x:v>I1</x:v>
      </x:c>
      <x:c r="D1002" t="n">
        <x:v>8</x:v>
      </x:c>
      <x:c r="E1002" s="50" t="n">
        <x:v>16</x:v>
      </x:c>
      <x:c r="F1002" s="50" t="n">
        <x:v>-16.26</x:v>
      </x:c>
      <x:c r="G1002" s="50" t="n">
        <x:v>20.72</x:v>
      </x:c>
      <x:c r="H1002" s="50" t="n">
        <x:v>-34.02</x:v>
      </x:c>
      <x:c r="I1002" s="50" t="n">
        <x:v>34.06</x:v>
      </x:c>
      <x:c r="J1002" s="50" t="n">
        <x:v>-0.68</x:v>
      </x:c>
      <x:c r="K1002" s="50" t="n">
        <x:v>0.83</x:v>
      </x:c>
      <x:c r="L1002" s="50" t="n">
        <x:v>1.08</x:v>
      </x:c>
      <x:c r="M1002" s="50" t="n">
        <x:v>-0.11</x:v>
      </x:c>
      <x:c r="N1002" t="str">
        <x:v>RELATÓRIO LEITURAS INCLINOMÉTRICAS - Empreitada THE EDEN, Estoril_ R10_09-12-25.pdf</x:v>
      </x:c>
      <x:c r="O1002" t="n">
        <x:v>20</x:v>
      </x:c>
    </x:row>
    <x:row r="1003">
      <x:c r="A1003" s="48" t="n">
        <x:v>45985</x:v>
      </x:c>
      <x:c r="B1003" t="n">
        <x:v>8</x:v>
      </x:c>
      <x:c r="C1003" t="str">
        <x:v>I1</x:v>
      </x:c>
      <x:c r="D1003" t="n">
        <x:v>8</x:v>
      </x:c>
      <x:c r="E1003" s="50" t="n">
        <x:v>16.5</x:v>
      </x:c>
      <x:c r="F1003" s="50" t="n">
        <x:v>4.65</x:v>
      </x:c>
      <x:c r="G1003" s="50" t="n">
        <x:v>0.17</x:v>
      </x:c>
      <x:c r="H1003" s="50" t="n">
        <x:v>-11.95</x:v>
      </x:c>
      <x:c r="I1003" s="50" t="n">
        <x:v>19.36</x:v>
      </x:c>
      <x:c r="J1003" s="50" t="n">
        <x:v>-0.67</x:v>
      </x:c>
      <x:c r="K1003" s="50" t="n">
        <x:v>0.78</x:v>
      </x:c>
      <x:c r="L1003" s="50" t="n">
        <x:v>1.03</x:v>
      </x:c>
      <x:c r="M1003" s="50" t="n">
        <x:v>-0.1</x:v>
      </x:c>
      <x:c r="N1003" t="str">
        <x:v>RELATÓRIO LEITURAS INCLINOMÉTRICAS - Empreitada THE EDEN, Estoril_ R10_09-12-25.pdf</x:v>
      </x:c>
      <x:c r="O1003" t="n">
        <x:v>20</x:v>
      </x:c>
    </x:row>
    <x:row r="1004">
      <x:c r="A1004" s="48" t="n">
        <x:v>45985</x:v>
      </x:c>
      <x:c r="B1004" t="n">
        <x:v>8</x:v>
      </x:c>
      <x:c r="C1004" t="str">
        <x:v>I1</x:v>
      </x:c>
      <x:c r="D1004" t="n">
        <x:v>8</x:v>
      </x:c>
      <x:c r="E1004" s="50" t="n">
        <x:v>17</x:v>
      </x:c>
      <x:c r="F1004" s="50" t="n">
        <x:v>15.44</x:v>
      </x:c>
      <x:c r="G1004" s="50" t="n">
        <x:v>-12.09</x:v>
      </x:c>
      <x:c r="H1004" s="50" t="n">
        <x:v>4.7</x:v>
      </x:c>
      <x:c r="I1004" s="50" t="n">
        <x:v>4.4</x:v>
      </x:c>
      <x:c r="J1004" s="50" t="n">
        <x:v>-0.65</x:v>
      </x:c>
      <x:c r="K1004" s="50" t="n">
        <x:v>0.8</x:v>
      </x:c>
      <x:c r="L1004" s="50" t="n">
        <x:v>1.03</x:v>
      </x:c>
      <x:c r="M1004" s="50" t="n">
        <x:v>-0.1</x:v>
      </x:c>
      <x:c r="N1004" t="str">
        <x:v>RELATÓRIO LEITURAS INCLINOMÉTRICAS - Empreitada THE EDEN, Estoril_ R10_09-12-25.pdf</x:v>
      </x:c>
      <x:c r="O1004" t="n">
        <x:v>20</x:v>
      </x:c>
    </x:row>
    <x:row r="1005">
      <x:c r="A1005" s="48" t="n">
        <x:v>45985</x:v>
      </x:c>
      <x:c r="B1005" t="n">
        <x:v>8</x:v>
      </x:c>
      <x:c r="C1005" t="str">
        <x:v>I1</x:v>
      </x:c>
      <x:c r="D1005" t="n">
        <x:v>8</x:v>
      </x:c>
      <x:c r="E1005" s="50" t="n">
        <x:v>17.5</x:v>
      </x:c>
      <x:c r="F1005" s="50" t="n">
        <x:v>-12.05</x:v>
      </x:c>
      <x:c r="G1005" s="50" t="n">
        <x:v>15.69</x:v>
      </x:c>
      <x:c r="H1005" s="50" t="n">
        <x:v>37.1</x:v>
      </x:c>
      <x:c r="I1005" s="50" t="n">
        <x:v>-30.06</x:v>
      </x:c>
      <x:c r="J1005" s="50" t="n">
        <x:v>-0.69</x:v>
      </x:c>
      <x:c r="K1005" s="50" t="n">
        <x:v>0.88</x:v>
      </x:c>
      <x:c r="L1005" s="50" t="n">
        <x:v>1.12</x:v>
      </x:c>
      <x:c r="M1005" s="50" t="n">
        <x:v>-0.1</x:v>
      </x:c>
      <x:c r="N1005" t="str">
        <x:v>RELATÓRIO LEITURAS INCLINOMÉTRICAS - Empreitada THE EDEN, Estoril_ R10_09-12-25.pdf</x:v>
      </x:c>
      <x:c r="O1005" t="n">
        <x:v>20</x:v>
      </x:c>
    </x:row>
    <x:row r="1006">
      <x:c r="A1006" s="48" t="n">
        <x:v>45985</x:v>
      </x:c>
      <x:c r="B1006" t="n">
        <x:v>8</x:v>
      </x:c>
      <x:c r="C1006" t="str">
        <x:v>I1</x:v>
      </x:c>
      <x:c r="D1006" t="n">
        <x:v>8</x:v>
      </x:c>
      <x:c r="E1006" s="50" t="n">
        <x:v>18</x:v>
      </x:c>
      <x:c r="F1006" s="50" t="n">
        <x:v>-31.83</x:v>
      </x:c>
      <x:c r="G1006" s="50" t="n">
        <x:v>34.87</x:v>
      </x:c>
      <x:c r="H1006" s="50" t="n">
        <x:v>51</x:v>
      </x:c>
      <x:c r="I1006" s="50" t="n">
        <x:v>-39.17</x:v>
      </x:c>
      <x:c r="J1006" s="50" t="n">
        <x:v>-0.69</x:v>
      </x:c>
      <x:c r="K1006" s="50" t="n">
        <x:v>0.91</x:v>
      </x:c>
      <x:c r="L1006" s="50" t="n">
        <x:v>1.14</x:v>
      </x:c>
      <x:c r="M1006" s="50" t="n">
        <x:v>-0.08</x:v>
      </x:c>
      <x:c r="N1006" t="str">
        <x:v>RELATÓRIO LEITURAS INCLINOMÉTRICAS - Empreitada THE EDEN, Estoril_ R10_09-12-25.pdf</x:v>
      </x:c>
      <x:c r="O1006" t="n">
        <x:v>20</x:v>
      </x:c>
    </x:row>
    <x:row r="1007">
      <x:c r="A1007" s="48" t="n">
        <x:v>45985</x:v>
      </x:c>
      <x:c r="B1007" t="n">
        <x:v>8</x:v>
      </x:c>
      <x:c r="C1007" t="str">
        <x:v>I1</x:v>
      </x:c>
      <x:c r="D1007" t="n">
        <x:v>8</x:v>
      </x:c>
      <x:c r="E1007" s="50" t="n">
        <x:v>18.5</x:v>
      </x:c>
      <x:c r="F1007" s="50" t="n">
        <x:v>-35.71</x:v>
      </x:c>
      <x:c r="G1007" s="50" t="n">
        <x:v>46.11</x:v>
      </x:c>
      <x:c r="H1007" s="50" t="n">
        <x:v>51.78</x:v>
      </x:c>
      <x:c r="I1007" s="50" t="n">
        <x:v>-53.69</x:v>
      </x:c>
      <x:c r="J1007" s="50" t="n">
        <x:v>-0.7</x:v>
      </x:c>
      <x:c r="K1007" s="50" t="n">
        <x:v>0.91</x:v>
      </x:c>
      <x:c r="L1007" s="50" t="n">
        <x:v>1.15</x:v>
      </x:c>
      <x:c r="M1007" s="50" t="n">
        <x:v>-0.13</x:v>
      </x:c>
      <x:c r="N1007" t="str">
        <x:v>RELATÓRIO LEITURAS INCLINOMÉTRICAS - Empreitada THE EDEN, Estoril_ R10_09-12-25.pdf</x:v>
      </x:c>
      <x:c r="O1007" t="n">
        <x:v>20</x:v>
      </x:c>
    </x:row>
    <x:row r="1008">
      <x:c r="A1008" s="48" t="n">
        <x:v>45985</x:v>
      </x:c>
      <x:c r="B1008" t="n">
        <x:v>8</x:v>
      </x:c>
      <x:c r="C1008" t="str">
        <x:v>I1</x:v>
      </x:c>
      <x:c r="D1008" t="n">
        <x:v>8</x:v>
      </x:c>
      <x:c r="E1008" s="50" t="n">
        <x:v>19</x:v>
      </x:c>
      <x:c r="F1008" s="50" t="n">
        <x:v>-139.07</x:v>
      </x:c>
      <x:c r="G1008" s="50" t="n">
        <x:v>135.8</x:v>
      </x:c>
      <x:c r="H1008" s="50" t="n">
        <x:v>-32.63</x:v>
      </x:c>
      <x:c r="I1008" s="50" t="n">
        <x:v>49.58</x:v>
      </x:c>
      <x:c r="J1008" s="50" t="n">
        <x:v>-0.7</x:v>
      </x:c>
      <x:c r="K1008" s="50" t="n">
        <x:v>0.6</x:v>
      </x:c>
      <x:c r="L1008" s="50" t="n">
        <x:v>0.92</x:v>
      </x:c>
      <x:c r="M1008" s="50" t="n">
        <x:v>-0.37</x:v>
      </x:c>
      <x:c r="N1008" t="str">
        <x:v>RELATÓRIO LEITURAS INCLINOMÉTRICAS - Empreitada THE EDEN, Estoril_ R10_09-12-25.pdf</x:v>
      </x:c>
      <x:c r="O1008" t="n">
        <x:v>20</x:v>
      </x:c>
    </x:row>
    <x:row r="1009">
      <x:c r="A1009" s="48" t="n">
        <x:v>45985</x:v>
      </x:c>
      <x:c r="B1009" t="n">
        <x:v>8</x:v>
      </x:c>
      <x:c r="C1009" t="str">
        <x:v>I1</x:v>
      </x:c>
      <x:c r="D1009" t="n">
        <x:v>8</x:v>
      </x:c>
      <x:c r="E1009" s="50" t="n">
        <x:v>19.5</x:v>
      </x:c>
      <x:c r="F1009" s="50" t="n">
        <x:v>-133.76</x:v>
      </x:c>
      <x:c r="G1009" s="50" t="n">
        <x:v>137.03</x:v>
      </x:c>
      <x:c r="H1009" s="50" t="n">
        <x:v>-44.73</x:v>
      </x:c>
      <x:c r="I1009" s="50" t="n">
        <x:v>48.45</x:v>
      </x:c>
      <x:c r="J1009" s="50" t="n">
        <x:v>-0.74</x:v>
      </x:c>
      <x:c r="K1009" s="50" t="n">
        <x:v>0.52</x:v>
      </x:c>
      <x:c r="L1009" s="50" t="n">
        <x:v>0.9</x:v>
      </x:c>
      <x:c r="M1009" s="50" t="n">
        <x:v>-0.44</x:v>
      </x:c>
      <x:c r="N1009" t="str">
        <x:v>RELATÓRIO LEITURAS INCLINOMÉTRICAS - Empreitada THE EDEN, Estoril_ R10_09-12-25.pdf</x:v>
      </x:c>
      <x:c r="O1009" t="n">
        <x:v>20</x:v>
      </x:c>
    </x:row>
    <x:row r="1010">
      <x:c r="A1010" s="48" t="n">
        <x:v>45985</x:v>
      </x:c>
      <x:c r="B1010" t="n">
        <x:v>8</x:v>
      </x:c>
      <x:c r="C1010" t="str">
        <x:v>I1</x:v>
      </x:c>
      <x:c r="D1010" t="n">
        <x:v>8</x:v>
      </x:c>
      <x:c r="E1010" s="50" t="n">
        <x:v>20</x:v>
      </x:c>
      <x:c r="F1010" s="50" t="n">
        <x:v>-143.36</x:v>
      </x:c>
      <x:c r="G1010" s="50" t="n">
        <x:v>146.38</x:v>
      </x:c>
      <x:c r="H1010" s="50" t="n">
        <x:v>-40.76</x:v>
      </x:c>
      <x:c r="I1010" s="50" t="n">
        <x:v>50.42</x:v>
      </x:c>
      <x:c r="J1010" s="50" t="n">
        <x:v>-0.8</x:v>
      </x:c>
      <x:c r="K1010" s="50" t="n">
        <x:v>0.29</x:v>
      </x:c>
      <x:c r="L1010" s="50" t="n">
        <x:v>0.85</x:v>
      </x:c>
      <x:c r="M1010" s="50" t="n">
        <x:v>-0.49</x:v>
      </x:c>
      <x:c r="N1010" t="str">
        <x:v>RELATÓRIO LEITURAS INCLINOMÉTRICAS - Empreitada THE EDEN, Estoril_ R10_09-12-25.pdf</x:v>
      </x:c>
      <x:c r="O1010" t="n">
        <x:v>20</x:v>
      </x:c>
    </x:row>
    <x:row r="1011">
      <x:c r="A1011" s="48" t="n">
        <x:v>45985</x:v>
      </x:c>
      <x:c r="B1011" t="n">
        <x:v>8</x:v>
      </x:c>
      <x:c r="C1011" t="str">
        <x:v>I1</x:v>
      </x:c>
      <x:c r="D1011" t="n">
        <x:v>8</x:v>
      </x:c>
      <x:c r="E1011" s="50" t="n">
        <x:v>20.5</x:v>
      </x:c>
      <x:c r="F1011" s="50" t="n">
        <x:v>-167.76</x:v>
      </x:c>
      <x:c r="G1011" s="50" t="n">
        <x:v>171.41</x:v>
      </x:c>
      <x:c r="H1011" s="50" t="n">
        <x:v>-29</x:v>
      </x:c>
      <x:c r="I1011" s="50" t="n">
        <x:v>28.69</x:v>
      </x:c>
      <x:c r="J1011" s="50" t="n">
        <x:v>-0.82</x:v>
      </x:c>
      <x:c r="K1011" s="50" t="n">
        <x:v>0.09</x:v>
      </x:c>
      <x:c r="L1011" s="50" t="n">
        <x:v>0.83</x:v>
      </x:c>
      <x:c r="M1011" s="50" t="n">
        <x:v>-0.49</x:v>
      </x:c>
      <x:c r="N1011" t="str">
        <x:v>RELATÓRIO LEITURAS INCLINOMÉTRICAS - Empreitada THE EDEN, Estoril_ R10_09-12-25.pdf</x:v>
      </x:c>
      <x:c r="O1011" t="n">
        <x:v>20</x:v>
      </x:c>
    </x:row>
    <x:row r="1012">
      <x:c r="A1012" s="48" t="n">
        <x:v>45985</x:v>
      </x:c>
      <x:c r="B1012" t="n">
        <x:v>8</x:v>
      </x:c>
      <x:c r="C1012" t="str">
        <x:v>I1</x:v>
      </x:c>
      <x:c r="D1012" t="n">
        <x:v>8</x:v>
      </x:c>
      <x:c r="E1012" s="50" t="n">
        <x:v>21</x:v>
      </x:c>
      <x:c r="F1012" s="50" t="n">
        <x:v>-156.19</x:v>
      </x:c>
      <x:c r="G1012" s="50" t="n">
        <x:v>158.4</x:v>
      </x:c>
      <x:c r="H1012" s="50" t="n">
        <x:v>-19.62</x:v>
      </x:c>
      <x:c r="I1012" s="50" t="n">
        <x:v>19.42</x:v>
      </x:c>
      <x:c r="J1012" s="50" t="n">
        <x:v>-0.83</x:v>
      </x:c>
      <x:c r="K1012" s="50" t="n">
        <x:v>-0.14</x:v>
      </x:c>
      <x:c r="L1012" s="50" t="n">
        <x:v>0.85</x:v>
      </x:c>
      <x:c r="M1012" s="50" t="n">
        <x:v>-0.36</x:v>
      </x:c>
      <x:c r="N1012" t="str">
        <x:v>RELATÓRIO LEITURAS INCLINOMÉTRICAS - Empreitada THE EDEN, Estoril_ R10_09-12-25.pdf</x:v>
      </x:c>
      <x:c r="O1012" t="n">
        <x:v>20</x:v>
      </x:c>
    </x:row>
    <x:row r="1013">
      <x:c r="A1013" s="48" t="n">
        <x:v>45985</x:v>
      </x:c>
      <x:c r="B1013" t="n">
        <x:v>8</x:v>
      </x:c>
      <x:c r="C1013" t="str">
        <x:v>I1</x:v>
      </x:c>
      <x:c r="D1013" t="n">
        <x:v>8</x:v>
      </x:c>
      <x:c r="E1013" s="50" t="n">
        <x:v>21.5</x:v>
      </x:c>
      <x:c r="F1013" s="50" t="n">
        <x:v>-75.45</x:v>
      </x:c>
      <x:c r="G1013" s="50" t="n">
        <x:v>80.84</x:v>
      </x:c>
      <x:c r="H1013" s="50" t="n">
        <x:v>-27.03</x:v>
      </x:c>
      <x:c r="I1013" s="50" t="n">
        <x:v>23.61</x:v>
      </x:c>
      <x:c r="J1013" s="50" t="n">
        <x:v>-0.84</x:v>
      </x:c>
      <x:c r="K1013" s="50" t="n">
        <x:v>-0.17</x:v>
      </x:c>
      <x:c r="L1013" s="50" t="n">
        <x:v>0.86</x:v>
      </x:c>
      <x:c r="M1013" s="50" t="n">
        <x:v>-0.36</x:v>
      </x:c>
      <x:c r="N1013" t="str">
        <x:v>RELATÓRIO LEITURAS INCLINOMÉTRICAS - Empreitada THE EDEN, Estoril_ R10_09-12-25.pdf</x:v>
      </x:c>
      <x:c r="O1013" t="n">
        <x:v>20</x:v>
      </x:c>
    </x:row>
    <x:row r="1014">
      <x:c r="A1014" s="48" t="n">
        <x:v>45985</x:v>
      </x:c>
      <x:c r="B1014" t="n">
        <x:v>8</x:v>
      </x:c>
      <x:c r="C1014" t="str">
        <x:v>I1</x:v>
      </x:c>
      <x:c r="D1014" t="n">
        <x:v>8</x:v>
      </x:c>
      <x:c r="E1014" s="50" t="n">
        <x:v>22</x:v>
      </x:c>
      <x:c r="F1014" s="50" t="n">
        <x:v>6.84</x:v>
      </x:c>
      <x:c r="G1014" s="50" t="n">
        <x:v>-7.68</x:v>
      </x:c>
      <x:c r="H1014" s="50" t="n">
        <x:v>-86.57</x:v>
      </x:c>
      <x:c r="I1014" s="50" t="n">
        <x:v>79.34</x:v>
      </x:c>
      <x:c r="J1014" s="50" t="n">
        <x:v>-0.85</x:v>
      </x:c>
      <x:c r="K1014" s="50" t="n">
        <x:v>-0.19</x:v>
      </x:c>
      <x:c r="L1014" s="50" t="n">
        <x:v>0.87</x:v>
      </x:c>
      <x:c r="M1014" s="50" t="n">
        <x:v>-0.3</x:v>
      </x:c>
      <x:c r="N1014" t="str">
        <x:v>RELATÓRIO LEITURAS INCLINOMÉTRICAS - Empreitada THE EDEN, Estoril_ R10_09-12-25.pdf</x:v>
      </x:c>
      <x:c r="O1014" t="n">
        <x:v>20</x:v>
      </x:c>
    </x:row>
    <x:row r="1015">
      <x:c r="A1015" s="48" t="n">
        <x:v>45985</x:v>
      </x:c>
      <x:c r="B1015" t="n">
        <x:v>8</x:v>
      </x:c>
      <x:c r="C1015" t="str">
        <x:v>I1</x:v>
      </x:c>
      <x:c r="D1015" t="n">
        <x:v>8</x:v>
      </x:c>
      <x:c r="E1015" s="50" t="n">
        <x:v>22.5</x:v>
      </x:c>
      <x:c r="F1015" s="50" t="n">
        <x:v>-23.43</x:v>
      </x:c>
      <x:c r="G1015" s="50" t="n">
        <x:v>27.56</x:v>
      </x:c>
      <x:c r="H1015" s="50" t="n">
        <x:v>-27.9</x:v>
      </x:c>
      <x:c r="I1015" s="50" t="n">
        <x:v>40.96</x:v>
      </x:c>
      <x:c r="J1015" s="50" t="n">
        <x:v>-0.85</x:v>
      </x:c>
      <x:c r="K1015" s="50" t="n">
        <x:v>0.3</x:v>
      </x:c>
      <x:c r="L1015" s="50" t="n">
        <x:v>0.9</x:v>
      </x:c>
      <x:c r="M1015" s="50" t="n">
        <x:v>-0.36</x:v>
      </x:c>
      <x:c r="N1015" t="str">
        <x:v>RELATÓRIO LEITURAS INCLINOMÉTRICAS - Empreitada THE EDEN, Estoril_ R10_09-12-25.pdf</x:v>
      </x:c>
      <x:c r="O1015" t="n">
        <x:v>20</x:v>
      </x:c>
    </x:row>
    <x:row r="1016">
      <x:c r="A1016" s="48" t="n">
        <x:v>45985</x:v>
      </x:c>
      <x:c r="B1016" t="n">
        <x:v>8</x:v>
      </x:c>
      <x:c r="C1016" t="str">
        <x:v>I1</x:v>
      </x:c>
      <x:c r="D1016" t="n">
        <x:v>8</x:v>
      </x:c>
      <x:c r="E1016" s="50" t="n">
        <x:v>23</x:v>
      </x:c>
      <x:c r="F1016" s="50" t="n">
        <x:v>-46.23</x:v>
      </x:c>
      <x:c r="G1016" s="50" t="n">
        <x:v>46.94</x:v>
      </x:c>
      <x:c r="H1016" s="50" t="n">
        <x:v>3.08</x:v>
      </x:c>
      <x:c r="I1016" s="50" t="n">
        <x:v>-4.92</x:v>
      </x:c>
      <x:c r="J1016" s="50" t="n">
        <x:v>-0.86</x:v>
      </x:c>
      <x:c r="K1016" s="50" t="n">
        <x:v>0.42</x:v>
      </x:c>
      <x:c r="L1016" s="50" t="n">
        <x:v>0.96</x:v>
      </x:c>
      <x:c r="M1016" s="50" t="n">
        <x:v>-0.25</x:v>
      </x:c>
      <x:c r="N1016" t="str">
        <x:v>RELATÓRIO LEITURAS INCLINOMÉTRICAS - Empreitada THE EDEN, Estoril_ R10_09-12-25.pdf</x:v>
      </x:c>
      <x:c r="O1016" t="n">
        <x:v>20</x:v>
      </x:c>
    </x:row>
    <x:row r="1017">
      <x:c r="A1017" s="48" t="n">
        <x:v>45985</x:v>
      </x:c>
      <x:c r="B1017" t="n">
        <x:v>8</x:v>
      </x:c>
      <x:c r="C1017" t="str">
        <x:v>I1</x:v>
      </x:c>
      <x:c r="D1017" t="n">
        <x:v>8</x:v>
      </x:c>
      <x:c r="E1017" s="50" t="n">
        <x:v>23.5</x:v>
      </x:c>
      <x:c r="F1017" s="50" t="n">
        <x:v>-63.53</x:v>
      </x:c>
      <x:c r="G1017" s="50" t="n">
        <x:v>67.42</x:v>
      </x:c>
      <x:c r="H1017" s="50" t="n">
        <x:v>23.46</x:v>
      </x:c>
      <x:c r="I1017" s="50" t="n">
        <x:v>-21.86</x:v>
      </x:c>
      <x:c r="J1017" s="50" t="n">
        <x:v>-0.81</x:v>
      </x:c>
      <x:c r="K1017" s="50" t="n">
        <x:v>0.52</x:v>
      </x:c>
      <x:c r="L1017" s="50" t="n">
        <x:v>0.97</x:v>
      </x:c>
      <x:c r="M1017" s="50" t="n">
        <x:v>-0.06</x:v>
      </x:c>
      <x:c r="N1017" t="str">
        <x:v>RELATÓRIO LEITURAS INCLINOMÉTRICAS - Empreitada THE EDEN, Estoril_ R10_09-12-25.pdf</x:v>
      </x:c>
      <x:c r="O1017" t="n">
        <x:v>20</x:v>
      </x:c>
    </x:row>
    <x:row r="1018">
      <x:c r="A1018" s="48" t="n">
        <x:v>45985</x:v>
      </x:c>
      <x:c r="B1018" t="n">
        <x:v>8</x:v>
      </x:c>
      <x:c r="C1018" t="str">
        <x:v>I1</x:v>
      </x:c>
      <x:c r="D1018" t="n">
        <x:v>8</x:v>
      </x:c>
      <x:c r="E1018" s="50" t="n">
        <x:v>24</x:v>
      </x:c>
      <x:c r="F1018" s="50" t="n">
        <x:v>-88.02</x:v>
      </x:c>
      <x:c r="G1018" s="50" t="n">
        <x:v>91.41</x:v>
      </x:c>
      <x:c r="H1018" s="50" t="n">
        <x:v>20.1</x:v>
      </x:c>
      <x:c r="I1018" s="50" t="n">
        <x:v>-19.51</x:v>
      </x:c>
      <x:c r="J1018" s="50" t="n">
        <x:v>-0.75</x:v>
      </x:c>
      <x:c r="K1018" s="50" t="n">
        <x:v>0.55</x:v>
      </x:c>
      <x:c r="L1018" s="50" t="n">
        <x:v>0.93</x:v>
      </x:c>
      <x:c r="M1018" s="50" t="n">
        <x:v>-0.05</x:v>
      </x:c>
      <x:c r="N1018" t="str">
        <x:v>RELATÓRIO LEITURAS INCLINOMÉTRICAS - Empreitada THE EDEN, Estoril_ R10_09-12-25.pdf</x:v>
      </x:c>
      <x:c r="O1018" t="n">
        <x:v>20</x:v>
      </x:c>
    </x:row>
    <x:row r="1019">
      <x:c r="A1019" s="48" t="n">
        <x:v>45985</x:v>
      </x:c>
      <x:c r="B1019" t="n">
        <x:v>8</x:v>
      </x:c>
      <x:c r="C1019" t="str">
        <x:v>I1</x:v>
      </x:c>
      <x:c r="D1019" t="n">
        <x:v>8</x:v>
      </x:c>
      <x:c r="E1019" s="50" t="n">
        <x:v>24.5</x:v>
      </x:c>
      <x:c r="F1019" s="50" t="n">
        <x:v>-120.12</x:v>
      </x:c>
      <x:c r="G1019" s="50" t="n">
        <x:v>116.38</x:v>
      </x:c>
      <x:c r="H1019" s="50" t="n">
        <x:v>38.7</x:v>
      </x:c>
      <x:c r="I1019" s="50" t="n">
        <x:v>-14.4</x:v>
      </x:c>
      <x:c r="J1019" s="50" t="n">
        <x:v>-0.72</x:v>
      </x:c>
      <x:c r="K1019" s="50" t="n">
        <x:v>0.47</x:v>
      </x:c>
      <x:c r="L1019" s="50" t="n">
        <x:v>0.86</x:v>
      </x:c>
      <x:c r="M1019" s="50" t="n">
        <x:v>0.03</x:v>
      </x:c>
      <x:c r="N1019" t="str">
        <x:v>RELATÓRIO LEITURAS INCLINOMÉTRICAS - Empreitada THE EDEN, Estoril_ R10_09-12-25.pdf</x:v>
      </x:c>
      <x:c r="O1019" t="n">
        <x:v>20</x:v>
      </x:c>
    </x:row>
    <x:row r="1020">
      <x:c r="A1020" s="48" t="n">
        <x:v>45985</x:v>
      </x:c>
      <x:c r="B1020" t="n">
        <x:v>8</x:v>
      </x:c>
      <x:c r="C1020" t="str">
        <x:v>I1</x:v>
      </x:c>
      <x:c r="D1020" t="n">
        <x:v>8</x:v>
      </x:c>
      <x:c r="E1020" s="50" t="n">
        <x:v>25</x:v>
      </x:c>
      <x:c r="F1020" s="50" t="n">
        <x:v>-108.38</x:v>
      </x:c>
      <x:c r="G1020" s="50" t="n">
        <x:v>116.33</x:v>
      </x:c>
      <x:c r="H1020" s="50" t="n">
        <x:v>-42.69</x:v>
      </x:c>
      <x:c r="I1020" s="50" t="n">
        <x:v>58.68</x:v>
      </x:c>
      <x:c r="J1020" s="50" t="n">
        <x:v>-0.67</x:v>
      </x:c>
      <x:c r="K1020" s="50" t="n">
        <x:v>0.84</x:v>
      </x:c>
      <x:c r="L1020" s="50" t="n">
        <x:v>1.08</x:v>
      </x:c>
      <x:c r="M1020" s="50" t="n">
        <x:v>0.12</x:v>
      </x:c>
      <x:c r="N1020" t="str">
        <x:v>RELATÓRIO LEITURAS INCLINOMÉTRICAS - Empreitada THE EDEN, Estoril_ R10_09-12-25.pdf</x:v>
      </x:c>
      <x:c r="O1020" t="n">
        <x:v>20</x:v>
      </x:c>
    </x:row>
    <x:row r="1021">
      <x:c r="A1021" s="48" t="n">
        <x:v>45985</x:v>
      </x:c>
      <x:c r="B1021" t="n">
        <x:v>8</x:v>
      </x:c>
      <x:c r="C1021" t="str">
        <x:v>I1</x:v>
      </x:c>
      <x:c r="D1021" t="n">
        <x:v>8</x:v>
      </x:c>
      <x:c r="E1021" s="50" t="n">
        <x:v>25.5</x:v>
      </x:c>
      <x:c r="F1021" s="50" t="n">
        <x:v>-95.55</x:v>
      </x:c>
      <x:c r="G1021" s="50" t="n">
        <x:v>98.89</x:v>
      </x:c>
      <x:c r="H1021" s="50" t="n">
        <x:v>-42.61</x:v>
      </x:c>
      <x:c r="I1021" s="50" t="n">
        <x:v>41.74</x:v>
      </x:c>
      <x:c r="J1021" s="50" t="n">
        <x:v>-0.71</x:v>
      </x:c>
      <x:c r="K1021" s="50" t="n">
        <x:v>0.52</x:v>
      </x:c>
      <x:c r="L1021" s="50" t="n">
        <x:v>0.88</x:v>
      </x:c>
      <x:c r="M1021" s="50" t="n">
        <x:v>0.18</x:v>
      </x:c>
      <x:c r="N1021" t="str">
        <x:v>RELATÓRIO LEITURAS INCLINOMÉTRICAS - Empreitada THE EDEN, Estoril_ R10_09-12-25.pdf</x:v>
      </x:c>
      <x:c r="O1021" t="n">
        <x:v>20</x:v>
      </x:c>
    </x:row>
    <x:row r="1022">
      <x:c r="A1022" s="48" t="n">
        <x:v>45985</x:v>
      </x:c>
      <x:c r="B1022" t="n">
        <x:v>8</x:v>
      </x:c>
      <x:c r="C1022" t="str">
        <x:v>I1</x:v>
      </x:c>
      <x:c r="D1022" t="n">
        <x:v>8</x:v>
      </x:c>
      <x:c r="E1022" s="50" t="n">
        <x:v>26</x:v>
      </x:c>
      <x:c r="F1022" s="50" t="n">
        <x:v>-58.11</x:v>
      </x:c>
      <x:c r="G1022" s="50" t="n">
        <x:v>63.05</x:v>
      </x:c>
      <x:c r="H1022" s="50" t="n">
        <x:v>-29.05</x:v>
      </x:c>
      <x:c r="I1022" s="50" t="n">
        <x:v>25.62</x:v>
      </x:c>
      <x:c r="J1022" s="50" t="n">
        <x:v>-0.8</x:v>
      </x:c>
      <x:c r="K1022" s="50" t="n">
        <x:v>0.33</x:v>
      </x:c>
      <x:c r="L1022" s="50" t="n">
        <x:v>0.86</x:v>
      </x:c>
      <x:c r="M1022" s="50" t="n">
        <x:v>0.14</x:v>
      </x:c>
      <x:c r="N1022" t="str">
        <x:v>RELATÓRIO LEITURAS INCLINOMÉTRICAS - Empreitada THE EDEN, Estoril_ R10_09-12-25.pdf</x:v>
      </x:c>
      <x:c r="O1022" t="n">
        <x:v>20</x:v>
      </x:c>
    </x:row>
    <x:row r="1023">
      <x:c r="A1023" s="48" t="n">
        <x:v>45985</x:v>
      </x:c>
      <x:c r="B1023" t="n">
        <x:v>8</x:v>
      </x:c>
      <x:c r="C1023" t="str">
        <x:v>I1</x:v>
      </x:c>
      <x:c r="D1023" t="n">
        <x:v>8</x:v>
      </x:c>
      <x:c r="E1023" s="50" t="n">
        <x:v>26.5</x:v>
      </x:c>
      <x:c r="F1023" s="50" t="n">
        <x:v>-18.43</x:v>
      </x:c>
      <x:c r="G1023" s="50" t="n">
        <x:v>21.67</x:v>
      </x:c>
      <x:c r="H1023" s="50" t="n">
        <x:v>5.73</x:v>
      </x:c>
      <x:c r="I1023" s="50" t="n">
        <x:v>-4.47</x:v>
      </x:c>
      <x:c r="J1023" s="50" t="n">
        <x:v>-0.76</x:v>
      </x:c>
      <x:c r="K1023" s="50" t="n">
        <x:v>0.33</x:v>
      </x:c>
      <x:c r="L1023" s="50" t="n">
        <x:v>0.83</x:v>
      </x:c>
      <x:c r="M1023" s="50" t="n">
        <x:v>0.16</x:v>
      </x:c>
      <x:c r="N1023" t="str">
        <x:v>RELATÓRIO LEITURAS INCLINOMÉTRICAS - Empreitada THE EDEN, Estoril_ R10_09-12-25.pdf</x:v>
      </x:c>
      <x:c r="O1023" t="n">
        <x:v>20</x:v>
      </x:c>
    </x:row>
    <x:row r="1024">
      <x:c r="A1024" s="48" t="n">
        <x:v>45985</x:v>
      </x:c>
      <x:c r="B1024" t="n">
        <x:v>8</x:v>
      </x:c>
      <x:c r="C1024" t="str">
        <x:v>I1</x:v>
      </x:c>
      <x:c r="D1024" t="n">
        <x:v>8</x:v>
      </x:c>
      <x:c r="E1024" s="50" t="n">
        <x:v>27</x:v>
      </x:c>
      <x:c r="F1024" s="50" t="n">
        <x:v>36.26</x:v>
      </x:c>
      <x:c r="G1024" s="50" t="n">
        <x:v>-33.56</x:v>
      </x:c>
      <x:c r="H1024" s="50" t="n">
        <x:v>51.98</x:v>
      </x:c>
      <x:c r="I1024" s="50" t="n">
        <x:v>-46.27</x:v>
      </x:c>
      <x:c r="J1024" s="50" t="n">
        <x:v>-0.48</x:v>
      </x:c>
      <x:c r="K1024" s="50" t="n">
        <x:v>0.22</x:v>
      </x:c>
      <x:c r="L1024" s="50" t="n">
        <x:v>0.53</x:v>
      </x:c>
      <x:c r="M1024" s="50" t="n">
        <x:v>0.12</x:v>
      </x:c>
      <x:c r="N1024" t="str">
        <x:v>RELATÓRIO LEITURAS INCLINOMÉTRICAS - Empreitada THE EDEN, Estoril_ R10_09-12-25.pdf</x:v>
      </x:c>
      <x:c r="O1024" t="n">
        <x:v>20</x:v>
      </x:c>
    </x:row>
    <x:row r="1025">
      <x:c r="A1025" s="48" t="n">
        <x:v>45985</x:v>
      </x:c>
      <x:c r="B1025" t="n">
        <x:v>8</x:v>
      </x:c>
      <x:c r="C1025" t="str">
        <x:v>I2</x:v>
      </x:c>
      <x:c r="D1025" t="n">
        <x:v>8</x:v>
      </x:c>
      <x:c r="E1025" s="50" t="n">
        <x:v>0.5</x:v>
      </x:c>
      <x:c r="F1025" s="50" t="n">
        <x:v>-387.89</x:v>
      </x:c>
      <x:c r="G1025" s="50" t="n">
        <x:v>402.56</x:v>
      </x:c>
      <x:c r="H1025" s="50" t="n">
        <x:v>-120.84</x:v>
      </x:c>
      <x:c r="I1025" s="50" t="n">
        <x:v>136.49</x:v>
      </x:c>
      <x:c r="J1025" s="50" t="n">
        <x:v>0.56</x:v>
      </x:c>
      <x:c r="K1025" s="50" t="n">
        <x:v>-5.9</x:v>
      </x:c>
      <x:c r="L1025" s="50" t="n">
        <x:v>5.93</x:v>
      </x:c>
      <x:c r="M1025" s="50" t="n">
        <x:v>-1.34</x:v>
      </x:c>
      <x:c r="N1025" t="str">
        <x:v>RELATÓRIO LEITURAS INCLINOMÉTRICAS - Empreitada THE EDEN, Estoril_ R10_09-12-25.pdf</x:v>
      </x:c>
      <x:c r="O1025" t="n">
        <x:v>40</x:v>
      </x:c>
    </x:row>
    <x:row r="1026">
      <x:c r="A1026" s="48" t="n">
        <x:v>45985</x:v>
      </x:c>
      <x:c r="B1026" t="n">
        <x:v>8</x:v>
      </x:c>
      <x:c r="C1026" t="str">
        <x:v>I2</x:v>
      </x:c>
      <x:c r="D1026" t="n">
        <x:v>8</x:v>
      </x:c>
      <x:c r="E1026" s="50" t="n">
        <x:v>1</x:v>
      </x:c>
      <x:c r="F1026" s="50" t="n">
        <x:v>-409.69</x:v>
      </x:c>
      <x:c r="G1026" s="50" t="n">
        <x:v>394.36</x:v>
      </x:c>
      <x:c r="H1026" s="50" t="n">
        <x:v>-125.54</x:v>
      </x:c>
      <x:c r="I1026" s="50" t="n">
        <x:v>134.41</x:v>
      </x:c>
      <x:c r="J1026" s="50" t="n">
        <x:v>1.1</x:v>
      </x:c>
      <x:c r="K1026" s="50" t="n">
        <x:v>-4.78</x:v>
      </x:c>
      <x:c r="L1026" s="50" t="n">
        <x:v>4.9</x:v>
      </x:c>
      <x:c r="M1026" s="50" t="n">
        <x:v>-1.19</x:v>
      </x:c>
      <x:c r="N1026" t="str">
        <x:v>RELATÓRIO LEITURAS INCLINOMÉTRICAS - Empreitada THE EDEN, Estoril_ R10_09-12-25.pdf</x:v>
      </x:c>
      <x:c r="O1026" t="n">
        <x:v>40</x:v>
      </x:c>
    </x:row>
    <x:row r="1027">
      <x:c r="A1027" s="48" t="n">
        <x:v>45985</x:v>
      </x:c>
      <x:c r="B1027" t="n">
        <x:v>8</x:v>
      </x:c>
      <x:c r="C1027" t="str">
        <x:v>I2</x:v>
      </x:c>
      <x:c r="D1027" t="n">
        <x:v>8</x:v>
      </x:c>
      <x:c r="E1027" s="50" t="n">
        <x:v>1.5</x:v>
      </x:c>
      <x:c r="F1027" s="50" t="n">
        <x:v>-375.84</x:v>
      </x:c>
      <x:c r="G1027" s="50" t="n">
        <x:v>379.3</x:v>
      </x:c>
      <x:c r="H1027" s="50" t="n">
        <x:v>-163.44</x:v>
      </x:c>
      <x:c r="I1027" s="50" t="n">
        <x:v>157.11</x:v>
      </x:c>
      <x:c r="J1027" s="50" t="n">
        <x:v>1.54</x:v>
      </x:c>
      <x:c r="K1027" s="50" t="n">
        <x:v>-3.72</x:v>
      </x:c>
      <x:c r="L1027" s="50" t="n">
        <x:v>4.02</x:v>
      </x:c>
      <x:c r="M1027" s="50" t="n">
        <x:v>-0.99</x:v>
      </x:c>
      <x:c r="N1027" t="str">
        <x:v>RELATÓRIO LEITURAS INCLINOMÉTRICAS - Empreitada THE EDEN, Estoril_ R10_09-12-25.pdf</x:v>
      </x:c>
      <x:c r="O1027" t="n">
        <x:v>40</x:v>
      </x:c>
    </x:row>
    <x:row r="1028">
      <x:c r="A1028" s="48" t="n">
        <x:v>45985</x:v>
      </x:c>
      <x:c r="B1028" t="n">
        <x:v>8</x:v>
      </x:c>
      <x:c r="C1028" t="str">
        <x:v>I2</x:v>
      </x:c>
      <x:c r="D1028" t="n">
        <x:v>8</x:v>
      </x:c>
      <x:c r="E1028" s="50" t="n">
        <x:v>2</x:v>
      </x:c>
      <x:c r="F1028" s="50" t="n">
        <x:v>-330.54</x:v>
      </x:c>
      <x:c r="G1028" s="50" t="n">
        <x:v>340.43</x:v>
      </x:c>
      <x:c r="H1028" s="50" t="n">
        <x:v>-208.37</x:v>
      </x:c>
      <x:c r="I1028" s="50" t="n">
        <x:v>210.57</x:v>
      </x:c>
      <x:c r="J1028" s="50" t="n">
        <x:v>1.7</x:v>
      </x:c>
      <x:c r="K1028" s="50" t="n">
        <x:v>-3.73</x:v>
      </x:c>
      <x:c r="L1028" s="50" t="n">
        <x:v>4.1</x:v>
      </x:c>
      <x:c r="M1028" s="50" t="n">
        <x:v>-0.56</x:v>
      </x:c>
      <x:c r="N1028" t="str">
        <x:v>RELATÓRIO LEITURAS INCLINOMÉTRICAS - Empreitada THE EDEN, Estoril_ R10_09-12-25.pdf</x:v>
      </x:c>
      <x:c r="O1028" t="n">
        <x:v>40</x:v>
      </x:c>
    </x:row>
    <x:row r="1029">
      <x:c r="A1029" s="48" t="n">
        <x:v>45985</x:v>
      </x:c>
      <x:c r="B1029" t="n">
        <x:v>8</x:v>
      </x:c>
      <x:c r="C1029" t="str">
        <x:v>I2</x:v>
      </x:c>
      <x:c r="D1029" t="n">
        <x:v>8</x:v>
      </x:c>
      <x:c r="E1029" s="50" t="n">
        <x:v>2.5</x:v>
      </x:c>
      <x:c r="F1029" s="50" t="n">
        <x:v>-303.79</x:v>
      </x:c>
      <x:c r="G1029" s="50" t="n">
        <x:v>313.47</x:v>
      </x:c>
      <x:c r="H1029" s="50" t="n">
        <x:v>-190.81</x:v>
      </x:c>
      <x:c r="I1029" s="50" t="n">
        <x:v>198.6</x:v>
      </x:c>
      <x:c r="J1029" s="50" t="n">
        <x:v>1.78</x:v>
      </x:c>
      <x:c r="K1029" s="50" t="n">
        <x:v>-3.63</x:v>
      </x:c>
      <x:c r="L1029" s="50" t="n">
        <x:v>4.04</x:v>
      </x:c>
      <x:c r="M1029" s="50" t="n">
        <x:v>-0.52</x:v>
      </x:c>
      <x:c r="N1029" t="str">
        <x:v>RELATÓRIO LEITURAS INCLINOMÉTRICAS - Empreitada THE EDEN, Estoril_ R10_09-12-25.pdf</x:v>
      </x:c>
      <x:c r="O1029" t="n">
        <x:v>40</x:v>
      </x:c>
    </x:row>
    <x:row r="1030">
      <x:c r="A1030" s="48" t="n">
        <x:v>45985</x:v>
      </x:c>
      <x:c r="B1030" t="n">
        <x:v>8</x:v>
      </x:c>
      <x:c r="C1030" t="str">
        <x:v>I2</x:v>
      </x:c>
      <x:c r="D1030" t="n">
        <x:v>8</x:v>
      </x:c>
      <x:c r="E1030" s="50" t="n">
        <x:v>3</x:v>
      </x:c>
      <x:c r="F1030" s="50" t="n">
        <x:v>-268.22</x:v>
      </x:c>
      <x:c r="G1030" s="50" t="n">
        <x:v>275.61</x:v>
      </x:c>
      <x:c r="H1030" s="50" t="n">
        <x:v>-134.6</x:v>
      </x:c>
      <x:c r="I1030" s="50" t="n">
        <x:v>130.23</x:v>
      </x:c>
      <x:c r="J1030" s="50" t="n">
        <x:v>1.84</x:v>
      </x:c>
      <x:c r="K1030" s="50" t="n">
        <x:v>-3.75</x:v>
      </x:c>
      <x:c r="L1030" s="50" t="n">
        <x:v>4.18</x:v>
      </x:c>
      <x:c r="M1030" s="50" t="n">
        <x:v>-0.49</x:v>
      </x:c>
      <x:c r="N1030" t="str">
        <x:v>RELATÓRIO LEITURAS INCLINOMÉTRICAS - Empreitada THE EDEN, Estoril_ R10_09-12-25.pdf</x:v>
      </x:c>
      <x:c r="O1030" t="n">
        <x:v>40</x:v>
      </x:c>
    </x:row>
    <x:row r="1031">
      <x:c r="A1031" s="48" t="n">
        <x:v>45985</x:v>
      </x:c>
      <x:c r="B1031" t="n">
        <x:v>8</x:v>
      </x:c>
      <x:c r="C1031" t="str">
        <x:v>I2</x:v>
      </x:c>
      <x:c r="D1031" t="n">
        <x:v>8</x:v>
      </x:c>
      <x:c r="E1031" s="50" t="n">
        <x:v>3.5</x:v>
      </x:c>
      <x:c r="F1031" s="50" t="n">
        <x:v>-205.27</x:v>
      </x:c>
      <x:c r="G1031" s="50" t="n">
        <x:v>213.63</x:v>
      </x:c>
      <x:c r="H1031" s="50" t="n">
        <x:v>-69.67</x:v>
      </x:c>
      <x:c r="I1031" s="50" t="n">
        <x:v>82.19</x:v>
      </x:c>
      <x:c r="J1031" s="50" t="n">
        <x:v>1.91</x:v>
      </x:c>
      <x:c r="K1031" s="50" t="n">
        <x:v>-3.61</x:v>
      </x:c>
      <x:c r="L1031" s="50" t="n">
        <x:v>4.09</x:v>
      </x:c>
      <x:c r="M1031" s="50" t="n">
        <x:v>-0.5</x:v>
      </x:c>
      <x:c r="N1031" t="str">
        <x:v>RELATÓRIO LEITURAS INCLINOMÉTRICAS - Empreitada THE EDEN, Estoril_ R10_09-12-25.pdf</x:v>
      </x:c>
      <x:c r="O1031" t="n">
        <x:v>40</x:v>
      </x:c>
    </x:row>
    <x:row r="1032">
      <x:c r="A1032" s="48" t="n">
        <x:v>45985</x:v>
      </x:c>
      <x:c r="B1032" t="n">
        <x:v>8</x:v>
      </x:c>
      <x:c r="C1032" t="str">
        <x:v>I2</x:v>
      </x:c>
      <x:c r="D1032" t="n">
        <x:v>8</x:v>
      </x:c>
      <x:c r="E1032" s="50" t="n">
        <x:v>4</x:v>
      </x:c>
      <x:c r="F1032" s="50" t="n">
        <x:v>-149.43</x:v>
      </x:c>
      <x:c r="G1032" s="50" t="n">
        <x:v>159.22</x:v>
      </x:c>
      <x:c r="H1032" s="50" t="n">
        <x:v>-70.89</x:v>
      </x:c>
      <x:c r="I1032" s="50" t="n">
        <x:v>61.68</x:v>
      </x:c>
      <x:c r="J1032" s="50" t="n">
        <x:v>2.06</x:v>
      </x:c>
      <x:c r="K1032" s="50" t="n">
        <x:v>-3.35</x:v>
      </x:c>
      <x:c r="L1032" s="50" t="n">
        <x:v>3.93</x:v>
      </x:c>
      <x:c r="M1032" s="50" t="n">
        <x:v>-0.43</x:v>
      </x:c>
      <x:c r="N1032" t="str">
        <x:v>RELATÓRIO LEITURAS INCLINOMÉTRICAS - Empreitada THE EDEN, Estoril_ R10_09-12-25.pdf</x:v>
      </x:c>
      <x:c r="O1032" t="n">
        <x:v>40</x:v>
      </x:c>
    </x:row>
    <x:row r="1033">
      <x:c r="A1033" s="48" t="n">
        <x:v>45985</x:v>
      </x:c>
      <x:c r="B1033" t="n">
        <x:v>8</x:v>
      </x:c>
      <x:c r="C1033" t="str">
        <x:v>I2</x:v>
      </x:c>
      <x:c r="D1033" t="n">
        <x:v>8</x:v>
      </x:c>
      <x:c r="E1033" s="50" t="n">
        <x:v>4.5</x:v>
      </x:c>
      <x:c r="F1033" s="50" t="n">
        <x:v>-101.33</x:v>
      </x:c>
      <x:c r="G1033" s="50" t="n">
        <x:v>108.09</x:v>
      </x:c>
      <x:c r="H1033" s="50" t="n">
        <x:v>-116.27</x:v>
      </x:c>
      <x:c r="I1033" s="50" t="n">
        <x:v>119.59</x:v>
      </x:c>
      <x:c r="J1033" s="50" t="n">
        <x:v>2.19</x:v>
      </x:c>
      <x:c r="K1033" s="50" t="n">
        <x:v>-3.33</x:v>
      </x:c>
      <x:c r="L1033" s="50" t="n">
        <x:v>3.98</x:v>
      </x:c>
      <x:c r="M1033" s="50" t="n">
        <x:v>-0.42</x:v>
      </x:c>
      <x:c r="N1033" t="str">
        <x:v>RELATÓRIO LEITURAS INCLINOMÉTRICAS - Empreitada THE EDEN, Estoril_ R10_09-12-25.pdf</x:v>
      </x:c>
      <x:c r="O1033" t="n">
        <x:v>40</x:v>
      </x:c>
    </x:row>
    <x:row r="1034">
      <x:c r="A1034" s="48" t="n">
        <x:v>45985</x:v>
      </x:c>
      <x:c r="B1034" t="n">
        <x:v>8</x:v>
      </x:c>
      <x:c r="C1034" t="str">
        <x:v>I2</x:v>
      </x:c>
      <x:c r="D1034" t="n">
        <x:v>8</x:v>
      </x:c>
      <x:c r="E1034" s="50" t="n">
        <x:v>5</x:v>
      </x:c>
      <x:c r="F1034" s="50" t="n">
        <x:v>-26.4</x:v>
      </x:c>
      <x:c r="G1034" s="50" t="n">
        <x:v>34.25</x:v>
      </x:c>
      <x:c r="H1034" s="50" t="n">
        <x:v>-147.77</x:v>
      </x:c>
      <x:c r="I1034" s="50" t="n">
        <x:v>154.32</x:v>
      </x:c>
      <x:c r="J1034" s="50" t="n">
        <x:v>2.32</x:v>
      </x:c>
      <x:c r="K1034" s="50" t="n">
        <x:v>-3.36</x:v>
      </x:c>
      <x:c r="L1034" s="50" t="n">
        <x:v>4.08</x:v>
      </x:c>
      <x:c r="M1034" s="50" t="n">
        <x:v>-0.44</x:v>
      </x:c>
      <x:c r="N1034" t="str">
        <x:v>RELATÓRIO LEITURAS INCLINOMÉTRICAS - Empreitada THE EDEN, Estoril_ R10_09-12-25.pdf</x:v>
      </x:c>
      <x:c r="O1034" t="n">
        <x:v>40</x:v>
      </x:c>
    </x:row>
    <x:row r="1035">
      <x:c r="A1035" s="48" t="n">
        <x:v>45985</x:v>
      </x:c>
      <x:c r="B1035" t="n">
        <x:v>8</x:v>
      </x:c>
      <x:c r="C1035" t="str">
        <x:v>I2</x:v>
      </x:c>
      <x:c r="D1035" t="n">
        <x:v>8</x:v>
      </x:c>
      <x:c r="E1035" s="50" t="n">
        <x:v>5.5</x:v>
      </x:c>
      <x:c r="F1035" s="50" t="n">
        <x:v>39.43</x:v>
      </x:c>
      <x:c r="G1035" s="50" t="n">
        <x:v>-30.53</x:v>
      </x:c>
      <x:c r="H1035" s="50" t="n">
        <x:v>-152.03</x:v>
      </x:c>
      <x:c r="I1035" s="50" t="n">
        <x:v>150.86</x:v>
      </x:c>
      <x:c r="J1035" s="50" t="n">
        <x:v>2.54</x:v>
      </x:c>
      <x:c r="K1035" s="50" t="n">
        <x:v>-3.33</x:v>
      </x:c>
      <x:c r="L1035" s="50" t="n">
        <x:v>4.19</x:v>
      </x:c>
      <x:c r="M1035" s="50" t="n">
        <x:v>-0.63</x:v>
      </x:c>
      <x:c r="N1035" t="str">
        <x:v>RELATÓRIO LEITURAS INCLINOMÉTRICAS - Empreitada THE EDEN, Estoril_ R10_09-12-25.pdf</x:v>
      </x:c>
      <x:c r="O1035" t="n">
        <x:v>40</x:v>
      </x:c>
    </x:row>
    <x:row r="1036">
      <x:c r="A1036" s="48" t="n">
        <x:v>45985</x:v>
      </x:c>
      <x:c r="B1036" t="n">
        <x:v>8</x:v>
      </x:c>
      <x:c r="C1036" t="str">
        <x:v>I2</x:v>
      </x:c>
      <x:c r="D1036" t="n">
        <x:v>8</x:v>
      </x:c>
      <x:c r="E1036" s="50" t="n">
        <x:v>6</x:v>
      </x:c>
      <x:c r="F1036" s="50" t="n">
        <x:v>74.99</x:v>
      </x:c>
      <x:c r="G1036" s="50" t="n">
        <x:v>-66.12</x:v>
      </x:c>
      <x:c r="H1036" s="50" t="n">
        <x:v>-183.13</x:v>
      </x:c>
      <x:c r="I1036" s="50" t="n">
        <x:v>184.72</x:v>
      </x:c>
      <x:c r="J1036" s="50" t="n">
        <x:v>2.73</x:v>
      </x:c>
      <x:c r="K1036" s="50" t="n">
        <x:v>-3.43</x:v>
      </x:c>
      <x:c r="L1036" s="50" t="n">
        <x:v>4.38</x:v>
      </x:c>
      <x:c r="M1036" s="50" t="n">
        <x:v>-0.64</x:v>
      </x:c>
      <x:c r="N1036" t="str">
        <x:v>RELATÓRIO LEITURAS INCLINOMÉTRICAS - Empreitada THE EDEN, Estoril_ R10_09-12-25.pdf</x:v>
      </x:c>
      <x:c r="O1036" t="n">
        <x:v>40</x:v>
      </x:c>
    </x:row>
    <x:row r="1037">
      <x:c r="A1037" s="48" t="n">
        <x:v>45985</x:v>
      </x:c>
      <x:c r="B1037" t="n">
        <x:v>8</x:v>
      </x:c>
      <x:c r="C1037" t="str">
        <x:v>I2</x:v>
      </x:c>
      <x:c r="D1037" t="n">
        <x:v>8</x:v>
      </x:c>
      <x:c r="E1037" s="50" t="n">
        <x:v>6.5</x:v>
      </x:c>
      <x:c r="F1037" s="50" t="n">
        <x:v>177.2</x:v>
      </x:c>
      <x:c r="G1037" s="50" t="n">
        <x:v>-168.64</x:v>
      </x:c>
      <x:c r="H1037" s="50" t="n">
        <x:v>-172.37</x:v>
      </x:c>
      <x:c r="I1037" s="50" t="n">
        <x:v>173.48</x:v>
      </x:c>
      <x:c r="J1037" s="50" t="n">
        <x:v>2.85</x:v>
      </x:c>
      <x:c r="K1037" s="50" t="n">
        <x:v>-3.34</x:v>
      </x:c>
      <x:c r="L1037" s="50" t="n">
        <x:v>4.39</x:v>
      </x:c>
      <x:c r="M1037" s="50" t="n">
        <x:v>-0.62</x:v>
      </x:c>
      <x:c r="N1037" t="str">
        <x:v>RELATÓRIO LEITURAS INCLINOMÉTRICAS - Empreitada THE EDEN, Estoril_ R10_09-12-25.pdf</x:v>
      </x:c>
      <x:c r="O1037" t="n">
        <x:v>40</x:v>
      </x:c>
    </x:row>
    <x:row r="1038">
      <x:c r="A1038" s="48" t="n">
        <x:v>45985</x:v>
      </x:c>
      <x:c r="B1038" t="n">
        <x:v>8</x:v>
      </x:c>
      <x:c r="C1038" t="str">
        <x:v>I2</x:v>
      </x:c>
      <x:c r="D1038" t="n">
        <x:v>8</x:v>
      </x:c>
      <x:c r="E1038" s="50" t="n">
        <x:v>7</x:v>
      </x:c>
      <x:c r="F1038" s="50" t="n">
        <x:v>281.07</x:v>
      </x:c>
      <x:c r="G1038" s="50" t="n">
        <x:v>-272.18</x:v>
      </x:c>
      <x:c r="H1038" s="50" t="n">
        <x:v>-184.32</x:v>
      </x:c>
      <x:c r="I1038" s="50" t="n">
        <x:v>176.54</x:v>
      </x:c>
      <x:c r="J1038" s="50" t="n">
        <x:v>2.96</x:v>
      </x:c>
      <x:c r="K1038" s="50" t="n">
        <x:v>-3.1</x:v>
      </x:c>
      <x:c r="L1038" s="50" t="n">
        <x:v>4.28</x:v>
      </x:c>
      <x:c r="M1038" s="50" t="n">
        <x:v>-0.59</x:v>
      </x:c>
      <x:c r="N1038" t="str">
        <x:v>RELATÓRIO LEITURAS INCLINOMÉTRICAS - Empreitada THE EDEN, Estoril_ R10_09-12-25.pdf</x:v>
      </x:c>
      <x:c r="O1038" t="n">
        <x:v>40</x:v>
      </x:c>
    </x:row>
    <x:row r="1039">
      <x:c r="A1039" s="48" t="n">
        <x:v>45985</x:v>
      </x:c>
      <x:c r="B1039" t="n">
        <x:v>8</x:v>
      </x:c>
      <x:c r="C1039" t="str">
        <x:v>I2</x:v>
      </x:c>
      <x:c r="D1039" t="n">
        <x:v>8</x:v>
      </x:c>
      <x:c r="E1039" s="50" t="n">
        <x:v>7.5</x:v>
      </x:c>
      <x:c r="F1039" s="50" t="n">
        <x:v>304.29</x:v>
      </x:c>
      <x:c r="G1039" s="50" t="n">
        <x:v>-287.9</x:v>
      </x:c>
      <x:c r="H1039" s="50" t="n">
        <x:v>-163.48</x:v>
      </x:c>
      <x:c r="I1039" s="50" t="n">
        <x:v>160.75</x:v>
      </x:c>
      <x:c r="J1039" s="50" t="n">
        <x:v>3.01</x:v>
      </x:c>
      <x:c r="K1039" s="50" t="n">
        <x:v>-2.92</x:v>
      </x:c>
      <x:c r="L1039" s="50" t="n">
        <x:v>4.19</x:v>
      </x:c>
      <x:c r="M1039" s="50" t="n">
        <x:v>-0.6</x:v>
      </x:c>
      <x:c r="N1039" t="str">
        <x:v>RELATÓRIO LEITURAS INCLINOMÉTRICAS - Empreitada THE EDEN, Estoril_ R10_09-12-25.pdf</x:v>
      </x:c>
      <x:c r="O1039" t="n">
        <x:v>40</x:v>
      </x:c>
    </x:row>
    <x:row r="1040">
      <x:c r="A1040" s="48" t="n">
        <x:v>45985</x:v>
      </x:c>
      <x:c r="B1040" t="n">
        <x:v>8</x:v>
      </x:c>
      <x:c r="C1040" t="str">
        <x:v>I2</x:v>
      </x:c>
      <x:c r="D1040" t="n">
        <x:v>8</x:v>
      </x:c>
      <x:c r="E1040" s="50" t="n">
        <x:v>8</x:v>
      </x:c>
      <x:c r="F1040" s="50" t="n">
        <x:v>271.34</x:v>
      </x:c>
      <x:c r="G1040" s="50" t="n">
        <x:v>-266.83</x:v>
      </x:c>
      <x:c r="H1040" s="50" t="n">
        <x:v>-69.48</x:v>
      </x:c>
      <x:c r="I1040" s="50" t="n">
        <x:v>79.16</x:v>
      </x:c>
      <x:c r="J1040" s="50" t="n">
        <x:v>3.12</x:v>
      </x:c>
      <x:c r="K1040" s="50" t="n">
        <x:v>-2.87</x:v>
      </x:c>
      <x:c r="L1040" s="50" t="n">
        <x:v>4.24</x:v>
      </x:c>
      <x:c r="M1040" s="50" t="n">
        <x:v>-0.55</x:v>
      </x:c>
      <x:c r="N1040" t="str">
        <x:v>RELATÓRIO LEITURAS INCLINOMÉTRICAS - Empreitada THE EDEN, Estoril_ R10_09-12-25.pdf</x:v>
      </x:c>
      <x:c r="O1040" t="n">
        <x:v>40</x:v>
      </x:c>
    </x:row>
    <x:row r="1041">
      <x:c r="A1041" s="48" t="n">
        <x:v>45985</x:v>
      </x:c>
      <x:c r="B1041" t="n">
        <x:v>8</x:v>
      </x:c>
      <x:c r="C1041" t="str">
        <x:v>I2</x:v>
      </x:c>
      <x:c r="D1041" t="n">
        <x:v>8</x:v>
      </x:c>
      <x:c r="E1041" s="50" t="n">
        <x:v>8.5</x:v>
      </x:c>
      <x:c r="F1041" s="50" t="n">
        <x:v>332.8</x:v>
      </x:c>
      <x:c r="G1041" s="50" t="n">
        <x:v>-322.18</x:v>
      </x:c>
      <x:c r="H1041" s="50" t="n">
        <x:v>-8.25</x:v>
      </x:c>
      <x:c r="I1041" s="50" t="n">
        <x:v>11.34</x:v>
      </x:c>
      <x:c r="J1041" s="50" t="n">
        <x:v>3.23</x:v>
      </x:c>
      <x:c r="K1041" s="50" t="n">
        <x:v>-2.95</x:v>
      </x:c>
      <x:c r="L1041" s="50" t="n">
        <x:v>4.37</x:v>
      </x:c>
      <x:c r="M1041" s="50" t="n">
        <x:v>-0.45</x:v>
      </x:c>
      <x:c r="N1041" t="str">
        <x:v>RELATÓRIO LEITURAS INCLINOMÉTRICAS - Empreitada THE EDEN, Estoril_ R10_09-12-25.pdf</x:v>
      </x:c>
      <x:c r="O1041" t="n">
        <x:v>40</x:v>
      </x:c>
    </x:row>
    <x:row r="1042">
      <x:c r="A1042" s="48" t="n">
        <x:v>45985</x:v>
      </x:c>
      <x:c r="B1042" t="n">
        <x:v>8</x:v>
      </x:c>
      <x:c r="C1042" t="str">
        <x:v>I2</x:v>
      </x:c>
      <x:c r="D1042" t="n">
        <x:v>8</x:v>
      </x:c>
      <x:c r="E1042" s="50" t="n">
        <x:v>9</x:v>
      </x:c>
      <x:c r="F1042" s="50" t="n">
        <x:v>316.96</x:v>
      </x:c>
      <x:c r="G1042" s="50" t="n">
        <x:v>-306.93</x:v>
      </x:c>
      <x:c r="H1042" s="50" t="n">
        <x:v>57.2</x:v>
      </x:c>
      <x:c r="I1042" s="50" t="n">
        <x:v>-52.37</x:v>
      </x:c>
      <x:c r="J1042" s="50" t="n">
        <x:v>3.15</x:v>
      </x:c>
      <x:c r="K1042" s="50" t="n">
        <x:v>-3.08</x:v>
      </x:c>
      <x:c r="L1042" s="50" t="n">
        <x:v>4.4</x:v>
      </x:c>
      <x:c r="M1042" s="50" t="n">
        <x:v>-0.38</x:v>
      </x:c>
      <x:c r="N1042" t="str">
        <x:v>RELATÓRIO LEITURAS INCLINOMÉTRICAS - Empreitada THE EDEN, Estoril_ R10_09-12-25.pdf</x:v>
      </x:c>
      <x:c r="O1042" t="n">
        <x:v>40</x:v>
      </x:c>
    </x:row>
    <x:row r="1043">
      <x:c r="A1043" s="48" t="n">
        <x:v>45985</x:v>
      </x:c>
      <x:c r="B1043" t="n">
        <x:v>8</x:v>
      </x:c>
      <x:c r="C1043" t="str">
        <x:v>I2</x:v>
      </x:c>
      <x:c r="D1043" t="n">
        <x:v>8</x:v>
      </x:c>
      <x:c r="E1043" s="50" t="n">
        <x:v>9.5</x:v>
      </x:c>
      <x:c r="F1043" s="50" t="n">
        <x:v>204.33</x:v>
      </x:c>
      <x:c r="G1043" s="50" t="n">
        <x:v>-197.11</x:v>
      </x:c>
      <x:c r="H1043" s="50" t="n">
        <x:v>113.57</x:v>
      </x:c>
      <x:c r="I1043" s="50" t="n">
        <x:v>-129.03</x:v>
      </x:c>
      <x:c r="J1043" s="50" t="n">
        <x:v>3.16</x:v>
      </x:c>
      <x:c r="K1043" s="50" t="n">
        <x:v>-3.11</x:v>
      </x:c>
      <x:c r="L1043" s="50" t="n">
        <x:v>4.43</x:v>
      </x:c>
      <x:c r="M1043" s="50" t="n">
        <x:v>-0.43</x:v>
      </x:c>
      <x:c r="N1043" t="str">
        <x:v>RELATÓRIO LEITURAS INCLINOMÉTRICAS - Empreitada THE EDEN, Estoril_ R10_09-12-25.pdf</x:v>
      </x:c>
      <x:c r="O1043" t="n">
        <x:v>40</x:v>
      </x:c>
    </x:row>
    <x:row r="1044">
      <x:c r="A1044" s="48" t="n">
        <x:v>45985</x:v>
      </x:c>
      <x:c r="B1044" t="n">
        <x:v>8</x:v>
      </x:c>
      <x:c r="C1044" t="str">
        <x:v>I2</x:v>
      </x:c>
      <x:c r="D1044" t="n">
        <x:v>8</x:v>
      </x:c>
      <x:c r="E1044" s="50" t="n">
        <x:v>10</x:v>
      </x:c>
      <x:c r="F1044" s="50" t="n">
        <x:v>62.08</x:v>
      </x:c>
      <x:c r="G1044" s="50" t="n">
        <x:v>-44.96</x:v>
      </x:c>
      <x:c r="H1044" s="50" t="n">
        <x:v>147.26</x:v>
      </x:c>
      <x:c r="I1044" s="50" t="n">
        <x:v>-147.87</x:v>
      </x:c>
      <x:c r="J1044" s="50" t="n">
        <x:v>3.25</x:v>
      </x:c>
      <x:c r="K1044" s="50" t="n">
        <x:v>-3.02</x:v>
      </x:c>
      <x:c r="L1044" s="50" t="n">
        <x:v>4.43</x:v>
      </x:c>
      <x:c r="M1044" s="50" t="n">
        <x:v>-0.44</x:v>
      </x:c>
      <x:c r="N1044" t="str">
        <x:v>RELATÓRIO LEITURAS INCLINOMÉTRICAS - Empreitada THE EDEN, Estoril_ R10_09-12-25.pdf</x:v>
      </x:c>
      <x:c r="O1044" t="n">
        <x:v>40</x:v>
      </x:c>
    </x:row>
    <x:row r="1045">
      <x:c r="A1045" s="48" t="n">
        <x:v>45985</x:v>
      </x:c>
      <x:c r="B1045" t="n">
        <x:v>8</x:v>
      </x:c>
      <x:c r="C1045" t="str">
        <x:v>I2</x:v>
      </x:c>
      <x:c r="D1045" t="n">
        <x:v>8</x:v>
      </x:c>
      <x:c r="E1045" s="50" t="n">
        <x:v>10.5</x:v>
      </x:c>
      <x:c r="F1045" s="50" t="n">
        <x:v>78.59</x:v>
      </x:c>
      <x:c r="G1045" s="50" t="n">
        <x:v>-71.66</x:v>
      </x:c>
      <x:c r="H1045" s="50" t="n">
        <x:v>76.66</x:v>
      </x:c>
      <x:c r="I1045" s="50" t="n">
        <x:v>-77.07</x:v>
      </x:c>
      <x:c r="J1045" s="50" t="n">
        <x:v>3.23</x:v>
      </x:c>
      <x:c r="K1045" s="50" t="n">
        <x:v>-3.22</x:v>
      </x:c>
      <x:c r="L1045" s="50" t="n">
        <x:v>4.56</x:v>
      </x:c>
      <x:c r="M1045" s="50" t="n">
        <x:v>-0.44</x:v>
      </x:c>
      <x:c r="N1045" t="str">
        <x:v>RELATÓRIO LEITURAS INCLINOMÉTRICAS - Empreitada THE EDEN, Estoril_ R10_09-12-25.pdf</x:v>
      </x:c>
      <x:c r="O1045" t="n">
        <x:v>40</x:v>
      </x:c>
    </x:row>
    <x:row r="1046">
      <x:c r="A1046" s="48" t="n">
        <x:v>45985</x:v>
      </x:c>
      <x:c r="B1046" t="n">
        <x:v>8</x:v>
      </x:c>
      <x:c r="C1046" t="str">
        <x:v>I2</x:v>
      </x:c>
      <x:c r="D1046" t="n">
        <x:v>8</x:v>
      </x:c>
      <x:c r="E1046" s="50" t="n">
        <x:v>11</x:v>
      </x:c>
      <x:c r="F1046" s="50" t="n">
        <x:v>8.26</x:v>
      </x:c>
      <x:c r="G1046" s="50" t="n">
        <x:v>2.06</x:v>
      </x:c>
      <x:c r="H1046" s="50" t="n">
        <x:v>31.86</x:v>
      </x:c>
      <x:c r="I1046" s="50" t="n">
        <x:v>-33.79</x:v>
      </x:c>
      <x:c r="J1046" s="50" t="n">
        <x:v>3.2</x:v>
      </x:c>
      <x:c r="K1046" s="50" t="n">
        <x:v>-3.26</x:v>
      </x:c>
      <x:c r="L1046" s="50" t="n">
        <x:v>4.57</x:v>
      </x:c>
      <x:c r="M1046" s="50" t="n">
        <x:v>-0.36</x:v>
      </x:c>
      <x:c r="N1046" t="str">
        <x:v>RELATÓRIO LEITURAS INCLINOMÉTRICAS - Empreitada THE EDEN, Estoril_ R10_09-12-25.pdf</x:v>
      </x:c>
      <x:c r="O1046" t="n">
        <x:v>40</x:v>
      </x:c>
    </x:row>
    <x:row r="1047">
      <x:c r="A1047" s="48" t="n">
        <x:v>45985</x:v>
      </x:c>
      <x:c r="B1047" t="n">
        <x:v>8</x:v>
      </x:c>
      <x:c r="C1047" t="str">
        <x:v>I2</x:v>
      </x:c>
      <x:c r="D1047" t="n">
        <x:v>8</x:v>
      </x:c>
      <x:c r="E1047" s="50" t="n">
        <x:v>11.5</x:v>
      </x:c>
      <x:c r="F1047" s="50" t="n">
        <x:v>-71.35</x:v>
      </x:c>
      <x:c r="G1047" s="50" t="n">
        <x:v>74.92</x:v>
      </x:c>
      <x:c r="H1047" s="50" t="n">
        <x:v>11.53</x:v>
      </x:c>
      <x:c r="I1047" s="50" t="n">
        <x:v>-14.46</x:v>
      </x:c>
      <x:c r="J1047" s="50" t="n">
        <x:v>3.06</x:v>
      </x:c>
      <x:c r="K1047" s="50" t="n">
        <x:v>-3.43</x:v>
      </x:c>
      <x:c r="L1047" s="50" t="n">
        <x:v>4.6</x:v>
      </x:c>
      <x:c r="M1047" s="50" t="n">
        <x:v>-0.24</x:v>
      </x:c>
      <x:c r="N1047" t="str">
        <x:v>RELATÓRIO LEITURAS INCLINOMÉTRICAS - Empreitada THE EDEN, Estoril_ R10_09-12-25.pdf</x:v>
      </x:c>
      <x:c r="O1047" t="n">
        <x:v>40</x:v>
      </x:c>
    </x:row>
    <x:row r="1048">
      <x:c r="A1048" s="48" t="n">
        <x:v>45985</x:v>
      </x:c>
      <x:c r="B1048" t="n">
        <x:v>8</x:v>
      </x:c>
      <x:c r="C1048" t="str">
        <x:v>I2</x:v>
      </x:c>
      <x:c r="D1048" t="n">
        <x:v>8</x:v>
      </x:c>
      <x:c r="E1048" s="50" t="n">
        <x:v>12</x:v>
      </x:c>
      <x:c r="F1048" s="50" t="n">
        <x:v>-83.49</x:v>
      </x:c>
      <x:c r="G1048" s="50" t="n">
        <x:v>96.32</x:v>
      </x:c>
      <x:c r="H1048" s="50" t="n">
        <x:v>20.8</x:v>
      </x:c>
      <x:c r="I1048" s="50" t="n">
        <x:v>-22.57</x:v>
      </x:c>
      <x:c r="J1048" s="50" t="n">
        <x:v>2.81</x:v>
      </x:c>
      <x:c r="K1048" s="50" t="n">
        <x:v>-3.25</x:v>
      </x:c>
      <x:c r="L1048" s="50" t="n">
        <x:v>4.3</x:v>
      </x:c>
      <x:c r="M1048" s="50" t="n">
        <x:v>-0.24</x:v>
      </x:c>
      <x:c r="N1048" t="str">
        <x:v>RELATÓRIO LEITURAS INCLINOMÉTRICAS - Empreitada THE EDEN, Estoril_ R10_09-12-25.pdf</x:v>
      </x:c>
      <x:c r="O1048" t="n">
        <x:v>40</x:v>
      </x:c>
    </x:row>
    <x:row r="1049">
      <x:c r="A1049" s="48" t="n">
        <x:v>45985</x:v>
      </x:c>
      <x:c r="B1049" t="n">
        <x:v>8</x:v>
      </x:c>
      <x:c r="C1049" t="str">
        <x:v>I2</x:v>
      </x:c>
      <x:c r="D1049" t="n">
        <x:v>8</x:v>
      </x:c>
      <x:c r="E1049" s="50" t="n">
        <x:v>12.5</x:v>
      </x:c>
      <x:c r="F1049" s="50" t="n">
        <x:v>-42.86</x:v>
      </x:c>
      <x:c r="G1049" s="50" t="n">
        <x:v>51.72</x:v>
      </x:c>
      <x:c r="H1049" s="50" t="n">
        <x:v>13.88</x:v>
      </x:c>
      <x:c r="I1049" s="50" t="n">
        <x:v>-20.07</x:v>
      </x:c>
      <x:c r="J1049" s="50" t="n">
        <x:v>2.53</x:v>
      </x:c>
      <x:c r="K1049" s="50" t="n">
        <x:v>-3.11</x:v>
      </x:c>
      <x:c r="L1049" s="50" t="n">
        <x:v>4.01</x:v>
      </x:c>
      <x:c r="M1049" s="50" t="n">
        <x:v>-0.21</x:v>
      </x:c>
      <x:c r="N1049" t="str">
        <x:v>RELATÓRIO LEITURAS INCLINOMÉTRICAS - Empreitada THE EDEN, Estoril_ R10_09-12-25.pdf</x:v>
      </x:c>
      <x:c r="O1049" t="n">
        <x:v>40</x:v>
      </x:c>
    </x:row>
    <x:row r="1050">
      <x:c r="A1050" s="48" t="n">
        <x:v>45985</x:v>
      </x:c>
      <x:c r="B1050" t="n">
        <x:v>8</x:v>
      </x:c>
      <x:c r="C1050" t="str">
        <x:v>I2</x:v>
      </x:c>
      <x:c r="D1050" t="n">
        <x:v>8</x:v>
      </x:c>
      <x:c r="E1050" s="50" t="n">
        <x:v>13</x:v>
      </x:c>
      <x:c r="F1050" s="50" t="n">
        <x:v>-98.03</x:v>
      </x:c>
      <x:c r="G1050" s="50" t="n">
        <x:v>105.03</x:v>
      </x:c>
      <x:c r="H1050" s="50" t="n">
        <x:v>-44.81</x:v>
      </x:c>
      <x:c r="I1050" s="50" t="n">
        <x:v>40.77</x:v>
      </x:c>
      <x:c r="J1050" s="50" t="n">
        <x:v>2.39</x:v>
      </x:c>
      <x:c r="K1050" s="50" t="n">
        <x:v>-3.03</x:v>
      </x:c>
      <x:c r="L1050" s="50" t="n">
        <x:v>3.86</x:v>
      </x:c>
      <x:c r="M1050" s="50" t="n">
        <x:v>-0.24</x:v>
      </x:c>
      <x:c r="N1050" t="str">
        <x:v>RELATÓRIO LEITURAS INCLINOMÉTRICAS - Empreitada THE EDEN, Estoril_ R10_09-12-25.pdf</x:v>
      </x:c>
      <x:c r="O1050" t="n">
        <x:v>40</x:v>
      </x:c>
    </x:row>
    <x:row r="1051">
      <x:c r="A1051" s="48" t="n">
        <x:v>45985</x:v>
      </x:c>
      <x:c r="B1051" t="n">
        <x:v>8</x:v>
      </x:c>
      <x:c r="C1051" t="str">
        <x:v>I2</x:v>
      </x:c>
      <x:c r="D1051" t="n">
        <x:v>8</x:v>
      </x:c>
      <x:c r="E1051" s="50" t="n">
        <x:v>13.5</x:v>
      </x:c>
      <x:c r="F1051" s="50" t="n">
        <x:v>-263.77</x:v>
      </x:c>
      <x:c r="G1051" s="50" t="n">
        <x:v>273.61</x:v>
      </x:c>
      <x:c r="H1051" s="50" t="n">
        <x:v>-175.98</x:v>
      </x:c>
      <x:c r="I1051" s="50" t="n">
        <x:v>185.95</x:v>
      </x:c>
      <x:c r="J1051" s="50" t="n">
        <x:v>2.34</x:v>
      </x:c>
      <x:c r="K1051" s="50" t="n">
        <x:v>-3.14</x:v>
      </x:c>
      <x:c r="L1051" s="50" t="n">
        <x:v>3.92</x:v>
      </x:c>
      <x:c r="M1051" s="50" t="n">
        <x:v>-0.13</x:v>
      </x:c>
      <x:c r="N1051" t="str">
        <x:v>RELATÓRIO LEITURAS INCLINOMÉTRICAS - Empreitada THE EDEN, Estoril_ R10_09-12-25.pdf</x:v>
      </x:c>
      <x:c r="O1051" t="n">
        <x:v>40</x:v>
      </x:c>
    </x:row>
    <x:row r="1052">
      <x:c r="A1052" s="48" t="n">
        <x:v>45985</x:v>
      </x:c>
      <x:c r="B1052" t="n">
        <x:v>8</x:v>
      </x:c>
      <x:c r="C1052" t="str">
        <x:v>I2</x:v>
      </x:c>
      <x:c r="D1052" t="n">
        <x:v>8</x:v>
      </x:c>
      <x:c r="E1052" s="50" t="n">
        <x:v>14</x:v>
      </x:c>
      <x:c r="F1052" s="50" t="n">
        <x:v>-292.16</x:v>
      </x:c>
      <x:c r="G1052" s="50" t="n">
        <x:v>301.85</x:v>
      </x:c>
      <x:c r="H1052" s="50" t="n">
        <x:v>-302.58</x:v>
      </x:c>
      <x:c r="I1052" s="50" t="n">
        <x:v>304.36</x:v>
      </x:c>
      <x:c r="J1052" s="50" t="n">
        <x:v>2.31</x:v>
      </x:c>
      <x:c r="K1052" s="50" t="n">
        <x:v>-3.17</x:v>
      </x:c>
      <x:c r="L1052" s="50" t="n">
        <x:v>3.92</x:v>
      </x:c>
      <x:c r="M1052" s="50" t="n">
        <x:v>0.17</x:v>
      </x:c>
      <x:c r="N1052" t="str">
        <x:v>RELATÓRIO LEITURAS INCLINOMÉTRICAS - Empreitada THE EDEN, Estoril_ R10_09-12-25.pdf</x:v>
      </x:c>
      <x:c r="O1052" t="n">
        <x:v>40</x:v>
      </x:c>
    </x:row>
    <x:row r="1053">
      <x:c r="A1053" s="48" t="n">
        <x:v>45985</x:v>
      </x:c>
      <x:c r="B1053" t="n">
        <x:v>8</x:v>
      </x:c>
      <x:c r="C1053" t="str">
        <x:v>I2</x:v>
      </x:c>
      <x:c r="D1053" t="n">
        <x:v>8</x:v>
      </x:c>
      <x:c r="E1053" s="50" t="n">
        <x:v>14.5</x:v>
      </x:c>
      <x:c r="F1053" s="50" t="n">
        <x:v>-262.42</x:v>
      </x:c>
      <x:c r="G1053" s="50" t="n">
        <x:v>271.34</x:v>
      </x:c>
      <x:c r="H1053" s="50" t="n">
        <x:v>-255.69</x:v>
      </x:c>
      <x:c r="I1053" s="50" t="n">
        <x:v>257.78</x:v>
      </x:c>
      <x:c r="J1053" s="50" t="n">
        <x:v>2.33</x:v>
      </x:c>
      <x:c r="K1053" s="50" t="n">
        <x:v>-3.16</x:v>
      </x:c>
      <x:c r="L1053" s="50" t="n">
        <x:v>3.93</x:v>
      </x:c>
      <x:c r="M1053" s="50" t="n">
        <x:v>0.3</x:v>
      </x:c>
      <x:c r="N1053" t="str">
        <x:v>RELATÓRIO LEITURAS INCLINOMÉTRICAS - Empreitada THE EDEN, Estoril_ R10_09-12-25.pdf</x:v>
      </x:c>
      <x:c r="O1053" t="n">
        <x:v>40</x:v>
      </x:c>
    </x:row>
    <x:row r="1054">
      <x:c r="A1054" s="48" t="n">
        <x:v>45985</x:v>
      </x:c>
      <x:c r="B1054" t="n">
        <x:v>8</x:v>
      </x:c>
      <x:c r="C1054" t="str">
        <x:v>I2</x:v>
      </x:c>
      <x:c r="D1054" t="n">
        <x:v>8</x:v>
      </x:c>
      <x:c r="E1054" s="50" t="n">
        <x:v>15</x:v>
      </x:c>
      <x:c r="F1054" s="50" t="n">
        <x:v>-225.76</x:v>
      </x:c>
      <x:c r="G1054" s="50" t="n">
        <x:v>237.37</x:v>
      </x:c>
      <x:c r="H1054" s="50" t="n">
        <x:v>-198.13</x:v>
      </x:c>
      <x:c r="I1054" s="50" t="n">
        <x:v>194.25</x:v>
      </x:c>
      <x:c r="J1054" s="50" t="n">
        <x:v>2.23</x:v>
      </x:c>
      <x:c r="K1054" s="50" t="n">
        <x:v>-3.14</x:v>
      </x:c>
      <x:c r="L1054" s="50" t="n">
        <x:v>3.85</x:v>
      </x:c>
      <x:c r="M1054" s="50" t="n">
        <x:v>0.38</x:v>
      </x:c>
      <x:c r="N1054" t="str">
        <x:v>RELATÓRIO LEITURAS INCLINOMÉTRICAS - Empreitada THE EDEN, Estoril_ R10_09-12-25.pdf</x:v>
      </x:c>
      <x:c r="O1054" t="n">
        <x:v>40</x:v>
      </x:c>
    </x:row>
    <x:row r="1055">
      <x:c r="A1055" s="48" t="n">
        <x:v>45985</x:v>
      </x:c>
      <x:c r="B1055" t="n">
        <x:v>8</x:v>
      </x:c>
      <x:c r="C1055" t="str">
        <x:v>I2</x:v>
      </x:c>
      <x:c r="D1055" t="n">
        <x:v>8</x:v>
      </x:c>
      <x:c r="E1055" s="50" t="n">
        <x:v>15.5</x:v>
      </x:c>
      <x:c r="F1055" s="50" t="n">
        <x:v>-160.77</x:v>
      </x:c>
      <x:c r="G1055" s="50" t="n">
        <x:v>166.65</x:v>
      </x:c>
      <x:c r="H1055" s="50" t="n">
        <x:v>-187.78</x:v>
      </x:c>
      <x:c r="I1055" s="50" t="n">
        <x:v>181.98</x:v>
      </x:c>
      <x:c r="J1055" s="50" t="n">
        <x:v>2.13</x:v>
      </x:c>
      <x:c r="K1055" s="50" t="n">
        <x:v>-3</x:v>
      </x:c>
      <x:c r="L1055" s="50" t="n">
        <x:v>3.68</x:v>
      </x:c>
      <x:c r="M1055" s="50" t="n">
        <x:v>0.35</x:v>
      </x:c>
      <x:c r="N1055" t="str">
        <x:v>RELATÓRIO LEITURAS INCLINOMÉTRICAS - Empreitada THE EDEN, Estoril_ R10_09-12-25.pdf</x:v>
      </x:c>
      <x:c r="O1055" t="n">
        <x:v>40</x:v>
      </x:c>
    </x:row>
    <x:row r="1056">
      <x:c r="A1056" s="48" t="n">
        <x:v>45985</x:v>
      </x:c>
      <x:c r="B1056" t="n">
        <x:v>8</x:v>
      </x:c>
      <x:c r="C1056" t="str">
        <x:v>I2</x:v>
      </x:c>
      <x:c r="D1056" t="n">
        <x:v>8</x:v>
      </x:c>
      <x:c r="E1056" s="50" t="n">
        <x:v>16</x:v>
      </x:c>
      <x:c r="F1056" s="50" t="n">
        <x:v>-75.09</x:v>
      </x:c>
      <x:c r="G1056" s="50" t="n">
        <x:v>83.06</x:v>
      </x:c>
      <x:c r="H1056" s="50" t="n">
        <x:v>-168.25</x:v>
      </x:c>
      <x:c r="I1056" s="50" t="n">
        <x:v>170.84</x:v>
      </x:c>
      <x:c r="J1056" s="50" t="n">
        <x:v>2.05</x:v>
      </x:c>
      <x:c r="K1056" s="50" t="n">
        <x:v>-2.92</x:v>
      </x:c>
      <x:c r="L1056" s="50" t="n">
        <x:v>3.57</x:v>
      </x:c>
      <x:c r="M1056" s="50" t="n">
        <x:v>0.4</x:v>
      </x:c>
      <x:c r="N1056" t="str">
        <x:v>RELATÓRIO LEITURAS INCLINOMÉTRICAS - Empreitada THE EDEN, Estoril_ R10_09-12-25.pdf</x:v>
      </x:c>
      <x:c r="O1056" t="n">
        <x:v>40</x:v>
      </x:c>
    </x:row>
    <x:row r="1057">
      <x:c r="A1057" s="48" t="n">
        <x:v>45985</x:v>
      </x:c>
      <x:c r="B1057" t="n">
        <x:v>8</x:v>
      </x:c>
      <x:c r="C1057" t="str">
        <x:v>I2</x:v>
      </x:c>
      <x:c r="D1057" t="n">
        <x:v>8</x:v>
      </x:c>
      <x:c r="E1057" s="50" t="n">
        <x:v>16.5</x:v>
      </x:c>
      <x:c r="F1057" s="50" t="n">
        <x:v>108.62</x:v>
      </x:c>
      <x:c r="G1057" s="50" t="n">
        <x:v>-102.26</x:v>
      </x:c>
      <x:c r="H1057" s="50" t="n">
        <x:v>-106.83</x:v>
      </x:c>
      <x:c r="I1057" s="50" t="n">
        <x:v>116.21</x:v>
      </x:c>
      <x:c r="J1057" s="50" t="n">
        <x:v>1.97</x:v>
      </x:c>
      <x:c r="K1057" s="50" t="n">
        <x:v>-2.88</x:v>
      </x:c>
      <x:c r="L1057" s="50" t="n">
        <x:v>3.49</x:v>
      </x:c>
      <x:c r="M1057" s="50" t="n">
        <x:v>0.47</x:v>
      </x:c>
      <x:c r="N1057" t="str">
        <x:v>RELATÓRIO LEITURAS INCLINOMÉTRICAS - Empreitada THE EDEN, Estoril_ R10_09-12-25.pdf</x:v>
      </x:c>
      <x:c r="O1057" t="n">
        <x:v>40</x:v>
      </x:c>
    </x:row>
    <x:row r="1058">
      <x:c r="A1058" s="48" t="n">
        <x:v>45985</x:v>
      </x:c>
      <x:c r="B1058" t="n">
        <x:v>8</x:v>
      </x:c>
      <x:c r="C1058" t="str">
        <x:v>I2</x:v>
      </x:c>
      <x:c r="D1058" t="n">
        <x:v>8</x:v>
      </x:c>
      <x:c r="E1058" s="50" t="n">
        <x:v>17</x:v>
      </x:c>
      <x:c r="F1058" s="50" t="n">
        <x:v>267.96</x:v>
      </x:c>
      <x:c r="G1058" s="50" t="n">
        <x:v>-259.81</x:v>
      </x:c>
      <x:c r="H1058" s="50" t="n">
        <x:v>-58.31</x:v>
      </x:c>
      <x:c r="I1058" s="50" t="n">
        <x:v>56.7</x:v>
      </x:c>
      <x:c r="J1058" s="50" t="n">
        <x:v>1.89</x:v>
      </x:c>
      <x:c r="K1058" s="50" t="n">
        <x:v>-2.91</x:v>
      </x:c>
      <x:c r="L1058" s="50" t="n">
        <x:v>3.47</x:v>
      </x:c>
      <x:c r="M1058" s="50" t="n">
        <x:v>0.5</x:v>
      </x:c>
      <x:c r="N1058" t="str">
        <x:v>RELATÓRIO LEITURAS INCLINOMÉTRICAS - Empreitada THE EDEN, Estoril_ R10_09-12-25.pdf</x:v>
      </x:c>
      <x:c r="O1058" t="n">
        <x:v>40</x:v>
      </x:c>
    </x:row>
    <x:row r="1059">
      <x:c r="A1059" s="48" t="n">
        <x:v>45985</x:v>
      </x:c>
      <x:c r="B1059" t="n">
        <x:v>8</x:v>
      </x:c>
      <x:c r="C1059" t="str">
        <x:v>I2</x:v>
      </x:c>
      <x:c r="D1059" t="n">
        <x:v>8</x:v>
      </x:c>
      <x:c r="E1059" s="50" t="n">
        <x:v>17.5</x:v>
      </x:c>
      <x:c r="F1059" s="50" t="n">
        <x:v>320.59</x:v>
      </x:c>
      <x:c r="G1059" s="50" t="n">
        <x:v>-315.06</x:v>
      </x:c>
      <x:c r="H1059" s="50" t="n">
        <x:v>-69.95</x:v>
      </x:c>
      <x:c r="I1059" s="50" t="n">
        <x:v>63.51</x:v>
      </x:c>
      <x:c r="J1059" s="50" t="n">
        <x:v>1.74</x:v>
      </x:c>
      <x:c r="K1059" s="50" t="n">
        <x:v>-2.65</x:v>
      </x:c>
      <x:c r="L1059" s="50" t="n">
        <x:v>3.17</x:v>
      </x:c>
      <x:c r="M1059" s="50" t="n">
        <x:v>0.47</x:v>
      </x:c>
      <x:c r="N1059" t="str">
        <x:v>RELATÓRIO LEITURAS INCLINOMÉTRICAS - Empreitada THE EDEN, Estoril_ R10_09-12-25.pdf</x:v>
      </x:c>
      <x:c r="O1059" t="n">
        <x:v>40</x:v>
      </x:c>
    </x:row>
    <x:row r="1060">
      <x:c r="A1060" s="48" t="n">
        <x:v>45985</x:v>
      </x:c>
      <x:c r="B1060" t="n">
        <x:v>8</x:v>
      </x:c>
      <x:c r="C1060" t="str">
        <x:v>I2</x:v>
      </x:c>
      <x:c r="D1060" t="n">
        <x:v>8</x:v>
      </x:c>
      <x:c r="E1060" s="50" t="n">
        <x:v>18</x:v>
      </x:c>
      <x:c r="F1060" s="50" t="n">
        <x:v>391.65</x:v>
      </x:c>
      <x:c r="G1060" s="50" t="n">
        <x:v>-382.21</x:v>
      </x:c>
      <x:c r="H1060" s="50" t="n">
        <x:v>-92.98</x:v>
      </x:c>
      <x:c r="I1060" s="50" t="n">
        <x:v>101.73</x:v>
      </x:c>
      <x:c r="J1060" s="50" t="n">
        <x:v>1.6</x:v>
      </x:c>
      <x:c r="K1060" s="50" t="n">
        <x:v>-2.48</x:v>
      </x:c>
      <x:c r="L1060" s="50" t="n">
        <x:v>2.95</x:v>
      </x:c>
      <x:c r="M1060" s="50" t="n">
        <x:v>0.4</x:v>
      </x:c>
      <x:c r="N1060" t="str">
        <x:v>RELATÓRIO LEITURAS INCLINOMÉTRICAS - Empreitada THE EDEN, Estoril_ R10_09-12-25.pdf</x:v>
      </x:c>
      <x:c r="O1060" t="n">
        <x:v>40</x:v>
      </x:c>
    </x:row>
    <x:row r="1061">
      <x:c r="A1061" s="48" t="n">
        <x:v>45985</x:v>
      </x:c>
      <x:c r="B1061" t="n">
        <x:v>8</x:v>
      </x:c>
      <x:c r="C1061" t="str">
        <x:v>I2</x:v>
      </x:c>
      <x:c r="D1061" t="n">
        <x:v>8</x:v>
      </x:c>
      <x:c r="E1061" s="50" t="n">
        <x:v>18.5</x:v>
      </x:c>
      <x:c r="F1061" s="50" t="n">
        <x:v>438</x:v>
      </x:c>
      <x:c r="G1061" s="50" t="n">
        <x:v>-430.3</x:v>
      </x:c>
      <x:c r="H1061" s="50" t="n">
        <x:v>-104.12</x:v>
      </x:c>
      <x:c r="I1061" s="50" t="n">
        <x:v>115.33</x:v>
      </x:c>
      <x:c r="J1061" s="50" t="n">
        <x:v>1.5</x:v>
      </x:c>
      <x:c r="K1061" s="50" t="n">
        <x:v>-2.33</x:v>
      </x:c>
      <x:c r="L1061" s="50" t="n">
        <x:v>2.77</x:v>
      </x:c>
      <x:c r="M1061" s="50" t="n">
        <x:v>0.33</x:v>
      </x:c>
      <x:c r="N1061" t="str">
        <x:v>RELATÓRIO LEITURAS INCLINOMÉTRICAS - Empreitada THE EDEN, Estoril_ R10_09-12-25.pdf</x:v>
      </x:c>
      <x:c r="O1061" t="n">
        <x:v>40</x:v>
      </x:c>
    </x:row>
    <x:row r="1062">
      <x:c r="A1062" s="48" t="n">
        <x:v>45985</x:v>
      </x:c>
      <x:c r="B1062" t="n">
        <x:v>8</x:v>
      </x:c>
      <x:c r="C1062" t="str">
        <x:v>I2</x:v>
      </x:c>
      <x:c r="D1062" t="n">
        <x:v>8</x:v>
      </x:c>
      <x:c r="E1062" s="50" t="n">
        <x:v>19</x:v>
      </x:c>
      <x:c r="F1062" s="50" t="n">
        <x:v>442.64</x:v>
      </x:c>
      <x:c r="G1062" s="50" t="n">
        <x:v>-436.74</x:v>
      </x:c>
      <x:c r="H1062" s="50" t="n">
        <x:v>-105.08</x:v>
      </x:c>
      <x:c r="I1062" s="50" t="n">
        <x:v>106.19</x:v>
      </x:c>
      <x:c r="J1062" s="50" t="n">
        <x:v>1.47</x:v>
      </x:c>
      <x:c r="K1062" s="50" t="n">
        <x:v>-2.16</x:v>
      </x:c>
      <x:c r="L1062" s="50" t="n">
        <x:v>2.61</x:v>
      </x:c>
      <x:c r="M1062" s="50" t="n">
        <x:v>0.31</x:v>
      </x:c>
      <x:c r="N1062" t="str">
        <x:v>RELATÓRIO LEITURAS INCLINOMÉTRICAS - Empreitada THE EDEN, Estoril_ R10_09-12-25.pdf</x:v>
      </x:c>
      <x:c r="O1062" t="n">
        <x:v>40</x:v>
      </x:c>
    </x:row>
    <x:row r="1063">
      <x:c r="A1063" s="48" t="n">
        <x:v>45985</x:v>
      </x:c>
      <x:c r="B1063" t="n">
        <x:v>8</x:v>
      </x:c>
      <x:c r="C1063" t="str">
        <x:v>I2</x:v>
      </x:c>
      <x:c r="D1063" t="n">
        <x:v>8</x:v>
      </x:c>
      <x:c r="E1063" s="50" t="n">
        <x:v>19.5</x:v>
      </x:c>
      <x:c r="F1063" s="50" t="n">
        <x:v>324.84</x:v>
      </x:c>
      <x:c r="G1063" s="50" t="n">
        <x:v>-318.89</x:v>
      </x:c>
      <x:c r="H1063" s="50" t="n">
        <x:v>-42.61</x:v>
      </x:c>
      <x:c r="I1063" s="50" t="n">
        <x:v>48.34</x:v>
      </x:c>
      <x:c r="J1063" s="50" t="n">
        <x:v>1.33</x:v>
      </x:c>
      <x:c r="K1063" s="50" t="n">
        <x:v>-1.82</x:v>
      </x:c>
      <x:c r="L1063" s="50" t="n">
        <x:v>2.25</x:v>
      </x:c>
      <x:c r="M1063" s="50" t="n">
        <x:v>0.22</x:v>
      </x:c>
      <x:c r="N1063" t="str">
        <x:v>RELATÓRIO LEITURAS INCLINOMÉTRICAS - Empreitada THE EDEN, Estoril_ R10_09-12-25.pdf</x:v>
      </x:c>
      <x:c r="O1063" t="n">
        <x:v>40</x:v>
      </x:c>
    </x:row>
    <x:row r="1064">
      <x:c r="A1064" s="48" t="n">
        <x:v>45985</x:v>
      </x:c>
      <x:c r="B1064" t="n">
        <x:v>8</x:v>
      </x:c>
      <x:c r="C1064" t="str">
        <x:v>I2</x:v>
      </x:c>
      <x:c r="D1064" t="n">
        <x:v>8</x:v>
      </x:c>
      <x:c r="E1064" s="50" t="n">
        <x:v>20</x:v>
      </x:c>
      <x:c r="F1064" s="50" t="n">
        <x:v>190.58</x:v>
      </x:c>
      <x:c r="G1064" s="50" t="n">
        <x:v>-183.81</x:v>
      </x:c>
      <x:c r="H1064" s="50" t="n">
        <x:v>3.14</x:v>
      </x:c>
      <x:c r="I1064" s="50" t="n">
        <x:v>12.06</x:v>
      </x:c>
      <x:c r="J1064" s="50" t="n">
        <x:v>1.21</x:v>
      </x:c>
      <x:c r="K1064" s="50" t="n">
        <x:v>-1.72</x:v>
      </x:c>
      <x:c r="L1064" s="50" t="n">
        <x:v>2.11</x:v>
      </x:c>
      <x:c r="M1064" s="50" t="n">
        <x:v>0.19</x:v>
      </x:c>
      <x:c r="N1064" t="str">
        <x:v>RELATÓRIO LEITURAS INCLINOMÉTRICAS - Empreitada THE EDEN, Estoril_ R10_09-12-25.pdf</x:v>
      </x:c>
      <x:c r="O1064" t="n">
        <x:v>40</x:v>
      </x:c>
    </x:row>
    <x:row r="1065">
      <x:c r="A1065" s="48" t="n">
        <x:v>45985</x:v>
      </x:c>
      <x:c r="B1065" t="n">
        <x:v>8</x:v>
      </x:c>
      <x:c r="C1065" t="str">
        <x:v>I2</x:v>
      </x:c>
      <x:c r="D1065" t="n">
        <x:v>8</x:v>
      </x:c>
      <x:c r="E1065" s="50" t="n">
        <x:v>20.5</x:v>
      </x:c>
      <x:c r="F1065" s="50" t="n">
        <x:v>155.34</x:v>
      </x:c>
      <x:c r="G1065" s="50" t="n">
        <x:v>-149.19</x:v>
      </x:c>
      <x:c r="H1065" s="50" t="n">
        <x:v>-4.51</x:v>
      </x:c>
      <x:c r="I1065" s="50" t="n">
        <x:v>25.99</x:v>
      </x:c>
      <x:c r="J1065" s="50" t="n">
        <x:v>1.07</x:v>
      </x:c>
      <x:c r="K1065" s="50" t="n">
        <x:v>-1.52</x:v>
      </x:c>
      <x:c r="L1065" s="50" t="n">
        <x:v>1.86</x:v>
      </x:c>
      <x:c r="M1065" s="50" t="n">
        <x:v>0.2</x:v>
      </x:c>
      <x:c r="N1065" t="str">
        <x:v>RELATÓRIO LEITURAS INCLINOMÉTRICAS - Empreitada THE EDEN, Estoril_ R10_09-12-25.pdf</x:v>
      </x:c>
      <x:c r="O1065" t="n">
        <x:v>40</x:v>
      </x:c>
    </x:row>
    <x:row r="1066">
      <x:c r="A1066" s="48" t="n">
        <x:v>45985</x:v>
      </x:c>
      <x:c r="B1066" t="n">
        <x:v>8</x:v>
      </x:c>
      <x:c r="C1066" t="str">
        <x:v>I2</x:v>
      </x:c>
      <x:c r="D1066" t="n">
        <x:v>8</x:v>
      </x:c>
      <x:c r="E1066" s="50" t="n">
        <x:v>21</x:v>
      </x:c>
      <x:c r="F1066" s="50" t="n">
        <x:v>115.11</x:v>
      </x:c>
      <x:c r="G1066" s="50" t="n">
        <x:v>-107.75</x:v>
      </x:c>
      <x:c r="H1066" s="50" t="n">
        <x:v>-2.49</x:v>
      </x:c>
      <x:c r="I1066" s="50" t="n">
        <x:v>18.58</x:v>
      </x:c>
      <x:c r="J1066" s="50" t="n">
        <x:v>0.97</x:v>
      </x:c>
      <x:c r="K1066" s="50" t="n">
        <x:v>-1.51</x:v>
      </x:c>
      <x:c r="L1066" s="50" t="n">
        <x:v>1.79</x:v>
      </x:c>
      <x:c r="M1066" s="50" t="n">
        <x:v>0.34</x:v>
      </x:c>
      <x:c r="N1066" t="str">
        <x:v>RELATÓRIO LEITURAS INCLINOMÉTRICAS - Empreitada THE EDEN, Estoril_ R10_09-12-25.pdf</x:v>
      </x:c>
      <x:c r="O1066" t="n">
        <x:v>40</x:v>
      </x:c>
    </x:row>
    <x:row r="1067">
      <x:c r="A1067" s="48" t="n">
        <x:v>45985</x:v>
      </x:c>
      <x:c r="B1067" t="n">
        <x:v>8</x:v>
      </x:c>
      <x:c r="C1067" t="str">
        <x:v>I2</x:v>
      </x:c>
      <x:c r="D1067" t="n">
        <x:v>8</x:v>
      </x:c>
      <x:c r="E1067" s="50" t="n">
        <x:v>21.5</x:v>
      </x:c>
      <x:c r="F1067" s="50" t="n">
        <x:v>-13.9</x:v>
      </x:c>
      <x:c r="G1067" s="50" t="n">
        <x:v>22.32</x:v>
      </x:c>
      <x:c r="H1067" s="50" t="n">
        <x:v>-17.81</x:v>
      </x:c>
      <x:c r="I1067" s="50" t="n">
        <x:v>20.75</x:v>
      </x:c>
      <x:c r="J1067" s="50" t="n">
        <x:v>0.76</x:v>
      </x:c>
      <x:c r="K1067" s="50" t="n">
        <x:v>-1.57</x:v>
      </x:c>
      <x:c r="L1067" s="50" t="n">
        <x:v>1.74</x:v>
      </x:c>
      <x:c r="M1067" s="50" t="n">
        <x:v>0.27</x:v>
      </x:c>
      <x:c r="N1067" t="str">
        <x:v>RELATÓRIO LEITURAS INCLINOMÉTRICAS - Empreitada THE EDEN, Estoril_ R10_09-12-25.pdf</x:v>
      </x:c>
      <x:c r="O1067" t="n">
        <x:v>40</x:v>
      </x:c>
    </x:row>
    <x:row r="1068">
      <x:c r="A1068" s="48" t="n">
        <x:v>45985</x:v>
      </x:c>
      <x:c r="B1068" t="n">
        <x:v>8</x:v>
      </x:c>
      <x:c r="C1068" t="str">
        <x:v>I2</x:v>
      </x:c>
      <x:c r="D1068" t="n">
        <x:v>8</x:v>
      </x:c>
      <x:c r="E1068" s="50" t="n">
        <x:v>22</x:v>
      </x:c>
      <x:c r="F1068" s="50" t="n">
        <x:v>-58.71</x:v>
      </x:c>
      <x:c r="G1068" s="50" t="n">
        <x:v>65</x:v>
      </x:c>
      <x:c r="H1068" s="50" t="n">
        <x:v>-6.72</x:v>
      </x:c>
      <x:c r="I1068" s="50" t="n">
        <x:v>25.6</x:v>
      </x:c>
      <x:c r="J1068" s="50" t="n">
        <x:v>0.68</x:v>
      </x:c>
      <x:c r="K1068" s="50" t="n">
        <x:v>-1.34</x:v>
      </x:c>
      <x:c r="L1068" s="50" t="n">
        <x:v>1.5</x:v>
      </x:c>
      <x:c r="M1068" s="50" t="n">
        <x:v>0.25</x:v>
      </x:c>
      <x:c r="N1068" t="str">
        <x:v>RELATÓRIO LEITURAS INCLINOMÉTRICAS - Empreitada THE EDEN, Estoril_ R10_09-12-25.pdf</x:v>
      </x:c>
      <x:c r="O1068" t="n">
        <x:v>40</x:v>
      </x:c>
    </x:row>
    <x:row r="1069">
      <x:c r="A1069" s="48" t="n">
        <x:v>45985</x:v>
      </x:c>
      <x:c r="B1069" t="n">
        <x:v>8</x:v>
      </x:c>
      <x:c r="C1069" t="str">
        <x:v>I2</x:v>
      </x:c>
      <x:c r="D1069" t="n">
        <x:v>8</x:v>
      </x:c>
      <x:c r="E1069" s="50" t="n">
        <x:v>22.5</x:v>
      </x:c>
      <x:c r="F1069" s="50" t="n">
        <x:v>-46.01</x:v>
      </x:c>
      <x:c r="G1069" s="50" t="n">
        <x:v>54.39</x:v>
      </x:c>
      <x:c r="H1069" s="50" t="n">
        <x:v>-101.88</x:v>
      </x:c>
      <x:c r="I1069" s="50" t="n">
        <x:v>122.48</x:v>
      </x:c>
      <x:c r="J1069" s="50" t="n">
        <x:v>0.64</x:v>
      </x:c>
      <x:c r="K1069" s="50" t="n">
        <x:v>-1.26</x:v>
      </x:c>
      <x:c r="L1069" s="50" t="n">
        <x:v>1.42</x:v>
      </x:c>
      <x:c r="M1069" s="50" t="n">
        <x:v>0.24</x:v>
      </x:c>
      <x:c r="N1069" t="str">
        <x:v>RELATÓRIO LEITURAS INCLINOMÉTRICAS - Empreitada THE EDEN, Estoril_ R10_09-12-25.pdf</x:v>
      </x:c>
      <x:c r="O1069" t="n">
        <x:v>40</x:v>
      </x:c>
    </x:row>
    <x:row r="1070">
      <x:c r="A1070" s="48" t="n">
        <x:v>45985</x:v>
      </x:c>
      <x:c r="B1070" t="n">
        <x:v>8</x:v>
      </x:c>
      <x:c r="C1070" t="str">
        <x:v>I2</x:v>
      </x:c>
      <x:c r="D1070" t="n">
        <x:v>8</x:v>
      </x:c>
      <x:c r="E1070" s="50" t="n">
        <x:v>23</x:v>
      </x:c>
      <x:c r="F1070" s="50" t="n">
        <x:v>-59.02</x:v>
      </x:c>
      <x:c r="G1070" s="50" t="n">
        <x:v>63.05</x:v>
      </x:c>
      <x:c r="H1070" s="50" t="n">
        <x:v>-151.59</x:v>
      </x:c>
      <x:c r="I1070" s="50" t="n">
        <x:v>160.13</x:v>
      </x:c>
      <x:c r="J1070" s="50" t="n">
        <x:v>0.58</x:v>
      </x:c>
      <x:c r="K1070" s="50" t="n">
        <x:v>-1.02</x:v>
      </x:c>
      <x:c r="L1070" s="50" t="n">
        <x:v>1.17</x:v>
      </x:c>
      <x:c r="M1070" s="50" t="n">
        <x:v>0.24</x:v>
      </x:c>
      <x:c r="N1070" t="str">
        <x:v>RELATÓRIO LEITURAS INCLINOMÉTRICAS - Empreitada THE EDEN, Estoril_ R10_09-12-25.pdf</x:v>
      </x:c>
      <x:c r="O1070" t="n">
        <x:v>40</x:v>
      </x:c>
    </x:row>
    <x:row r="1071">
      <x:c r="A1071" s="48" t="n">
        <x:v>45985</x:v>
      </x:c>
      <x:c r="B1071" t="n">
        <x:v>8</x:v>
      </x:c>
      <x:c r="C1071" t="str">
        <x:v>I2</x:v>
      </x:c>
      <x:c r="D1071" t="n">
        <x:v>8</x:v>
      </x:c>
      <x:c r="E1071" s="50" t="n">
        <x:v>23.5</x:v>
      </x:c>
      <x:c r="F1071" s="50" t="n">
        <x:v>-124.62</x:v>
      </x:c>
      <x:c r="G1071" s="50" t="n">
        <x:v>135.53</x:v>
      </x:c>
      <x:c r="H1071" s="50" t="n">
        <x:v>-196.98</x:v>
      </x:c>
      <x:c r="I1071" s="50" t="n">
        <x:v>210.39</x:v>
      </x:c>
      <x:c r="J1071" s="50" t="n">
        <x:v>0.51</x:v>
      </x:c>
      <x:c r="K1071" s="50" t="n">
        <x:v>-0.8</x:v>
      </x:c>
      <x:c r="L1071" s="50" t="n">
        <x:v>0.95</x:v>
      </x:c>
      <x:c r="M1071" s="50" t="n">
        <x:v>0.1</x:v>
      </x:c>
      <x:c r="N1071" t="str">
        <x:v>RELATÓRIO LEITURAS INCLINOMÉTRICAS - Empreitada THE EDEN, Estoril_ R10_09-12-25.pdf</x:v>
      </x:c>
      <x:c r="O1071" t="n">
        <x:v>40</x:v>
      </x:c>
    </x:row>
    <x:row r="1072">
      <x:c r="A1072" s="48" t="n">
        <x:v>45985</x:v>
      </x:c>
      <x:c r="B1072" t="n">
        <x:v>8</x:v>
      </x:c>
      <x:c r="C1072" t="str">
        <x:v>I2</x:v>
      </x:c>
      <x:c r="D1072" t="n">
        <x:v>8</x:v>
      </x:c>
      <x:c r="E1072" s="50" t="n">
        <x:v>24</x:v>
      </x:c>
      <x:c r="F1072" s="50" t="n">
        <x:v>-157.54</x:v>
      </x:c>
      <x:c r="G1072" s="50" t="n">
        <x:v>164.44</x:v>
      </x:c>
      <x:c r="H1072" s="50" t="n">
        <x:v>-246.02</x:v>
      </x:c>
      <x:c r="I1072" s="50" t="n">
        <x:v>259.07</x:v>
      </x:c>
      <x:c r="J1072" s="50" t="n">
        <x:v>0.47</x:v>
      </x:c>
      <x:c r="K1072" s="50" t="n">
        <x:v>-0.8</x:v>
      </x:c>
      <x:c r="L1072" s="50" t="n">
        <x:v>0.93</x:v>
      </x:c>
      <x:c r="M1072" s="50" t="n">
        <x:v>0.04</x:v>
      </x:c>
      <x:c r="N1072" t="str">
        <x:v>RELATÓRIO LEITURAS INCLINOMÉTRICAS - Empreitada THE EDEN, Estoril_ R10_09-12-25.pdf</x:v>
      </x:c>
      <x:c r="O1072" t="n">
        <x:v>40</x:v>
      </x:c>
    </x:row>
    <x:row r="1073">
      <x:c r="A1073" s="48" t="n">
        <x:v>45985</x:v>
      </x:c>
      <x:c r="B1073" t="n">
        <x:v>8</x:v>
      </x:c>
      <x:c r="C1073" t="str">
        <x:v>I2</x:v>
      </x:c>
      <x:c r="D1073" t="n">
        <x:v>8</x:v>
      </x:c>
      <x:c r="E1073" s="50" t="n">
        <x:v>24.5</x:v>
      </x:c>
      <x:c r="F1073" s="50" t="n">
        <x:v>-53.67</x:v>
      </x:c>
      <x:c r="G1073" s="50" t="n">
        <x:v>57.28</x:v>
      </x:c>
      <x:c r="H1073" s="50" t="n">
        <x:v>-245.84</x:v>
      </x:c>
      <x:c r="I1073" s="50" t="n">
        <x:v>240.4</x:v>
      </x:c>
      <x:c r="J1073" s="50" t="n">
        <x:v>0.43</x:v>
      </x:c>
      <x:c r="K1073" s="50" t="n">
        <x:v>-0.63</x:v>
      </x:c>
      <x:c r="L1073" s="50" t="n">
        <x:v>0.76</x:v>
      </x:c>
      <x:c r="M1073" s="50" t="n">
        <x:v>-0.03</x:v>
      </x:c>
      <x:c r="N1073" t="str">
        <x:v>RELATÓRIO LEITURAS INCLINOMÉTRICAS - Empreitada THE EDEN, Estoril_ R10_09-12-25.pdf</x:v>
      </x:c>
      <x:c r="O1073" t="n">
        <x:v>40</x:v>
      </x:c>
    </x:row>
    <x:row r="1074">
      <x:c r="A1074" s="48" t="n">
        <x:v>45985</x:v>
      </x:c>
      <x:c r="B1074" t="n">
        <x:v>8</x:v>
      </x:c>
      <x:c r="C1074" t="str">
        <x:v>I2</x:v>
      </x:c>
      <x:c r="D1074" t="n">
        <x:v>8</x:v>
      </x:c>
      <x:c r="E1074" s="50" t="n">
        <x:v>25</x:v>
      </x:c>
      <x:c r="F1074" s="50" t="n">
        <x:v>42.24</x:v>
      </x:c>
      <x:c r="G1074" s="50" t="n">
        <x:v>-34.11</x:v>
      </x:c>
      <x:c r="H1074" s="50" t="n">
        <x:v>-227.96</x:v>
      </x:c>
      <x:c r="I1074" s="50" t="n">
        <x:v>223.85</x:v>
      </x:c>
      <x:c r="J1074" s="50" t="n">
        <x:v>0.34</x:v>
      </x:c>
      <x:c r="K1074" s="50" t="n">
        <x:v>-0.67</x:v>
      </x:c>
      <x:c r="L1074" s="50" t="n">
        <x:v>0.76</x:v>
      </x:c>
      <x:c r="M1074" s="50" t="n">
        <x:v>-0.05</x:v>
      </x:c>
      <x:c r="N1074" t="str">
        <x:v>RELATÓRIO LEITURAS INCLINOMÉTRICAS - Empreitada THE EDEN, Estoril_ R10_09-12-25.pdf</x:v>
      </x:c>
      <x:c r="O1074" t="n">
        <x:v>40</x:v>
      </x:c>
    </x:row>
    <x:row r="1075">
      <x:c r="A1075" s="48" t="n">
        <x:v>45985</x:v>
      </x:c>
      <x:c r="B1075" t="n">
        <x:v>8</x:v>
      </x:c>
      <x:c r="C1075" t="str">
        <x:v>I2</x:v>
      </x:c>
      <x:c r="D1075" t="n">
        <x:v>8</x:v>
      </x:c>
      <x:c r="E1075" s="50" t="n">
        <x:v>25.5</x:v>
      </x:c>
      <x:c r="F1075" s="50" t="n">
        <x:v>100.14</x:v>
      </x:c>
      <x:c r="G1075" s="50" t="n">
        <x:v>-92.83</x:v>
      </x:c>
      <x:c r="H1075" s="50" t="n">
        <x:v>-183.3</x:v>
      </x:c>
      <x:c r="I1075" s="50" t="n">
        <x:v>193.14</x:v>
      </x:c>
      <x:c r="J1075" s="50" t="n">
        <x:v>0.25</x:v>
      </x:c>
      <x:c r="K1075" s="50" t="n">
        <x:v>-0.51</x:v>
      </x:c>
      <x:c r="L1075" s="50" t="n">
        <x:v>0.56</x:v>
      </x:c>
      <x:c r="M1075" s="50" t="n">
        <x:v>-0.11</x:v>
      </x:c>
      <x:c r="N1075" t="str">
        <x:v>RELATÓRIO LEITURAS INCLINOMÉTRICAS - Empreitada THE EDEN, Estoril_ R10_09-12-25.pdf</x:v>
      </x:c>
      <x:c r="O1075" t="n">
        <x:v>40</x:v>
      </x:c>
    </x:row>
    <x:row r="1076">
      <x:c r="A1076" s="48" t="n">
        <x:v>45985</x:v>
      </x:c>
      <x:c r="B1076" t="n">
        <x:v>8</x:v>
      </x:c>
      <x:c r="C1076" t="str">
        <x:v>I2</x:v>
      </x:c>
      <x:c r="D1076" t="n">
        <x:v>8</x:v>
      </x:c>
      <x:c r="E1076" s="50" t="n">
        <x:v>26</x:v>
      </x:c>
      <x:c r="F1076" s="50" t="n">
        <x:v>145.79</x:v>
      </x:c>
      <x:c r="G1076" s="50" t="n">
        <x:v>-135.99</x:v>
      </x:c>
      <x:c r="H1076" s="50" t="n">
        <x:v>-241.54</x:v>
      </x:c>
      <x:c r="I1076" s="50" t="n">
        <x:v>243.08</x:v>
      </x:c>
      <x:c r="J1076" s="50" t="n">
        <x:v>0.19</x:v>
      </x:c>
      <x:c r="K1076" s="50" t="n">
        <x:v>-0.03</x:v>
      </x:c>
      <x:c r="L1076" s="50" t="n">
        <x:v>0.19</x:v>
      </x:c>
      <x:c r="M1076" s="50" t="n">
        <x:v>-0.08</x:v>
      </x:c>
      <x:c r="N1076" t="str">
        <x:v>RELATÓRIO LEITURAS INCLINOMÉTRICAS - Empreitada THE EDEN, Estoril_ R10_09-12-25.pdf</x:v>
      </x:c>
      <x:c r="O1076" t="n">
        <x:v>40</x:v>
      </x:c>
    </x:row>
    <x:row r="1077">
      <x:c r="A1077" s="48" t="n">
        <x:v>45985</x:v>
      </x:c>
      <x:c r="B1077" t="n">
        <x:v>8</x:v>
      </x:c>
      <x:c r="C1077" t="str">
        <x:v>I2</x:v>
      </x:c>
      <x:c r="D1077" t="n">
        <x:v>8</x:v>
      </x:c>
      <x:c r="E1077" s="50" t="n">
        <x:v>26.5</x:v>
      </x:c>
      <x:c r="F1077" s="50" t="n">
        <x:v>149.37</x:v>
      </x:c>
      <x:c r="G1077" s="50" t="n">
        <x:v>-143.2</x:v>
      </x:c>
      <x:c r="H1077" s="50" t="n">
        <x:v>-256.37</x:v>
      </x:c>
      <x:c r="I1077" s="50" t="n">
        <x:v>258.71</x:v>
      </x:c>
      <x:c r="J1077" s="50" t="n">
        <x:v>0.11</x:v>
      </x:c>
      <x:c r="K1077" s="50" t="n">
        <x:v>0.04</x:v>
      </x:c>
      <x:c r="L1077" s="50" t="n">
        <x:v>0.12</x:v>
      </x:c>
      <x:c r="M1077" s="50" t="n">
        <x:v>0.02</x:v>
      </x:c>
      <x:c r="N1077" t="str">
        <x:v>RELATÓRIO LEITURAS INCLINOMÉTRICAS - Empreitada THE EDEN, Estoril_ R10_09-12-25.pdf</x:v>
      </x:c>
      <x:c r="O1077" t="n">
        <x:v>40</x:v>
      </x:c>
    </x:row>
    <x:row r="1078">
      <x:c r="A1078" s="48" t="n">
        <x:v>45985</x:v>
      </x:c>
      <x:c r="B1078" t="n">
        <x:v>7</x:v>
      </x:c>
      <x:c r="C1078" t="str">
        <x:v>I3</x:v>
      </x:c>
      <x:c r="D1078" t="n">
        <x:v>7</x:v>
      </x:c>
      <x:c r="E1078" s="50" t="n">
        <x:v>0.5</x:v>
      </x:c>
      <x:c r="F1078" s="50" t="n">
        <x:v>411.7</x:v>
      </x:c>
      <x:c r="G1078" s="50" t="n">
        <x:v>-401.31</x:v>
      </x:c>
      <x:c r="H1078" s="50" t="n">
        <x:v>488.71</x:v>
      </x:c>
      <x:c r="I1078" s="50" t="n">
        <x:v>-480.41</x:v>
      </x:c>
      <x:c r="J1078" s="50" t="n">
        <x:v>0.93</x:v>
      </x:c>
      <x:c r="K1078" s="50" t="n">
        <x:v>-0.45</x:v>
      </x:c>
      <x:c r="L1078" s="50" t="n">
        <x:v>1.03</x:v>
      </x:c>
      <x:c r="M1078" s="50" t="n">
        <x:v>0.81</x:v>
      </x:c>
      <x:c r="N1078" t="str">
        <x:v>RELATÓRIO LEITURAS INCLINOMÉTRICAS - Empreitada THE EDEN, Estoril_ R10_09-12-25.pdf</x:v>
      </x:c>
      <x:c r="O1078" t="n">
        <x:v>58</x:v>
      </x:c>
    </x:row>
    <x:row r="1079">
      <x:c r="A1079" s="48" t="n">
        <x:v>45985</x:v>
      </x:c>
      <x:c r="B1079" t="n">
        <x:v>7</x:v>
      </x:c>
      <x:c r="C1079" t="str">
        <x:v>I3</x:v>
      </x:c>
      <x:c r="D1079" t="n">
        <x:v>7</x:v>
      </x:c>
      <x:c r="E1079" s="50" t="n">
        <x:v>1</x:v>
      </x:c>
      <x:c r="F1079" s="50" t="n">
        <x:v>411.59</x:v>
      </x:c>
      <x:c r="G1079" s="50" t="n">
        <x:v>-401.37</x:v>
      </x:c>
      <x:c r="H1079" s="50" t="n">
        <x:v>489.21</x:v>
      </x:c>
      <x:c r="I1079" s="50" t="n">
        <x:v>-480.36</x:v>
      </x:c>
      <x:c r="J1079" s="50" t="n">
        <x:v>1.01</x:v>
      </x:c>
      <x:c r="K1079" s="50" t="n">
        <x:v>-0.47</x:v>
      </x:c>
      <x:c r="L1079" s="50" t="n">
        <x:v>1.11</x:v>
      </x:c>
      <x:c r="M1079" s="50" t="n">
        <x:v>0.75</x:v>
      </x:c>
      <x:c r="N1079" t="str">
        <x:v>RELATÓRIO LEITURAS INCLINOMÉTRICAS - Empreitada THE EDEN, Estoril_ R10_09-12-25.pdf</x:v>
      </x:c>
      <x:c r="O1079" t="n">
        <x:v>58</x:v>
      </x:c>
    </x:row>
    <x:row r="1080">
      <x:c r="A1080" s="48" t="n">
        <x:v>45985</x:v>
      </x:c>
      <x:c r="B1080" t="n">
        <x:v>7</x:v>
      </x:c>
      <x:c r="C1080" t="str">
        <x:v>I3</x:v>
      </x:c>
      <x:c r="D1080" t="n">
        <x:v>7</x:v>
      </x:c>
      <x:c r="E1080" s="50" t="n">
        <x:v>1.5</x:v>
      </x:c>
      <x:c r="F1080" s="50" t="n">
        <x:v>441.59</x:v>
      </x:c>
      <x:c r="G1080" s="50" t="n">
        <x:v>-436.11</x:v>
      </x:c>
      <x:c r="H1080" s="50" t="n">
        <x:v>407.44</x:v>
      </x:c>
      <x:c r="I1080" s="50" t="n">
        <x:v>-400.3</x:v>
      </x:c>
      <x:c r="J1080" s="50" t="n">
        <x:v>1.1</x:v>
      </x:c>
      <x:c r="K1080" s="50" t="n">
        <x:v>-0.48</x:v>
      </x:c>
      <x:c r="L1080" s="50" t="n">
        <x:v>1.2</x:v>
      </x:c>
      <x:c r="M1080" s="50" t="n">
        <x:v>0.67</x:v>
      </x:c>
      <x:c r="N1080" t="str">
        <x:v>RELATÓRIO LEITURAS INCLINOMÉTRICAS - Empreitada THE EDEN, Estoril_ R10_09-12-25.pdf</x:v>
      </x:c>
      <x:c r="O1080" t="n">
        <x:v>58</x:v>
      </x:c>
    </x:row>
    <x:row r="1081">
      <x:c r="A1081" s="48" t="n">
        <x:v>45985</x:v>
      </x:c>
      <x:c r="B1081" t="n">
        <x:v>7</x:v>
      </x:c>
      <x:c r="C1081" t="str">
        <x:v>I3</x:v>
      </x:c>
      <x:c r="D1081" t="n">
        <x:v>7</x:v>
      </x:c>
      <x:c r="E1081" s="50" t="n">
        <x:v>2</x:v>
      </x:c>
      <x:c r="F1081" s="50" t="n">
        <x:v>500.87</x:v>
      </x:c>
      <x:c r="G1081" s="50" t="n">
        <x:v>-494.19</x:v>
      </x:c>
      <x:c r="H1081" s="50" t="n">
        <x:v>238.16</x:v>
      </x:c>
      <x:c r="I1081" s="50" t="n">
        <x:v>-224.74</x:v>
      </x:c>
      <x:c r="J1081" s="50" t="n">
        <x:v>1.18</x:v>
      </x:c>
      <x:c r="K1081" s="50" t="n">
        <x:v>-0.63</x:v>
      </x:c>
      <x:c r="L1081" s="50" t="n">
        <x:v>1.34</x:v>
      </x:c>
      <x:c r="M1081" s="50" t="n">
        <x:v>0.65</x:v>
      </x:c>
      <x:c r="N1081" t="str">
        <x:v>RELATÓRIO LEITURAS INCLINOMÉTRICAS - Empreitada THE EDEN, Estoril_ R10_09-12-25.pdf</x:v>
      </x:c>
      <x:c r="O1081" t="n">
        <x:v>58</x:v>
      </x:c>
    </x:row>
    <x:row r="1082">
      <x:c r="A1082" s="48" t="n">
        <x:v>45985</x:v>
      </x:c>
      <x:c r="B1082" t="n">
        <x:v>7</x:v>
      </x:c>
      <x:c r="C1082" t="str">
        <x:v>I3</x:v>
      </x:c>
      <x:c r="D1082" t="n">
        <x:v>7</x:v>
      </x:c>
      <x:c r="E1082" s="50" t="n">
        <x:v>2.5</x:v>
      </x:c>
      <x:c r="F1082" s="50" t="n">
        <x:v>453.51</x:v>
      </x:c>
      <x:c r="G1082" s="50" t="n">
        <x:v>-447.02</x:v>
      </x:c>
      <x:c r="H1082" s="50" t="n">
        <x:v>142.08</x:v>
      </x:c>
      <x:c r="I1082" s="50" t="n">
        <x:v>-116.87</x:v>
      </x:c>
      <x:c r="J1082" s="50" t="n">
        <x:v>1.31</x:v>
      </x:c>
      <x:c r="K1082" s="50" t="n">
        <x:v>-0.84</x:v>
      </x:c>
      <x:c r="L1082" s="50" t="n">
        <x:v>1.56</x:v>
      </x:c>
      <x:c r="M1082" s="50" t="n">
        <x:v>0.69</x:v>
      </x:c>
      <x:c r="N1082" t="str">
        <x:v>RELATÓRIO LEITURAS INCLINOMÉTRICAS - Empreitada THE EDEN, Estoril_ R10_09-12-25.pdf</x:v>
      </x:c>
      <x:c r="O1082" t="n">
        <x:v>58</x:v>
      </x:c>
    </x:row>
    <x:row r="1083">
      <x:c r="A1083" s="48" t="n">
        <x:v>45985</x:v>
      </x:c>
      <x:c r="B1083" t="n">
        <x:v>7</x:v>
      </x:c>
      <x:c r="C1083" t="str">
        <x:v>I3</x:v>
      </x:c>
      <x:c r="D1083" t="n">
        <x:v>7</x:v>
      </x:c>
      <x:c r="E1083" s="50" t="n">
        <x:v>3</x:v>
      </x:c>
      <x:c r="F1083" s="50" t="n">
        <x:v>402.8</x:v>
      </x:c>
      <x:c r="G1083" s="50" t="n">
        <x:v>-394.67</x:v>
      </x:c>
      <x:c r="H1083" s="50" t="n">
        <x:v>-9.3</x:v>
      </x:c>
      <x:c r="I1083" s="50" t="n">
        <x:v>21.17</x:v>
      </x:c>
      <x:c r="J1083" s="50" t="n">
        <x:v>1.42</x:v>
      </x:c>
      <x:c r="K1083" s="50" t="n">
        <x:v>-0.73</x:v>
      </x:c>
      <x:c r="L1083" s="50" t="n">
        <x:v>1.6</x:v>
      </x:c>
      <x:c r="M1083" s="50" t="n">
        <x:v>0.47</x:v>
      </x:c>
      <x:c r="N1083" t="str">
        <x:v>RELATÓRIO LEITURAS INCLINOMÉTRICAS - Empreitada THE EDEN, Estoril_ R10_09-12-25.pdf</x:v>
      </x:c>
      <x:c r="O1083" t="n">
        <x:v>58</x:v>
      </x:c>
    </x:row>
    <x:row r="1084">
      <x:c r="A1084" s="48" t="n">
        <x:v>45985</x:v>
      </x:c>
      <x:c r="B1084" t="n">
        <x:v>7</x:v>
      </x:c>
      <x:c r="C1084" t="str">
        <x:v>I3</x:v>
      </x:c>
      <x:c r="D1084" t="n">
        <x:v>7</x:v>
      </x:c>
      <x:c r="E1084" s="50" t="n">
        <x:v>3.5</x:v>
      </x:c>
      <x:c r="F1084" s="50" t="n">
        <x:v>359.96</x:v>
      </x:c>
      <x:c r="G1084" s="50" t="n">
        <x:v>-353.3</x:v>
      </x:c>
      <x:c r="H1084" s="50" t="n">
        <x:v>-83.08</x:v>
      </x:c>
      <x:c r="I1084" s="50" t="n">
        <x:v>96.49</x:v>
      </x:c>
      <x:c r="J1084" s="50" t="n">
        <x:v>1.55</x:v>
      </x:c>
      <x:c r="K1084" s="50" t="n">
        <x:v>-0.99</x:v>
      </x:c>
      <x:c r="L1084" s="50" t="n">
        <x:v>1.84</x:v>
      </x:c>
      <x:c r="M1084" s="50" t="n">
        <x:v>0.42</x:v>
      </x:c>
      <x:c r="N1084" t="str">
        <x:v>RELATÓRIO LEITURAS INCLINOMÉTRICAS - Empreitada THE EDEN, Estoril_ R10_09-12-25.pdf</x:v>
      </x:c>
      <x:c r="O1084" t="n">
        <x:v>58</x:v>
      </x:c>
    </x:row>
    <x:row r="1085">
      <x:c r="A1085" s="48" t="n">
        <x:v>45985</x:v>
      </x:c>
      <x:c r="B1085" t="n">
        <x:v>7</x:v>
      </x:c>
      <x:c r="C1085" t="str">
        <x:v>I3</x:v>
      </x:c>
      <x:c r="D1085" t="n">
        <x:v>7</x:v>
      </x:c>
      <x:c r="E1085" s="50" t="n">
        <x:v>4</x:v>
      </x:c>
      <x:c r="F1085" s="50" t="n">
        <x:v>350.64</x:v>
      </x:c>
      <x:c r="G1085" s="50" t="n">
        <x:v>-342.5</x:v>
      </x:c>
      <x:c r="H1085" s="50" t="n">
        <x:v>-102.7</x:v>
      </x:c>
      <x:c r="I1085" s="50" t="n">
        <x:v>118.3</x:v>
      </x:c>
      <x:c r="J1085" s="50" t="n">
        <x:v>1.63</x:v>
      </x:c>
      <x:c r="K1085" s="50" t="n">
        <x:v>-0.84</x:v>
      </x:c>
      <x:c r="L1085" s="50" t="n">
        <x:v>1.84</x:v>
      </x:c>
      <x:c r="M1085" s="50" t="n">
        <x:v>0.5</x:v>
      </x:c>
      <x:c r="N1085" t="str">
        <x:v>RELATÓRIO LEITURAS INCLINOMÉTRICAS - Empreitada THE EDEN, Estoril_ R10_09-12-25.pdf</x:v>
      </x:c>
      <x:c r="O1085" t="n">
        <x:v>58</x:v>
      </x:c>
    </x:row>
    <x:row r="1086">
      <x:c r="A1086" s="48" t="n">
        <x:v>45985</x:v>
      </x:c>
      <x:c r="B1086" t="n">
        <x:v>7</x:v>
      </x:c>
      <x:c r="C1086" t="str">
        <x:v>I3</x:v>
      </x:c>
      <x:c r="D1086" t="n">
        <x:v>7</x:v>
      </x:c>
      <x:c r="E1086" s="50" t="n">
        <x:v>4.5</x:v>
      </x:c>
      <x:c r="F1086" s="50" t="n">
        <x:v>353.17</x:v>
      </x:c>
      <x:c r="G1086" s="50" t="n">
        <x:v>-343.84</x:v>
      </x:c>
      <x:c r="H1086" s="50" t="n">
        <x:v>-104.57</x:v>
      </x:c>
      <x:c r="I1086" s="50" t="n">
        <x:v>120.39</x:v>
      </x:c>
      <x:c r="J1086" s="50" t="n">
        <x:v>1.76</x:v>
      </x:c>
      <x:c r="K1086" s="50" t="n">
        <x:v>-0.78</x:v>
      </x:c>
      <x:c r="L1086" s="50" t="n">
        <x:v>1.92</x:v>
      </x:c>
      <x:c r="M1086" s="50" t="n">
        <x:v>0.61</x:v>
      </x:c>
      <x:c r="N1086" t="str">
        <x:v>RELATÓRIO LEITURAS INCLINOMÉTRICAS - Empreitada THE EDEN, Estoril_ R10_09-12-25.pdf</x:v>
      </x:c>
      <x:c r="O1086" t="n">
        <x:v>58</x:v>
      </x:c>
    </x:row>
    <x:row r="1087">
      <x:c r="A1087" s="48" t="n">
        <x:v>45985</x:v>
      </x:c>
      <x:c r="B1087" t="n">
        <x:v>7</x:v>
      </x:c>
      <x:c r="C1087" t="str">
        <x:v>I3</x:v>
      </x:c>
      <x:c r="D1087" t="n">
        <x:v>7</x:v>
      </x:c>
      <x:c r="E1087" s="50" t="n">
        <x:v>5</x:v>
      </x:c>
      <x:c r="F1087" s="50" t="n">
        <x:v>285.51</x:v>
      </x:c>
      <x:c r="G1087" s="50" t="n">
        <x:v>-277.63</x:v>
      </x:c>
      <x:c r="H1087" s="50" t="n">
        <x:v>-67.53</x:v>
      </x:c>
      <x:c r="I1087" s="50" t="n">
        <x:v>87.04</x:v>
      </x:c>
      <x:c r="J1087" s="50" t="n">
        <x:v>1.86</x:v>
      </x:c>
      <x:c r="K1087" s="50" t="n">
        <x:v>-0.8</x:v>
      </x:c>
      <x:c r="L1087" s="50" t="n">
        <x:v>2.02</x:v>
      </x:c>
      <x:c r="M1087" s="50" t="n">
        <x:v>0.62</x:v>
      </x:c>
      <x:c r="N1087" t="str">
        <x:v>RELATÓRIO LEITURAS INCLINOMÉTRICAS - Empreitada THE EDEN, Estoril_ R10_09-12-25.pdf</x:v>
      </x:c>
      <x:c r="O1087" t="n">
        <x:v>58</x:v>
      </x:c>
    </x:row>
    <x:row r="1088">
      <x:c r="A1088" s="48" t="n">
        <x:v>45985</x:v>
      </x:c>
      <x:c r="B1088" t="n">
        <x:v>7</x:v>
      </x:c>
      <x:c r="C1088" t="str">
        <x:v>I3</x:v>
      </x:c>
      <x:c r="D1088" t="n">
        <x:v>7</x:v>
      </x:c>
      <x:c r="E1088" s="50" t="n">
        <x:v>5.5</x:v>
      </x:c>
      <x:c r="F1088" s="50" t="n">
        <x:v>203.35</x:v>
      </x:c>
      <x:c r="G1088" s="50" t="n">
        <x:v>-193.04</x:v>
      </x:c>
      <x:c r="H1088" s="50" t="n">
        <x:v>-17.42</x:v>
      </x:c>
      <x:c r="I1088" s="50" t="n">
        <x:v>31.37</x:v>
      </x:c>
      <x:c r="J1088" s="50" t="n">
        <x:v>1.84</x:v>
      </x:c>
      <x:c r="K1088" s="50" t="n">
        <x:v>-0.97</x:v>
      </x:c>
      <x:c r="L1088" s="50" t="n">
        <x:v>2.08</x:v>
      </x:c>
      <x:c r="M1088" s="50" t="n">
        <x:v>0.48</x:v>
      </x:c>
      <x:c r="N1088" t="str">
        <x:v>RELATÓRIO LEITURAS INCLINOMÉTRICAS - Empreitada THE EDEN, Estoril_ R10_09-12-25.pdf</x:v>
      </x:c>
      <x:c r="O1088" t="n">
        <x:v>58</x:v>
      </x:c>
    </x:row>
    <x:row r="1089">
      <x:c r="A1089" s="48" t="n">
        <x:v>45985</x:v>
      </x:c>
      <x:c r="B1089" t="n">
        <x:v>7</x:v>
      </x:c>
      <x:c r="C1089" t="str">
        <x:v>I3</x:v>
      </x:c>
      <x:c r="D1089" t="n">
        <x:v>7</x:v>
      </x:c>
      <x:c r="E1089" s="50" t="n">
        <x:v>6</x:v>
      </x:c>
      <x:c r="F1089" s="50" t="n">
        <x:v>167.5</x:v>
      </x:c>
      <x:c r="G1089" s="50" t="n">
        <x:v>-160.68</x:v>
      </x:c>
      <x:c r="H1089" s="50" t="n">
        <x:v>20.48</x:v>
      </x:c>
      <x:c r="I1089" s="50" t="n">
        <x:v>-18.76</x:v>
      </x:c>
      <x:c r="J1089" s="50" t="n">
        <x:v>1.82</x:v>
      </x:c>
      <x:c r="K1089" s="50" t="n">
        <x:v>-0.94</x:v>
      </x:c>
      <x:c r="L1089" s="50" t="n">
        <x:v>2.05</x:v>
      </x:c>
      <x:c r="M1089" s="50" t="n">
        <x:v>0.5</x:v>
      </x:c>
      <x:c r="N1089" t="str">
        <x:v>RELATÓRIO LEITURAS INCLINOMÉTRICAS - Empreitada THE EDEN, Estoril_ R10_09-12-25.pdf</x:v>
      </x:c>
      <x:c r="O1089" t="n">
        <x:v>58</x:v>
      </x:c>
    </x:row>
    <x:row r="1090">
      <x:c r="A1090" s="48" t="n">
        <x:v>45985</x:v>
      </x:c>
      <x:c r="B1090" t="n">
        <x:v>7</x:v>
      </x:c>
      <x:c r="C1090" t="str">
        <x:v>I3</x:v>
      </x:c>
      <x:c r="D1090" t="n">
        <x:v>7</x:v>
      </x:c>
      <x:c r="E1090" s="50" t="n">
        <x:v>6.5</x:v>
      </x:c>
      <x:c r="F1090" s="50" t="n">
        <x:v>171.73</x:v>
      </x:c>
      <x:c r="G1090" s="50" t="n">
        <x:v>-162.76</x:v>
      </x:c>
      <x:c r="H1090" s="50" t="n">
        <x:v>76.67</x:v>
      </x:c>
      <x:c r="I1090" s="50" t="n">
        <x:v>-77.2</x:v>
      </x:c>
      <x:c r="J1090" s="50" t="n">
        <x:v>1.8</x:v>
      </x:c>
      <x:c r="K1090" s="50" t="n">
        <x:v>-1.02</x:v>
      </x:c>
      <x:c r="L1090" s="50" t="n">
        <x:v>2.07</x:v>
      </x:c>
      <x:c r="M1090" s="50" t="n">
        <x:v>0.36</x:v>
      </x:c>
      <x:c r="N1090" t="str">
        <x:v>RELATÓRIO LEITURAS INCLINOMÉTRICAS - Empreitada THE EDEN, Estoril_ R10_09-12-25.pdf</x:v>
      </x:c>
      <x:c r="O1090" t="n">
        <x:v>58</x:v>
      </x:c>
    </x:row>
    <x:row r="1091">
      <x:c r="A1091" s="48" t="n">
        <x:v>45985</x:v>
      </x:c>
      <x:c r="B1091" t="n">
        <x:v>7</x:v>
      </x:c>
      <x:c r="C1091" t="str">
        <x:v>I3</x:v>
      </x:c>
      <x:c r="D1091" t="n">
        <x:v>7</x:v>
      </x:c>
      <x:c r="E1091" s="50" t="n">
        <x:v>7</x:v>
      </x:c>
      <x:c r="F1091" s="50" t="n">
        <x:v>134.11</x:v>
      </x:c>
      <x:c r="G1091" s="50" t="n">
        <x:v>-126.46</x:v>
      </x:c>
      <x:c r="H1091" s="50" t="n">
        <x:v>137.49</x:v>
      </x:c>
      <x:c r="I1091" s="50" t="n">
        <x:v>-132.4</x:v>
      </x:c>
      <x:c r="J1091" s="50" t="n">
        <x:v>1.77</x:v>
      </x:c>
      <x:c r="K1091" s="50" t="n">
        <x:v>-0.9</x:v>
      </x:c>
      <x:c r="L1091" s="50" t="n">
        <x:v>1.99</x:v>
      </x:c>
      <x:c r="M1091" s="50" t="n">
        <x:v>0.2</x:v>
      </x:c>
      <x:c r="N1091" t="str">
        <x:v>RELATÓRIO LEITURAS INCLINOMÉTRICAS - Empreitada THE EDEN, Estoril_ R10_09-12-25.pdf</x:v>
      </x:c>
      <x:c r="O1091" t="n">
        <x:v>58</x:v>
      </x:c>
    </x:row>
    <x:row r="1092">
      <x:c r="A1092" s="48" t="n">
        <x:v>45985</x:v>
      </x:c>
      <x:c r="B1092" t="n">
        <x:v>7</x:v>
      </x:c>
      <x:c r="C1092" t="str">
        <x:v>I3</x:v>
      </x:c>
      <x:c r="D1092" t="n">
        <x:v>7</x:v>
      </x:c>
      <x:c r="E1092" s="50" t="n">
        <x:v>7.5</x:v>
      </x:c>
      <x:c r="F1092" s="50" t="n">
        <x:v>93.88</x:v>
      </x:c>
      <x:c r="G1092" s="50" t="n">
        <x:v>-85.75</x:v>
      </x:c>
      <x:c r="H1092" s="50" t="n">
        <x:v>211.55</x:v>
      </x:c>
      <x:c r="I1092" s="50" t="n">
        <x:v>-205.07</x:v>
      </x:c>
      <x:c r="J1092" s="50" t="n">
        <x:v>1.74</x:v>
      </x:c>
      <x:c r="K1092" s="50" t="n">
        <x:v>-0.9</x:v>
      </x:c>
      <x:c r="L1092" s="50" t="n">
        <x:v>1.96</x:v>
      </x:c>
      <x:c r="M1092" s="50" t="n">
        <x:v>1.96</x:v>
      </x:c>
      <x:c r="N1092" t="str">
        <x:v>RELATÓRIO LEITURAS INCLINOMÉTRICAS - Empreitada THE EDEN, Estoril_ R10_09-12-25.pdf</x:v>
      </x:c>
      <x:c r="O1092" t="n">
        <x:v>58</x:v>
      </x:c>
    </x:row>
    <x:row r="1093">
      <x:c r="A1093" s="48" t="n">
        <x:v>45985</x:v>
      </x:c>
      <x:c r="B1093" t="n">
        <x:v>7</x:v>
      </x:c>
      <x:c r="C1093" t="str">
        <x:v>I3</x:v>
      </x:c>
      <x:c r="D1093" t="n">
        <x:v>7</x:v>
      </x:c>
      <x:c r="E1093" s="50" t="n">
        <x:v>8</x:v>
      </x:c>
      <x:c r="F1093" s="50" t="n">
        <x:v>96.25</x:v>
      </x:c>
      <x:c r="G1093" s="50" t="n">
        <x:v>-91.51</x:v>
      </x:c>
      <x:c r="H1093" s="50" t="n">
        <x:v>238.68</x:v>
      </x:c>
      <x:c r="I1093" s="50" t="n">
        <x:v>-236.14</x:v>
      </x:c>
      <x:c r="J1093" s="50" t="n">
        <x:v>1.71</x:v>
      </x:c>
      <x:c r="K1093" s="50" t="n">
        <x:v>-0.71</x:v>
      </x:c>
      <x:c r="L1093" s="50" t="n">
        <x:v>1.85</x:v>
      </x:c>
      <x:c r="M1093" s="50" t="n">
        <x:v>0.18</x:v>
      </x:c>
      <x:c r="N1093" t="str">
        <x:v>RELATÓRIO LEITURAS INCLINOMÉTRICAS - Empreitada THE EDEN, Estoril_ R10_09-12-25.pdf</x:v>
      </x:c>
      <x:c r="O1093" t="n">
        <x:v>58</x:v>
      </x:c>
    </x:row>
    <x:row r="1094">
      <x:c r="A1094" s="48" t="n">
        <x:v>45985</x:v>
      </x:c>
      <x:c r="B1094" t="n">
        <x:v>7</x:v>
      </x:c>
      <x:c r="C1094" t="str">
        <x:v>I3</x:v>
      </x:c>
      <x:c r="D1094" t="n">
        <x:v>7</x:v>
      </x:c>
      <x:c r="E1094" s="50" t="n">
        <x:v>8.5</x:v>
      </x:c>
      <x:c r="F1094" s="50" t="n">
        <x:v>127.45</x:v>
      </x:c>
      <x:c r="G1094" s="50" t="n">
        <x:v>-121.07</x:v>
      </x:c>
      <x:c r="H1094" s="50" t="n">
        <x:v>326.54</x:v>
      </x:c>
      <x:c r="I1094" s="50" t="n">
        <x:v>-315.84</x:v>
      </x:c>
      <x:c r="J1094" s="50" t="n">
        <x:v>1.71</x:v>
      </x:c>
      <x:c r="K1094" s="50" t="n">
        <x:v>-0.76</x:v>
      </x:c>
      <x:c r="L1094" s="50" t="n">
        <x:v>1.87</x:v>
      </x:c>
      <x:c r="M1094" s="50" t="n">
        <x:v>0.08</x:v>
      </x:c>
      <x:c r="N1094" t="str">
        <x:v>RELATÓRIO LEITURAS INCLINOMÉTRICAS - Empreitada THE EDEN, Estoril_ R10_09-12-25.pdf</x:v>
      </x:c>
      <x:c r="O1094" t="n">
        <x:v>58</x:v>
      </x:c>
    </x:row>
    <x:row r="1095">
      <x:c r="A1095" s="48" t="n">
        <x:v>45985</x:v>
      </x:c>
      <x:c r="B1095" t="n">
        <x:v>7</x:v>
      </x:c>
      <x:c r="C1095" t="str">
        <x:v>I3</x:v>
      </x:c>
      <x:c r="D1095" t="n">
        <x:v>7</x:v>
      </x:c>
      <x:c r="E1095" s="50" t="n">
        <x:v>9</x:v>
      </x:c>
      <x:c r="F1095" s="50" t="n">
        <x:v>178.43</x:v>
      </x:c>
      <x:c r="G1095" s="50" t="n">
        <x:v>-169.64</x:v>
      </x:c>
      <x:c r="H1095" s="50" t="n">
        <x:v>373.32</x:v>
      </x:c>
      <x:c r="I1095" s="50" t="n">
        <x:v>-368.56</x:v>
      </x:c>
      <x:c r="J1095" s="50" t="n">
        <x:v>1.71</x:v>
      </x:c>
      <x:c r="K1095" s="50" t="n">
        <x:v>-0.55</x:v>
      </x:c>
      <x:c r="L1095" s="50" t="n">
        <x:v>1.8</x:v>
      </x:c>
      <x:c r="M1095" s="50" t="n">
        <x:v>0.14</x:v>
      </x:c>
      <x:c r="N1095" t="str">
        <x:v>RELATÓRIO LEITURAS INCLINOMÉTRICAS - Empreitada THE EDEN, Estoril_ R10_09-12-25.pdf</x:v>
      </x:c>
      <x:c r="O1095" t="n">
        <x:v>58</x:v>
      </x:c>
    </x:row>
    <x:row r="1096">
      <x:c r="A1096" s="48" t="n">
        <x:v>45985</x:v>
      </x:c>
      <x:c r="B1096" t="n">
        <x:v>7</x:v>
      </x:c>
      <x:c r="C1096" t="str">
        <x:v>I3</x:v>
      </x:c>
      <x:c r="D1096" t="n">
        <x:v>7</x:v>
      </x:c>
      <x:c r="E1096" s="50" t="n">
        <x:v>9.5</x:v>
      </x:c>
      <x:c r="F1096" s="50" t="n">
        <x:v>160.71</x:v>
      </x:c>
      <x:c r="G1096" s="50" t="n">
        <x:v>-156.95</x:v>
      </x:c>
      <x:c r="H1096" s="50" t="n">
        <x:v>432.1</x:v>
      </x:c>
      <x:c r="I1096" s="50" t="n">
        <x:v>-416.08</x:v>
      </x:c>
      <x:c r="J1096" s="50" t="n">
        <x:v>1.7</x:v>
      </x:c>
      <x:c r="K1096" s="50" t="n">
        <x:v>-0.38</x:v>
      </x:c>
      <x:c r="L1096" s="50" t="n">
        <x:v>1.74</x:v>
      </x:c>
      <x:c r="M1096" s="50" t="n">
        <x:v>0.23</x:v>
      </x:c>
      <x:c r="N1096" t="str">
        <x:v>RELATÓRIO LEITURAS INCLINOMÉTRICAS - Empreitada THE EDEN, Estoril_ R10_09-12-25.pdf</x:v>
      </x:c>
      <x:c r="O1096" t="n">
        <x:v>58</x:v>
      </x:c>
    </x:row>
    <x:row r="1097">
      <x:c r="A1097" s="48" t="n">
        <x:v>45985</x:v>
      </x:c>
      <x:c r="B1097" t="n">
        <x:v>7</x:v>
      </x:c>
      <x:c r="C1097" t="str">
        <x:v>I3</x:v>
      </x:c>
      <x:c r="D1097" t="n">
        <x:v>7</x:v>
      </x:c>
      <x:c r="E1097" s="50" t="n">
        <x:v>10</x:v>
      </x:c>
      <x:c r="F1097" s="50" t="n">
        <x:v>144.3</x:v>
      </x:c>
      <x:c r="G1097" s="50" t="n">
        <x:v>-138.74</x:v>
      </x:c>
      <x:c r="H1097" s="50" t="n">
        <x:v>443.42</x:v>
      </x:c>
      <x:c r="I1097" s="50" t="n">
        <x:v>-432.57</x:v>
      </x:c>
      <x:c r="J1097" s="50" t="n">
        <x:v>1.63</x:v>
      </x:c>
      <x:c r="K1097" s="50" t="n">
        <x:v>-0.15</x:v>
      </x:c>
      <x:c r="L1097" s="50" t="n">
        <x:v>1.63</x:v>
      </x:c>
      <x:c r="M1097" s="50" t="n">
        <x:v>0.34</x:v>
      </x:c>
      <x:c r="N1097" t="str">
        <x:v>RELATÓRIO LEITURAS INCLINOMÉTRICAS - Empreitada THE EDEN, Estoril_ R10_09-12-25.pdf</x:v>
      </x:c>
      <x:c r="O1097" t="n">
        <x:v>58</x:v>
      </x:c>
    </x:row>
    <x:row r="1098">
      <x:c r="A1098" s="48" t="n">
        <x:v>45985</x:v>
      </x:c>
      <x:c r="B1098" t="n">
        <x:v>7</x:v>
      </x:c>
      <x:c r="C1098" t="str">
        <x:v>I3</x:v>
      </x:c>
      <x:c r="D1098" t="n">
        <x:v>7</x:v>
      </x:c>
      <x:c r="E1098" s="50" t="n">
        <x:v>10.5</x:v>
      </x:c>
      <x:c r="F1098" s="50" t="n">
        <x:v>331.18</x:v>
      </x:c>
      <x:c r="G1098" s="50" t="n">
        <x:v>-323.94</x:v>
      </x:c>
      <x:c r="H1098" s="50" t="n">
        <x:v>464.9</x:v>
      </x:c>
      <x:c r="I1098" s="50" t="n">
        <x:v>-450.45</x:v>
      </x:c>
      <x:c r="J1098" s="50" t="n">
        <x:v>1.61</x:v>
      </x:c>
      <x:c r="K1098" s="50" t="n">
        <x:v>-0.25</x:v>
      </x:c>
      <x:c r="L1098" s="50" t="n">
        <x:v>1.63</x:v>
      </x:c>
      <x:c r="M1098" s="50" t="n">
        <x:v>0.31</x:v>
      </x:c>
      <x:c r="N1098" t="str">
        <x:v>RELATÓRIO LEITURAS INCLINOMÉTRICAS - Empreitada THE EDEN, Estoril_ R10_09-12-25.pdf</x:v>
      </x:c>
      <x:c r="O1098" t="n">
        <x:v>58</x:v>
      </x:c>
    </x:row>
    <x:row r="1099">
      <x:c r="A1099" s="48" t="n">
        <x:v>45985</x:v>
      </x:c>
      <x:c r="B1099" t="n">
        <x:v>7</x:v>
      </x:c>
      <x:c r="C1099" t="str">
        <x:v>I3</x:v>
      </x:c>
      <x:c r="D1099" t="n">
        <x:v>7</x:v>
      </x:c>
      <x:c r="E1099" s="50" t="n">
        <x:v>11</x:v>
      </x:c>
      <x:c r="F1099" s="50" t="n">
        <x:v>343.56</x:v>
      </x:c>
      <x:c r="G1099" s="50" t="n">
        <x:v>-336.73</x:v>
      </x:c>
      <x:c r="H1099" s="50" t="n">
        <x:v>447.24</x:v>
      </x:c>
      <x:c r="I1099" s="50" t="n">
        <x:v>-449.22</x:v>
      </x:c>
      <x:c r="J1099" s="50" t="n">
        <x:v>1.64</x:v>
      </x:c>
      <x:c r="K1099" s="50" t="n">
        <x:v>-0.33</x:v>
      </x:c>
      <x:c r="L1099" s="50" t="n">
        <x:v>1.67</x:v>
      </x:c>
      <x:c r="M1099" s="50" t="n">
        <x:v>0.29</x:v>
      </x:c>
      <x:c r="N1099" t="str">
        <x:v>RELATÓRIO LEITURAS INCLINOMÉTRICAS - Empreitada THE EDEN, Estoril_ R10_09-12-25.pdf</x:v>
      </x:c>
      <x:c r="O1099" t="n">
        <x:v>58</x:v>
      </x:c>
    </x:row>
    <x:row r="1100">
      <x:c r="A1100" s="48" t="n">
        <x:v>45985</x:v>
      </x:c>
      <x:c r="B1100" t="n">
        <x:v>7</x:v>
      </x:c>
      <x:c r="C1100" t="str">
        <x:v>I3</x:v>
      </x:c>
      <x:c r="D1100" t="n">
        <x:v>7</x:v>
      </x:c>
      <x:c r="E1100" s="50" t="n">
        <x:v>11.5</x:v>
      </x:c>
      <x:c r="F1100" s="50" t="n">
        <x:v>315.67</x:v>
      </x:c>
      <x:c r="G1100" s="50" t="n">
        <x:v>-305.81</x:v>
      </x:c>
      <x:c r="H1100" s="50" t="n">
        <x:v>383.4</x:v>
      </x:c>
      <x:c r="I1100" s="50" t="n">
        <x:v>-364.49</x:v>
      </x:c>
      <x:c r="J1100" s="50" t="n">
        <x:v>1.6</x:v>
      </x:c>
      <x:c r="K1100" s="50" t="n">
        <x:v>-0.43</x:v>
      </x:c>
      <x:c r="L1100" s="50" t="n">
        <x:v>1.66</x:v>
      </x:c>
      <x:c r="M1100" s="50" t="n">
        <x:v>0.3</x:v>
      </x:c>
      <x:c r="N1100" t="str">
        <x:v>RELATÓRIO LEITURAS INCLINOMÉTRICAS - Empreitada THE EDEN, Estoril_ R10_09-12-25.pdf</x:v>
      </x:c>
      <x:c r="O1100" t="n">
        <x:v>58</x:v>
      </x:c>
    </x:row>
    <x:row r="1101">
      <x:c r="A1101" s="48" t="n">
        <x:v>45985</x:v>
      </x:c>
      <x:c r="B1101" t="n">
        <x:v>7</x:v>
      </x:c>
      <x:c r="C1101" t="str">
        <x:v>I3</x:v>
      </x:c>
      <x:c r="D1101" t="n">
        <x:v>7</x:v>
      </x:c>
      <x:c r="E1101" s="50" t="n">
        <x:v>12</x:v>
      </x:c>
      <x:c r="F1101" s="50" t="n">
        <x:v>294.49</x:v>
      </x:c>
      <x:c r="G1101" s="50" t="n">
        <x:v>-283.98</x:v>
      </x:c>
      <x:c r="H1101" s="50" t="n">
        <x:v>279.45</x:v>
      </x:c>
      <x:c r="I1101" s="50" t="n">
        <x:v>-268.42</x:v>
      </x:c>
      <x:c r="J1101" s="50" t="n">
        <x:v>1.52</x:v>
      </x:c>
      <x:c r="K1101" s="50" t="n">
        <x:v>-0.29</x:v>
      </x:c>
      <x:c r="L1101" s="50" t="n">
        <x:v>1.55</x:v>
      </x:c>
      <x:c r="M1101" s="50" t="n">
        <x:v>0.26</x:v>
      </x:c>
      <x:c r="N1101" t="str">
        <x:v>RELATÓRIO LEITURAS INCLINOMÉTRICAS - Empreitada THE EDEN, Estoril_ R10_09-12-25.pdf</x:v>
      </x:c>
      <x:c r="O1101" t="n">
        <x:v>58</x:v>
      </x:c>
    </x:row>
    <x:row r="1102">
      <x:c r="A1102" s="48" t="n">
        <x:v>45985</x:v>
      </x:c>
      <x:c r="B1102" t="n">
        <x:v>7</x:v>
      </x:c>
      <x:c r="C1102" t="str">
        <x:v>I3</x:v>
      </x:c>
      <x:c r="D1102" t="n">
        <x:v>7</x:v>
      </x:c>
      <x:c r="E1102" s="50" t="n">
        <x:v>12.5</x:v>
      </x:c>
      <x:c r="F1102" s="50" t="n">
        <x:v>247.05</x:v>
      </x:c>
      <x:c r="G1102" s="50" t="n">
        <x:v>-240.14</x:v>
      </x:c>
      <x:c r="H1102" s="50" t="n">
        <x:v>190.32</x:v>
      </x:c>
      <x:c r="I1102" s="50" t="n">
        <x:v>-176.35</x:v>
      </x:c>
      <x:c r="J1102" s="50" t="n">
        <x:v>1.46</x:v>
      </x:c>
      <x:c r="K1102" s="50" t="n">
        <x:v>-0.53</x:v>
      </x:c>
      <x:c r="L1102" s="50" t="n">
        <x:v>1.56</x:v>
      </x:c>
      <x:c r="M1102" s="50" t="n">
        <x:v>0.03</x:v>
      </x:c>
      <x:c r="N1102" t="str">
        <x:v>RELATÓRIO LEITURAS INCLINOMÉTRICAS - Empreitada THE EDEN, Estoril_ R10_09-12-25.pdf</x:v>
      </x:c>
      <x:c r="O1102" t="n">
        <x:v>58</x:v>
      </x:c>
    </x:row>
    <x:row r="1103">
      <x:c r="A1103" s="48" t="n">
        <x:v>45985</x:v>
      </x:c>
      <x:c r="B1103" t="n">
        <x:v>7</x:v>
      </x:c>
      <x:c r="C1103" t="str">
        <x:v>I3</x:v>
      </x:c>
      <x:c r="D1103" t="n">
        <x:v>7</x:v>
      </x:c>
      <x:c r="E1103" s="50" t="n">
        <x:v>13</x:v>
      </x:c>
      <x:c r="F1103" s="50" t="n">
        <x:v>215.5</x:v>
      </x:c>
      <x:c r="G1103" s="50" t="n">
        <x:v>-207.86</x:v>
      </x:c>
      <x:c r="H1103" s="50" t="n">
        <x:v>140.07</x:v>
      </x:c>
      <x:c r="I1103" s="50" t="n">
        <x:v>-116.06</x:v>
      </x:c>
      <x:c r="J1103" s="50" t="n">
        <x:v>1.42</x:v>
      </x:c>
      <x:c r="K1103" s="50" t="n">
        <x:v>-0.72</x:v>
      </x:c>
      <x:c r="L1103" s="50" t="n">
        <x:v>1.59</x:v>
      </x:c>
      <x:c r="M1103" s="50" t="n">
        <x:v>-0.02</x:v>
      </x:c>
      <x:c r="N1103" t="str">
        <x:v>RELATÓRIO LEITURAS INCLINOMÉTRICAS - Empreitada THE EDEN, Estoril_ R10_09-12-25.pdf</x:v>
      </x:c>
      <x:c r="O1103" t="n">
        <x:v>58</x:v>
      </x:c>
    </x:row>
    <x:row r="1104">
      <x:c r="A1104" s="48" t="n">
        <x:v>45985</x:v>
      </x:c>
      <x:c r="B1104" t="n">
        <x:v>7</x:v>
      </x:c>
      <x:c r="C1104" t="str">
        <x:v>I3</x:v>
      </x:c>
      <x:c r="D1104" t="n">
        <x:v>7</x:v>
      </x:c>
      <x:c r="E1104" s="50" t="n">
        <x:v>13.5</x:v>
      </x:c>
      <x:c r="F1104" s="50" t="n">
        <x:v>185.71</x:v>
      </x:c>
      <x:c r="G1104" s="50" t="n">
        <x:v>-180.44</x:v>
      </x:c>
      <x:c r="H1104" s="50" t="n">
        <x:v>155.46</x:v>
      </x:c>
      <x:c r="I1104" s="50" t="n">
        <x:v>-128.22</x:v>
      </x:c>
      <x:c r="J1104" s="50" t="n">
        <x:v>1.29</x:v>
      </x:c>
      <x:c r="K1104" s="50" t="n">
        <x:v>-0.69</x:v>
      </x:c>
      <x:c r="L1104" s="50" t="n">
        <x:v>1.47</x:v>
      </x:c>
      <x:c r="M1104" s="50" t="n">
        <x:v>-0.05</x:v>
      </x:c>
      <x:c r="N1104" t="str">
        <x:v>RELATÓRIO LEITURAS INCLINOMÉTRICAS - Empreitada THE EDEN, Estoril_ R10_09-12-25.pdf</x:v>
      </x:c>
      <x:c r="O1104" t="n">
        <x:v>58</x:v>
      </x:c>
    </x:row>
    <x:row r="1105">
      <x:c r="A1105" s="48" t="n">
        <x:v>45985</x:v>
      </x:c>
      <x:c r="B1105" t="n">
        <x:v>7</x:v>
      </x:c>
      <x:c r="C1105" t="str">
        <x:v>I3</x:v>
      </x:c>
      <x:c r="D1105" t="n">
        <x:v>7</x:v>
      </x:c>
      <x:c r="E1105" s="50" t="n">
        <x:v>14</x:v>
      </x:c>
      <x:c r="F1105" s="50" t="n">
        <x:v>144</x:v>
      </x:c>
      <x:c r="G1105" s="50" t="n">
        <x:v>-138.64</x:v>
      </x:c>
      <x:c r="H1105" s="50" t="n">
        <x:v>168.24</x:v>
      </x:c>
      <x:c r="I1105" s="50" t="n">
        <x:v>-161.16</x:v>
      </x:c>
      <x:c r="J1105" s="50" t="n">
        <x:v>1.13</x:v>
      </x:c>
      <x:c r="K1105" s="50" t="n">
        <x:v>-0.35</x:v>
      </x:c>
      <x:c r="L1105" s="50" t="n">
        <x:v>1.18</x:v>
      </x:c>
      <x:c r="M1105" s="50" t="n">
        <x:v>0.16</x:v>
      </x:c>
      <x:c r="N1105" t="str">
        <x:v>RELATÓRIO LEITURAS INCLINOMÉTRICAS - Empreitada THE EDEN, Estoril_ R10_09-12-25.pdf</x:v>
      </x:c>
      <x:c r="O1105" t="n">
        <x:v>58</x:v>
      </x:c>
    </x:row>
    <x:row r="1106">
      <x:c r="A1106" s="48" t="n">
        <x:v>45985</x:v>
      </x:c>
      <x:c r="B1106" t="n">
        <x:v>7</x:v>
      </x:c>
      <x:c r="C1106" t="str">
        <x:v>I3</x:v>
      </x:c>
      <x:c r="D1106" t="n">
        <x:v>7</x:v>
      </x:c>
      <x:c r="E1106" s="50" t="n">
        <x:v>14.5</x:v>
      </x:c>
      <x:c r="F1106" s="50" t="n">
        <x:v>138.95</x:v>
      </x:c>
      <x:c r="G1106" s="50" t="n">
        <x:v>-132.7</x:v>
      </x:c>
      <x:c r="H1106" s="50" t="n">
        <x:v>188.85</x:v>
      </x:c>
      <x:c r="I1106" s="50" t="n">
        <x:v>-174.26</x:v>
      </x:c>
      <x:c r="J1106" s="50" t="n">
        <x:v>1.06</x:v>
      </x:c>
      <x:c r="K1106" s="50" t="n">
        <x:v>-0.67</x:v>
      </x:c>
      <x:c r="L1106" s="50" t="n">
        <x:v>1.26</x:v>
      </x:c>
      <x:c r="M1106" s="50" t="n">
        <x:v>-0.18</x:v>
      </x:c>
      <x:c r="N1106" t="str">
        <x:v>RELATÓRIO LEITURAS INCLINOMÉTRICAS - Empreitada THE EDEN, Estoril_ R10_09-12-25.pdf</x:v>
      </x:c>
      <x:c r="O1106" t="n">
        <x:v>58</x:v>
      </x:c>
    </x:row>
    <x:row r="1107">
      <x:c r="A1107" s="48" t="n">
        <x:v>45985</x:v>
      </x:c>
      <x:c r="B1107" t="n">
        <x:v>7</x:v>
      </x:c>
      <x:c r="C1107" t="str">
        <x:v>I3</x:v>
      </x:c>
      <x:c r="D1107" t="n">
        <x:v>7</x:v>
      </x:c>
      <x:c r="E1107" s="50" t="n">
        <x:v>15</x:v>
      </x:c>
      <x:c r="F1107" s="50" t="n">
        <x:v>143.78</x:v>
      </x:c>
      <x:c r="G1107" s="50" t="n">
        <x:v>-136.77</x:v>
      </x:c>
      <x:c r="H1107" s="50" t="n">
        <x:v>267.58</x:v>
      </x:c>
      <x:c r="I1107" s="50" t="n">
        <x:v>-256.47</x:v>
      </x:c>
      <x:c r="J1107" s="50" t="n">
        <x:v>0.94</x:v>
      </x:c>
      <x:c r="K1107" s="50" t="n">
        <x:v>-0.86</x:v>
      </x:c>
      <x:c r="L1107" s="50" t="n">
        <x:v>1.27</x:v>
      </x:c>
      <x:c r="M1107" s="50" t="n">
        <x:v>-0.27</x:v>
      </x:c>
      <x:c r="N1107" t="str">
        <x:v>RELATÓRIO LEITURAS INCLINOMÉTRICAS - Empreitada THE EDEN, Estoril_ R10_09-12-25.pdf</x:v>
      </x:c>
      <x:c r="O1107" t="n">
        <x:v>58</x:v>
      </x:c>
    </x:row>
    <x:row r="1108">
      <x:c r="A1108" s="48" t="n">
        <x:v>45985</x:v>
      </x:c>
      <x:c r="B1108" t="n">
        <x:v>7</x:v>
      </x:c>
      <x:c r="C1108" t="str">
        <x:v>I3</x:v>
      </x:c>
      <x:c r="D1108" t="n">
        <x:v>7</x:v>
      </x:c>
      <x:c r="E1108" s="50" t="n">
        <x:v>15.5</x:v>
      </x:c>
      <x:c r="F1108" s="50" t="n">
        <x:v>57.65</x:v>
      </x:c>
      <x:c r="G1108" s="50" t="n">
        <x:v>-55.99</x:v>
      </x:c>
      <x:c r="H1108" s="50" t="n">
        <x:v>348.31</x:v>
      </x:c>
      <x:c r="I1108" s="50" t="n">
        <x:v>-333.69</x:v>
      </x:c>
      <x:c r="J1108" s="50" t="n">
        <x:v>0.82</x:v>
      </x:c>
      <x:c r="K1108" s="50" t="n">
        <x:v>-0.82</x:v>
      </x:c>
      <x:c r="L1108" s="50" t="n">
        <x:v>1.16</x:v>
      </x:c>
      <x:c r="M1108" s="50" t="n">
        <x:v>-0.28</x:v>
      </x:c>
      <x:c r="N1108" t="str">
        <x:v>RELATÓRIO LEITURAS INCLINOMÉTRICAS - Empreitada THE EDEN, Estoril_ R10_09-12-25.pdf</x:v>
      </x:c>
      <x:c r="O1108" t="n">
        <x:v>58</x:v>
      </x:c>
    </x:row>
    <x:row r="1109">
      <x:c r="A1109" s="48" t="n">
        <x:v>45985</x:v>
      </x:c>
      <x:c r="B1109" t="n">
        <x:v>7</x:v>
      </x:c>
      <x:c r="C1109" t="str">
        <x:v>I3</x:v>
      </x:c>
      <x:c r="D1109" t="n">
        <x:v>7</x:v>
      </x:c>
      <x:c r="E1109" s="50" t="n">
        <x:v>16</x:v>
      </x:c>
      <x:c r="F1109" s="50" t="n">
        <x:v>201.46</x:v>
      </x:c>
      <x:c r="G1109" s="50" t="n">
        <x:v>-187.91</x:v>
      </x:c>
      <x:c r="H1109" s="50" t="n">
        <x:v>196.99</x:v>
      </x:c>
      <x:c r="I1109" s="50" t="n">
        <x:v>-176.02</x:v>
      </x:c>
      <x:c r="J1109" s="50" t="n">
        <x:v>0.76</x:v>
      </x:c>
      <x:c r="K1109" s="50" t="n">
        <x:v>-0.84</x:v>
      </x:c>
      <x:c r="L1109" s="50" t="n">
        <x:v>1.13</x:v>
      </x:c>
      <x:c r="M1109" s="50" t="n">
        <x:v>-0.26</x:v>
      </x:c>
      <x:c r="N1109" t="str">
        <x:v>RELATÓRIO LEITURAS INCLINOMÉTRICAS - Empreitada THE EDEN, Estoril_ R10_09-12-25.pdf</x:v>
      </x:c>
      <x:c r="O1109" t="n">
        <x:v>58</x:v>
      </x:c>
    </x:row>
    <x:row r="1110">
      <x:c r="A1110" s="48" t="n">
        <x:v>45985</x:v>
      </x:c>
      <x:c r="B1110" t="n">
        <x:v>7</x:v>
      </x:c>
      <x:c r="C1110" t="str">
        <x:v>I3</x:v>
      </x:c>
      <x:c r="D1110" t="n">
        <x:v>7</x:v>
      </x:c>
      <x:c r="E1110" s="50" t="n">
        <x:v>16.5</x:v>
      </x:c>
      <x:c r="F1110" s="50" t="n">
        <x:v>323.3</x:v>
      </x:c>
      <x:c r="G1110" s="50" t="n">
        <x:v>-320.1</x:v>
      </x:c>
      <x:c r="H1110" s="50" t="n">
        <x:v>207.37</x:v>
      </x:c>
      <x:c r="I1110" s="50" t="n">
        <x:v>-189.7</x:v>
      </x:c>
      <x:c r="J1110" s="50" t="n">
        <x:v>0.8</x:v>
      </x:c>
      <x:c r="K1110" s="50" t="n">
        <x:v>-0.95</x:v>
      </x:c>
      <x:c r="L1110" s="50" t="n">
        <x:v>1.24</x:v>
      </x:c>
      <x:c r="M1110" s="50" t="n">
        <x:v>-0.32</x:v>
      </x:c>
      <x:c r="N1110" t="str">
        <x:v>RELATÓRIO LEITURAS INCLINOMÉTRICAS - Empreitada THE EDEN, Estoril_ R10_09-12-25.pdf</x:v>
      </x:c>
      <x:c r="O1110" t="n">
        <x:v>58</x:v>
      </x:c>
    </x:row>
    <x:row r="1111">
      <x:c r="A1111" s="48" t="n">
        <x:v>45985</x:v>
      </x:c>
      <x:c r="B1111" t="n">
        <x:v>7</x:v>
      </x:c>
      <x:c r="C1111" t="str">
        <x:v>I3</x:v>
      </x:c>
      <x:c r="D1111" t="n">
        <x:v>7</x:v>
      </x:c>
      <x:c r="E1111" s="50" t="n">
        <x:v>17</x:v>
      </x:c>
      <x:c r="F1111" s="50" t="n">
        <x:v>393.1</x:v>
      </x:c>
      <x:c r="G1111" s="50" t="n">
        <x:v>-376.95</x:v>
      </x:c>
      <x:c r="H1111" s="50" t="n">
        <x:v>227.21</x:v>
      </x:c>
      <x:c r="I1111" s="50" t="n">
        <x:v>-223.93</x:v>
      </x:c>
      <x:c r="J1111" s="50" t="n">
        <x:v>0.8</x:v>
      </x:c>
      <x:c r="K1111" s="50" t="n">
        <x:v>-0.79</x:v>
      </x:c>
      <x:c r="L1111" s="50" t="n">
        <x:v>1.12</x:v>
      </x:c>
      <x:c r="M1111" s="50" t="n">
        <x:v>-0.29</x:v>
      </x:c>
      <x:c r="N1111" t="str">
        <x:v>RELATÓRIO LEITURAS INCLINOMÉTRICAS - Empreitada THE EDEN, Estoril_ R10_09-12-25.pdf</x:v>
      </x:c>
      <x:c r="O1111" t="n">
        <x:v>58</x:v>
      </x:c>
    </x:row>
    <x:row r="1112">
      <x:c r="A1112" s="48" t="n">
        <x:v>45985</x:v>
      </x:c>
      <x:c r="B1112" t="n">
        <x:v>7</x:v>
      </x:c>
      <x:c r="C1112" t="str">
        <x:v>I3</x:v>
      </x:c>
      <x:c r="D1112" t="n">
        <x:v>7</x:v>
      </x:c>
      <x:c r="E1112" s="50" t="n">
        <x:v>17.5</x:v>
      </x:c>
      <x:c r="F1112" s="50" t="n">
        <x:v>378.58</x:v>
      </x:c>
      <x:c r="G1112" s="50" t="n">
        <x:v>-373.27</x:v>
      </x:c>
      <x:c r="H1112" s="50" t="n">
        <x:v>153.54</x:v>
      </x:c>
      <x:c r="I1112" s="50" t="n">
        <x:v>-145.43</x:v>
      </x:c>
      <x:c r="J1112" s="50" t="n">
        <x:v>0.9</x:v>
      </x:c>
      <x:c r="K1112" s="50" t="n">
        <x:v>-1.09</x:v>
      </x:c>
      <x:c r="L1112" s="50" t="n">
        <x:v>1.41</x:v>
      </x:c>
      <x:c r="M1112" s="50" t="n">
        <x:v>0.16</x:v>
      </x:c>
      <x:c r="N1112" t="str">
        <x:v>RELATÓRIO LEITURAS INCLINOMÉTRICAS - Empreitada THE EDEN, Estoril_ R10_09-12-25.pdf</x:v>
      </x:c>
      <x:c r="O1112" t="n">
        <x:v>58</x:v>
      </x:c>
    </x:row>
    <x:row r="1113">
      <x:c r="A1113" s="48" t="n">
        <x:v>45985</x:v>
      </x:c>
      <x:c r="B1113" t="n">
        <x:v>7</x:v>
      </x:c>
      <x:c r="C1113" t="str">
        <x:v>I3</x:v>
      </x:c>
      <x:c r="D1113" t="n">
        <x:v>7</x:v>
      </x:c>
      <x:c r="E1113" s="50" t="n">
        <x:v>18</x:v>
      </x:c>
      <x:c r="F1113" s="50" t="n">
        <x:v>347.41</x:v>
      </x:c>
      <x:c r="G1113" s="50" t="n">
        <x:v>-340.4</x:v>
      </x:c>
      <x:c r="H1113" s="50" t="n">
        <x:v>96.56</x:v>
      </x:c>
      <x:c r="I1113" s="50" t="n">
        <x:v>-99.01</x:v>
      </x:c>
      <x:c r="J1113" s="50" t="n">
        <x:v>0.84</x:v>
      </x:c>
      <x:c r="K1113" s="50" t="n">
        <x:v>-0.99</x:v>
      </x:c>
      <x:c r="L1113" s="50" t="n">
        <x:v>1.29</x:v>
      </x:c>
      <x:c r="M1113" s="50" t="n">
        <x:v>0.5</x:v>
      </x:c>
      <x:c r="N1113" t="str">
        <x:v>RELATÓRIO LEITURAS INCLINOMÉTRICAS - Empreitada THE EDEN, Estoril_ R10_09-12-25.pdf</x:v>
      </x:c>
      <x:c r="O1113" t="n">
        <x:v>58</x:v>
      </x:c>
    </x:row>
    <x:row r="1114">
      <x:c r="A1114" s="48" t="n">
        <x:v>45985</x:v>
      </x:c>
      <x:c r="B1114" t="n">
        <x:v>7</x:v>
      </x:c>
      <x:c r="C1114" t="str">
        <x:v>I3</x:v>
      </x:c>
      <x:c r="D1114" t="n">
        <x:v>7</x:v>
      </x:c>
      <x:c r="E1114" s="50" t="n">
        <x:v>18.5</x:v>
      </x:c>
      <x:c r="F1114" s="50" t="n">
        <x:v>316.64</x:v>
      </x:c>
      <x:c r="G1114" s="50" t="n">
        <x:v>-311.84</x:v>
      </x:c>
      <x:c r="H1114" s="50" t="n">
        <x:v>71.76</x:v>
      </x:c>
      <x:c r="I1114" s="50" t="n">
        <x:v>-60.96</x:v>
      </x:c>
      <x:c r="J1114" s="50" t="n">
        <x:v>0.8</x:v>
      </x:c>
      <x:c r="K1114" s="50" t="n">
        <x:v>-0.93</x:v>
      </x:c>
      <x:c r="L1114" s="50" t="n">
        <x:v>1.23</x:v>
      </x:c>
      <x:c r="M1114" s="50" t="n">
        <x:v>0.47</x:v>
      </x:c>
      <x:c r="N1114" t="str">
        <x:v>RELATÓRIO LEITURAS INCLINOMÉTRICAS - Empreitada THE EDEN, Estoril_ R10_09-12-25.pdf</x:v>
      </x:c>
      <x:c r="O1114" t="n">
        <x:v>58</x:v>
      </x:c>
    </x:row>
    <x:row r="1115">
      <x:c r="A1115" s="48" t="n">
        <x:v>45985</x:v>
      </x:c>
      <x:c r="B1115" t="n">
        <x:v>7</x:v>
      </x:c>
      <x:c r="C1115" t="str">
        <x:v>I3</x:v>
      </x:c>
      <x:c r="D1115" t="n">
        <x:v>7</x:v>
      </x:c>
      <x:c r="E1115" s="50" t="n">
        <x:v>19</x:v>
      </x:c>
      <x:c r="F1115" s="50" t="n">
        <x:v>302.84</x:v>
      </x:c>
      <x:c r="G1115" s="50" t="n">
        <x:v>-299.27</x:v>
      </x:c>
      <x:c r="H1115" s="50" t="n">
        <x:v>54.75</x:v>
      </x:c>
      <x:c r="I1115" s="50" t="n">
        <x:v>-45.31</x:v>
      </x:c>
      <x:c r="J1115" s="50" t="n">
        <x:v>0.68</x:v>
      </x:c>
      <x:c r="K1115" s="50" t="n">
        <x:v>-0.94</x:v>
      </x:c>
      <x:c r="L1115" s="50" t="n">
        <x:v>1.16</x:v>
      </x:c>
      <x:c r="M1115" s="50" t="n">
        <x:v>0.27</x:v>
      </x:c>
      <x:c r="N1115" t="str">
        <x:v>RELATÓRIO LEITURAS INCLINOMÉTRICAS - Empreitada THE EDEN, Estoril_ R10_09-12-25.pdf</x:v>
      </x:c>
      <x:c r="O1115" t="n">
        <x:v>58</x:v>
      </x:c>
    </x:row>
    <x:row r="1116">
      <x:c r="A1116" s="48" t="n">
        <x:v>45985</x:v>
      </x:c>
      <x:c r="B1116" t="n">
        <x:v>7</x:v>
      </x:c>
      <x:c r="C1116" t="str">
        <x:v>I3</x:v>
      </x:c>
      <x:c r="D1116" t="n">
        <x:v>7</x:v>
      </x:c>
      <x:c r="E1116" s="50" t="n">
        <x:v>19.5</x:v>
      </x:c>
      <x:c r="F1116" s="50" t="n">
        <x:v>209.37</x:v>
      </x:c>
      <x:c r="G1116" s="50" t="n">
        <x:v>-202.91</x:v>
      </x:c>
      <x:c r="H1116" s="50" t="n">
        <x:v>98.88</x:v>
      </x:c>
      <x:c r="I1116" s="50" t="n">
        <x:v>-85.83</x:v>
      </x:c>
      <x:c r="J1116" s="50" t="n">
        <x:v>0.62</x:v>
      </x:c>
      <x:c r="K1116" s="50" t="n">
        <x:v>-1.05</x:v>
      </x:c>
      <x:c r="L1116" s="50" t="n">
        <x:v>1.22</x:v>
      </x:c>
      <x:c r="M1116" s="50" t="n">
        <x:v>0.24</x:v>
      </x:c>
      <x:c r="N1116" t="str">
        <x:v>RELATÓRIO LEITURAS INCLINOMÉTRICAS - Empreitada THE EDEN, Estoril_ R10_09-12-25.pdf</x:v>
      </x:c>
      <x:c r="O1116" t="n">
        <x:v>58</x:v>
      </x:c>
    </x:row>
    <x:row r="1117">
      <x:c r="A1117" s="48" t="n">
        <x:v>45985</x:v>
      </x:c>
      <x:c r="B1117" t="n">
        <x:v>7</x:v>
      </x:c>
      <x:c r="C1117" t="str">
        <x:v>I3</x:v>
      </x:c>
      <x:c r="D1117" t="n">
        <x:v>7</x:v>
      </x:c>
      <x:c r="E1117" s="50" t="n">
        <x:v>20</x:v>
      </x:c>
      <x:c r="F1117" s="50" t="n">
        <x:v>142.93</x:v>
      </x:c>
      <x:c r="G1117" s="50" t="n">
        <x:v>-136.97</x:v>
      </x:c>
      <x:c r="H1117" s="50" t="n">
        <x:v>151.33</x:v>
      </x:c>
      <x:c r="I1117" s="50" t="n">
        <x:v>-136.3</x:v>
      </x:c>
      <x:c r="J1117" s="50" t="n">
        <x:v>0.45</x:v>
      </x:c>
      <x:c r="K1117" s="50" t="n">
        <x:v>-0.78</x:v>
      </x:c>
      <x:c r="L1117" s="50" t="n">
        <x:v>0.9</x:v>
      </x:c>
      <x:c r="M1117" s="50" t="n">
        <x:v>0.39</x:v>
      </x:c>
      <x:c r="N1117" t="str">
        <x:v>RELATÓRIO LEITURAS INCLINOMÉTRICAS - Empreitada THE EDEN, Estoril_ R10_09-12-25.pdf</x:v>
      </x:c>
      <x:c r="O1117" t="n">
        <x:v>58</x:v>
      </x:c>
    </x:row>
    <x:row r="1118">
      <x:c r="A1118" s="48" t="n">
        <x:v>45985</x:v>
      </x:c>
      <x:c r="B1118" t="n">
        <x:v>7</x:v>
      </x:c>
      <x:c r="C1118" t="str">
        <x:v>I3</x:v>
      </x:c>
      <x:c r="D1118" t="n">
        <x:v>7</x:v>
      </x:c>
      <x:c r="E1118" s="50" t="n">
        <x:v>20.5</x:v>
      </x:c>
      <x:c r="F1118" s="50" t="n">
        <x:v>152.18</x:v>
      </x:c>
      <x:c r="G1118" s="50" t="n">
        <x:v>-146.63</x:v>
      </x:c>
      <x:c r="H1118" s="50" t="n">
        <x:v>164.46</x:v>
      </x:c>
      <x:c r="I1118" s="50" t="n">
        <x:v>-143.68</x:v>
      </x:c>
      <x:c r="J1118" s="50" t="n">
        <x:v>0.36</x:v>
      </x:c>
      <x:c r="K1118" s="50" t="n">
        <x:v>-0.62</x:v>
      </x:c>
      <x:c r="L1118" s="50" t="n">
        <x:v>0.72</x:v>
      </x:c>
      <x:c r="M1118" s="50" t="n">
        <x:v>0.35</x:v>
      </x:c>
      <x:c r="N1118" t="str">
        <x:v>RELATÓRIO LEITURAS INCLINOMÉTRICAS - Empreitada THE EDEN, Estoril_ R10_09-12-25.pdf</x:v>
      </x:c>
      <x:c r="O1118" t="n">
        <x:v>58</x:v>
      </x:c>
    </x:row>
    <x:row r="1119">
      <x:c r="A1119" s="48" t="n">
        <x:v>45985</x:v>
      </x:c>
      <x:c r="B1119" t="n">
        <x:v>7</x:v>
      </x:c>
      <x:c r="C1119" t="str">
        <x:v>I3</x:v>
      </x:c>
      <x:c r="D1119" t="n">
        <x:v>7</x:v>
      </x:c>
      <x:c r="E1119" s="50" t="n">
        <x:v>21</x:v>
      </x:c>
      <x:c r="F1119" s="50" t="n">
        <x:v>161</x:v>
      </x:c>
      <x:c r="G1119" s="50" t="n">
        <x:v>-155.62</x:v>
      </x:c>
      <x:c r="H1119" s="50" t="n">
        <x:v>180.52</x:v>
      </x:c>
      <x:c r="I1119" s="50" t="n">
        <x:v>-166.09</x:v>
      </x:c>
      <x:c r="J1119" s="50" t="n">
        <x:v>0.27</x:v>
      </x:c>
      <x:c r="K1119" s="50" t="n">
        <x:v>-0.32</x:v>
      </x:c>
      <x:c r="L1119" s="50" t="n">
        <x:v>0.42</x:v>
      </x:c>
      <x:c r="M1119" s="50" t="n">
        <x:v>0.26</x:v>
      </x:c>
      <x:c r="N1119" t="str">
        <x:v>RELATÓRIO LEITURAS INCLINOMÉTRICAS - Empreitada THE EDEN, Estoril_ R10_09-12-25.pdf</x:v>
      </x:c>
      <x:c r="O1119" t="n">
        <x:v>58</x:v>
      </x:c>
    </x:row>
    <x:row r="1120">
      <x:c r="A1120" s="48" t="n">
        <x:v>45985</x:v>
      </x:c>
      <x:c r="B1120" t="n">
        <x:v>7</x:v>
      </x:c>
      <x:c r="C1120" t="str">
        <x:v>I3</x:v>
      </x:c>
      <x:c r="D1120" t="n">
        <x:v>7</x:v>
      </x:c>
      <x:c r="E1120" s="50" t="n">
        <x:v>21.5</x:v>
      </x:c>
      <x:c r="F1120" s="50" t="n">
        <x:v>175.7</x:v>
      </x:c>
      <x:c r="G1120" s="50" t="n">
        <x:v>-173.18</x:v>
      </x:c>
      <x:c r="H1120" s="50" t="n">
        <x:v>177.2</x:v>
      </x:c>
      <x:c r="I1120" s="50" t="n">
        <x:v>-171.66</x:v>
      </x:c>
      <x:c r="J1120" s="50" t="n">
        <x:v>0.17</x:v>
      </x:c>
      <x:c r="K1120" s="50" t="n">
        <x:v>-0.07</x:v>
      </x:c>
      <x:c r="L1120" s="50" t="n">
        <x:v>0.18</x:v>
      </x:c>
      <x:c r="M1120" s="50" t="n">
        <x:v>-0.01</x:v>
      </x:c>
      <x:c r="N1120" t="str">
        <x:v>RELATÓRIO LEITURAS INCLINOMÉTRICAS - Empreitada THE EDEN, Estoril_ R10_09-12-25.pdf</x:v>
      </x:c>
      <x:c r="O1120" t="n">
        <x:v>58</x:v>
      </x:c>
    </x:row>
    <x:row r="1121">
      <x:c r="A1121" s="48" t="n">
        <x:v>45985</x:v>
      </x:c>
      <x:c r="B1121" t="n">
        <x:v>7</x:v>
      </x:c>
      <x:c r="C1121" t="str">
        <x:v>I3</x:v>
      </x:c>
      <x:c r="D1121" t="n">
        <x:v>7</x:v>
      </x:c>
      <x:c r="E1121" s="50" t="n">
        <x:v>22</x:v>
      </x:c>
      <x:c r="F1121" s="50" t="n">
        <x:v>188.21</x:v>
      </x:c>
      <x:c r="G1121" s="50" t="n">
        <x:v>-183.66</x:v>
      </x:c>
      <x:c r="H1121" s="50" t="n">
        <x:v>198.08</x:v>
      </x:c>
      <x:c r="I1121" s="50" t="n">
        <x:v>-175.9</x:v>
      </x:c>
      <x:c r="J1121" s="50" t="n">
        <x:v>0.05</x:v>
      </x:c>
      <x:c r="K1121" s="50" t="n">
        <x:v>0.09</x:v>
      </x:c>
      <x:c r="L1121" s="50" t="n">
        <x:v>0.1</x:v>
      </x:c>
      <x:c r="M1121" s="50" t="n">
        <x:v>-0.04</x:v>
      </x:c>
      <x:c r="N1121" t="str">
        <x:v>RELATÓRIO LEITURAS INCLINOMÉTRICAS - Empreitada THE EDEN, Estoril_ R10_09-12-25.pdf</x:v>
      </x:c>
      <x:c r="O1121" t="n">
        <x:v>58</x:v>
      </x:c>
    </x:row>
    <x:row r="1122">
      <x:c r="A1122" s="48" t="n">
        <x:v>45993</x:v>
      </x:c>
      <x:c r="B1122" t="n">
        <x:v>9</x:v>
      </x:c>
      <x:c r="C1122" t="str">
        <x:v>I1</x:v>
      </x:c>
      <x:c r="D1122" t="n">
        <x:v>9</x:v>
      </x:c>
      <x:c r="E1122" s="50" t="n">
        <x:v>0.5</x:v>
      </x:c>
      <x:c r="F1122" s="50" t="n">
        <x:v>-352.93</x:v>
      </x:c>
      <x:c r="G1122" s="50" t="n">
        <x:v>352.14</x:v>
      </x:c>
      <x:c r="H1122" s="50" t="n">
        <x:v>-792.73</x:v>
      </x:c>
      <x:c r="I1122" s="50" t="n">
        <x:v>822.59</x:v>
      </x:c>
      <x:c r="J1122" s="50" t="n">
        <x:v>-1.75</x:v>
      </x:c>
      <x:c r="K1122" s="50" t="n">
        <x:v>5.01</x:v>
      </x:c>
      <x:c r="L1122" s="50" t="n">
        <x:v>5.31</x:v>
      </x:c>
      <x:c r="M1122" s="50" t="n">
        <x:v>1.84</x:v>
      </x:c>
      <x:c r="N1122" t="str">
        <x:v>RELATÓRIO LEITURAS INCLINOMÉTRICAS - Empreitada THE EDEN, Estoril_ R10_09-12-25.pdf</x:v>
      </x:c>
      <x:c r="O1122" t="n">
        <x:v>22</x:v>
      </x:c>
    </x:row>
    <x:row r="1123">
      <x:c r="A1123" s="48" t="n">
        <x:v>45993</x:v>
      </x:c>
      <x:c r="B1123" t="n">
        <x:v>9</x:v>
      </x:c>
      <x:c r="C1123" t="str">
        <x:v>I1</x:v>
      </x:c>
      <x:c r="D1123" t="n">
        <x:v>9</x:v>
      </x:c>
      <x:c r="E1123" s="50" t="n">
        <x:v>1</x:v>
      </x:c>
      <x:c r="F1123" s="50" t="n">
        <x:v>-352.91</x:v>
      </x:c>
      <x:c r="G1123" s="50" t="n">
        <x:v>351.91</x:v>
      </x:c>
      <x:c r="H1123" s="50" t="n">
        <x:v>-793.35</x:v>
      </x:c>
      <x:c r="I1123" s="50" t="n">
        <x:v>823.01</x:v>
      </x:c>
      <x:c r="J1123" s="50" t="n">
        <x:v>-0.48</x:v>
      </x:c>
      <x:c r="K1123" s="50" t="n">
        <x:v>6.84</x:v>
      </x:c>
      <x:c r="L1123" s="50" t="n">
        <x:v>6.85</x:v>
      </x:c>
      <x:c r="M1123" s="50" t="n">
        <x:v>1.77</x:v>
      </x:c>
      <x:c r="N1123" t="str">
        <x:v>RELATÓRIO LEITURAS INCLINOMÉTRICAS - Empreitada THE EDEN, Estoril_ R10_09-12-25.pdf</x:v>
      </x:c>
      <x:c r="O1123" t="n">
        <x:v>22</x:v>
      </x:c>
    </x:row>
    <x:row r="1124">
      <x:c r="A1124" s="48" t="n">
        <x:v>45993</x:v>
      </x:c>
      <x:c r="B1124" t="n">
        <x:v>9</x:v>
      </x:c>
      <x:c r="C1124" t="str">
        <x:v>I1</x:v>
      </x:c>
      <x:c r="D1124" t="n">
        <x:v>9</x:v>
      </x:c>
      <x:c r="E1124" s="50" t="n">
        <x:v>1.5</x:v>
      </x:c>
      <x:c r="F1124" s="50" t="n">
        <x:v>-12.23</x:v>
      </x:c>
      <x:c r="G1124" s="50" t="n">
        <x:v>23.1</x:v>
      </x:c>
      <x:c r="H1124" s="50" t="n">
        <x:v>-274.18</x:v>
      </x:c>
      <x:c r="I1124" s="50" t="n">
        <x:v>297.65</x:v>
      </x:c>
      <x:c r="J1124" s="50" t="n">
        <x:v>0.84</x:v>
      </x:c>
      <x:c r="K1124" s="50" t="n">
        <x:v>8.24</x:v>
      </x:c>
      <x:c r="L1124" s="50" t="n">
        <x:v>8.28</x:v>
      </x:c>
      <x:c r="M1124" s="50" t="n">
        <x:v>1.86</x:v>
      </x:c>
      <x:c r="N1124" t="str">
        <x:v>RELATÓRIO LEITURAS INCLINOMÉTRICAS - Empreitada THE EDEN, Estoril_ R10_09-12-25.pdf</x:v>
      </x:c>
      <x:c r="O1124" t="n">
        <x:v>22</x:v>
      </x:c>
    </x:row>
    <x:row r="1125">
      <x:c r="A1125" s="48" t="n">
        <x:v>45993</x:v>
      </x:c>
      <x:c r="B1125" t="n">
        <x:v>9</x:v>
      </x:c>
      <x:c r="C1125" t="str">
        <x:v>I1</x:v>
      </x:c>
      <x:c r="D1125" t="n">
        <x:v>9</x:v>
      </x:c>
      <x:c r="E1125" s="50" t="n">
        <x:v>2</x:v>
      </x:c>
      <x:c r="F1125" s="50" t="n">
        <x:v>27.33</x:v>
      </x:c>
      <x:c r="G1125" s="50" t="n">
        <x:v>-21.07</x:v>
      </x:c>
      <x:c r="H1125" s="50" t="n">
        <x:v>-232.54</x:v>
      </x:c>
      <x:c r="I1125" s="50" t="n">
        <x:v>252.54</x:v>
      </x:c>
      <x:c r="J1125" s="50" t="n">
        <x:v>0.58</x:v>
      </x:c>
      <x:c r="K1125" s="50" t="n">
        <x:v>8.07</x:v>
      </x:c>
      <x:c r="L1125" s="50" t="n">
        <x:v>8.09</x:v>
      </x:c>
      <x:c r="M1125" s="50" t="n">
        <x:v>1.81</x:v>
      </x:c>
      <x:c r="N1125" t="str">
        <x:v>RELATÓRIO LEITURAS INCLINOMÉTRICAS - Empreitada THE EDEN, Estoril_ R10_09-12-25.pdf</x:v>
      </x:c>
      <x:c r="O1125" t="n">
        <x:v>22</x:v>
      </x:c>
    </x:row>
    <x:row r="1126">
      <x:c r="A1126" s="48" t="n">
        <x:v>45993</x:v>
      </x:c>
      <x:c r="B1126" t="n">
        <x:v>9</x:v>
      </x:c>
      <x:c r="C1126" t="str">
        <x:v>I1</x:v>
      </x:c>
      <x:c r="D1126" t="n">
        <x:v>9</x:v>
      </x:c>
      <x:c r="E1126" s="50" t="n">
        <x:v>2.5</x:v>
      </x:c>
      <x:c r="F1126" s="50" t="n">
        <x:v>43.12</x:v>
      </x:c>
      <x:c r="G1126" s="50" t="n">
        <x:v>-37.33</x:v>
      </x:c>
      <x:c r="H1126" s="50" t="n">
        <x:v>-204.48</x:v>
      </x:c>
      <x:c r="I1126" s="50" t="n">
        <x:v>223.15</x:v>
      </x:c>
      <x:c r="J1126" s="50" t="n">
        <x:v>1.45</x:v>
      </x:c>
      <x:c r="K1126" s="50" t="n">
        <x:v>7.96</x:v>
      </x:c>
      <x:c r="L1126" s="50" t="n">
        <x:v>8.09</x:v>
      </x:c>
      <x:c r="M1126" s="50" t="n">
        <x:v>1.67</x:v>
      </x:c>
      <x:c r="N1126" t="str">
        <x:v>RELATÓRIO LEITURAS INCLINOMÉTRICAS - Empreitada THE EDEN, Estoril_ R10_09-12-25.pdf</x:v>
      </x:c>
      <x:c r="O1126" t="n">
        <x:v>22</x:v>
      </x:c>
    </x:row>
    <x:row r="1127">
      <x:c r="A1127" s="48" t="n">
        <x:v>45993</x:v>
      </x:c>
      <x:c r="B1127" t="n">
        <x:v>9</x:v>
      </x:c>
      <x:c r="C1127" t="str">
        <x:v>I1</x:v>
      </x:c>
      <x:c r="D1127" t="n">
        <x:v>9</x:v>
      </x:c>
      <x:c r="E1127" s="50" t="n">
        <x:v>3</x:v>
      </x:c>
      <x:c r="F1127" s="50" t="n">
        <x:v>15.33</x:v>
      </x:c>
      <x:c r="G1127" s="50" t="n">
        <x:v>-6.76</x:v>
      </x:c>
      <x:c r="H1127" s="50" t="n">
        <x:v>-148.76</x:v>
      </x:c>
      <x:c r="I1127" s="50" t="n">
        <x:v>175.48</x:v>
      </x:c>
      <x:c r="J1127" s="50" t="n">
        <x:v>2</x:v>
      </x:c>
      <x:c r="K1127" s="50" t="n">
        <x:v>7.89</x:v>
      </x:c>
      <x:c r="L1127" s="50" t="n">
        <x:v>8.14</x:v>
      </x:c>
      <x:c r="M1127" s="50" t="n">
        <x:v>1.67</x:v>
      </x:c>
      <x:c r="N1127" t="str">
        <x:v>RELATÓRIO LEITURAS INCLINOMÉTRICAS - Empreitada THE EDEN, Estoril_ R10_09-12-25.pdf</x:v>
      </x:c>
      <x:c r="O1127" t="n">
        <x:v>22</x:v>
      </x:c>
    </x:row>
    <x:row r="1128">
      <x:c r="A1128" s="48" t="n">
        <x:v>45993</x:v>
      </x:c>
      <x:c r="B1128" t="n">
        <x:v>9</x:v>
      </x:c>
      <x:c r="C1128" t="str">
        <x:v>I1</x:v>
      </x:c>
      <x:c r="D1128" t="n">
        <x:v>9</x:v>
      </x:c>
      <x:c r="E1128" s="50" t="n">
        <x:v>3.5</x:v>
      </x:c>
      <x:c r="F1128" s="50" t="n">
        <x:v>-8.24</x:v>
      </x:c>
      <x:c r="G1128" s="50" t="n">
        <x:v>14.2</x:v>
      </x:c>
      <x:c r="H1128" s="50" t="n">
        <x:v>-89.83</x:v>
      </x:c>
      <x:c r="I1128" s="50" t="n">
        <x:v>105.47</x:v>
      </x:c>
      <x:c r="J1128" s="50" t="n">
        <x:v>2.21</x:v>
      </x:c>
      <x:c r="K1128" s="50" t="n">
        <x:v>7.72</x:v>
      </x:c>
      <x:c r="L1128" s="50" t="n">
        <x:v>8.03</x:v>
      </x:c>
      <x:c r="M1128" s="50" t="n">
        <x:v>1.61</x:v>
      </x:c>
      <x:c r="N1128" t="str">
        <x:v>RELATÓRIO LEITURAS INCLINOMÉTRICAS - Empreitada THE EDEN, Estoril_ R10_09-12-25.pdf</x:v>
      </x:c>
      <x:c r="O1128" t="n">
        <x:v>22</x:v>
      </x:c>
    </x:row>
    <x:row r="1129">
      <x:c r="A1129" s="48" t="n">
        <x:v>45993</x:v>
      </x:c>
      <x:c r="B1129" t="n">
        <x:v>9</x:v>
      </x:c>
      <x:c r="C1129" t="str">
        <x:v>I1</x:v>
      </x:c>
      <x:c r="D1129" t="n">
        <x:v>9</x:v>
      </x:c>
      <x:c r="E1129" s="50" t="n">
        <x:v>4</x:v>
      </x:c>
      <x:c r="F1129" s="50" t="n">
        <x:v>62.24</x:v>
      </x:c>
      <x:c r="G1129" s="50" t="n">
        <x:v>-54.57</x:v>
      </x:c>
      <x:c r="H1129" s="50" t="n">
        <x:v>-73.16</x:v>
      </x:c>
      <x:c r="I1129" s="50" t="n">
        <x:v>75.33</x:v>
      </x:c>
      <x:c r="J1129" s="50" t="n">
        <x:v>2.27</x:v>
      </x:c>
      <x:c r="K1129" s="50" t="n">
        <x:v>7.9</x:v>
      </x:c>
      <x:c r="L1129" s="50" t="n">
        <x:v>8.22</x:v>
      </x:c>
      <x:c r="M1129" s="50" t="n">
        <x:v>1.72</x:v>
      </x:c>
      <x:c r="N1129" t="str">
        <x:v>RELATÓRIO LEITURAS INCLINOMÉTRICAS - Empreitada THE EDEN, Estoril_ R10_09-12-25.pdf</x:v>
      </x:c>
      <x:c r="O1129" t="n">
        <x:v>22</x:v>
      </x:c>
    </x:row>
    <x:row r="1130">
      <x:c r="A1130" s="48" t="n">
        <x:v>45993</x:v>
      </x:c>
      <x:c r="B1130" t="n">
        <x:v>9</x:v>
      </x:c>
      <x:c r="C1130" t="str">
        <x:v>I1</x:v>
      </x:c>
      <x:c r="D1130" t="n">
        <x:v>9</x:v>
      </x:c>
      <x:c r="E1130" s="50" t="n">
        <x:v>4.5</x:v>
      </x:c>
      <x:c r="F1130" s="50" t="n">
        <x:v>69.44</x:v>
      </x:c>
      <x:c r="G1130" s="50" t="n">
        <x:v>-60.92</x:v>
      </x:c>
      <x:c r="H1130" s="50" t="n">
        <x:v>-42.7</x:v>
      </x:c>
      <x:c r="I1130" s="50" t="n">
        <x:v>48.84</x:v>
      </x:c>
      <x:c r="J1130" s="50" t="n">
        <x:v>2.35</x:v>
      </x:c>
      <x:c r="K1130" s="50" t="n">
        <x:v>7.79</x:v>
      </x:c>
      <x:c r="L1130" s="50" t="n">
        <x:v>8.14</x:v>
      </x:c>
      <x:c r="M1130" s="50" t="n">
        <x:v>1.68</x:v>
      </x:c>
      <x:c r="N1130" t="str">
        <x:v>RELATÓRIO LEITURAS INCLINOMÉTRICAS - Empreitada THE EDEN, Estoril_ R10_09-12-25.pdf</x:v>
      </x:c>
      <x:c r="O1130" t="n">
        <x:v>22</x:v>
      </x:c>
    </x:row>
    <x:row r="1131">
      <x:c r="A1131" s="48" t="n">
        <x:v>45993</x:v>
      </x:c>
      <x:c r="B1131" t="n">
        <x:v>9</x:v>
      </x:c>
      <x:c r="C1131" t="str">
        <x:v>I1</x:v>
      </x:c>
      <x:c r="D1131" t="n">
        <x:v>9</x:v>
      </x:c>
      <x:c r="E1131" s="50" t="n">
        <x:v>5</x:v>
      </x:c>
      <x:c r="F1131" s="50" t="n">
        <x:v>11.1</x:v>
      </x:c>
      <x:c r="G1131" s="50" t="n">
        <x:v>-0.55</x:v>
      </x:c>
      <x:c r="H1131" s="50" t="n">
        <x:v>20</x:v>
      </x:c>
      <x:c r="I1131" s="50" t="n">
        <x:v>-16.14</x:v>
      </x:c>
      <x:c r="J1131" s="50" t="n">
        <x:v>2.85</x:v>
      </x:c>
      <x:c r="K1131" s="50" t="n">
        <x:v>7.48</x:v>
      </x:c>
      <x:c r="L1131" s="50" t="n">
        <x:v>8</x:v>
      </x:c>
      <x:c r="M1131" s="50" t="n">
        <x:v>1.61</x:v>
      </x:c>
      <x:c r="N1131" t="str">
        <x:v>RELATÓRIO LEITURAS INCLINOMÉTRICAS - Empreitada THE EDEN, Estoril_ R10_09-12-25.pdf</x:v>
      </x:c>
      <x:c r="O1131" t="n">
        <x:v>22</x:v>
      </x:c>
    </x:row>
    <x:row r="1132">
      <x:c r="A1132" s="48" t="n">
        <x:v>45993</x:v>
      </x:c>
      <x:c r="B1132" t="n">
        <x:v>9</x:v>
      </x:c>
      <x:c r="C1132" t="str">
        <x:v>I1</x:v>
      </x:c>
      <x:c r="D1132" t="n">
        <x:v>9</x:v>
      </x:c>
      <x:c r="E1132" s="50" t="n">
        <x:v>5.5</x:v>
      </x:c>
      <x:c r="F1132" s="50" t="n">
        <x:v>8.32</x:v>
      </x:c>
      <x:c r="G1132" s="50" t="n">
        <x:v>1.12</x:v>
      </x:c>
      <x:c r="H1132" s="50" t="n">
        <x:v>10.52</x:v>
      </x:c>
      <x:c r="I1132" s="50" t="n">
        <x:v>-17.21</x:v>
      </x:c>
      <x:c r="J1132" s="50" t="n">
        <x:v>3.13</x:v>
      </x:c>
      <x:c r="K1132" s="50" t="n">
        <x:v>7.51</x:v>
      </x:c>
      <x:c r="L1132" s="50" t="n">
        <x:v>8.13</x:v>
      </x:c>
      <x:c r="M1132" s="50" t="n">
        <x:v>1.68</x:v>
      </x:c>
      <x:c r="N1132" t="str">
        <x:v>RELATÓRIO LEITURAS INCLINOMÉTRICAS - Empreitada THE EDEN, Estoril_ R10_09-12-25.pdf</x:v>
      </x:c>
      <x:c r="O1132" t="n">
        <x:v>22</x:v>
      </x:c>
    </x:row>
    <x:row r="1133">
      <x:c r="A1133" s="48" t="n">
        <x:v>45993</x:v>
      </x:c>
      <x:c r="B1133" t="n">
        <x:v>9</x:v>
      </x:c>
      <x:c r="C1133" t="str">
        <x:v>I1</x:v>
      </x:c>
      <x:c r="D1133" t="n">
        <x:v>9</x:v>
      </x:c>
      <x:c r="E1133" s="50" t="n">
        <x:v>6</x:v>
      </x:c>
      <x:c r="F1133" s="50" t="n">
        <x:v>24.51</x:v>
      </x:c>
      <x:c r="G1133" s="50" t="n">
        <x:v>-16.3</x:v>
      </x:c>
      <x:c r="H1133" s="50" t="n">
        <x:v>-44.06</x:v>
      </x:c>
      <x:c r="I1133" s="50" t="n">
        <x:v>46.83</x:v>
      </x:c>
      <x:c r="J1133" s="50" t="n">
        <x:v>3.38</x:v>
      </x:c>
      <x:c r="K1133" s="50" t="n">
        <x:v>7.62</x:v>
      </x:c>
      <x:c r="L1133" s="50" t="n">
        <x:v>8.33</x:v>
      </x:c>
      <x:c r="M1133" s="50" t="n">
        <x:v>1.68</x:v>
      </x:c>
      <x:c r="N1133" t="str">
        <x:v>RELATÓRIO LEITURAS INCLINOMÉTRICAS - Empreitada THE EDEN, Estoril_ R10_09-12-25.pdf</x:v>
      </x:c>
      <x:c r="O1133" t="n">
        <x:v>22</x:v>
      </x:c>
    </x:row>
    <x:row r="1134">
      <x:c r="A1134" s="48" t="n">
        <x:v>45993</x:v>
      </x:c>
      <x:c r="B1134" t="n">
        <x:v>9</x:v>
      </x:c>
      <x:c r="C1134" t="str">
        <x:v>I1</x:v>
      </x:c>
      <x:c r="D1134" t="n">
        <x:v>9</x:v>
      </x:c>
      <x:c r="E1134" s="50" t="n">
        <x:v>6.5</x:v>
      </x:c>
      <x:c r="F1134" s="50" t="n">
        <x:v>29.8</x:v>
      </x:c>
      <x:c r="G1134" s="50" t="n">
        <x:v>-17.65</x:v>
      </x:c>
      <x:c r="H1134" s="50" t="n">
        <x:v>-69.54</x:v>
      </x:c>
      <x:c r="I1134" s="50" t="n">
        <x:v>80.71</x:v>
      </x:c>
      <x:c r="J1134" s="50" t="n">
        <x:v>3.63</x:v>
      </x:c>
      <x:c r="K1134" s="50" t="n">
        <x:v>7.44</x:v>
      </x:c>
      <x:c r="L1134" s="50" t="n">
        <x:v>8.27</x:v>
      </x:c>
      <x:c r="M1134" s="50" t="n">
        <x:v>1.65</x:v>
      </x:c>
      <x:c r="N1134" t="str">
        <x:v>RELATÓRIO LEITURAS INCLINOMÉTRICAS - Empreitada THE EDEN, Estoril_ R10_09-12-25.pdf</x:v>
      </x:c>
      <x:c r="O1134" t="n">
        <x:v>22</x:v>
      </x:c>
    </x:row>
    <x:row r="1135">
      <x:c r="A1135" s="48" t="n">
        <x:v>45993</x:v>
      </x:c>
      <x:c r="B1135" t="n">
        <x:v>9</x:v>
      </x:c>
      <x:c r="C1135" t="str">
        <x:v>I1</x:v>
      </x:c>
      <x:c r="D1135" t="n">
        <x:v>9</x:v>
      </x:c>
      <x:c r="E1135" s="50" t="n">
        <x:v>7</x:v>
      </x:c>
      <x:c r="F1135" s="50" t="n">
        <x:v>109.78</x:v>
      </x:c>
      <x:c r="G1135" s="50" t="n">
        <x:v>-102.48</x:v>
      </x:c>
      <x:c r="H1135" s="50" t="n">
        <x:v>-52.72</x:v>
      </x:c>
      <x:c r="I1135" s="50" t="n">
        <x:v>60.17</x:v>
      </x:c>
      <x:c r="J1135" s="50" t="n">
        <x:v>3.47</x:v>
      </x:c>
      <x:c r="K1135" s="50" t="n">
        <x:v>7.1</x:v>
      </x:c>
      <x:c r="L1135" s="50" t="n">
        <x:v>7.9</x:v>
      </x:c>
      <x:c r="M1135" s="50" t="n">
        <x:v>1.66</x:v>
      </x:c>
      <x:c r="N1135" t="str">
        <x:v>RELATÓRIO LEITURAS INCLINOMÉTRICAS - Empreitada THE EDEN, Estoril_ R10_09-12-25.pdf</x:v>
      </x:c>
      <x:c r="O1135" t="n">
        <x:v>22</x:v>
      </x:c>
    </x:row>
    <x:row r="1136">
      <x:c r="A1136" s="48" t="n">
        <x:v>45993</x:v>
      </x:c>
      <x:c r="B1136" t="n">
        <x:v>9</x:v>
      </x:c>
      <x:c r="C1136" t="str">
        <x:v>I1</x:v>
      </x:c>
      <x:c r="D1136" t="n">
        <x:v>9</x:v>
      </x:c>
      <x:c r="E1136" s="50" t="n">
        <x:v>7.5</x:v>
      </x:c>
      <x:c r="F1136" s="50" t="n">
        <x:v>65.55</x:v>
      </x:c>
      <x:c r="G1136" s="50" t="n">
        <x:v>-58.5</x:v>
      </x:c>
      <x:c r="H1136" s="50" t="n">
        <x:v>-60.73</x:v>
      </x:c>
      <x:c r="I1136" s="50" t="n">
        <x:v>70.39</x:v>
      </x:c>
      <x:c r="J1136" s="50" t="n">
        <x:v>3.59</x:v>
      </x:c>
      <x:c r="K1136" s="50" t="n">
        <x:v>6.98</x:v>
      </x:c>
      <x:c r="L1136" s="50" t="n">
        <x:v>7.85</x:v>
      </x:c>
      <x:c r="M1136" s="50" t="n">
        <x:v>1.64</x:v>
      </x:c>
      <x:c r="N1136" t="str">
        <x:v>RELATÓRIO LEITURAS INCLINOMÉTRICAS - Empreitada THE EDEN, Estoril_ R10_09-12-25.pdf</x:v>
      </x:c>
      <x:c r="O1136" t="n">
        <x:v>22</x:v>
      </x:c>
    </x:row>
    <x:row r="1137">
      <x:c r="A1137" s="48" t="n">
        <x:v>45993</x:v>
      </x:c>
      <x:c r="B1137" t="n">
        <x:v>9</x:v>
      </x:c>
      <x:c r="C1137" t="str">
        <x:v>I1</x:v>
      </x:c>
      <x:c r="D1137" t="n">
        <x:v>9</x:v>
      </x:c>
      <x:c r="E1137" s="50" t="n">
        <x:v>8</x:v>
      </x:c>
      <x:c r="F1137" s="50" t="n">
        <x:v>44.57</x:v>
      </x:c>
      <x:c r="G1137" s="50" t="n">
        <x:v>-34.71</x:v>
      </x:c>
      <x:c r="H1137" s="50" t="n">
        <x:v>-56.6</x:v>
      </x:c>
      <x:c r="I1137" s="50" t="n">
        <x:v>68.91</x:v>
      </x:c>
      <x:c r="J1137" s="50" t="n">
        <x:v>3.47</x:v>
      </x:c>
      <x:c r="K1137" s="50" t="n">
        <x:v>6.51</x:v>
      </x:c>
      <x:c r="L1137" s="50" t="n">
        <x:v>7.38</x:v>
      </x:c>
      <x:c r="M1137" s="50" t="n">
        <x:v>1.42</x:v>
      </x:c>
      <x:c r="N1137" t="str">
        <x:v>RELATÓRIO LEITURAS INCLINOMÉTRICAS - Empreitada THE EDEN, Estoril_ R10_09-12-25.pdf</x:v>
      </x:c>
      <x:c r="O1137" t="n">
        <x:v>22</x:v>
      </x:c>
    </x:row>
    <x:row r="1138">
      <x:c r="A1138" s="48" t="n">
        <x:v>45993</x:v>
      </x:c>
      <x:c r="B1138" t="n">
        <x:v>9</x:v>
      </x:c>
      <x:c r="C1138" t="str">
        <x:v>I1</x:v>
      </x:c>
      <x:c r="D1138" t="n">
        <x:v>9</x:v>
      </x:c>
      <x:c r="E1138" s="50" t="n">
        <x:v>8.5</x:v>
      </x:c>
      <x:c r="F1138" s="50" t="n">
        <x:v>7.93</x:v>
      </x:c>
      <x:c r="G1138" s="50" t="n">
        <x:v>0.12</x:v>
      </x:c>
      <x:c r="H1138" s="50" t="n">
        <x:v>-23.79</x:v>
      </x:c>
      <x:c r="I1138" s="50" t="n">
        <x:v>33.93</x:v>
      </x:c>
      <x:c r="J1138" s="50" t="n">
        <x:v>3.39</x:v>
      </x:c>
      <x:c r="K1138" s="50" t="n">
        <x:v>5.8</x:v>
      </x:c>
      <x:c r="L1138" s="50" t="n">
        <x:v>6.72</x:v>
      </x:c>
      <x:c r="M1138" s="50" t="n">
        <x:v>1.28</x:v>
      </x:c>
      <x:c r="N1138" t="str">
        <x:v>RELATÓRIO LEITURAS INCLINOMÉTRICAS - Empreitada THE EDEN, Estoril_ R10_09-12-25.pdf</x:v>
      </x:c>
      <x:c r="O1138" t="n">
        <x:v>22</x:v>
      </x:c>
    </x:row>
    <x:row r="1139">
      <x:c r="A1139" s="48" t="n">
        <x:v>45993</x:v>
      </x:c>
      <x:c r="B1139" t="n">
        <x:v>9</x:v>
      </x:c>
      <x:c r="C1139" t="str">
        <x:v>I1</x:v>
      </x:c>
      <x:c r="D1139" t="n">
        <x:v>9</x:v>
      </x:c>
      <x:c r="E1139" s="50" t="n">
        <x:v>9</x:v>
      </x:c>
      <x:c r="F1139" s="50" t="n">
        <x:v>-39.89</x:v>
      </x:c>
      <x:c r="G1139" s="50" t="n">
        <x:v>48.07</x:v>
      </x:c>
      <x:c r="H1139" s="50" t="n">
        <x:v>-5.46</x:v>
      </x:c>
      <x:c r="I1139" s="50" t="n">
        <x:v>10.8</x:v>
      </x:c>
      <x:c r="J1139" s="50" t="n">
        <x:v>3.39</x:v>
      </x:c>
      <x:c r="K1139" s="50" t="n">
        <x:v>5.36</x:v>
      </x:c>
      <x:c r="L1139" s="50" t="n">
        <x:v>6.35</x:v>
      </x:c>
      <x:c r="M1139" s="50" t="n">
        <x:v>1.24</x:v>
      </x:c>
      <x:c r="N1139" t="str">
        <x:v>RELATÓRIO LEITURAS INCLINOMÉTRICAS - Empreitada THE EDEN, Estoril_ R10_09-12-25.pdf</x:v>
      </x:c>
      <x:c r="O1139" t="n">
        <x:v>22</x:v>
      </x:c>
    </x:row>
    <x:row r="1140">
      <x:c r="A1140" s="48" t="n">
        <x:v>45993</x:v>
      </x:c>
      <x:c r="B1140" t="n">
        <x:v>9</x:v>
      </x:c>
      <x:c r="C1140" t="str">
        <x:v>I1</x:v>
      </x:c>
      <x:c r="D1140" t="n">
        <x:v>9</x:v>
      </x:c>
      <x:c r="E1140" s="50" t="n">
        <x:v>9.5</x:v>
      </x:c>
      <x:c r="F1140" s="50" t="n">
        <x:v>-113.89</x:v>
      </x:c>
      <x:c r="G1140" s="50" t="n">
        <x:v>119.04</x:v>
      </x:c>
      <x:c r="H1140" s="50" t="n">
        <x:v>12.42</x:v>
      </x:c>
      <x:c r="I1140" s="50" t="n">
        <x:v>-3.37</x:v>
      </x:c>
      <x:c r="J1140" s="50" t="n">
        <x:v>3.38</x:v>
      </x:c>
      <x:c r="K1140" s="50" t="n">
        <x:v>5.01</x:v>
      </x:c>
      <x:c r="L1140" s="50" t="n">
        <x:v>6.04</x:v>
      </x:c>
      <x:c r="M1140" s="50" t="n">
        <x:v>1.14</x:v>
      </x:c>
      <x:c r="N1140" t="str">
        <x:v>RELATÓRIO LEITURAS INCLINOMÉTRICAS - Empreitada THE EDEN, Estoril_ R10_09-12-25.pdf</x:v>
      </x:c>
      <x:c r="O1140" t="n">
        <x:v>22</x:v>
      </x:c>
    </x:row>
    <x:row r="1141">
      <x:c r="A1141" s="48" t="n">
        <x:v>45993</x:v>
      </x:c>
      <x:c r="B1141" t="n">
        <x:v>9</x:v>
      </x:c>
      <x:c r="C1141" t="str">
        <x:v>I1</x:v>
      </x:c>
      <x:c r="D1141" t="n">
        <x:v>9</x:v>
      </x:c>
      <x:c r="E1141" s="50" t="n">
        <x:v>10</x:v>
      </x:c>
      <x:c r="F1141" s="50" t="n">
        <x:v>-209.36</x:v>
      </x:c>
      <x:c r="G1141" s="50" t="n">
        <x:v>218.17</x:v>
      </x:c>
      <x:c r="H1141" s="50" t="n">
        <x:v>-66.83</x:v>
      </x:c>
      <x:c r="I1141" s="50" t="n">
        <x:v>73.68</x:v>
      </x:c>
      <x:c r="J1141" s="50" t="n">
        <x:v>3.11</x:v>
      </x:c>
      <x:c r="K1141" s="50" t="n">
        <x:v>4.65</x:v>
      </x:c>
      <x:c r="L1141" s="50" t="n">
        <x:v>5.59</x:v>
      </x:c>
      <x:c r="M1141" s="50" t="n">
        <x:v>1.12</x:v>
      </x:c>
      <x:c r="N1141" t="str">
        <x:v>RELATÓRIO LEITURAS INCLINOMÉTRICAS - Empreitada THE EDEN, Estoril_ R10_09-12-25.pdf</x:v>
      </x:c>
      <x:c r="O1141" t="n">
        <x:v>22</x:v>
      </x:c>
    </x:row>
    <x:row r="1142">
      <x:c r="A1142" s="48" t="n">
        <x:v>45993</x:v>
      </x:c>
      <x:c r="B1142" t="n">
        <x:v>9</x:v>
      </x:c>
      <x:c r="C1142" t="str">
        <x:v>I1</x:v>
      </x:c>
      <x:c r="D1142" t="n">
        <x:v>9</x:v>
      </x:c>
      <x:c r="E1142" s="50" t="n">
        <x:v>10.5</x:v>
      </x:c>
      <x:c r="F1142" s="50" t="n">
        <x:v>-199.26</x:v>
      </x:c>
      <x:c r="G1142" s="50" t="n">
        <x:v>207.36</x:v>
      </x:c>
      <x:c r="H1142" s="50" t="n">
        <x:v>-44.84</x:v>
      </x:c>
      <x:c r="I1142" s="50" t="n">
        <x:v>54.65</x:v>
      </x:c>
      <x:c r="J1142" s="50" t="n">
        <x:v>2.66</x:v>
      </x:c>
      <x:c r="K1142" s="50" t="n">
        <x:v>4.05</x:v>
      </x:c>
      <x:c r="L1142" s="50" t="n">
        <x:v>4.84</x:v>
      </x:c>
      <x:c r="M1142" s="50" t="n">
        <x:v>1.06</x:v>
      </x:c>
      <x:c r="N1142" t="str">
        <x:v>RELATÓRIO LEITURAS INCLINOMÉTRICAS - Empreitada THE EDEN, Estoril_ R10_09-12-25.pdf</x:v>
      </x:c>
      <x:c r="O1142" t="n">
        <x:v>22</x:v>
      </x:c>
    </x:row>
    <x:row r="1143">
      <x:c r="A1143" s="48" t="n">
        <x:v>45993</x:v>
      </x:c>
      <x:c r="B1143" t="n">
        <x:v>9</x:v>
      </x:c>
      <x:c r="C1143" t="str">
        <x:v>I1</x:v>
      </x:c>
      <x:c r="D1143" t="n">
        <x:v>9</x:v>
      </x:c>
      <x:c r="E1143" s="50" t="n">
        <x:v>11</x:v>
      </x:c>
      <x:c r="F1143" s="50" t="n">
        <x:v>-175.72</x:v>
      </x:c>
      <x:c r="G1143" s="50" t="n">
        <x:v>178.46</x:v>
      </x:c>
      <x:c r="H1143" s="50" t="n">
        <x:v>7.97</x:v>
      </x:c>
      <x:c r="I1143" s="50" t="n">
        <x:v>8.2</x:v>
      </x:c>
      <x:c r="J1143" s="50" t="n">
        <x:v>2.43</x:v>
      </x:c>
      <x:c r="K1143" s="50" t="n">
        <x:v>3.79</x:v>
      </x:c>
      <x:c r="L1143" s="50" t="n">
        <x:v>4.5</x:v>
      </x:c>
      <x:c r="M1143" s="50" t="n">
        <x:v>0.95</x:v>
      </x:c>
      <x:c r="N1143" t="str">
        <x:v>RELATÓRIO LEITURAS INCLINOMÉTRICAS - Empreitada THE EDEN, Estoril_ R10_09-12-25.pdf</x:v>
      </x:c>
      <x:c r="O1143" t="n">
        <x:v>22</x:v>
      </x:c>
    </x:row>
    <x:row r="1144">
      <x:c r="A1144" s="48" t="n">
        <x:v>45993</x:v>
      </x:c>
      <x:c r="B1144" t="n">
        <x:v>9</x:v>
      </x:c>
      <x:c r="C1144" t="str">
        <x:v>I1</x:v>
      </x:c>
      <x:c r="D1144" t="n">
        <x:v>9</x:v>
      </x:c>
      <x:c r="E1144" s="50" t="n">
        <x:v>11.5</x:v>
      </x:c>
      <x:c r="F1144" s="50" t="n">
        <x:v>-79.67</x:v>
      </x:c>
      <x:c r="G1144" s="50" t="n">
        <x:v>83.44</x:v>
      </x:c>
      <x:c r="H1144" s="50" t="n">
        <x:v>6.78</x:v>
      </x:c>
      <x:c r="I1144" s="50" t="n">
        <x:v>-8.73</x:v>
      </x:c>
      <x:c r="J1144" s="50" t="n">
        <x:v>2.24</x:v>
      </x:c>
      <x:c r="K1144" s="50" t="n">
        <x:v>3.66</x:v>
      </x:c>
      <x:c r="L1144" s="50" t="n">
        <x:v>4.29</x:v>
      </x:c>
      <x:c r="M1144" s="50" t="n">
        <x:v>0.9</x:v>
      </x:c>
      <x:c r="N1144" t="str">
        <x:v>RELATÓRIO LEITURAS INCLINOMÉTRICAS - Empreitada THE EDEN, Estoril_ R10_09-12-25.pdf</x:v>
      </x:c>
      <x:c r="O1144" t="n">
        <x:v>22</x:v>
      </x:c>
    </x:row>
    <x:row r="1145">
      <x:c r="A1145" s="48" t="n">
        <x:v>45993</x:v>
      </x:c>
      <x:c r="B1145" t="n">
        <x:v>9</x:v>
      </x:c>
      <x:c r="C1145" t="str">
        <x:v>I1</x:v>
      </x:c>
      <x:c r="D1145" t="n">
        <x:v>9</x:v>
      </x:c>
      <x:c r="E1145" s="50" t="n">
        <x:v>12</x:v>
      </x:c>
      <x:c r="F1145" s="50" t="n">
        <x:v>-146.03</x:v>
      </x:c>
      <x:c r="G1145" s="50" t="n">
        <x:v>155.34</x:v>
      </x:c>
      <x:c r="H1145" s="50" t="n">
        <x:v>-10.61</x:v>
      </x:c>
      <x:c r="I1145" s="50" t="n">
        <x:v>11.25</x:v>
      </x:c>
      <x:c r="J1145" s="50" t="n">
        <x:v>2.11</x:v>
      </x:c>
      <x:c r="K1145" s="50" t="n">
        <x:v>3.58</x:v>
      </x:c>
      <x:c r="L1145" s="50" t="n">
        <x:v>4.15</x:v>
      </x:c>
      <x:c r="M1145" s="50" t="n">
        <x:v>1.01</x:v>
      </x:c>
      <x:c r="N1145" t="str">
        <x:v>RELATÓRIO LEITURAS INCLINOMÉTRICAS - Empreitada THE EDEN, Estoril_ R10_09-12-25.pdf</x:v>
      </x:c>
      <x:c r="O1145" t="n">
        <x:v>22</x:v>
      </x:c>
    </x:row>
    <x:row r="1146">
      <x:c r="A1146" s="48" t="n">
        <x:v>45993</x:v>
      </x:c>
      <x:c r="B1146" t="n">
        <x:v>9</x:v>
      </x:c>
      <x:c r="C1146" t="str">
        <x:v>I1</x:v>
      </x:c>
      <x:c r="D1146" t="n">
        <x:v>9</x:v>
      </x:c>
      <x:c r="E1146" s="50" t="n">
        <x:v>12.5</x:v>
      </x:c>
      <x:c r="F1146" s="50" t="n">
        <x:v>-137.04</x:v>
      </x:c>
      <x:c r="G1146" s="50" t="n">
        <x:v>139.47</x:v>
      </x:c>
      <x:c r="H1146" s="50" t="n">
        <x:v>50.08</x:v>
      </x:c>
      <x:c r="I1146" s="50" t="n">
        <x:v>-45.44</x:v>
      </x:c>
      <x:c r="J1146" s="50" t="n">
        <x:v>2.06</x:v>
      </x:c>
      <x:c r="K1146" s="50" t="n">
        <x:v>3.51</x:v>
      </x:c>
      <x:c r="L1146" s="50" t="n">
        <x:v>4.07</x:v>
      </x:c>
      <x:c r="M1146" s="50" t="n">
        <x:v>1.11</x:v>
      </x:c>
      <x:c r="N1146" t="str">
        <x:v>RELATÓRIO LEITURAS INCLINOMÉTRICAS - Empreitada THE EDEN, Estoril_ R10_09-12-25.pdf</x:v>
      </x:c>
      <x:c r="O1146" t="n">
        <x:v>22</x:v>
      </x:c>
    </x:row>
    <x:row r="1147">
      <x:c r="A1147" s="48" t="n">
        <x:v>45993</x:v>
      </x:c>
      <x:c r="B1147" t="n">
        <x:v>9</x:v>
      </x:c>
      <x:c r="C1147" t="str">
        <x:v>I1</x:v>
      </x:c>
      <x:c r="D1147" t="n">
        <x:v>9</x:v>
      </x:c>
      <x:c r="E1147" s="50" t="n">
        <x:v>13</x:v>
      </x:c>
      <x:c r="F1147" s="50" t="n">
        <x:v>-69.11</x:v>
      </x:c>
      <x:c r="G1147" s="50" t="n">
        <x:v>75.99</x:v>
      </x:c>
      <x:c r="H1147" s="50" t="n">
        <x:v>47.01</x:v>
      </x:c>
      <x:c r="I1147" s="50" t="n">
        <x:v>-36.14</x:v>
      </x:c>
      <x:c r="J1147" s="50" t="n">
        <x:v>1.96</x:v>
      </x:c>
      <x:c r="K1147" s="50" t="n">
        <x:v>3.48</x:v>
      </x:c>
      <x:c r="L1147" s="50" t="n">
        <x:v>4</x:v>
      </x:c>
      <x:c r="M1147" s="50" t="n">
        <x:v>1.01</x:v>
      </x:c>
      <x:c r="N1147" t="str">
        <x:v>RELATÓRIO LEITURAS INCLINOMÉTRICAS - Empreitada THE EDEN, Estoril_ R10_09-12-25.pdf</x:v>
      </x:c>
      <x:c r="O1147" t="n">
        <x:v>22</x:v>
      </x:c>
    </x:row>
    <x:row r="1148">
      <x:c r="A1148" s="48" t="n">
        <x:v>45993</x:v>
      </x:c>
      <x:c r="B1148" t="n">
        <x:v>9</x:v>
      </x:c>
      <x:c r="C1148" t="str">
        <x:v>I1</x:v>
      </x:c>
      <x:c r="D1148" t="n">
        <x:v>9</x:v>
      </x:c>
      <x:c r="E1148" s="50" t="n">
        <x:v>13.5</x:v>
      </x:c>
      <x:c r="F1148" s="50" t="n">
        <x:v>-59.38</x:v>
      </x:c>
      <x:c r="G1148" s="50" t="n">
        <x:v>64.16</x:v>
      </x:c>
      <x:c r="H1148" s="50" t="n">
        <x:v>57.51</x:v>
      </x:c>
      <x:c r="I1148" s="50" t="n">
        <x:v>-52.86</x:v>
      </x:c>
      <x:c r="J1148" s="50" t="n">
        <x:v>1.61</x:v>
      </x:c>
      <x:c r="K1148" s="50" t="n">
        <x:v>3.4</x:v>
      </x:c>
      <x:c r="L1148" s="50" t="n">
        <x:v>3.77</x:v>
      </x:c>
      <x:c r="M1148" s="50" t="n">
        <x:v>0.94</x:v>
      </x:c>
      <x:c r="N1148" t="str">
        <x:v>RELATÓRIO LEITURAS INCLINOMÉTRICAS - Empreitada THE EDEN, Estoril_ R10_09-12-25.pdf</x:v>
      </x:c>
      <x:c r="O1148" t="n">
        <x:v>22</x:v>
      </x:c>
    </x:row>
    <x:row r="1149">
      <x:c r="A1149" s="48" t="n">
        <x:v>45993</x:v>
      </x:c>
      <x:c r="B1149" t="n">
        <x:v>9</x:v>
      </x:c>
      <x:c r="C1149" t="str">
        <x:v>I1</x:v>
      </x:c>
      <x:c r="D1149" t="n">
        <x:v>9</x:v>
      </x:c>
      <x:c r="E1149" s="50" t="n">
        <x:v>14</x:v>
      </x:c>
      <x:c r="F1149" s="50" t="n">
        <x:v>-59.47</x:v>
      </x:c>
      <x:c r="G1149" s="50" t="n">
        <x:v>62.88</x:v>
      </x:c>
      <x:c r="H1149" s="50" t="n">
        <x:v>72.99</x:v>
      </x:c>
      <x:c r="I1149" s="50" t="n">
        <x:v>-58.32</x:v>
      </x:c>
      <x:c r="J1149" s="50" t="n">
        <x:v>1.1</x:v>
      </x:c>
      <x:c r="K1149" s="50" t="n">
        <x:v>3.24</x:v>
      </x:c>
      <x:c r="L1149" s="50" t="n">
        <x:v>3.42</x:v>
      </x:c>
      <x:c r="M1149" s="50" t="n">
        <x:v>0.81</x:v>
      </x:c>
      <x:c r="N1149" t="str">
        <x:v>RELATÓRIO LEITURAS INCLINOMÉTRICAS - Empreitada THE EDEN, Estoril_ R10_09-12-25.pdf</x:v>
      </x:c>
      <x:c r="O1149" t="n">
        <x:v>22</x:v>
      </x:c>
    </x:row>
    <x:row r="1150">
      <x:c r="A1150" s="48" t="n">
        <x:v>45993</x:v>
      </x:c>
      <x:c r="B1150" t="n">
        <x:v>9</x:v>
      </x:c>
      <x:c r="C1150" t="str">
        <x:v>I1</x:v>
      </x:c>
      <x:c r="D1150" t="n">
        <x:v>9</x:v>
      </x:c>
      <x:c r="E1150" s="50" t="n">
        <x:v>14.5</x:v>
      </x:c>
      <x:c r="F1150" s="50" t="n">
        <x:v>-48.82</x:v>
      </x:c>
      <x:c r="G1150" s="50" t="n">
        <x:v>52.88</x:v>
      </x:c>
      <x:c r="H1150" s="50" t="n">
        <x:v>99.08</x:v>
      </x:c>
      <x:c r="I1150" s="50" t="n">
        <x:v>-84.96</x:v>
      </x:c>
      <x:c r="J1150" s="50" t="n">
        <x:v>0.56</x:v>
      </x:c>
      <x:c r="K1150" s="50" t="n">
        <x:v>2.72</x:v>
      </x:c>
      <x:c r="L1150" s="50" t="n">
        <x:v>2.78</x:v>
      </x:c>
      <x:c r="M1150" s="50" t="n">
        <x:v>0.58</x:v>
      </x:c>
      <x:c r="N1150" t="str">
        <x:v>RELATÓRIO LEITURAS INCLINOMÉTRICAS - Empreitada THE EDEN, Estoril_ R10_09-12-25.pdf</x:v>
      </x:c>
      <x:c r="O1150" t="n">
        <x:v>22</x:v>
      </x:c>
    </x:row>
    <x:row r="1151">
      <x:c r="A1151" s="48" t="n">
        <x:v>45993</x:v>
      </x:c>
      <x:c r="B1151" t="n">
        <x:v>9</x:v>
      </x:c>
      <x:c r="C1151" t="str">
        <x:v>I1</x:v>
      </x:c>
      <x:c r="D1151" t="n">
        <x:v>9</x:v>
      </x:c>
      <x:c r="E1151" s="50" t="n">
        <x:v>15</x:v>
      </x:c>
      <x:c r="F1151" s="50" t="n">
        <x:v>-14.82</x:v>
      </x:c>
      <x:c r="G1151" s="50" t="n">
        <x:v>20.15</x:v>
      </x:c>
      <x:c r="H1151" s="50" t="n">
        <x:v>114.64</x:v>
      </x:c>
      <x:c r="I1151" s="50" t="n">
        <x:v>-105.06</x:v>
      </x:c>
      <x:c r="J1151" s="50" t="n">
        <x:v>0.07</x:v>
      </x:c>
      <x:c r="K1151" s="50" t="n">
        <x:v>2.36</x:v>
      </x:c>
      <x:c r="L1151" s="50" t="n">
        <x:v>2.36</x:v>
      </x:c>
      <x:c r="M1151" s="50" t="n">
        <x:v>0.4</x:v>
      </x:c>
      <x:c r="N1151" t="str">
        <x:v>RELATÓRIO LEITURAS INCLINOMÉTRICAS - Empreitada THE EDEN, Estoril_ R10_09-12-25.pdf</x:v>
      </x:c>
      <x:c r="O1151" t="n">
        <x:v>22</x:v>
      </x:c>
    </x:row>
    <x:row r="1152">
      <x:c r="A1152" s="48" t="n">
        <x:v>45993</x:v>
      </x:c>
      <x:c r="B1152" t="n">
        <x:v>9</x:v>
      </x:c>
      <x:c r="C1152" t="str">
        <x:v>I1</x:v>
      </x:c>
      <x:c r="D1152" t="n">
        <x:v>9</x:v>
      </x:c>
      <x:c r="E1152" s="50" t="n">
        <x:v>15.5</x:v>
      </x:c>
      <x:c r="F1152" s="50" t="n">
        <x:v>-50.61</x:v>
      </x:c>
      <x:c r="G1152" s="50" t="n">
        <x:v>51.36</x:v>
      </x:c>
      <x:c r="H1152" s="50" t="n">
        <x:v>90.57</x:v>
      </x:c>
      <x:c r="I1152" s="50" t="n">
        <x:v>-86.31</x:v>
      </x:c>
      <x:c r="J1152" s="50" t="n">
        <x:v>-0.27</x:v>
      </x:c>
      <x:c r="K1152" s="50" t="n">
        <x:v>2.09</x:v>
      </x:c>
      <x:c r="L1152" s="50" t="n">
        <x:v>2.11</x:v>
      </x:c>
      <x:c r="M1152" s="50" t="n">
        <x:v>0.44</x:v>
      </x:c>
      <x:c r="N1152" t="str">
        <x:v>RELATÓRIO LEITURAS INCLINOMÉTRICAS - Empreitada THE EDEN, Estoril_ R10_09-12-25.pdf</x:v>
      </x:c>
      <x:c r="O1152" t="n">
        <x:v>22</x:v>
      </x:c>
    </x:row>
    <x:row r="1153">
      <x:c r="A1153" s="48" t="n">
        <x:v>45993</x:v>
      </x:c>
      <x:c r="B1153" t="n">
        <x:v>9</x:v>
      </x:c>
      <x:c r="C1153" t="str">
        <x:v>I1</x:v>
      </x:c>
      <x:c r="D1153" t="n">
        <x:v>9</x:v>
      </x:c>
      <x:c r="E1153" s="50" t="n">
        <x:v>16</x:v>
      </x:c>
      <x:c r="F1153" s="50" t="n">
        <x:v>-15.77</x:v>
      </x:c>
      <x:c r="G1153" s="50" t="n">
        <x:v>19.11</x:v>
      </x:c>
      <x:c r="H1153" s="50" t="n">
        <x:v>-31.3</x:v>
      </x:c>
      <x:c r="I1153" s="50" t="n">
        <x:v>33</x:v>
      </x:c>
      <x:c r="J1153" s="50" t="n">
        <x:v>-1.22</x:v>
      </x:c>
      <x:c r="K1153" s="50" t="n">
        <x:v>0.9</x:v>
      </x:c>
      <x:c r="L1153" s="50" t="n">
        <x:v>1.52</x:v>
      </x:c>
      <x:c r="M1153" s="50" t="n">
        <x:v>0.44</x:v>
      </x:c>
      <x:c r="N1153" t="str">
        <x:v>RELATÓRIO LEITURAS INCLINOMÉTRICAS - Empreitada THE EDEN, Estoril_ R10_09-12-25.pdf</x:v>
      </x:c>
      <x:c r="O1153" t="n">
        <x:v>22</x:v>
      </x:c>
    </x:row>
    <x:row r="1154">
      <x:c r="A1154" s="48" t="n">
        <x:v>45993</x:v>
      </x:c>
      <x:c r="B1154" t="n">
        <x:v>9</x:v>
      </x:c>
      <x:c r="C1154" t="str">
        <x:v>I1</x:v>
      </x:c>
      <x:c r="D1154" t="n">
        <x:v>9</x:v>
      </x:c>
      <x:c r="E1154" s="50" t="n">
        <x:v>16.5</x:v>
      </x:c>
      <x:c r="F1154" s="50" t="n">
        <x:v>4.77</x:v>
      </x:c>
      <x:c r="G1154" s="50" t="n">
        <x:v>-0.21</x:v>
      </x:c>
      <x:c r="H1154" s="50" t="n">
        <x:v>-10.31</x:v>
      </x:c>
      <x:c r="I1154" s="50" t="n">
        <x:v>18.95</x:v>
      </x:c>
      <x:c r="J1154" s="50" t="n">
        <x:v>-1.19</x:v>
      </x:c>
      <x:c r="K1154" s="50" t="n">
        <x:v>0.89</x:v>
      </x:c>
      <x:c r="L1154" s="50" t="n">
        <x:v>1.49</x:v>
      </x:c>
      <x:c r="M1154" s="50" t="n">
        <x:v>0.45</x:v>
      </x:c>
      <x:c r="N1154" t="str">
        <x:v>RELATÓRIO LEITURAS INCLINOMÉTRICAS - Empreitada THE EDEN, Estoril_ R10_09-12-25.pdf</x:v>
      </x:c>
      <x:c r="O1154" t="n">
        <x:v>22</x:v>
      </x:c>
    </x:row>
    <x:row r="1155">
      <x:c r="A1155" s="48" t="n">
        <x:v>45993</x:v>
      </x:c>
      <x:c r="B1155" t="n">
        <x:v>9</x:v>
      </x:c>
      <x:c r="C1155" t="str">
        <x:v>I1</x:v>
      </x:c>
      <x:c r="D1155" t="n">
        <x:v>9</x:v>
      </x:c>
      <x:c r="E1155" s="50" t="n">
        <x:v>17</x:v>
      </x:c>
      <x:c r="F1155" s="50" t="n">
        <x:v>15.36</x:v>
      </x:c>
      <x:c r="G1155" s="50" t="n">
        <x:v>-12.66</x:v>
      </x:c>
      <x:c r="H1155" s="50" t="n">
        <x:v>4.65</x:v>
      </x:c>
      <x:c r="I1155" s="50" t="n">
        <x:v>-1.37</x:v>
      </x:c>
      <x:c r="J1155" s="50" t="n">
        <x:v>-1.16</x:v>
      </x:c>
      <x:c r="K1155" s="50" t="n">
        <x:v>0.94</x:v>
      </x:c>
      <x:c r="L1155" s="50" t="n">
        <x:v>1.49</x:v>
      </x:c>
      <x:c r="M1155" s="50" t="n">
        <x:v>0.46</x:v>
      </x:c>
      <x:c r="N1155" t="str">
        <x:v>RELATÓRIO LEITURAS INCLINOMÉTRICAS - Empreitada THE EDEN, Estoril_ R10_09-12-25.pdf</x:v>
      </x:c>
      <x:c r="O1155" t="n">
        <x:v>22</x:v>
      </x:c>
    </x:row>
    <x:row r="1156">
      <x:c r="A1156" s="48" t="n">
        <x:v>45993</x:v>
      </x:c>
      <x:c r="B1156" t="n">
        <x:v>9</x:v>
      </x:c>
      <x:c r="C1156" t="str">
        <x:v>I1</x:v>
      </x:c>
      <x:c r="D1156" t="n">
        <x:v>9</x:v>
      </x:c>
      <x:c r="E1156" s="50" t="n">
        <x:v>17.5</x:v>
      </x:c>
      <x:c r="F1156" s="50" t="n">
        <x:v>-12.52</x:v>
      </x:c>
      <x:c r="G1156" s="50" t="n">
        <x:v>15.38</x:v>
      </x:c>
      <x:c r="H1156" s="50" t="n">
        <x:v>36.39</x:v>
      </x:c>
      <x:c r="I1156" s="50" t="n">
        <x:v>-28.73</x:v>
      </x:c>
      <x:c r="J1156" s="50" t="n">
        <x:v>-1.19</x:v>
      </x:c>
      <x:c r="K1156" s="50" t="n">
        <x:v>1.09</x:v>
      </x:c>
      <x:c r="L1156" s="50" t="n">
        <x:v>1.62</x:v>
      </x:c>
      <x:c r="M1156" s="50" t="n">
        <x:v>0.5</x:v>
      </x:c>
      <x:c r="N1156" t="str">
        <x:v>RELATÓRIO LEITURAS INCLINOMÉTRICAS - Empreitada THE EDEN, Estoril_ R10_09-12-25.pdf</x:v>
      </x:c>
      <x:c r="O1156" t="n">
        <x:v>22</x:v>
      </x:c>
    </x:row>
    <x:row r="1157">
      <x:c r="A1157" s="48" t="n">
        <x:v>45993</x:v>
      </x:c>
      <x:c r="B1157" t="n">
        <x:v>9</x:v>
      </x:c>
      <x:c r="C1157" t="str">
        <x:v>I1</x:v>
      </x:c>
      <x:c r="D1157" t="n">
        <x:v>9</x:v>
      </x:c>
      <x:c r="E1157" s="50" t="n">
        <x:v>18</x:v>
      </x:c>
      <x:c r="F1157" s="50" t="n">
        <x:v>-32.15</x:v>
      </x:c>
      <x:c r="G1157" s="50" t="n">
        <x:v>34.21</x:v>
      </x:c>
      <x:c r="H1157" s="50" t="n">
        <x:v>50.65</x:v>
      </x:c>
      <x:c r="I1157" s="50" t="n">
        <x:v>-40.91</x:v>
      </x:c>
      <x:c r="J1157" s="50" t="n">
        <x:v>-1.19</x:v>
      </x:c>
      <x:c r="K1157" s="50" t="n">
        <x:v>1.09</x:v>
      </x:c>
      <x:c r="L1157" s="50" t="n">
        <x:v>1.62</x:v>
      </x:c>
      <x:c r="M1157" s="50" t="n">
        <x:v>0.48</x:v>
      </x:c>
      <x:c r="N1157" t="str">
        <x:v>RELATÓRIO LEITURAS INCLINOMÉTRICAS - Empreitada THE EDEN, Estoril_ R10_09-12-25.pdf</x:v>
      </x:c>
      <x:c r="O1157" t="n">
        <x:v>22</x:v>
      </x:c>
    </x:row>
    <x:row r="1158">
      <x:c r="A1158" s="48" t="n">
        <x:v>45993</x:v>
      </x:c>
      <x:c r="B1158" t="n">
        <x:v>9</x:v>
      </x:c>
      <x:c r="C1158" t="str">
        <x:v>I1</x:v>
      </x:c>
      <x:c r="D1158" t="n">
        <x:v>9</x:v>
      </x:c>
      <x:c r="E1158" s="50" t="n">
        <x:v>18.5</x:v>
      </x:c>
      <x:c r="F1158" s="50" t="n">
        <x:v>-35.39</x:v>
      </x:c>
      <x:c r="G1158" s="50" t="n">
        <x:v>45.13</x:v>
      </x:c>
      <x:c r="H1158" s="50" t="n">
        <x:v>76.85</x:v>
      </x:c>
      <x:c r="I1158" s="50" t="n">
        <x:v>-48.81</x:v>
      </x:c>
      <x:c r="J1158" s="50" t="n">
        <x:v>-1.19</x:v>
      </x:c>
      <x:c r="K1158" s="50" t="n">
        <x:v>1.11</x:v>
      </x:c>
      <x:c r="L1158" s="50" t="n">
        <x:v>1.63</x:v>
      </x:c>
      <x:c r="M1158" s="50" t="n">
        <x:v>0.49</x:v>
      </x:c>
      <x:c r="N1158" t="str">
        <x:v>RELATÓRIO LEITURAS INCLINOMÉTRICAS - Empreitada THE EDEN, Estoril_ R10_09-12-25.pdf</x:v>
      </x:c>
      <x:c r="O1158" t="n">
        <x:v>22</x:v>
      </x:c>
    </x:row>
    <x:row r="1159">
      <x:c r="A1159" s="48" t="n">
        <x:v>45993</x:v>
      </x:c>
      <x:c r="B1159" t="n">
        <x:v>9</x:v>
      </x:c>
      <x:c r="C1159" t="str">
        <x:v>I1</x:v>
      </x:c>
      <x:c r="D1159" t="n">
        <x:v>9</x:v>
      </x:c>
      <x:c r="E1159" s="50" t="n">
        <x:v>19</x:v>
      </x:c>
      <x:c r="F1159" s="50" t="n">
        <x:v>-139.48</x:v>
      </x:c>
      <x:c r="G1159" s="50" t="n">
        <x:v>135.28</x:v>
      </x:c>
      <x:c r="H1159" s="50" t="n">
        <x:v>-29.62</x:v>
      </x:c>
      <x:c r="I1159" s="50" t="n">
        <x:v>44.41</x:v>
      </x:c>
      <x:c r="J1159" s="50" t="n">
        <x:v>-1.19</x:v>
      </x:c>
      <x:c r="K1159" s="50" t="n">
        <x:v>1.05</x:v>
      </x:c>
      <x:c r="L1159" s="50" t="n">
        <x:v>1.59</x:v>
      </x:c>
      <x:c r="M1159" s="50" t="n">
        <x:v>0.66</x:v>
      </x:c>
      <x:c r="N1159" t="str">
        <x:v>RELATÓRIO LEITURAS INCLINOMÉTRICAS - Empreitada THE EDEN, Estoril_ R10_09-12-25.pdf</x:v>
      </x:c>
      <x:c r="O1159" t="n">
        <x:v>22</x:v>
      </x:c>
    </x:row>
    <x:row r="1160">
      <x:c r="A1160" s="48" t="n">
        <x:v>45993</x:v>
      </x:c>
      <x:c r="B1160" t="n">
        <x:v>9</x:v>
      </x:c>
      <x:c r="C1160" t="str">
        <x:v>I1</x:v>
      </x:c>
      <x:c r="D1160" t="n">
        <x:v>9</x:v>
      </x:c>
      <x:c r="E1160" s="50" t="n">
        <x:v>19.5</x:v>
      </x:c>
      <x:c r="F1160" s="50" t="n">
        <x:v>-133.14</x:v>
      </x:c>
      <x:c r="G1160" s="50" t="n">
        <x:v>135.99</x:v>
      </x:c>
      <x:c r="H1160" s="50" t="n">
        <x:v>-39.01</x:v>
      </x:c>
      <x:c r="I1160" s="50" t="n">
        <x:v>43.5</x:v>
      </x:c>
      <x:c r="J1160" s="50" t="n">
        <x:v>-1.22</x:v>
      </x:c>
      <x:c r="K1160" s="50" t="n">
        <x:v>1.08</x:v>
      </x:c>
      <x:c r="L1160" s="50" t="n">
        <x:v>1.63</x:v>
      </x:c>
      <x:c r="M1160" s="50" t="n">
        <x:v>0.72</x:v>
      </x:c>
      <x:c r="N1160" t="str">
        <x:v>RELATÓRIO LEITURAS INCLINOMÉTRICAS - Empreitada THE EDEN, Estoril_ R10_09-12-25.pdf</x:v>
      </x:c>
      <x:c r="O1160" t="n">
        <x:v>22</x:v>
      </x:c>
    </x:row>
    <x:row r="1161">
      <x:c r="A1161" s="48" t="n">
        <x:v>45993</x:v>
      </x:c>
      <x:c r="B1161" t="n">
        <x:v>9</x:v>
      </x:c>
      <x:c r="C1161" t="str">
        <x:v>I1</x:v>
      </x:c>
      <x:c r="D1161" t="n">
        <x:v>9</x:v>
      </x:c>
      <x:c r="E1161" s="50" t="n">
        <x:v>20</x:v>
      </x:c>
      <x:c r="F1161" s="50" t="n">
        <x:v>-144.27</x:v>
      </x:c>
      <x:c r="G1161" s="50" t="n">
        <x:v>146.17</x:v>
      </x:c>
      <x:c r="H1161" s="50" t="n">
        <x:v>-42.8</x:v>
      </x:c>
      <x:c r="I1161" s="50" t="n">
        <x:v>46.83</x:v>
      </x:c>
      <x:c r="J1161" s="50" t="n">
        <x:v>-1.26</x:v>
      </x:c>
      <x:c r="K1161" s="50" t="n">
        <x:v>0.98</x:v>
      </x:c>
      <x:c r="L1161" s="50" t="n">
        <x:v>1.59</x:v>
      </x:c>
      <x:c r="M1161" s="50" t="n">
        <x:v>0.75</x:v>
      </x:c>
      <x:c r="N1161" t="str">
        <x:v>RELATÓRIO LEITURAS INCLINOMÉTRICAS - Empreitada THE EDEN, Estoril_ R10_09-12-25.pdf</x:v>
      </x:c>
      <x:c r="O1161" t="n">
        <x:v>22</x:v>
      </x:c>
    </x:row>
    <x:row r="1162">
      <x:c r="A1162" s="48" t="n">
        <x:v>45993</x:v>
      </x:c>
      <x:c r="B1162" t="n">
        <x:v>9</x:v>
      </x:c>
      <x:c r="C1162" t="str">
        <x:v>I1</x:v>
      </x:c>
      <x:c r="D1162" t="n">
        <x:v>9</x:v>
      </x:c>
      <x:c r="E1162" s="50" t="n">
        <x:v>20.5</x:v>
      </x:c>
      <x:c r="F1162" s="50" t="n">
        <x:v>-167.55</x:v>
      </x:c>
      <x:c r="G1162" s="50" t="n">
        <x:v>170.03</x:v>
      </x:c>
      <x:c r="H1162" s="50" t="n">
        <x:v>-25.05</x:v>
      </x:c>
      <x:c r="I1162" s="50" t="n">
        <x:v>35.89</x:v>
      </x:c>
      <x:c r="J1162" s="50" t="n">
        <x:v>-1.29</x:v>
      </x:c>
      <x:c r="K1162" s="50" t="n">
        <x:v>0.8</x:v>
      </x:c>
      <x:c r="L1162" s="50" t="n">
        <x:v>1.52</x:v>
      </x:c>
      <x:c r="M1162" s="50" t="n">
        <x:v>0.69</x:v>
      </x:c>
      <x:c r="N1162" t="str">
        <x:v>RELATÓRIO LEITURAS INCLINOMÉTRICAS - Empreitada THE EDEN, Estoril_ R10_09-12-25.pdf</x:v>
      </x:c>
      <x:c r="O1162" t="n">
        <x:v>22</x:v>
      </x:c>
    </x:row>
    <x:row r="1163">
      <x:c r="A1163" s="48" t="n">
        <x:v>45993</x:v>
      </x:c>
      <x:c r="B1163" t="n">
        <x:v>9</x:v>
      </x:c>
      <x:c r="C1163" t="str">
        <x:v>I1</x:v>
      </x:c>
      <x:c r="D1163" t="n">
        <x:v>9</x:v>
      </x:c>
      <x:c r="E1163" s="50" t="n">
        <x:v>21</x:v>
      </x:c>
      <x:c r="F1163" s="50" t="n">
        <x:v>-156.25</x:v>
      </x:c>
      <x:c r="G1163" s="50" t="n">
        <x:v>157.01</x:v>
      </x:c>
      <x:c r="H1163" s="50" t="n">
        <x:v>-16.7</x:v>
      </x:c>
      <x:c r="I1163" s="50" t="n">
        <x:v>29.85</x:v>
      </x:c>
      <x:c r="J1163" s="50" t="n">
        <x:v>-1.28</x:v>
      </x:c>
      <x:c r="K1163" s="50" t="n">
        <x:v>0.53</x:v>
      </x:c>
      <x:c r="L1163" s="50" t="n">
        <x:v>1.39</x:v>
      </x:c>
      <x:c r="M1163" s="50" t="n">
        <x:v>0.54</x:v>
      </x:c>
      <x:c r="N1163" t="str">
        <x:v>RELATÓRIO LEITURAS INCLINOMÉTRICAS - Empreitada THE EDEN, Estoril_ R10_09-12-25.pdf</x:v>
      </x:c>
      <x:c r="O1163" t="n">
        <x:v>22</x:v>
      </x:c>
    </x:row>
    <x:row r="1164">
      <x:c r="A1164" s="48" t="n">
        <x:v>45993</x:v>
      </x:c>
      <x:c r="B1164" t="n">
        <x:v>9</x:v>
      </x:c>
      <x:c r="C1164" t="str">
        <x:v>I1</x:v>
      </x:c>
      <x:c r="D1164" t="n">
        <x:v>9</x:v>
      </x:c>
      <x:c r="E1164" s="50" t="n">
        <x:v>21.5</x:v>
      </x:c>
      <x:c r="F1164" s="50" t="n">
        <x:v>-75.91</x:v>
      </x:c>
      <x:c r="G1164" s="50" t="n">
        <x:v>79.27</x:v>
      </x:c>
      <x:c r="H1164" s="50" t="n">
        <x:v>-26.89</x:v>
      </x:c>
      <x:c r="I1164" s="50" t="n">
        <x:v>26.59</x:v>
      </x:c>
      <x:c r="J1164" s="50" t="n">
        <x:v>-1.27</x:v>
      </x:c>
      <x:c r="K1164" s="50" t="n">
        <x:v>0.41</x:v>
      </x:c>
      <x:c r="L1164" s="50" t="n">
        <x:v>1.34</x:v>
      </x:c>
      <x:c r="M1164" s="50" t="n">
        <x:v>0.48</x:v>
      </x:c>
      <x:c r="N1164" t="str">
        <x:v>RELATÓRIO LEITURAS INCLINOMÉTRICAS - Empreitada THE EDEN, Estoril_ R10_09-12-25.pdf</x:v>
      </x:c>
      <x:c r="O1164" t="n">
        <x:v>22</x:v>
      </x:c>
    </x:row>
    <x:row r="1165">
      <x:c r="A1165" s="48" t="n">
        <x:v>45993</x:v>
      </x:c>
      <x:c r="B1165" t="n">
        <x:v>9</x:v>
      </x:c>
      <x:c r="C1165" t="str">
        <x:v>I1</x:v>
      </x:c>
      <x:c r="D1165" t="n">
        <x:v>9</x:v>
      </x:c>
      <x:c r="E1165" s="50" t="n">
        <x:v>22</x:v>
      </x:c>
      <x:c r="F1165" s="50" t="n">
        <x:v>-1.02</x:v>
      </x:c>
      <x:c r="G1165" s="50" t="n">
        <x:v>0.65</x:v>
      </x:c>
      <x:c r="H1165" s="50" t="n">
        <x:v>-90</x:v>
      </x:c>
      <x:c r="I1165" s="50" t="n">
        <x:v>101.77</x:v>
      </x:c>
      <x:c r="J1165" s="50" t="n">
        <x:v>-1.27</x:v>
      </x:c>
      <x:c r="K1165" s="50" t="n">
        <x:v>0.36</x:v>
      </x:c>
      <x:c r="L1165" s="50" t="n">
        <x:v>1.32</x:v>
      </x:c>
      <x:c r="M1165" s="50" t="n">
        <x:v>0.45</x:v>
      </x:c>
      <x:c r="N1165" t="str">
        <x:v>RELATÓRIO LEITURAS INCLINOMÉTRICAS - Empreitada THE EDEN, Estoril_ R10_09-12-25.pdf</x:v>
      </x:c>
      <x:c r="O1165" t="n">
        <x:v>22</x:v>
      </x:c>
    </x:row>
    <x:row r="1166">
      <x:c r="A1166" s="48" t="n">
        <x:v>45993</x:v>
      </x:c>
      <x:c r="B1166" t="n">
        <x:v>9</x:v>
      </x:c>
      <x:c r="C1166" t="str">
        <x:v>I1</x:v>
      </x:c>
      <x:c r="D1166" t="n">
        <x:v>9</x:v>
      </x:c>
      <x:c r="E1166" s="50" t="n">
        <x:v>22.5</x:v>
      </x:c>
      <x:c r="F1166" s="50" t="n">
        <x:v>-36.99</x:v>
      </x:c>
      <x:c r="G1166" s="50" t="n">
        <x:v>38.15</x:v>
      </x:c>
      <x:c r="H1166" s="50" t="n">
        <x:v>-38.73</x:v>
      </x:c>
      <x:c r="I1166" s="50" t="n">
        <x:v>49.74</x:v>
      </x:c>
      <x:c r="J1166" s="50" t="n">
        <x:v>-1.47</x:v>
      </x:c>
      <x:c r="K1166" s="50" t="n">
        <x:v>0.51</x:v>
      </x:c>
      <x:c r="L1166" s="50" t="n">
        <x:v>1.55</x:v>
      </x:c>
      <x:c r="M1166" s="50" t="n">
        <x:v>0.66</x:v>
      </x:c>
      <x:c r="N1166" t="str">
        <x:v>RELATÓRIO LEITURAS INCLINOMÉTRICAS - Empreitada THE EDEN, Estoril_ R10_09-12-25.pdf</x:v>
      </x:c>
      <x:c r="O1166" t="n">
        <x:v>22</x:v>
      </x:c>
    </x:row>
    <x:row r="1167">
      <x:c r="A1167" s="48" t="n">
        <x:v>45993</x:v>
      </x:c>
      <x:c r="B1167" t="n">
        <x:v>9</x:v>
      </x:c>
      <x:c r="C1167" t="str">
        <x:v>I1</x:v>
      </x:c>
      <x:c r="D1167" t="n">
        <x:v>9</x:v>
      </x:c>
      <x:c r="E1167" s="50" t="n">
        <x:v>23</x:v>
      </x:c>
      <x:c r="F1167" s="50" t="n">
        <x:v>-54.62</x:v>
      </x:c>
      <x:c r="G1167" s="50" t="n">
        <x:v>55.72</x:v>
      </x:c>
      <x:c r="H1167" s="50" t="n">
        <x:v>1.31</x:v>
      </x:c>
      <x:c r="I1167" s="50" t="n">
        <x:v>11.01</x:v>
      </x:c>
      <x:c r="J1167" s="50" t="n">
        <x:v>-1.78</x:v>
      </x:c>
      <x:c r="K1167" s="50" t="n">
        <x:v>0.4</x:v>
      </x:c>
      <x:c r="L1167" s="50" t="n">
        <x:v>1.82</x:v>
      </x:c>
      <x:c r="M1167" s="50" t="n">
        <x:v>0.87</x:v>
      </x:c>
      <x:c r="N1167" t="str">
        <x:v>RELATÓRIO LEITURAS INCLINOMÉTRICAS - Empreitada THE EDEN, Estoril_ R10_09-12-25.pdf</x:v>
      </x:c>
      <x:c r="O1167" t="n">
        <x:v>22</x:v>
      </x:c>
    </x:row>
    <x:row r="1168">
      <x:c r="A1168" s="48" t="n">
        <x:v>45993</x:v>
      </x:c>
      <x:c r="B1168" t="n">
        <x:v>9</x:v>
      </x:c>
      <x:c r="C1168" t="str">
        <x:v>I1</x:v>
      </x:c>
      <x:c r="D1168" t="n">
        <x:v>9</x:v>
      </x:c>
      <x:c r="E1168" s="50" t="n">
        <x:v>23.5</x:v>
      </x:c>
      <x:c r="F1168" s="50" t="n">
        <x:v>-62.49</x:v>
      </x:c>
      <x:c r="G1168" s="50" t="n">
        <x:v>64.92</x:v>
      </x:c>
      <x:c r="H1168" s="50" t="n">
        <x:v>30.17</x:v>
      </x:c>
      <x:c r="I1168" s="50" t="n">
        <x:v>-20.15</x:v>
      </x:c>
      <x:c r="J1168" s="50" t="n">
        <x:v>-1.95</x:v>
      </x:c>
      <x:c r="K1168" s="50" t="n">
        <x:v>0.27</x:v>
      </x:c>
      <x:c r="L1168" s="50" t="n">
        <x:v>1.97</x:v>
      </x:c>
      <x:c r="M1168" s="50" t="n">
        <x:v>1</x:v>
      </x:c>
      <x:c r="N1168" t="str">
        <x:v>RELATÓRIO LEITURAS INCLINOMÉTRICAS - Empreitada THE EDEN, Estoril_ R10_09-12-25.pdf</x:v>
      </x:c>
      <x:c r="O1168" t="n">
        <x:v>22</x:v>
      </x:c>
    </x:row>
    <x:row r="1169">
      <x:c r="A1169" s="48" t="n">
        <x:v>45993</x:v>
      </x:c>
      <x:c r="B1169" t="n">
        <x:v>9</x:v>
      </x:c>
      <x:c r="C1169" t="str">
        <x:v>I1</x:v>
      </x:c>
      <x:c r="D1169" t="n">
        <x:v>9</x:v>
      </x:c>
      <x:c r="E1169" s="50" t="n">
        <x:v>24</x:v>
      </x:c>
      <x:c r="F1169" s="50" t="n">
        <x:v>-75.85</x:v>
      </x:c>
      <x:c r="G1169" s="50" t="n">
        <x:v>78.57</x:v>
      </x:c>
      <x:c r="H1169" s="50" t="n">
        <x:v>31.37</x:v>
      </x:c>
      <x:c r="I1169" s="50" t="n">
        <x:v>-22.55</x:v>
      </x:c>
      <x:c r="J1169" s="50" t="n">
        <x:v>-1.84</x:v>
      </x:c>
      <x:c r="K1169" s="50" t="n">
        <x:v>0.36</x:v>
      </x:c>
      <x:c r="L1169" s="50" t="n">
        <x:v>1.88</x:v>
      </x:c>
      <x:c r="M1169" s="50" t="n">
        <x:v>0.95</x:v>
      </x:c>
      <x:c r="N1169" t="str">
        <x:v>RELATÓRIO LEITURAS INCLINOMÉTRICAS - Empreitada THE EDEN, Estoril_ R10_09-12-25.pdf</x:v>
      </x:c>
      <x:c r="O1169" t="n">
        <x:v>22</x:v>
      </x:c>
    </x:row>
    <x:row r="1170">
      <x:c r="A1170" s="48" t="n">
        <x:v>45993</x:v>
      </x:c>
      <x:c r="B1170" t="n">
        <x:v>9</x:v>
      </x:c>
      <x:c r="C1170" t="str">
        <x:v>I1</x:v>
      </x:c>
      <x:c r="D1170" t="n">
        <x:v>9</x:v>
      </x:c>
      <x:c r="E1170" s="50" t="n">
        <x:v>24.5</x:v>
      </x:c>
      <x:c r="F1170" s="50" t="n">
        <x:v>-103.52</x:v>
      </x:c>
      <x:c r="G1170" s="50" t="n">
        <x:v>98.16</x:v>
      </x:c>
      <x:c r="H1170" s="50" t="n">
        <x:v>48.88</x:v>
      </x:c>
      <x:c r="I1170" s="50" t="n">
        <x:v>-23.2</x:v>
      </x:c>
      <x:c r="J1170" s="50" t="n">
        <x:v>-1.5</x:v>
      </x:c>
      <x:c r="K1170" s="50" t="n">
        <x:v>0.46</x:v>
      </x:c>
      <x:c r="L1170" s="50" t="n">
        <x:v>1.57</x:v>
      </x:c>
      <x:c r="M1170" s="50" t="n">
        <x:v>0.71</x:v>
      </x:c>
      <x:c r="N1170" t="str">
        <x:v>RELATÓRIO LEITURAS INCLINOMÉTRICAS - Empreitada THE EDEN, Estoril_ R10_09-12-25.pdf</x:v>
      </x:c>
      <x:c r="O1170" t="n">
        <x:v>22</x:v>
      </x:c>
    </x:row>
    <x:row r="1171">
      <x:c r="A1171" s="48" t="n">
        <x:v>45993</x:v>
      </x:c>
      <x:c r="B1171" t="n">
        <x:v>9</x:v>
      </x:c>
      <x:c r="C1171" t="str">
        <x:v>I1</x:v>
      </x:c>
      <x:c r="D1171" t="n">
        <x:v>9</x:v>
      </x:c>
      <x:c r="E1171" s="50" t="n">
        <x:v>25</x:v>
      </x:c>
      <x:c r="F1171" s="50" t="n">
        <x:v>-107.47</x:v>
      </x:c>
      <x:c r="G1171" s="50" t="n">
        <x:v>111.72</x:v>
      </x:c>
      <x:c r="H1171" s="50" t="n">
        <x:v>-54.08</x:v>
      </x:c>
      <x:c r="I1171" s="50" t="n">
        <x:v>55.28</x:v>
      </x:c>
      <x:c r="J1171" s="50" t="n">
        <x:v>-1.02</x:v>
      </x:c>
      <x:c r="K1171" s="50" t="n">
        <x:v>1.07</x:v>
      </x:c>
      <x:c r="L1171" s="50" t="n">
        <x:v>1.48</x:v>
      </x:c>
      <x:c r="M1171" s="50" t="n">
        <x:v>0.4</x:v>
      </x:c>
      <x:c r="N1171" t="str">
        <x:v>RELATÓRIO LEITURAS INCLINOMÉTRICAS - Empreitada THE EDEN, Estoril_ R10_09-12-25.pdf</x:v>
      </x:c>
      <x:c r="O1171" t="n">
        <x:v>22</x:v>
      </x:c>
    </x:row>
    <x:row r="1172">
      <x:c r="A1172" s="48" t="n">
        <x:v>45993</x:v>
      </x:c>
      <x:c r="B1172" t="n">
        <x:v>9</x:v>
      </x:c>
      <x:c r="C1172" t="str">
        <x:v>I1</x:v>
      </x:c>
      <x:c r="D1172" t="n">
        <x:v>9</x:v>
      </x:c>
      <x:c r="E1172" s="50" t="n">
        <x:v>25.5</x:v>
      </x:c>
      <x:c r="F1172" s="50" t="n">
        <x:v>-95.01</x:v>
      </x:c>
      <x:c r="G1172" s="50" t="n">
        <x:v>96.92</x:v>
      </x:c>
      <x:c r="H1172" s="50" t="n">
        <x:v>-44.84</x:v>
      </x:c>
      <x:c r="I1172" s="50" t="n">
        <x:v>38.06</x:v>
      </x:c>
      <x:c r="J1172" s="50" t="n">
        <x:v>-0.99</x:v>
      </x:c>
      <x:c r="K1172" s="50" t="n">
        <x:v>0.65</x:v>
      </x:c>
      <x:c r="L1172" s="50" t="n">
        <x:v>1.18</x:v>
      </x:c>
      <x:c r="M1172" s="50" t="n">
        <x:v>0.3</x:v>
      </x:c>
      <x:c r="N1172" t="str">
        <x:v>RELATÓRIO LEITURAS INCLINOMÉTRICAS - Empreitada THE EDEN, Estoril_ R10_09-12-25.pdf</x:v>
      </x:c>
      <x:c r="O1172" t="n">
        <x:v>22</x:v>
      </x:c>
    </x:row>
    <x:row r="1173">
      <x:c r="A1173" s="48" t="n">
        <x:v>45993</x:v>
      </x:c>
      <x:c r="B1173" t="n">
        <x:v>9</x:v>
      </x:c>
      <x:c r="C1173" t="str">
        <x:v>I1</x:v>
      </x:c>
      <x:c r="D1173" t="n">
        <x:v>9</x:v>
      </x:c>
      <x:c r="E1173" s="50" t="n">
        <x:v>26</x:v>
      </x:c>
      <x:c r="F1173" s="50" t="n">
        <x:v>-55.06</x:v>
      </x:c>
      <x:c r="G1173" s="50" t="n">
        <x:v>57.5</x:v>
      </x:c>
      <x:c r="H1173" s="50" t="n">
        <x:v>-33.35</x:v>
      </x:c>
      <x:c r="I1173" s="50" t="n">
        <x:v>30.6</x:v>
      </x:c>
      <x:c r="J1173" s="50" t="n">
        <x:v>-1.04</x:v>
      </x:c>
      <x:c r="K1173" s="50" t="n">
        <x:v>0.48</x:v>
      </x:c>
      <x:c r="L1173" s="50" t="n">
        <x:v>1.15</x:v>
      </x:c>
      <x:c r="M1173" s="50" t="n">
        <x:v>0.28</x:v>
      </x:c>
      <x:c r="N1173" t="str">
        <x:v>RELATÓRIO LEITURAS INCLINOMÉTRICAS - Empreitada THE EDEN, Estoril_ R10_09-12-25.pdf</x:v>
      </x:c>
      <x:c r="O1173" t="n">
        <x:v>22</x:v>
      </x:c>
    </x:row>
    <x:row r="1174">
      <x:c r="A1174" s="48" t="n">
        <x:v>45993</x:v>
      </x:c>
      <x:c r="B1174" t="n">
        <x:v>9</x:v>
      </x:c>
      <x:c r="C1174" t="str">
        <x:v>I1</x:v>
      </x:c>
      <x:c r="D1174" t="n">
        <x:v>9</x:v>
      </x:c>
      <x:c r="E1174" s="50" t="n">
        <x:v>26.5</x:v>
      </x:c>
      <x:c r="F1174" s="50" t="n">
        <x:v>-15.23</x:v>
      </x:c>
      <x:c r="G1174" s="50" t="n">
        <x:v>16.32</x:v>
      </x:c>
      <x:c r="H1174" s="50" t="n">
        <x:v>3.72</x:v>
      </x:c>
      <x:c r="I1174" s="50" t="n">
        <x:v>-8.19</x:v>
      </x:c>
      <x:c r="J1174" s="50" t="n">
        <x:v>-0.9</x:v>
      </x:c>
      <x:c r="K1174" s="50" t="n">
        <x:v>0.37</x:v>
      </x:c>
      <x:c r="L1174" s="50" t="n">
        <x:v>0.97</x:v>
      </x:c>
      <x:c r="M1174" s="50" t="n">
        <x:v>0.14</x:v>
      </x:c>
      <x:c r="N1174" t="str">
        <x:v>RELATÓRIO LEITURAS INCLINOMÉTRICAS - Empreitada THE EDEN, Estoril_ R10_09-12-25.pdf</x:v>
      </x:c>
      <x:c r="O1174" t="n">
        <x:v>22</x:v>
      </x:c>
    </x:row>
    <x:row r="1175">
      <x:c r="A1175" s="48" t="n">
        <x:v>45993</x:v>
      </x:c>
      <x:c r="B1175" t="n">
        <x:v>9</x:v>
      </x:c>
      <x:c r="C1175" t="str">
        <x:v>I1</x:v>
      </x:c>
      <x:c r="D1175" t="n">
        <x:v>9</x:v>
      </x:c>
      <x:c r="E1175" s="50" t="n">
        <x:v>27</x:v>
      </x:c>
      <x:c r="F1175" s="50" t="n">
        <x:v>36.58</x:v>
      </x:c>
      <x:c r="G1175" s="50" t="n">
        <x:v>-35.65</x:v>
      </x:c>
      <x:c r="H1175" s="50" t="n">
        <x:v>52.21</x:v>
      </x:c>
      <x:c r="I1175" s="50" t="n">
        <x:v>-41.81</x:v>
      </x:c>
      <x:c r="J1175" s="50" t="n">
        <x:v>-0.51</x:v>
      </x:c>
      <x:c r="K1175" s="50" t="n">
        <x:v>0.27</x:v>
      </x:c>
      <x:c r="L1175" s="50" t="n">
        <x:v>0.58</x:v>
      </x:c>
      <x:c r="M1175" s="50" t="n">
        <x:v>0.05</x:v>
      </x:c>
      <x:c r="N1175" t="str">
        <x:v>RELATÓRIO LEITURAS INCLINOMÉTRICAS - Empreitada THE EDEN, Estoril_ R10_09-12-25.pdf</x:v>
      </x:c>
      <x:c r="O1175" t="n">
        <x:v>22</x:v>
      </x:c>
    </x:row>
    <x:row r="1176">
      <x:c r="A1176" s="48" t="n">
        <x:v>45993</x:v>
      </x:c>
      <x:c r="B1176" t="n">
        <x:v>9</x:v>
      </x:c>
      <x:c r="C1176" t="str">
        <x:v>I2</x:v>
      </x:c>
      <x:c r="D1176" t="n">
        <x:v>9</x:v>
      </x:c>
      <x:c r="E1176" s="50" t="n">
        <x:v>0.5</x:v>
      </x:c>
      <x:c r="F1176" s="50" t="n">
        <x:v>-392.76</x:v>
      </x:c>
      <x:c r="G1176" s="50" t="n">
        <x:v>407.75</x:v>
      </x:c>
      <x:c r="H1176" s="50" t="n">
        <x:v>-122.45</x:v>
      </x:c>
      <x:c r="I1176" s="50" t="n">
        <x:v>137.05</x:v>
      </x:c>
      <x:c r="J1176" s="50" t="n">
        <x:v>1.74</x:v>
      </x:c>
      <x:c r="K1176" s="50" t="n">
        <x:v>-6.53</x:v>
      </x:c>
      <x:c r="L1176" s="50" t="n">
        <x:v>6.76</x:v>
      </x:c>
      <x:c r="M1176" s="50" t="n">
        <x:v>0.83</x:v>
      </x:c>
      <x:c r="N1176" t="str">
        <x:v>RELATÓRIO LEITURAS INCLINOMÉTRICAS - Empreitada THE EDEN, Estoril_ R10_09-12-25.pdf</x:v>
      </x:c>
      <x:c r="O1176" t="n">
        <x:v>42</x:v>
      </x:c>
    </x:row>
    <x:row r="1177">
      <x:c r="A1177" s="48" t="n">
        <x:v>45993</x:v>
      </x:c>
      <x:c r="B1177" t="n">
        <x:v>9</x:v>
      </x:c>
      <x:c r="C1177" t="str">
        <x:v>I2</x:v>
      </x:c>
      <x:c r="D1177" t="n">
        <x:v>9</x:v>
      </x:c>
      <x:c r="E1177" s="50" t="n">
        <x:v>1</x:v>
      </x:c>
      <x:c r="F1177" s="50" t="n">
        <x:v>-395.07</x:v>
      </x:c>
      <x:c r="G1177" s="50" t="n">
        <x:v>405.24</x:v>
      </x:c>
      <x:c r="H1177" s="50" t="n">
        <x:v>-128.1</x:v>
      </x:c>
      <x:c r="I1177" s="50" t="n">
        <x:v>139.78</x:v>
      </x:c>
      <x:c r="J1177" s="50" t="n">
        <x:v>2.16</x:v>
      </x:c>
      <x:c r="K1177" s="50" t="n">
        <x:v>-5.43</x:v>
      </x:c>
      <x:c r="L1177" s="50" t="n">
        <x:v>5.84</x:v>
      </x:c>
      <x:c r="M1177" s="50" t="n">
        <x:v>0.94</x:v>
      </x:c>
      <x:c r="N1177" t="str">
        <x:v>RELATÓRIO LEITURAS INCLINOMÉTRICAS - Empreitada THE EDEN, Estoril_ R10_09-12-25.pdf</x:v>
      </x:c>
      <x:c r="O1177" t="n">
        <x:v>42</x:v>
      </x:c>
    </x:row>
    <x:row r="1178">
      <x:c r="A1178" s="48" t="n">
        <x:v>45993</x:v>
      </x:c>
      <x:c r="B1178" t="n">
        <x:v>9</x:v>
      </x:c>
      <x:c r="C1178" t="str">
        <x:v>I2</x:v>
      </x:c>
      <x:c r="D1178" t="n">
        <x:v>9</x:v>
      </x:c>
      <x:c r="E1178" s="50" t="n">
        <x:v>1.5</x:v>
      </x:c>
      <x:c r="F1178" s="50" t="n">
        <x:v>-375.41</x:v>
      </x:c>
      <x:c r="G1178" s="50" t="n">
        <x:v>378.78</x:v>
      </x:c>
      <x:c r="H1178" s="50" t="n">
        <x:v>-153.63</x:v>
      </x:c>
      <x:c r="I1178" s="50" t="n">
        <x:v>157.43</x:v>
      </x:c>
      <x:c r="J1178" s="50" t="n">
        <x:v>2.64</x:v>
      </x:c>
      <x:c r="K1178" s="50" t="n">
        <x:v>-4.47</x:v>
      </x:c>
      <x:c r="L1178" s="50" t="n">
        <x:v>5.19</x:v>
      </x:c>
      <x:c r="M1178" s="50" t="n">
        <x:v>1.17</x:v>
      </x:c>
      <x:c r="N1178" t="str">
        <x:v>RELATÓRIO LEITURAS INCLINOMÉTRICAS - Empreitada THE EDEN, Estoril_ R10_09-12-25.pdf</x:v>
      </x:c>
      <x:c r="O1178" t="n">
        <x:v>42</x:v>
      </x:c>
    </x:row>
    <x:row r="1179">
      <x:c r="A1179" s="48" t="n">
        <x:v>45993</x:v>
      </x:c>
      <x:c r="B1179" t="n">
        <x:v>9</x:v>
      </x:c>
      <x:c r="C1179" t="str">
        <x:v>I2</x:v>
      </x:c>
      <x:c r="D1179" t="n">
        <x:v>9</x:v>
      </x:c>
      <x:c r="E1179" s="50" t="n">
        <x:v>2</x:v>
      </x:c>
      <x:c r="F1179" s="50" t="n">
        <x:v>-331.2</x:v>
      </x:c>
      <x:c r="G1179" s="50" t="n">
        <x:v>339.75</x:v>
      </x:c>
      <x:c r="H1179" s="50" t="n">
        <x:v>-206.99</x:v>
      </x:c>
      <x:c r="I1179" s="50" t="n">
        <x:v>208.97</x:v>
      </x:c>
      <x:c r="J1179" s="50" t="n">
        <x:v>2.81</x:v>
      </x:c>
      <x:c r="K1179" s="50" t="n">
        <x:v>-4.36</x:v>
      </x:c>
      <x:c r="L1179" s="50" t="n">
        <x:v>5.19</x:v>
      </x:c>
      <x:c r="M1179" s="50" t="n">
        <x:v>1.1</x:v>
      </x:c>
      <x:c r="N1179" t="str">
        <x:v>RELATÓRIO LEITURAS INCLINOMÉTRICAS - Empreitada THE EDEN, Estoril_ R10_09-12-25.pdf</x:v>
      </x:c>
      <x:c r="O1179" t="n">
        <x:v>42</x:v>
      </x:c>
    </x:row>
    <x:row r="1180">
      <x:c r="A1180" s="48" t="n">
        <x:v>45993</x:v>
      </x:c>
      <x:c r="B1180" t="n">
        <x:v>9</x:v>
      </x:c>
      <x:c r="C1180" t="str">
        <x:v>I2</x:v>
      </x:c>
      <x:c r="D1180" t="n">
        <x:v>9</x:v>
      </x:c>
      <x:c r="E1180" s="50" t="n">
        <x:v>2.5</x:v>
      </x:c>
      <x:c r="F1180" s="50" t="n">
        <x:v>-306.71</x:v>
      </x:c>
      <x:c r="G1180" s="50" t="n">
        <x:v>313.91</x:v>
      </x:c>
      <x:c r="H1180" s="50" t="n">
        <x:v>-194.29</x:v>
      </x:c>
      <x:c r="I1180" s="50" t="n">
        <x:v>199.01</x:v>
      </x:c>
      <x:c r="J1180" s="50" t="n">
        <x:v>2.9</x:v>
      </x:c>
      <x:c r="K1180" s="50" t="n">
        <x:v>-4.23</x:v>
      </x:c>
      <x:c r="L1180" s="50" t="n">
        <x:v>5.13</x:v>
      </x:c>
      <x:c r="M1180" s="50" t="n">
        <x:v>1.08</x:v>
      </x:c>
      <x:c r="N1180" t="str">
        <x:v>RELATÓRIO LEITURAS INCLINOMÉTRICAS - Empreitada THE EDEN, Estoril_ R10_09-12-25.pdf</x:v>
      </x:c>
      <x:c r="O1180" t="n">
        <x:v>42</x:v>
      </x:c>
    </x:row>
    <x:row r="1181">
      <x:c r="A1181" s="48" t="n">
        <x:v>45993</x:v>
      </x:c>
      <x:c r="B1181" t="n">
        <x:v>9</x:v>
      </x:c>
      <x:c r="C1181" t="str">
        <x:v>I2</x:v>
      </x:c>
      <x:c r="D1181" t="n">
        <x:v>9</x:v>
      </x:c>
      <x:c r="E1181" s="50" t="n">
        <x:v>3</x:v>
      </x:c>
      <x:c r="F1181" s="50" t="n">
        <x:v>-268.43</x:v>
      </x:c>
      <x:c r="G1181" s="50" t="n">
        <x:v>275.23</x:v>
      </x:c>
      <x:c r="H1181" s="50" t="n">
        <x:v>-135.46</x:v>
      </x:c>
      <x:c r="I1181" s="50" t="n">
        <x:v>129.37</x:v>
      </x:c>
      <x:c r="J1181" s="50" t="n">
        <x:v>2.91</x:v>
      </x:c>
      <x:c r="K1181" s="50" t="n">
        <x:v>-4.4</x:v>
      </x:c>
      <x:c r="L1181" s="50" t="n">
        <x:v>5.27</x:v>
      </x:c>
      <x:c r="M1181" s="50" t="n">
        <x:v>1.1</x:v>
      </x:c>
      <x:c r="N1181" t="str">
        <x:v>RELATÓRIO LEITURAS INCLINOMÉTRICAS - Empreitada THE EDEN, Estoril_ R10_09-12-25.pdf</x:v>
      </x:c>
      <x:c r="O1181" t="n">
        <x:v>42</x:v>
      </x:c>
    </x:row>
    <x:row r="1182">
      <x:c r="A1182" s="48" t="n">
        <x:v>45993</x:v>
      </x:c>
      <x:c r="B1182" t="n">
        <x:v>9</x:v>
      </x:c>
      <x:c r="C1182" t="str">
        <x:v>I2</x:v>
      </x:c>
      <x:c r="D1182" t="n">
        <x:v>9</x:v>
      </x:c>
      <x:c r="E1182" s="50" t="n">
        <x:v>3.5</x:v>
      </x:c>
      <x:c r="F1182" s="50" t="n">
        <x:v>-205.27</x:v>
      </x:c>
      <x:c r="G1182" s="50" t="n">
        <x:v>212.31</x:v>
      </x:c>
      <x:c r="H1182" s="50" t="n">
        <x:v>-76.57</x:v>
      </x:c>
      <x:c r="I1182" s="50" t="n">
        <x:v>72.58</x:v>
      </x:c>
      <x:c r="J1182" s="50" t="n">
        <x:v>2.99</x:v>
      </x:c>
      <x:c r="K1182" s="50" t="n">
        <x:v>-4.26</x:v>
      </x:c>
      <x:c r="L1182" s="50" t="n">
        <x:v>5.2</x:v>
      </x:c>
      <x:c r="M1182" s="50" t="n">
        <x:v>1.12</x:v>
      </x:c>
      <x:c r="N1182" t="str">
        <x:v>RELATÓRIO LEITURAS INCLINOMÉTRICAS - Empreitada THE EDEN, Estoril_ R10_09-12-25.pdf</x:v>
      </x:c>
      <x:c r="O1182" t="n">
        <x:v>42</x:v>
      </x:c>
    </x:row>
    <x:row r="1183">
      <x:c r="A1183" s="48" t="n">
        <x:v>45993</x:v>
      </x:c>
      <x:c r="B1183" t="n">
        <x:v>9</x:v>
      </x:c>
      <x:c r="C1183" t="str">
        <x:v>I2</x:v>
      </x:c>
      <x:c r="D1183" t="n">
        <x:v>9</x:v>
      </x:c>
      <x:c r="E1183" s="50" t="n">
        <x:v>4</x:v>
      </x:c>
      <x:c r="F1183" s="50" t="n">
        <x:v>-148.63</x:v>
      </x:c>
      <x:c r="G1183" s="50" t="n">
        <x:v>157.89</x:v>
      </x:c>
      <x:c r="H1183" s="50" t="n">
        <x:v>-70.91</x:v>
      </x:c>
      <x:c r="I1183" s="50" t="n">
        <x:v>63.7</x:v>
      </x:c>
      <x:c r="J1183" s="50" t="n">
        <x:v>3.15</x:v>
      </x:c>
      <x:c r="K1183" s="50" t="n">
        <x:v>-3.96</x:v>
      </x:c>
      <x:c r="L1183" s="50" t="n">
        <x:v>5.06</x:v>
      </x:c>
      <x:c r="M1183" s="50" t="n">
        <x:v>1.13</x:v>
      </x:c>
      <x:c r="N1183" t="str">
        <x:v>RELATÓRIO LEITURAS INCLINOMÉTRICAS - Empreitada THE EDEN, Estoril_ R10_09-12-25.pdf</x:v>
      </x:c>
      <x:c r="O1183" t="n">
        <x:v>42</x:v>
      </x:c>
    </x:row>
    <x:row r="1184">
      <x:c r="A1184" s="48" t="n">
        <x:v>45993</x:v>
      </x:c>
      <x:c r="B1184" t="n">
        <x:v>9</x:v>
      </x:c>
      <x:c r="C1184" t="str">
        <x:v>I2</x:v>
      </x:c>
      <x:c r="D1184" t="n">
        <x:v>9</x:v>
      </x:c>
      <x:c r="E1184" s="50" t="n">
        <x:v>4.5</x:v>
      </x:c>
      <x:c r="F1184" s="50" t="n">
        <x:v>-101.03</x:v>
      </x:c>
      <x:c r="G1184" s="50" t="n">
        <x:v>106.69</x:v>
      </x:c>
      <x:c r="H1184" s="50" t="n">
        <x:v>-122.74</x:v>
      </x:c>
      <x:c r="I1184" s="50" t="n">
        <x:v>119.86</x:v>
      </x:c>
      <x:c r="J1184" s="50" t="n">
        <x:v>3.3</x:v>
      </x:c>
      <x:c r="K1184" s="50" t="n">
        <x:v>-3.96</x:v>
      </x:c>
      <x:c r="L1184" s="50" t="n">
        <x:v>5.16</x:v>
      </x:c>
      <x:c r="M1184" s="50" t="n">
        <x:v>1.18</x:v>
      </x:c>
      <x:c r="N1184" t="str">
        <x:v>RELATÓRIO LEITURAS INCLINOMÉTRICAS - Empreitada THE EDEN, Estoril_ R10_09-12-25.pdf</x:v>
      </x:c>
      <x:c r="O1184" t="n">
        <x:v>42</x:v>
      </x:c>
    </x:row>
    <x:row r="1185">
      <x:c r="A1185" s="48" t="n">
        <x:v>45993</x:v>
      </x:c>
      <x:c r="B1185" t="n">
        <x:v>9</x:v>
      </x:c>
      <x:c r="C1185" t="str">
        <x:v>I2</x:v>
      </x:c>
      <x:c r="D1185" t="n">
        <x:v>9</x:v>
      </x:c>
      <x:c r="E1185" s="50" t="n">
        <x:v>5</x:v>
      </x:c>
      <x:c r="F1185" s="50" t="n">
        <x:v>-25.69</x:v>
      </x:c>
      <x:c r="G1185" s="50" t="n">
        <x:v>33.13</x:v>
      </x:c>
      <x:c r="H1185" s="50" t="n">
        <x:v>-155.11</x:v>
      </x:c>
      <x:c r="I1185" s="50" t="n">
        <x:v>152.01</x:v>
      </x:c>
      <x:c r="J1185" s="50" t="n">
        <x:v>3.46</x:v>
      </x:c>
      <x:c r="K1185" s="50" t="n">
        <x:v>-4.08</x:v>
      </x:c>
      <x:c r="L1185" s="50" t="n">
        <x:v>5.35</x:v>
      </x:c>
      <x:c r="M1185" s="50" t="n">
        <x:v>1.27</x:v>
      </x:c>
      <x:c r="N1185" t="str">
        <x:v>RELATÓRIO LEITURAS INCLINOMÉTRICAS - Empreitada THE EDEN, Estoril_ R10_09-12-25.pdf</x:v>
      </x:c>
      <x:c r="O1185" t="n">
        <x:v>42</x:v>
      </x:c>
    </x:row>
    <x:row r="1186">
      <x:c r="A1186" s="48" t="n">
        <x:v>45993</x:v>
      </x:c>
      <x:c r="B1186" t="n">
        <x:v>9</x:v>
      </x:c>
      <x:c r="C1186" t="str">
        <x:v>I2</x:v>
      </x:c>
      <x:c r="D1186" t="n">
        <x:v>9</x:v>
      </x:c>
      <x:c r="E1186" s="50" t="n">
        <x:v>5.5</x:v>
      </x:c>
      <x:c r="F1186" s="50" t="n">
        <x:v>40.31</x:v>
      </x:c>
      <x:c r="G1186" s="50" t="n">
        <x:v>-32.71</x:v>
      </x:c>
      <x:c r="H1186" s="50" t="n">
        <x:v>-149.33</x:v>
      </x:c>
      <x:c r="I1186" s="50" t="n">
        <x:v>151.24</x:v>
      </x:c>
      <x:c r="J1186" s="50" t="n">
        <x:v>3.7</x:v>
      </x:c>
      <x:c r="K1186" s="50" t="n">
        <x:v>-4.12</x:v>
      </x:c>
      <x:c r="L1186" s="50" t="n">
        <x:v>5.54</x:v>
      </x:c>
      <x:c r="M1186" s="50" t="n">
        <x:v>1.35</x:v>
      </x:c>
      <x:c r="N1186" t="str">
        <x:v>RELATÓRIO LEITURAS INCLINOMÉTRICAS - Empreitada THE EDEN, Estoril_ R10_09-12-25.pdf</x:v>
      </x:c>
      <x:c r="O1186" t="n">
        <x:v>42</x:v>
      </x:c>
    </x:row>
    <x:row r="1187">
      <x:c r="A1187" s="48" t="n">
        <x:v>45993</x:v>
      </x:c>
      <x:c r="B1187" t="n">
        <x:v>9</x:v>
      </x:c>
      <x:c r="C1187" t="str">
        <x:v>I2</x:v>
      </x:c>
      <x:c r="D1187" t="n">
        <x:v>9</x:v>
      </x:c>
      <x:c r="E1187" s="50" t="n">
        <x:v>6</x:v>
      </x:c>
      <x:c r="F1187" s="50" t="n">
        <x:v>76.79</x:v>
      </x:c>
      <x:c r="G1187" s="50" t="n">
        <x:v>-68.9</x:v>
      </x:c>
      <x:c r="H1187" s="50" t="n">
        <x:v>-185.18</x:v>
      </x:c>
      <x:c r="I1187" s="50" t="n">
        <x:v>184.75</x:v>
      </x:c>
      <x:c r="J1187" s="50" t="n">
        <x:v>3.93</x:v>
      </x:c>
      <x:c r="K1187" s="50" t="n">
        <x:v>-4.18</x:v>
      </x:c>
      <x:c r="L1187" s="50" t="n">
        <x:v>5.74</x:v>
      </x:c>
      <x:c r="M1187" s="50" t="n">
        <x:v>1.36</x:v>
      </x:c>
      <x:c r="N1187" t="str">
        <x:v>RELATÓRIO LEITURAS INCLINOMÉTRICAS - Empreitada THE EDEN, Estoril_ R10_09-12-25.pdf</x:v>
      </x:c>
      <x:c r="O1187" t="n">
        <x:v>42</x:v>
      </x:c>
    </x:row>
    <x:row r="1188">
      <x:c r="A1188" s="48" t="n">
        <x:v>45993</x:v>
      </x:c>
      <x:c r="B1188" t="n">
        <x:v>9</x:v>
      </x:c>
      <x:c r="C1188" t="str">
        <x:v>I2</x:v>
      </x:c>
      <x:c r="D1188" t="n">
        <x:v>9</x:v>
      </x:c>
      <x:c r="E1188" s="50" t="n">
        <x:v>6.5</x:v>
      </x:c>
      <x:c r="F1188" s="50" t="n">
        <x:v>180.1</x:v>
      </x:c>
      <x:c r="G1188" s="50" t="n">
        <x:v>-173</x:v>
      </x:c>
      <x:c r="H1188" s="50" t="n">
        <x:v>-175.66</x:v>
      </x:c>
      <x:c r="I1188" s="50" t="n">
        <x:v>172.8</x:v>
      </x:c>
      <x:c r="J1188" s="50" t="n">
        <x:v>4.11</x:v>
      </x:c>
      <x:c r="K1188" s="50" t="n">
        <x:v>-4.12</x:v>
      </x:c>
      <x:c r="L1188" s="50" t="n">
        <x:v>5.82</x:v>
      </x:c>
      <x:c r="M1188" s="50" t="n">
        <x:v>1.43</x:v>
      </x:c>
      <x:c r="N1188" t="str">
        <x:v>RELATÓRIO LEITURAS INCLINOMÉTRICAS - Empreitada THE EDEN, Estoril_ R10_09-12-25.pdf</x:v>
      </x:c>
      <x:c r="O1188" t="n">
        <x:v>42</x:v>
      </x:c>
    </x:row>
    <x:row r="1189">
      <x:c r="A1189" s="48" t="n">
        <x:v>45993</x:v>
      </x:c>
      <x:c r="B1189" t="n">
        <x:v>9</x:v>
      </x:c>
      <x:c r="C1189" t="str">
        <x:v>I2</x:v>
      </x:c>
      <x:c r="D1189" t="n">
        <x:v>9</x:v>
      </x:c>
      <x:c r="E1189" s="50" t="n">
        <x:v>7</x:v>
      </x:c>
      <x:c r="F1189" s="50" t="n">
        <x:v>282.86</x:v>
      </x:c>
      <x:c r="G1189" s="50" t="n">
        <x:v>-276.2</x:v>
      </x:c>
      <x:c r="H1189" s="50" t="n">
        <x:v>-189.61</x:v>
      </x:c>
      <x:c r="I1189" s="50" t="n">
        <x:v>176.27</x:v>
      </x:c>
      <x:c r="J1189" s="50" t="n">
        <x:v>4.31</x:v>
      </x:c>
      <x:c r="K1189" s="50" t="n">
        <x:v>-3.91</x:v>
      </x:c>
      <x:c r="L1189" s="50" t="n">
        <x:v>5.82</x:v>
      </x:c>
      <x:c r="M1189" s="50" t="n">
        <x:v>1.54</x:v>
      </x:c>
      <x:c r="N1189" t="str">
        <x:v>RELATÓRIO LEITURAS INCLINOMÉTRICAS - Empreitada THE EDEN, Estoril_ R10_09-12-25.pdf</x:v>
      </x:c>
      <x:c r="O1189" t="n">
        <x:v>42</x:v>
      </x:c>
    </x:row>
    <x:row r="1190">
      <x:c r="A1190" s="48" t="n">
        <x:v>45993</x:v>
      </x:c>
      <x:c r="B1190" t="n">
        <x:v>9</x:v>
      </x:c>
      <x:c r="C1190" t="str">
        <x:v>I2</x:v>
      </x:c>
      <x:c r="D1190" t="n">
        <x:v>9</x:v>
      </x:c>
      <x:c r="E1190" s="50" t="n">
        <x:v>7.5</x:v>
      </x:c>
      <x:c r="F1190" s="50" t="n">
        <x:v>307.55</x:v>
      </x:c>
      <x:c r="G1190" s="50" t="n">
        <x:v>-293.76</x:v>
      </x:c>
      <x:c r="H1190" s="50" t="n">
        <x:v>-164.09</x:v>
      </x:c>
      <x:c r="I1190" s="50" t="n">
        <x:v>190.42</x:v>
      </x:c>
      <x:c r="J1190" s="50" t="n">
        <x:v>4.43</x:v>
      </x:c>
      <x:c r="K1190" s="50" t="n">
        <x:v>-3.8</x:v>
      </x:c>
      <x:c r="L1190" s="50" t="n">
        <x:v>5.84</x:v>
      </x:c>
      <x:c r="M1190" s="50" t="n">
        <x:v>1.64</x:v>
      </x:c>
      <x:c r="N1190" t="str">
        <x:v>RELATÓRIO LEITURAS INCLINOMÉTRICAS - Empreitada THE EDEN, Estoril_ R10_09-12-25.pdf</x:v>
      </x:c>
      <x:c r="O1190" t="n">
        <x:v>42</x:v>
      </x:c>
    </x:row>
    <x:row r="1191">
      <x:c r="A1191" s="48" t="n">
        <x:v>45993</x:v>
      </x:c>
      <x:c r="B1191" t="n">
        <x:v>9</x:v>
      </x:c>
      <x:c r="C1191" t="str">
        <x:v>I2</x:v>
      </x:c>
      <x:c r="D1191" t="n">
        <x:v>9</x:v>
      </x:c>
      <x:c r="E1191" s="50" t="n">
        <x:v>8</x:v>
      </x:c>
      <x:c r="F1191" s="50" t="n">
        <x:v>272.93</x:v>
      </x:c>
      <x:c r="G1191" s="50" t="n">
        <x:v>-270.04</x:v>
      </x:c>
      <x:c r="H1191" s="50" t="n">
        <x:v>-70.6</x:v>
      </x:c>
      <x:c r="I1191" s="50" t="n">
        <x:v>75.46</x:v>
      </x:c>
      <x:c r="J1191" s="50" t="n">
        <x:v>4.66</x:v>
      </x:c>
      <x:c r="K1191" s="50" t="n">
        <x:v>-4.13</x:v>
      </x:c>
      <x:c r="L1191" s="50" t="n">
        <x:v>6.22</x:v>
      </x:c>
      <x:c r="M1191" s="50" t="n">
        <x:v>1.98</x:v>
      </x:c>
      <x:c r="N1191" t="str">
        <x:v>RELATÓRIO LEITURAS INCLINOMÉTRICAS - Empreitada THE EDEN, Estoril_ R10_09-12-25.pdf</x:v>
      </x:c>
      <x:c r="O1191" t="n">
        <x:v>42</x:v>
      </x:c>
    </x:row>
    <x:row r="1192">
      <x:c r="A1192" s="48" t="n">
        <x:v>45993</x:v>
      </x:c>
      <x:c r="B1192" t="n">
        <x:v>9</x:v>
      </x:c>
      <x:c r="C1192" t="str">
        <x:v>I2</x:v>
      </x:c>
      <x:c r="D1192" t="n">
        <x:v>9</x:v>
      </x:c>
      <x:c r="E1192" s="50" t="n">
        <x:v>8.5</x:v>
      </x:c>
      <x:c r="F1192" s="50" t="n">
        <x:v>337.49</x:v>
      </x:c>
      <x:c r="G1192" s="50" t="n">
        <x:v>-327.9</x:v>
      </x:c>
      <x:c r="H1192" s="50" t="n">
        <x:v>-14.29</x:v>
      </x:c>
      <x:c r="I1192" s="50" t="n">
        <x:v>13.01</x:v>
      </x:c>
      <x:c r="J1192" s="50" t="n">
        <x:v>4.82</x:v>
      </x:c>
      <x:c r="K1192" s="50" t="n">
        <x:v>-4.18</x:v>
      </x:c>
      <x:c r="L1192" s="50" t="n">
        <x:v>6.38</x:v>
      </x:c>
      <x:c r="M1192" s="50" t="n">
        <x:v>2.01</x:v>
      </x:c>
      <x:c r="N1192" t="str">
        <x:v>RELATÓRIO LEITURAS INCLINOMÉTRICAS - Empreitada THE EDEN, Estoril_ R10_09-12-25.pdf</x:v>
      </x:c>
      <x:c r="O1192" t="n">
        <x:v>42</x:v>
      </x:c>
    </x:row>
    <x:row r="1193">
      <x:c r="A1193" s="48" t="n">
        <x:v>45993</x:v>
      </x:c>
      <x:c r="B1193" t="n">
        <x:v>9</x:v>
      </x:c>
      <x:c r="C1193" t="str">
        <x:v>I2</x:v>
      </x:c>
      <x:c r="D1193" t="n">
        <x:v>9</x:v>
      </x:c>
      <x:c r="E1193" s="50" t="n">
        <x:v>9</x:v>
      </x:c>
      <x:c r="F1193" s="50" t="n">
        <x:v>325.45</x:v>
      </x:c>
      <x:c r="G1193" s="50" t="n">
        <x:v>-317.14</x:v>
      </x:c>
      <x:c r="H1193" s="50" t="n">
        <x:v>40.36</x:v>
      </x:c>
      <x:c r="I1193" s="50" t="n">
        <x:v>-41.92</x:v>
      </x:c>
      <x:c r="J1193" s="50" t="n">
        <x:v>4.87</x:v>
      </x:c>
      <x:c r="K1193" s="50" t="n">
        <x:v>-4.4</x:v>
      </x:c>
      <x:c r="L1193" s="50" t="n">
        <x:v>6.57</x:v>
      </x:c>
      <x:c r="M1193" s="50" t="n">
        <x:v>2.16</x:v>
      </x:c>
      <x:c r="N1193" t="str">
        <x:v>RELATÓRIO LEITURAS INCLINOMÉTRICAS - Empreitada THE EDEN, Estoril_ R10_09-12-25.pdf</x:v>
      </x:c>
      <x:c r="O1193" t="n">
        <x:v>42</x:v>
      </x:c>
    </x:row>
    <x:row r="1194">
      <x:c r="A1194" s="48" t="n">
        <x:v>45993</x:v>
      </x:c>
      <x:c r="B1194" t="n">
        <x:v>9</x:v>
      </x:c>
      <x:c r="C1194" t="str">
        <x:v>I2</x:v>
      </x:c>
      <x:c r="D1194" t="n">
        <x:v>9</x:v>
      </x:c>
      <x:c r="E1194" s="50" t="n">
        <x:v>9.5</x:v>
      </x:c>
      <x:c r="F1194" s="50" t="n">
        <x:v>212.62</x:v>
      </x:c>
      <x:c r="G1194" s="50" t="n">
        <x:v>-205.93</x:v>
      </x:c>
      <x:c r="H1194" s="50" t="n">
        <x:v>112.29</x:v>
      </x:c>
      <x:c r="I1194" s="50" t="n">
        <x:v>-126.15</x:v>
      </x:c>
      <x:c r="J1194" s="50" t="n">
        <x:v>5.12</x:v>
      </x:c>
      <x:c r="K1194" s="50" t="n">
        <x:v>-4.77</x:v>
      </x:c>
      <x:c r="L1194" s="50" t="n">
        <x:v>6.99</x:v>
      </x:c>
      <x:c r="M1194" s="50" t="n">
        <x:v>2.56</x:v>
      </x:c>
      <x:c r="N1194" t="str">
        <x:v>RELATÓRIO LEITURAS INCLINOMÉTRICAS - Empreitada THE EDEN, Estoril_ R10_09-12-25.pdf</x:v>
      </x:c>
      <x:c r="O1194" t="n">
        <x:v>42</x:v>
      </x:c>
    </x:row>
    <x:row r="1195">
      <x:c r="A1195" s="48" t="n">
        <x:v>45993</x:v>
      </x:c>
      <x:c r="B1195" t="n">
        <x:v>9</x:v>
      </x:c>
      <x:c r="C1195" t="str">
        <x:v>I2</x:v>
      </x:c>
      <x:c r="D1195" t="n">
        <x:v>9</x:v>
      </x:c>
      <x:c r="E1195" s="50" t="n">
        <x:v>10</x:v>
      </x:c>
      <x:c r="F1195" s="50" t="n">
        <x:v>70.05</x:v>
      </x:c>
      <x:c r="G1195" s="50" t="n">
        <x:v>-53.75</x:v>
      </x:c>
      <x:c r="H1195" s="50" t="n">
        <x:v>141.65</x:v>
      </x:c>
      <x:c r="I1195" s="50" t="n">
        <x:v>-146.9</x:v>
      </x:c>
      <x:c r="J1195" s="50" t="n">
        <x:v>5.42</x:v>
      </x:c>
      <x:c r="K1195" s="50" t="n">
        <x:v>-4.73</x:v>
      </x:c>
      <x:c r="L1195" s="50" t="n">
        <x:v>7.2</x:v>
      </x:c>
      <x:c r="M1195" s="50" t="n">
        <x:v>2.76</x:v>
      </x:c>
      <x:c r="N1195" t="str">
        <x:v>RELATÓRIO LEITURAS INCLINOMÉTRICAS - Empreitada THE EDEN, Estoril_ R10_09-12-25.pdf</x:v>
      </x:c>
      <x:c r="O1195" t="n">
        <x:v>42</x:v>
      </x:c>
    </x:row>
    <x:row r="1196">
      <x:c r="A1196" s="48" t="n">
        <x:v>45993</x:v>
      </x:c>
      <x:c r="B1196" t="n">
        <x:v>9</x:v>
      </x:c>
      <x:c r="C1196" t="str">
        <x:v>I2</x:v>
      </x:c>
      <x:c r="D1196" t="n">
        <x:v>9</x:v>
      </x:c>
      <x:c r="E1196" s="50" t="n">
        <x:v>10.5</x:v>
      </x:c>
      <x:c r="F1196" s="50" t="n">
        <x:v>86.23</x:v>
      </x:c>
      <x:c r="G1196" s="50" t="n">
        <x:v>-81.29</x:v>
      </x:c>
      <x:c r="H1196" s="50" t="n">
        <x:v>74.36</x:v>
      </x:c>
      <x:c r="I1196" s="50" t="n">
        <x:v>-77.49</x:v>
      </x:c>
      <x:c r="J1196" s="50" t="n">
        <x:v>5.61</x:v>
      </x:c>
      <x:c r="K1196" s="50" t="n">
        <x:v>-5.02</x:v>
      </x:c>
      <x:c r="L1196" s="50" t="n">
        <x:v>7.53</x:v>
      </x:c>
      <x:c r="M1196" s="50" t="n">
        <x:v>2.97</x:v>
      </x:c>
      <x:c r="N1196" t="str">
        <x:v>RELATÓRIO LEITURAS INCLINOMÉTRICAS - Empreitada THE EDEN, Estoril_ R10_09-12-25.pdf</x:v>
      </x:c>
      <x:c r="O1196" t="n">
        <x:v>42</x:v>
      </x:c>
    </x:row>
    <x:row r="1197">
      <x:c r="A1197" s="48" t="n">
        <x:v>45993</x:v>
      </x:c>
      <x:c r="B1197" t="n">
        <x:v>9</x:v>
      </x:c>
      <x:c r="C1197" t="str">
        <x:v>I2</x:v>
      </x:c>
      <x:c r="D1197" t="n">
        <x:v>9</x:v>
      </x:c>
      <x:c r="E1197" s="50" t="n">
        <x:v>11</x:v>
      </x:c>
      <x:c r="F1197" s="50" t="n">
        <x:v>17.58</x:v>
      </x:c>
      <x:c r="G1197" s="50" t="n">
        <x:v>-8.22</x:v>
      </x:c>
      <x:c r="H1197" s="50" t="n">
        <x:v>32.99</x:v>
      </x:c>
      <x:c r="I1197" s="50" t="n">
        <x:v>-29.72</x:v>
      </x:c>
      <x:c r="J1197" s="50" t="n">
        <x:v>5.8</x:v>
      </x:c>
      <x:c r="K1197" s="50" t="n">
        <x:v>-5.08</x:v>
      </x:c>
      <x:c r="L1197" s="50" t="n">
        <x:v>7.71</x:v>
      </x:c>
      <x:c r="M1197" s="50" t="n">
        <x:v>3.14</x:v>
      </x:c>
      <x:c r="N1197" t="str">
        <x:v>RELATÓRIO LEITURAS INCLINOMÉTRICAS - Empreitada THE EDEN, Estoril_ R10_09-12-25.pdf</x:v>
      </x:c>
      <x:c r="O1197" t="n">
        <x:v>42</x:v>
      </x:c>
    </x:row>
    <x:row r="1198">
      <x:c r="A1198" s="48" t="n">
        <x:v>45993</x:v>
      </x:c>
      <x:c r="B1198" t="n">
        <x:v>9</x:v>
      </x:c>
      <x:c r="C1198" t="str">
        <x:v>I2</x:v>
      </x:c>
      <x:c r="D1198" t="n">
        <x:v>9</x:v>
      </x:c>
      <x:c r="E1198" s="50" t="n">
        <x:v>11.5</x:v>
      </x:c>
      <x:c r="F1198" s="50" t="n">
        <x:v>-65.01</x:v>
      </x:c>
      <x:c r="G1198" s="50" t="n">
        <x:v>68.83</x:v>
      </x:c>
      <x:c r="H1198" s="50" t="n">
        <x:v>16.9</x:v>
      </x:c>
      <x:c r="I1198" s="50" t="n">
        <x:v>-13.1</x:v>
      </x:c>
      <x:c r="J1198" s="50" t="n">
        <x:v>5.9</x:v>
      </x:c>
      <x:c r="K1198" s="50" t="n">
        <x:v>-5.29</x:v>
      </x:c>
      <x:c r="L1198" s="50" t="n">
        <x:v>7.93</x:v>
      </x:c>
      <x:c r="M1198" s="50" t="n">
        <x:v>3.33</x:v>
      </x:c>
      <x:c r="N1198" t="str">
        <x:v>RELATÓRIO LEITURAS INCLINOMÉTRICAS - Empreitada THE EDEN, Estoril_ R10_09-12-25.pdf</x:v>
      </x:c>
      <x:c r="O1198" t="n">
        <x:v>42</x:v>
      </x:c>
    </x:row>
    <x:row r="1199">
      <x:c r="A1199" s="48" t="n">
        <x:v>45993</x:v>
      </x:c>
      <x:c r="B1199" t="n">
        <x:v>9</x:v>
      </x:c>
      <x:c r="C1199" t="str">
        <x:v>I2</x:v>
      </x:c>
      <x:c r="D1199" t="n">
        <x:v>9</x:v>
      </x:c>
      <x:c r="E1199" s="50" t="n">
        <x:v>12</x:v>
      </x:c>
      <x:c r="F1199" s="50" t="n">
        <x:v>-80.84</x:v>
      </x:c>
      <x:c r="G1199" s="50" t="n">
        <x:v>91.78</x:v>
      </x:c>
      <x:c r="H1199" s="50" t="n">
        <x:v>23.69</x:v>
      </x:c>
      <x:c r="I1199" s="50" t="n">
        <x:v>-24.27</x:v>
      </x:c>
      <x:c r="J1199" s="50" t="n">
        <x:v>5.81</x:v>
      </x:c>
      <x:c r="K1199" s="50" t="n">
        <x:v>-5.06</x:v>
      </x:c>
      <x:c r="L1199" s="50" t="n">
        <x:v>7.7</x:v>
      </x:c>
      <x:c r="M1199" s="50" t="n">
        <x:v>3.4</x:v>
      </x:c>
      <x:c r="N1199" t="str">
        <x:v>RELATÓRIO LEITURAS INCLINOMÉTRICAS - Empreitada THE EDEN, Estoril_ R10_09-12-25.pdf</x:v>
      </x:c>
      <x:c r="O1199" t="n">
        <x:v>42</x:v>
      </x:c>
    </x:row>
    <x:row r="1200">
      <x:c r="A1200" s="48" t="n">
        <x:v>45993</x:v>
      </x:c>
      <x:c r="B1200" t="n">
        <x:v>9</x:v>
      </x:c>
      <x:c r="C1200" t="str">
        <x:v>I2</x:v>
      </x:c>
      <x:c r="D1200" t="n">
        <x:v>9</x:v>
      </x:c>
      <x:c r="E1200" s="50" t="n">
        <x:v>12.5</x:v>
      </x:c>
      <x:c r="F1200" s="50" t="n">
        <x:v>-49.82</x:v>
      </x:c>
      <x:c r="G1200" s="50" t="n">
        <x:v>58.9</x:v>
      </x:c>
      <x:c r="H1200" s="50" t="n">
        <x:v>15.72</x:v>
      </x:c>
      <x:c r="I1200" s="50" t="n">
        <x:v>-25.53</x:v>
      </x:c>
      <x:c r="J1200" s="50" t="n">
        <x:v>5.62</x:v>
      </x:c>
      <x:c r="K1200" s="50" t="n">
        <x:v>-4.86</x:v>
      </x:c>
      <x:c r="L1200" s="50" t="n">
        <x:v>7.43</x:v>
      </x:c>
      <x:c r="M1200" s="50" t="n">
        <x:v>3.42</x:v>
      </x:c>
      <x:c r="N1200" t="str">
        <x:v>RELATÓRIO LEITURAS INCLINOMÉTRICAS - Empreitada THE EDEN, Estoril_ R10_09-12-25.pdf</x:v>
      </x:c>
      <x:c r="O1200" t="n">
        <x:v>42</x:v>
      </x:c>
    </x:row>
    <x:row r="1201">
      <x:c r="A1201" s="48" t="n">
        <x:v>45993</x:v>
      </x:c>
      <x:c r="B1201" t="n">
        <x:v>9</x:v>
      </x:c>
      <x:c r="C1201" t="str">
        <x:v>I2</x:v>
      </x:c>
      <x:c r="D1201" t="n">
        <x:v>9</x:v>
      </x:c>
      <x:c r="E1201" s="50" t="n">
        <x:v>13</x:v>
      </x:c>
      <x:c r="F1201" s="50" t="n">
        <x:v>-104.77</x:v>
      </x:c>
      <x:c r="G1201" s="50" t="n">
        <x:v>110.86</x:v>
      </x:c>
      <x:c r="H1201" s="50" t="n">
        <x:v>-34.43</x:v>
      </x:c>
      <x:c r="I1201" s="50" t="n">
        <x:v>34.63</x:v>
      </x:c>
      <x:c r="J1201" s="50" t="n">
        <x:v>5.3</x:v>
      </x:c>
      <x:c r="K1201" s="50" t="n">
        <x:v>-4.69</x:v>
      </x:c>
      <x:c r="L1201" s="50" t="n">
        <x:v>7.07</x:v>
      </x:c>
      <x:c r="M1201" s="50" t="n">
        <x:v>3.22</x:v>
      </x:c>
      <x:c r="N1201" t="str">
        <x:v>RELATÓRIO LEITURAS INCLINOMÉTRICAS - Empreitada THE EDEN, Estoril_ R10_09-12-25.pdf</x:v>
      </x:c>
      <x:c r="O1201" t="n">
        <x:v>42</x:v>
      </x:c>
    </x:row>
    <x:row r="1202">
      <x:c r="A1202" s="48" t="n">
        <x:v>45993</x:v>
      </x:c>
      <x:c r="B1202" t="n">
        <x:v>9</x:v>
      </x:c>
      <x:c r="C1202" t="str">
        <x:v>I2</x:v>
      </x:c>
      <x:c r="D1202" t="n">
        <x:v>9</x:v>
      </x:c>
      <x:c r="E1202" s="50" t="n">
        <x:v>13.5</x:v>
      </x:c>
      <x:c r="F1202" s="50" t="n">
        <x:v>-268.73</x:v>
      </x:c>
      <x:c r="G1202" s="50" t="n">
        <x:v>278.18</x:v>
      </x:c>
      <x:c r="H1202" s="50" t="n">
        <x:v>-168.97</x:v>
      </x:c>
      <x:c r="I1202" s="50" t="n">
        <x:v>177.33</x:v>
      </x:c>
      <x:c r="J1202" s="50" t="n">
        <x:v>5.09</x:v>
      </x:c>
      <x:c r="K1202" s="50" t="n">
        <x:v>-4.59</x:v>
      </x:c>
      <x:c r="L1202" s="50" t="n">
        <x:v>6.86</x:v>
      </x:c>
      <x:c r="M1202" s="50" t="n">
        <x:v>2.94</x:v>
      </x:c>
      <x:c r="N1202" t="str">
        <x:v>RELATÓRIO LEITURAS INCLINOMÉTRICAS - Empreitada THE EDEN, Estoril_ R10_09-12-25.pdf</x:v>
      </x:c>
      <x:c r="O1202" t="n">
        <x:v>42</x:v>
      </x:c>
    </x:row>
    <x:row r="1203">
      <x:c r="A1203" s="48" t="n">
        <x:v>45993</x:v>
      </x:c>
      <x:c r="B1203" t="n">
        <x:v>9</x:v>
      </x:c>
      <x:c r="C1203" t="str">
        <x:v>I2</x:v>
      </x:c>
      <x:c r="D1203" t="n">
        <x:v>9</x:v>
      </x:c>
      <x:c r="E1203" s="50" t="n">
        <x:v>14</x:v>
      </x:c>
      <x:c r="F1203" s="50" t="n">
        <x:v>-297.3</x:v>
      </x:c>
      <x:c r="G1203" s="50" t="n">
        <x:v>305.71</x:v>
      </x:c>
      <x:c r="H1203" s="50" t="n">
        <x:v>-298.24</x:v>
      </x:c>
      <x:c r="I1203" s="50" t="n">
        <x:v>300.65</x:v>
      </x:c>
      <x:c r="J1203" s="50" t="n">
        <x:v>4.95</x:v>
      </x:c>
      <x:c r="K1203" s="50" t="n">
        <x:v>-4.43</x:v>
      </x:c>
      <x:c r="L1203" s="50" t="n">
        <x:v>6.64</x:v>
      </x:c>
      <x:c r="M1203" s="50" t="n">
        <x:v>2.71</x:v>
      </x:c>
      <x:c r="N1203" t="str">
        <x:v>RELATÓRIO LEITURAS INCLINOMÉTRICAS - Empreitada THE EDEN, Estoril_ R10_09-12-25.pdf</x:v>
      </x:c>
      <x:c r="O1203" t="n">
        <x:v>42</x:v>
      </x:c>
    </x:row>
    <x:row r="1204">
      <x:c r="A1204" s="48" t="n">
        <x:v>45993</x:v>
      </x:c>
      <x:c r="B1204" t="n">
        <x:v>9</x:v>
      </x:c>
      <x:c r="C1204" t="str">
        <x:v>I2</x:v>
      </x:c>
      <x:c r="D1204" t="n">
        <x:v>9</x:v>
      </x:c>
      <x:c r="E1204" s="50" t="n">
        <x:v>14.5</x:v>
      </x:c>
      <x:c r="F1204" s="50" t="n">
        <x:v>-270.86</x:v>
      </x:c>
      <x:c r="G1204" s="50" t="n">
        <x:v>279.99</x:v>
      </x:c>
      <x:c r="H1204" s="50" t="n">
        <x:v>-251.55</x:v>
      </x:c>
      <x:c r="I1204" s="50" t="n">
        <x:v>256.96</x:v>
      </x:c>
      <x:c r="J1204" s="50" t="n">
        <x:v>4.86</x:v>
      </x:c>
      <x:c r="K1204" s="50" t="n">
        <x:v>-4.31</x:v>
      </x:c>
      <x:c r="L1204" s="50" t="n">
        <x:v>6.5</x:v>
      </x:c>
      <x:c r="M1204" s="50" t="n">
        <x:v>2.57</x:v>
      </x:c>
      <x:c r="N1204" t="str">
        <x:v>RELATÓRIO LEITURAS INCLINOMÉTRICAS - Empreitada THE EDEN, Estoril_ R10_09-12-25.pdf</x:v>
      </x:c>
      <x:c r="O1204" t="n">
        <x:v>42</x:v>
      </x:c>
    </x:row>
    <x:row r="1205">
      <x:c r="A1205" s="48" t="n">
        <x:v>45993</x:v>
      </x:c>
      <x:c r="B1205" t="n">
        <x:v>9</x:v>
      </x:c>
      <x:c r="C1205" t="str">
        <x:v>I2</x:v>
      </x:c>
      <x:c r="D1205" t="n">
        <x:v>9</x:v>
      </x:c>
      <x:c r="E1205" s="50" t="n">
        <x:v>15</x:v>
      </x:c>
      <x:c r="F1205" s="50" t="n">
        <x:v>-235.99</x:v>
      </x:c>
      <x:c r="G1205" s="50" t="n">
        <x:v>246.03</x:v>
      </x:c>
      <x:c r="H1205" s="50" t="n">
        <x:v>-193.72</x:v>
      </x:c>
      <x:c r="I1205" s="50" t="n">
        <x:v>189.19</x:v>
      </x:c>
      <x:c r="J1205" s="50" t="n">
        <x:v>4.54</x:v>
      </x:c>
      <x:c r="K1205" s="50" t="n">
        <x:v>-4.23</x:v>
      </x:c>
      <x:c r="L1205" s="50" t="n">
        <x:v>6.21</x:v>
      </x:c>
      <x:c r="M1205" s="50" t="n">
        <x:v>2.36</x:v>
      </x:c>
      <x:c r="N1205" t="str">
        <x:v>RELATÓRIO LEITURAS INCLINOMÉTRICAS - Empreitada THE EDEN, Estoril_ R10_09-12-25.pdf</x:v>
      </x:c>
      <x:c r="O1205" t="n">
        <x:v>42</x:v>
      </x:c>
    </x:row>
    <x:row r="1206">
      <x:c r="A1206" s="48" t="n">
        <x:v>45993</x:v>
      </x:c>
      <x:c r="B1206" t="n">
        <x:v>9</x:v>
      </x:c>
      <x:c r="C1206" t="str">
        <x:v>I2</x:v>
      </x:c>
      <x:c r="D1206" t="n">
        <x:v>9</x:v>
      </x:c>
      <x:c r="E1206" s="50" t="n">
        <x:v>15.5</x:v>
      </x:c>
      <x:c r="F1206" s="50" t="n">
        <x:v>-166.45</x:v>
      </x:c>
      <x:c r="G1206" s="50" t="n">
        <x:v>171.29</x:v>
      </x:c>
      <x:c r="H1206" s="50" t="n">
        <x:v>-182.1</x:v>
      </x:c>
      <x:c r="I1206" s="50" t="n">
        <x:v>179.06</x:v>
      </x:c>
      <x:c r="J1206" s="50" t="n">
        <x:v>4.2</x:v>
      </x:c>
      <x:c r="K1206" s="50" t="n">
        <x:v>-3.97</x:v>
      </x:c>
      <x:c r="L1206" s="50" t="n">
        <x:v>5.78</x:v>
      </x:c>
      <x:c r="M1206" s="50" t="n">
        <x:v>2.11</x:v>
      </x:c>
      <x:c r="N1206" t="str">
        <x:v>RELATÓRIO LEITURAS INCLINOMÉTRICAS - Empreitada THE EDEN, Estoril_ R10_09-12-25.pdf</x:v>
      </x:c>
      <x:c r="O1206" t="n">
        <x:v>42</x:v>
      </x:c>
    </x:row>
    <x:row r="1207">
      <x:c r="A1207" s="48" t="n">
        <x:v>45993</x:v>
      </x:c>
      <x:c r="B1207" t="n">
        <x:v>9</x:v>
      </x:c>
      <x:c r="C1207" t="str">
        <x:v>I2</x:v>
      </x:c>
      <x:c r="D1207" t="n">
        <x:v>9</x:v>
      </x:c>
      <x:c r="E1207" s="50" t="n">
        <x:v>16</x:v>
      </x:c>
      <x:c r="F1207" s="50" t="n">
        <x:v>-79.1</x:v>
      </x:c>
      <x:c r="G1207" s="50" t="n">
        <x:v>86.38</x:v>
      </x:c>
      <x:c r="H1207" s="50" t="n">
        <x:v>-164.73</x:v>
      </x:c>
      <x:c r="I1207" s="50" t="n">
        <x:v>170.12</x:v>
      </x:c>
      <x:c r="J1207" s="50" t="n">
        <x:v>4</x:v>
      </x:c>
      <x:c r="K1207" s="50" t="n">
        <x:v>-3.79</x:v>
      </x:c>
      <x:c r="L1207" s="50" t="n">
        <x:v>5.51</x:v>
      </x:c>
      <x:c r="M1207" s="50" t="n">
        <x:v>1.94</x:v>
      </x:c>
      <x:c r="N1207" t="str">
        <x:v>RELATÓRIO LEITURAS INCLINOMÉTRICAS - Empreitada THE EDEN, Estoril_ R10_09-12-25.pdf</x:v>
      </x:c>
      <x:c r="O1207" t="n">
        <x:v>42</x:v>
      </x:c>
    </x:row>
    <x:row r="1208">
      <x:c r="A1208" s="48" t="n">
        <x:v>45993</x:v>
      </x:c>
      <x:c r="B1208" t="n">
        <x:v>9</x:v>
      </x:c>
      <x:c r="C1208" t="str">
        <x:v>I2</x:v>
      </x:c>
      <x:c r="D1208" t="n">
        <x:v>9</x:v>
      </x:c>
      <x:c r="E1208" s="50" t="n">
        <x:v>16.5</x:v>
      </x:c>
      <x:c r="F1208" s="50" t="n">
        <x:v>104.16</x:v>
      </x:c>
      <x:c r="G1208" s="50" t="n">
        <x:v>-98.55</x:v>
      </x:c>
      <x:c r="H1208" s="50" t="n">
        <x:v>-109.13</x:v>
      </x:c>
      <x:c r="I1208" s="50" t="n">
        <x:v>112.89</x:v>
      </x:c>
      <x:c r="J1208" s="50" t="n">
        <x:v>3.82</x:v>
      </x:c>
      <x:c r="K1208" s="50" t="n">
        <x:v>-3.7</x:v>
      </x:c>
      <x:c r="L1208" s="50" t="n">
        <x:v>5.31</x:v>
      </x:c>
      <x:c r="M1208" s="50" t="n">
        <x:v>1.83</x:v>
      </x:c>
      <x:c r="N1208" t="str">
        <x:v>RELATÓRIO LEITURAS INCLINOMÉTRICAS - Empreitada THE EDEN, Estoril_ R10_09-12-25.pdf</x:v>
      </x:c>
      <x:c r="O1208" t="n">
        <x:v>42</x:v>
      </x:c>
    </x:row>
    <x:row r="1209">
      <x:c r="A1209" s="48" t="n">
        <x:v>45993</x:v>
      </x:c>
      <x:c r="B1209" t="n">
        <x:v>9</x:v>
      </x:c>
      <x:c r="C1209" t="str">
        <x:v>I2</x:v>
      </x:c>
      <x:c r="D1209" t="n">
        <x:v>9</x:v>
      </x:c>
      <x:c r="E1209" s="50" t="n">
        <x:v>17</x:v>
      </x:c>
      <x:c r="F1209" s="50" t="n">
        <x:v>262.54</x:v>
      </x:c>
      <x:c r="G1209" s="50" t="n">
        <x:v>-255.09</x:v>
      </x:c>
      <x:c r="H1209" s="50" t="n">
        <x:v>-61.23</x:v>
      </x:c>
      <x:c r="I1209" s="50" t="n">
        <x:v>60.62</x:v>
      </x:c>
      <x:c r="J1209" s="50" t="n">
        <x:v>3.64</x:v>
      </x:c>
      <x:c r="K1209" s="50" t="n">
        <x:v>-3.71</x:v>
      </x:c>
      <x:c r="L1209" s="50" t="n">
        <x:v>5.2</x:v>
      </x:c>
      <x:c r="M1209" s="50" t="n">
        <x:v>1.73</x:v>
      </x:c>
      <x:c r="N1209" t="str">
        <x:v>RELATÓRIO LEITURAS INCLINOMÉTRICAS - Empreitada THE EDEN, Estoril_ R10_09-12-25.pdf</x:v>
      </x:c>
      <x:c r="O1209" t="n">
        <x:v>42</x:v>
      </x:c>
    </x:row>
    <x:row r="1210">
      <x:c r="A1210" s="48" t="n">
        <x:v>45993</x:v>
      </x:c>
      <x:c r="B1210" t="n">
        <x:v>9</x:v>
      </x:c>
      <x:c r="C1210" t="str">
        <x:v>I2</x:v>
      </x:c>
      <x:c r="D1210" t="n">
        <x:v>9</x:v>
      </x:c>
      <x:c r="E1210" s="50" t="n">
        <x:v>17.5</x:v>
      </x:c>
      <x:c r="F1210" s="50" t="n">
        <x:v>315.2</x:v>
      </x:c>
      <x:c r="G1210" s="50" t="n">
        <x:v>-310.84</x:v>
      </x:c>
      <x:c r="H1210" s="50" t="n">
        <x:v>-68.11</x:v>
      </x:c>
      <x:c r="I1210" s="50" t="n">
        <x:v>61.24</x:v>
      </x:c>
      <x:c r="J1210" s="50" t="n">
        <x:v>3.36</x:v>
      </x:c>
      <x:c r="K1210" s="50" t="n">
        <x:v>-3.54</x:v>
      </x:c>
      <x:c r="L1210" s="50" t="n">
        <x:v>4.88</x:v>
      </x:c>
      <x:c r="M1210" s="50" t="n">
        <x:v>1.71</x:v>
      </x:c>
      <x:c r="N1210" t="str">
        <x:v>RELATÓRIO LEITURAS INCLINOMÉTRICAS - Empreitada THE EDEN, Estoril_ R10_09-12-25.pdf</x:v>
      </x:c>
      <x:c r="O1210" t="n">
        <x:v>42</x:v>
      </x:c>
    </x:row>
    <x:row r="1211">
      <x:c r="A1211" s="48" t="n">
        <x:v>45993</x:v>
      </x:c>
      <x:c r="B1211" t="n">
        <x:v>9</x:v>
      </x:c>
      <x:c r="C1211" t="str">
        <x:v>I2</x:v>
      </x:c>
      <x:c r="D1211" t="n">
        <x:v>9</x:v>
      </x:c>
      <x:c r="E1211" s="50" t="n">
        <x:v>18</x:v>
      </x:c>
      <x:c r="F1211" s="50" t="n">
        <x:v>389.45</x:v>
      </x:c>
      <x:c r="G1211" s="50" t="n">
        <x:v>-381.97</x:v>
      </x:c>
      <x:c r="H1211" s="50" t="n">
        <x:v>-93.02</x:v>
      </x:c>
      <x:c r="I1211" s="50" t="n">
        <x:v>96.44</x:v>
      </x:c>
      <x:c r="J1211" s="50" t="n">
        <x:v>3.11</x:v>
      </x:c>
      <x:c r="K1211" s="50" t="n">
        <x:v>-3.31</x:v>
      </x:c>
      <x:c r="L1211" s="50" t="n">
        <x:v>4.54</x:v>
      </x:c>
      <x:c r="M1211" s="50" t="n">
        <x:v>1.59</x:v>
      </x:c>
      <x:c r="N1211" t="str">
        <x:v>RELATÓRIO LEITURAS INCLINOMÉTRICAS - Empreitada THE EDEN, Estoril_ R10_09-12-25.pdf</x:v>
      </x:c>
      <x:c r="O1211" t="n">
        <x:v>42</x:v>
      </x:c>
    </x:row>
    <x:row r="1212">
      <x:c r="A1212" s="48" t="n">
        <x:v>45993</x:v>
      </x:c>
      <x:c r="B1212" t="n">
        <x:v>9</x:v>
      </x:c>
      <x:c r="C1212" t="str">
        <x:v>I2</x:v>
      </x:c>
      <x:c r="D1212" t="n">
        <x:v>9</x:v>
      </x:c>
      <x:c r="E1212" s="50" t="n">
        <x:v>18.5</x:v>
      </x:c>
      <x:c r="F1212" s="50" t="n">
        <x:v>435.63</x:v>
      </x:c>
      <x:c r="G1212" s="50" t="n">
        <x:v>-428.75</x:v>
      </x:c>
      <x:c r="H1212" s="50" t="n">
        <x:v>-100.29</x:v>
      </x:c>
      <x:c r="I1212" s="50" t="n">
        <x:v>114.65</x:v>
      </x:c>
      <x:c r="J1212" s="50" t="n">
        <x:v>2.97</x:v>
      </x:c>
      <x:c r="K1212" s="50" t="n">
        <x:v>-3.1</x:v>
      </x:c>
      <x:c r="L1212" s="50" t="n">
        <x:v>4.3</x:v>
      </x:c>
      <x:c r="M1212" s="50" t="n">
        <x:v>1.52</x:v>
      </x:c>
      <x:c r="N1212" t="str">
        <x:v>RELATÓRIO LEITURAS INCLINOMÉTRICAS - Empreitada THE EDEN, Estoril_ R10_09-12-25.pdf</x:v>
      </x:c>
      <x:c r="O1212" t="n">
        <x:v>42</x:v>
      </x:c>
    </x:row>
    <x:row r="1213">
      <x:c r="A1213" s="48" t="n">
        <x:v>45993</x:v>
      </x:c>
      <x:c r="B1213" t="n">
        <x:v>9</x:v>
      </x:c>
      <x:c r="C1213" t="str">
        <x:v>I2</x:v>
      </x:c>
      <x:c r="D1213" t="n">
        <x:v>9</x:v>
      </x:c>
      <x:c r="E1213" s="50" t="n">
        <x:v>19</x:v>
      </x:c>
      <x:c r="F1213" s="50" t="n">
        <x:v>436.57</x:v>
      </x:c>
      <x:c r="G1213" s="50" t="n">
        <x:v>-431.93</x:v>
      </x:c>
      <x:c r="H1213" s="50" t="n">
        <x:v>-105.05</x:v>
      </x:c>
      <x:c r="I1213" s="50" t="n">
        <x:v>106.87</x:v>
      </x:c>
      <x:c r="J1213" s="50" t="n">
        <x:v>2.89</x:v>
      </x:c>
      <x:c r="K1213" s="50" t="n">
        <x:v>-2.88</x:v>
      </x:c>
      <x:c r="L1213" s="50" t="n">
        <x:v>4.08</x:v>
      </x:c>
      <x:c r="M1213" s="50" t="n">
        <x:v>1.47</x:v>
      </x:c>
      <x:c r="N1213" t="str">
        <x:v>RELATÓRIO LEITURAS INCLINOMÉTRICAS - Empreitada THE EDEN, Estoril_ R10_09-12-25.pdf</x:v>
      </x:c>
      <x:c r="O1213" t="n">
        <x:v>42</x:v>
      </x:c>
    </x:row>
    <x:row r="1214">
      <x:c r="A1214" s="48" t="n">
        <x:v>45993</x:v>
      </x:c>
      <x:c r="B1214" t="n">
        <x:v>9</x:v>
      </x:c>
      <x:c r="C1214" t="str">
        <x:v>I2</x:v>
      </x:c>
      <x:c r="D1214" t="n">
        <x:v>9</x:v>
      </x:c>
      <x:c r="E1214" s="50" t="n">
        <x:v>19.5</x:v>
      </x:c>
      <x:c r="F1214" s="50" t="n">
        <x:v>321.65</x:v>
      </x:c>
      <x:c r="G1214" s="50" t="n">
        <x:v>-316.68</x:v>
      </x:c>
      <x:c r="H1214" s="50" t="n">
        <x:v>-40.47</x:v>
      </x:c>
      <x:c r="I1214" s="50" t="n">
        <x:v>49.22</x:v>
      </x:c>
      <x:c r="J1214" s="50" t="n">
        <x:v>2.62</x:v>
      </x:c>
      <x:c r="K1214" s="50" t="n">
        <x:v>-2.54</x:v>
      </x:c>
      <x:c r="L1214" s="50" t="n">
        <x:v>3.65</x:v>
      </x:c>
      <x:c r="M1214" s="50" t="n">
        <x:v>1.4</x:v>
      </x:c>
      <x:c r="N1214" t="str">
        <x:v>RELATÓRIO LEITURAS INCLINOMÉTRICAS - Empreitada THE EDEN, Estoril_ R10_09-12-25.pdf</x:v>
      </x:c>
      <x:c r="O1214" t="n">
        <x:v>42</x:v>
      </x:c>
    </x:row>
    <x:row r="1215">
      <x:c r="A1215" s="48" t="n">
        <x:v>45993</x:v>
      </x:c>
      <x:c r="B1215" t="n">
        <x:v>9</x:v>
      </x:c>
      <x:c r="C1215" t="str">
        <x:v>I2</x:v>
      </x:c>
      <x:c r="D1215" t="n">
        <x:v>9</x:v>
      </x:c>
      <x:c r="E1215" s="50" t="n">
        <x:v>20</x:v>
      </x:c>
      <x:c r="F1215" s="50" t="n">
        <x:v>185.78</x:v>
      </x:c>
      <x:c r="G1215" s="50" t="n">
        <x:v>-178.9</x:v>
      </x:c>
      <x:c r="H1215" s="50" t="n">
        <x:v>3.04</x:v>
      </x:c>
      <x:c r="I1215" s="50" t="n">
        <x:v>11.29</x:v>
      </x:c>
      <x:c r="J1215" s="50" t="n">
        <x:v>2.43</x:v>
      </x:c>
      <x:c r="K1215" s="50" t="n">
        <x:v>-2.43</x:v>
      </x:c>
      <x:c r="L1215" s="50" t="n">
        <x:v>3.44</x:v>
      </x:c>
      <x:c r="M1215" s="50" t="n">
        <x:v>1.33</x:v>
      </x:c>
      <x:c r="N1215" t="str">
        <x:v>RELATÓRIO LEITURAS INCLINOMÉTRICAS - Empreitada THE EDEN, Estoril_ R10_09-12-25.pdf</x:v>
      </x:c>
      <x:c r="O1215" t="n">
        <x:v>42</x:v>
      </x:c>
    </x:row>
    <x:row r="1216">
      <x:c r="A1216" s="48" t="n">
        <x:v>45993</x:v>
      </x:c>
      <x:c r="B1216" t="n">
        <x:v>9</x:v>
      </x:c>
      <x:c r="C1216" t="str">
        <x:v>I2</x:v>
      </x:c>
      <x:c r="D1216" t="n">
        <x:v>9</x:v>
      </x:c>
      <x:c r="E1216" s="50" t="n">
        <x:v>20.5</x:v>
      </x:c>
      <x:c r="F1216" s="50" t="n">
        <x:v>150.19</x:v>
      </x:c>
      <x:c r="G1216" s="50" t="n">
        <x:v>-145.2</x:v>
      </x:c>
      <x:c r="H1216" s="50" t="n">
        <x:v>-2.79</x:v>
      </x:c>
      <x:c r="I1216" s="50" t="n">
        <x:v>16.36</x:v>
      </x:c>
      <x:c r="J1216" s="50" t="n">
        <x:v>2.17</x:v>
      </x:c>
      <x:c r="K1216" s="50" t="n">
        <x:v>-2.22</x:v>
      </x:c>
      <x:c r="L1216" s="50" t="n">
        <x:v>3.1</x:v>
      </x:c>
      <x:c r="M1216" s="50" t="n">
        <x:v>1.24</x:v>
      </x:c>
      <x:c r="N1216" t="str">
        <x:v>RELATÓRIO LEITURAS INCLINOMÉTRICAS - Empreitada THE EDEN, Estoril_ R10_09-12-25.pdf</x:v>
      </x:c>
      <x:c r="O1216" t="n">
        <x:v>42</x:v>
      </x:c>
    </x:row>
    <x:row r="1217">
      <x:c r="A1217" s="48" t="n">
        <x:v>45993</x:v>
      </x:c>
      <x:c r="B1217" t="n">
        <x:v>9</x:v>
      </x:c>
      <x:c r="C1217" t="str">
        <x:v>I2</x:v>
      </x:c>
      <x:c r="D1217" t="n">
        <x:v>9</x:v>
      </x:c>
      <x:c r="E1217" s="50" t="n">
        <x:v>21</x:v>
      </x:c>
      <x:c r="F1217" s="50" t="n">
        <x:v>109.83</x:v>
      </x:c>
      <x:c r="G1217" s="50" t="n">
        <x:v>-102.58</x:v>
      </x:c>
      <x:c r="H1217" s="50" t="n">
        <x:v>-1.08</x:v>
      </x:c>
      <x:c r="I1217" s="50" t="n">
        <x:v>16.76</x:v>
      </x:c>
      <x:c r="J1217" s="50" t="n">
        <x:v>1.95</x:v>
      </x:c>
      <x:c r="K1217" s="50" t="n">
        <x:v>-2.07</x:v>
      </x:c>
      <x:c r="L1217" s="50" t="n">
        <x:v>2.84</x:v>
      </x:c>
      <x:c r="M1217" s="50" t="n">
        <x:v>1.05</x:v>
      </x:c>
      <x:c r="N1217" t="str">
        <x:v>RELATÓRIO LEITURAS INCLINOMÉTRICAS - Empreitada THE EDEN, Estoril_ R10_09-12-25.pdf</x:v>
      </x:c>
      <x:c r="O1217" t="n">
        <x:v>42</x:v>
      </x:c>
    </x:row>
    <x:row r="1218">
      <x:c r="A1218" s="48" t="n">
        <x:v>45993</x:v>
      </x:c>
      <x:c r="B1218" t="n">
        <x:v>9</x:v>
      </x:c>
      <x:c r="C1218" t="str">
        <x:v>I2</x:v>
      </x:c>
      <x:c r="D1218" t="n">
        <x:v>9</x:v>
      </x:c>
      <x:c r="E1218" s="50" t="n">
        <x:v>21.5</x:v>
      </x:c>
      <x:c r="F1218" s="50" t="n">
        <x:v>-17.26</x:v>
      </x:c>
      <x:c r="G1218" s="50" t="n">
        <x:v>25.31</x:v>
      </x:c>
      <x:c r="H1218" s="50" t="n">
        <x:v>-16.09</x:v>
      </x:c>
      <x:c r="I1218" s="50" t="n">
        <x:v>19.9</x:v>
      </x:c>
      <x:c r="J1218" s="50" t="n">
        <x:v>1.61</x:v>
      </x:c>
      <x:c r="K1218" s="50" t="n">
        <x:v>-2.09</x:v>
      </x:c>
      <x:c r="L1218" s="50" t="n">
        <x:v>2.64</x:v>
      </x:c>
      <x:c r="M1218" s="50" t="n">
        <x:v>0.89</x:v>
      </x:c>
      <x:c r="N1218" t="str">
        <x:v>RELATÓRIO LEITURAS INCLINOMÉTRICAS - Empreitada THE EDEN, Estoril_ R10_09-12-25.pdf</x:v>
      </x:c>
      <x:c r="O1218" t="n">
        <x:v>42</x:v>
      </x:c>
    </x:row>
    <x:row r="1219">
      <x:c r="A1219" s="48" t="n">
        <x:v>45993</x:v>
      </x:c>
      <x:c r="B1219" t="n">
        <x:v>9</x:v>
      </x:c>
      <x:c r="C1219" t="str">
        <x:v>I2</x:v>
      </x:c>
      <x:c r="D1219" t="n">
        <x:v>9</x:v>
      </x:c>
      <x:c r="E1219" s="50" t="n">
        <x:v>22</x:v>
      </x:c>
      <x:c r="F1219" s="50" t="n">
        <x:v>-63.46</x:v>
      </x:c>
      <x:c r="G1219" s="50" t="n">
        <x:v>68.62</x:v>
      </x:c>
      <x:c r="H1219" s="50" t="n">
        <x:v>-4.54</x:v>
      </x:c>
      <x:c r="I1219" s="50" t="n">
        <x:v>23.73</x:v>
      </x:c>
      <x:c r="J1219" s="50" t="n">
        <x:v>1.46</x:v>
      </x:c>
      <x:c r="K1219" s="50" t="n">
        <x:v>-1.82</x:v>
      </x:c>
      <x:c r="L1219" s="50" t="n">
        <x:v>2.33</x:v>
      </x:c>
      <x:c r="M1219" s="50" t="n">
        <x:v>0.83</x:v>
      </x:c>
      <x:c r="N1219" t="str">
        <x:v>RELATÓRIO LEITURAS INCLINOMÉTRICAS - Empreitada THE EDEN, Estoril_ R10_09-12-25.pdf</x:v>
      </x:c>
      <x:c r="O1219" t="n">
        <x:v>42</x:v>
      </x:c>
    </x:row>
    <x:row r="1220">
      <x:c r="A1220" s="48" t="n">
        <x:v>45993</x:v>
      </x:c>
      <x:c r="B1220" t="n">
        <x:v>9</x:v>
      </x:c>
      <x:c r="C1220" t="str">
        <x:v>I2</x:v>
      </x:c>
      <x:c r="D1220" t="n">
        <x:v>9</x:v>
      </x:c>
      <x:c r="E1220" s="50" t="n">
        <x:v>22.5</x:v>
      </x:c>
      <x:c r="F1220" s="50" t="n">
        <x:v>-50.63</x:v>
      </x:c>
      <x:c r="G1220" s="50" t="n">
        <x:v>58.32</x:v>
      </x:c>
      <x:c r="H1220" s="50" t="n">
        <x:v>-108.26</x:v>
      </x:c>
      <x:c r="I1220" s="50" t="n">
        <x:v>119.43</x:v>
      </x:c>
      <x:c r="J1220" s="50" t="n">
        <x:v>1.31</x:v>
      </x:c>
      <x:c r="K1220" s="50" t="n">
        <x:v>-1.7</x:v>
      </x:c>
      <x:c r="L1220" s="50" t="n">
        <x:v>2.14</x:v>
      </x:c>
      <x:c r="M1220" s="50" t="n">
        <x:v>0.73</x:v>
      </x:c>
      <x:c r="N1220" t="str">
        <x:v>RELATÓRIO LEITURAS INCLINOMÉTRICAS - Empreitada THE EDEN, Estoril_ R10_09-12-25.pdf</x:v>
      </x:c>
      <x:c r="O1220" t="n">
        <x:v>42</x:v>
      </x:c>
    </x:row>
    <x:row r="1221">
      <x:c r="A1221" s="48" t="n">
        <x:v>45993</x:v>
      </x:c>
      <x:c r="B1221" t="n">
        <x:v>9</x:v>
      </x:c>
      <x:c r="C1221" t="str">
        <x:v>I2</x:v>
      </x:c>
      <x:c r="D1221" t="n">
        <x:v>9</x:v>
      </x:c>
      <x:c r="E1221" s="50" t="n">
        <x:v>23</x:v>
      </x:c>
      <x:c r="F1221" s="50" t="n">
        <x:v>-63.99</x:v>
      </x:c>
      <x:c r="G1221" s="50" t="n">
        <x:v>66.51</x:v>
      </x:c>
      <x:c r="H1221" s="50" t="n">
        <x:v>-163.25</x:v>
      </x:c>
      <x:c r="I1221" s="50" t="n">
        <x:v>159.27</x:v>
      </x:c>
      <x:c r="J1221" s="50" t="n">
        <x:v>1.14</x:v>
      </x:c>
      <x:c r="K1221" s="50" t="n">
        <x:v>-1.49</x:v>
      </x:c>
      <x:c r="L1221" s="50" t="n">
        <x:v>1.88</x:v>
      </x:c>
      <x:c r="M1221" s="50" t="n">
        <x:v>0.71</x:v>
      </x:c>
      <x:c r="N1221" t="str">
        <x:v>RELATÓRIO LEITURAS INCLINOMÉTRICAS - Empreitada THE EDEN, Estoril_ R10_09-12-25.pdf</x:v>
      </x:c>
      <x:c r="O1221" t="n">
        <x:v>42</x:v>
      </x:c>
    </x:row>
    <x:row r="1222">
      <x:c r="A1222" s="48" t="n">
        <x:v>45993</x:v>
      </x:c>
      <x:c r="B1222" t="n">
        <x:v>9</x:v>
      </x:c>
      <x:c r="C1222" t="str">
        <x:v>I2</x:v>
      </x:c>
      <x:c r="D1222" t="n">
        <x:v>9</x:v>
      </x:c>
      <x:c r="E1222" s="50" t="n">
        <x:v>23.5</x:v>
      </x:c>
      <x:c r="F1222" s="50" t="n">
        <x:v>-127.56</x:v>
      </x:c>
      <x:c r="G1222" s="50" t="n">
        <x:v>137.14</x:v>
      </x:c>
      <x:c r="H1222" s="50" t="n">
        <x:v>-190.34</x:v>
      </x:c>
      <x:c r="I1222" s="50" t="n">
        <x:v>208.99</x:v>
      </x:c>
      <x:c r="J1222" s="50" t="n">
        <x:v>0.97</x:v>
      </x:c>
      <x:c r="K1222" s="50" t="n">
        <x:v>-1.41</x:v>
      </x:c>
      <x:c r="L1222" s="50" t="n">
        <x:v>1.71</x:v>
      </x:c>
      <x:c r="M1222" s="50" t="n">
        <x:v>0.76</x:v>
      </x:c>
      <x:c r="N1222" t="str">
        <x:v>RELATÓRIO LEITURAS INCLINOMÉTRICAS - Empreitada THE EDEN, Estoril_ R10_09-12-25.pdf</x:v>
      </x:c>
      <x:c r="O1222" t="n">
        <x:v>42</x:v>
      </x:c>
    </x:row>
    <x:row r="1223">
      <x:c r="A1223" s="48" t="n">
        <x:v>45993</x:v>
      </x:c>
      <x:c r="B1223" t="n">
        <x:v>9</x:v>
      </x:c>
      <x:c r="C1223" t="str">
        <x:v>I2</x:v>
      </x:c>
      <x:c r="D1223" t="n">
        <x:v>9</x:v>
      </x:c>
      <x:c r="E1223" s="50" t="n">
        <x:v>24</x:v>
      </x:c>
      <x:c r="F1223" s="50" t="n">
        <x:v>-160.85</x:v>
      </x:c>
      <x:c r="G1223" s="50" t="n">
        <x:v>167.52</x:v>
      </x:c>
      <x:c r="H1223" s="50" t="n">
        <x:v>-240.67</x:v>
      </x:c>
      <x:c r="I1223" s="50" t="n">
        <x:v>258.79</x:v>
      </x:c>
      <x:c r="J1223" s="50" t="n">
        <x:v>0.87</x:v>
      </x:c>
      <x:c r="K1223" s="50" t="n">
        <x:v>-1.31</x:v>
      </x:c>
      <x:c r="L1223" s="50" t="n">
        <x:v>1.57</x:v>
      </x:c>
      <x:c r="M1223" s="50" t="n">
        <x:v>0.64</x:v>
      </x:c>
      <x:c r="N1223" t="str">
        <x:v>RELATÓRIO LEITURAS INCLINOMÉTRICAS - Empreitada THE EDEN, Estoril_ R10_09-12-25.pdf</x:v>
      </x:c>
      <x:c r="O1223" t="n">
        <x:v>42</x:v>
      </x:c>
    </x:row>
    <x:row r="1224">
      <x:c r="A1224" s="48" t="n">
        <x:v>45993</x:v>
      </x:c>
      <x:c r="B1224" t="n">
        <x:v>9</x:v>
      </x:c>
      <x:c r="C1224" t="str">
        <x:v>I2</x:v>
      </x:c>
      <x:c r="D1224" t="n">
        <x:v>9</x:v>
      </x:c>
      <x:c r="E1224" s="50" t="n">
        <x:v>24.5</x:v>
      </x:c>
      <x:c r="F1224" s="50" t="n">
        <x:v>-57.68</x:v>
      </x:c>
      <x:c r="G1224" s="50" t="n">
        <x:v>59.23</x:v>
      </x:c>
      <x:c r="H1224" s="50" t="n">
        <x:v>-247.06</x:v>
      </x:c>
      <x:c r="I1224" s="50" t="n">
        <x:v>236.75</x:v>
      </x:c>
      <x:c r="J1224" s="50" t="n">
        <x:v>0.75</x:v>
      </x:c>
      <x:c r="K1224" s="50" t="n">
        <x:v>-1.07</x:v>
      </x:c>
      <x:c r="L1224" s="50" t="n">
        <x:v>1.31</x:v>
      </x:c>
      <x:c r="M1224" s="50" t="n">
        <x:v>0.54</x:v>
      </x:c>
      <x:c r="N1224" t="str">
        <x:v>RELATÓRIO LEITURAS INCLINOMÉTRICAS - Empreitada THE EDEN, Estoril_ R10_09-12-25.pdf</x:v>
      </x:c>
      <x:c r="O1224" t="n">
        <x:v>42</x:v>
      </x:c>
    </x:row>
    <x:row r="1225">
      <x:c r="A1225" s="48" t="n">
        <x:v>45993</x:v>
      </x:c>
      <x:c r="B1225" t="n">
        <x:v>9</x:v>
      </x:c>
      <x:c r="C1225" t="str">
        <x:v>I2</x:v>
      </x:c>
      <x:c r="D1225" t="n">
        <x:v>9</x:v>
      </x:c>
      <x:c r="E1225" s="50" t="n">
        <x:v>25</x:v>
      </x:c>
      <x:c r="F1225" s="50" t="n">
        <x:v>38.87</x:v>
      </x:c>
      <x:c r="G1225" s="50" t="n">
        <x:v>-32.02</x:v>
      </x:c>
      <x:c r="H1225" s="50" t="n">
        <x:v>-223.03</x:v>
      </x:c>
      <x:c r="I1225" s="50" t="n">
        <x:v>221.3</x:v>
      </x:c>
      <x:c r="J1225" s="50" t="n">
        <x:v>0.59</x:v>
      </x:c>
      <x:c r="K1225" s="50" t="n">
        <x:v>-1.08</x:v>
      </x:c>
      <x:c r="L1225" s="50" t="n">
        <x:v>1.23</x:v>
      </x:c>
      <x:c r="M1225" s="50" t="n">
        <x:v>0.48</x:v>
      </x:c>
      <x:c r="N1225" t="str">
        <x:v>RELATÓRIO LEITURAS INCLINOMÉTRICAS - Empreitada THE EDEN, Estoril_ R10_09-12-25.pdf</x:v>
      </x:c>
      <x:c r="O1225" t="n">
        <x:v>42</x:v>
      </x:c>
    </x:row>
    <x:row r="1226">
      <x:c r="A1226" s="48" t="n">
        <x:v>45993</x:v>
      </x:c>
      <x:c r="B1226" t="n">
        <x:v>9</x:v>
      </x:c>
      <x:c r="C1226" t="str">
        <x:v>I2</x:v>
      </x:c>
      <x:c r="D1226" t="n">
        <x:v>9</x:v>
      </x:c>
      <x:c r="E1226" s="50" t="n">
        <x:v>25.5</x:v>
      </x:c>
      <x:c r="F1226" s="50" t="n">
        <x:v>96.05</x:v>
      </x:c>
      <x:c r="G1226" s="50" t="n">
        <x:v>-92.31</x:v>
      </x:c>
      <x:c r="H1226" s="50" t="n">
        <x:v>-185.12</x:v>
      </x:c>
      <x:c r="I1226" s="50" t="n">
        <x:v>192.92</x:v>
      </x:c>
      <x:c r="J1226" s="50" t="n">
        <x:v>0.43</x:v>
      </x:c>
      <x:c r="K1226" s="50" t="n">
        <x:v>-0.82</x:v>
      </x:c>
      <x:c r="L1226" s="50" t="n">
        <x:v>0.93</x:v>
      </x:c>
      <x:c r="M1226" s="50" t="n">
        <x:v>0.36</x:v>
      </x:c>
      <x:c r="N1226" t="str">
        <x:v>RELATÓRIO LEITURAS INCLINOMÉTRICAS - Empreitada THE EDEN, Estoril_ R10_09-12-25.pdf</x:v>
      </x:c>
      <x:c r="O1226" t="n">
        <x:v>42</x:v>
      </x:c>
    </x:row>
    <x:row r="1227">
      <x:c r="A1227" s="48" t="n">
        <x:v>45993</x:v>
      </x:c>
      <x:c r="B1227" t="n">
        <x:v>9</x:v>
      </x:c>
      <x:c r="C1227" t="str">
        <x:v>I2</x:v>
      </x:c>
      <x:c r="D1227" t="n">
        <x:v>9</x:v>
      </x:c>
      <x:c r="E1227" s="50" t="n">
        <x:v>26</x:v>
      </x:c>
      <x:c r="F1227" s="50" t="n">
        <x:v>141.99</x:v>
      </x:c>
      <x:c r="G1227" s="50" t="n">
        <x:v>-134.87</x:v>
      </x:c>
      <x:c r="H1227" s="50" t="n">
        <x:v>-225.12</x:v>
      </x:c>
      <x:c r="I1227" s="50" t="n">
        <x:v>245.68</x:v>
      </x:c>
      <x:c r="J1227" s="50" t="n">
        <x:v>0.31</x:v>
      </x:c>
      <x:c r="K1227" s="50" t="n">
        <x:v>-0.36</x:v>
      </x:c>
      <x:c r="L1227" s="50" t="n">
        <x:v>0.48</x:v>
      </x:c>
      <x:c r="M1227" s="50" t="n">
        <x:v>0.29</x:v>
      </x:c>
      <x:c r="N1227" t="str">
        <x:v>RELATÓRIO LEITURAS INCLINOMÉTRICAS - Empreitada THE EDEN, Estoril_ R10_09-12-25.pdf</x:v>
      </x:c>
      <x:c r="O1227" t="n">
        <x:v>42</x:v>
      </x:c>
    </x:row>
    <x:row r="1228">
      <x:c r="A1228" s="48" t="n">
        <x:v>45993</x:v>
      </x:c>
      <x:c r="B1228" t="n">
        <x:v>9</x:v>
      </x:c>
      <x:c r="C1228" t="str">
        <x:v>I2</x:v>
      </x:c>
      <x:c r="D1228" t="n">
        <x:v>9</x:v>
      </x:c>
      <x:c r="E1228" s="50" t="n">
        <x:v>26.5</x:v>
      </x:c>
      <x:c r="F1228" s="50" t="n">
        <x:v>145.73</x:v>
      </x:c>
      <x:c r="G1228" s="50" t="n">
        <x:v>-142.05</x:v>
      </x:c>
      <x:c r="H1228" s="50" t="n">
        <x:v>-242.56</x:v>
      </x:c>
      <x:c r="I1228" s="50" t="n">
        <x:v>259.57</x:v>
      </x:c>
      <x:c r="J1228" s="50" t="n">
        <x:v>0.17</x:v>
      </x:c>
      <x:c r="K1228" s="50" t="n">
        <x:v>-0.12</x:v>
      </x:c>
      <x:c r="L1228" s="50" t="n">
        <x:v>0.21</x:v>
      </x:c>
      <x:c r="M1228" s="50" t="n">
        <x:v>0.09</x:v>
      </x:c>
      <x:c r="N1228" t="str">
        <x:v>RELATÓRIO LEITURAS INCLINOMÉTRICAS - Empreitada THE EDEN, Estoril_ R10_09-12-25.pdf</x:v>
      </x:c>
      <x:c r="O1228" t="n">
        <x:v>42</x:v>
      </x:c>
    </x:row>
    <x:row r="1229">
      <x:c r="A1229" s="48" t="n">
        <x:v>45993</x:v>
      </x:c>
      <x:c r="B1229" t="n">
        <x:v>8</x:v>
      </x:c>
      <x:c r="C1229" t="str">
        <x:v>I3</x:v>
      </x:c>
      <x:c r="D1229" t="n">
        <x:v>8</x:v>
      </x:c>
      <x:c r="E1229" s="50" t="n">
        <x:v>0.5</x:v>
      </x:c>
      <x:c r="F1229" s="50" t="n">
        <x:v>412.13</x:v>
      </x:c>
      <x:c r="G1229" s="50" t="n">
        <x:v>-401.73</x:v>
      </x:c>
      <x:c r="H1229" s="50" t="n">
        <x:v>477.83</x:v>
      </x:c>
      <x:c r="I1229" s="50" t="n">
        <x:v>-479.45</x:v>
      </x:c>
      <x:c r="J1229" s="50" t="n">
        <x:v>1.24</x:v>
      </x:c>
      <x:c r="K1229" s="50" t="n">
        <x:v>-0.56</x:v>
      </x:c>
      <x:c r="L1229" s="50" t="n">
        <x:v>1.36</x:v>
      </x:c>
      <x:c r="M1229" s="50" t="n">
        <x:v>0.33</x:v>
      </x:c>
      <x:c r="N1229" t="str">
        <x:v>RELATÓRIO LEITURAS INCLINOMÉTRICAS - Empreitada THE EDEN, Estoril_ R10_09-12-25.pdf</x:v>
      </x:c>
      <x:c r="O1229" t="n">
        <x:v>60</x:v>
      </x:c>
    </x:row>
    <x:row r="1230">
      <x:c r="A1230" s="48" t="n">
        <x:v>45993</x:v>
      </x:c>
      <x:c r="B1230" t="n">
        <x:v>8</x:v>
      </x:c>
      <x:c r="C1230" t="str">
        <x:v>I3</x:v>
      </x:c>
      <x:c r="D1230" t="n">
        <x:v>8</x:v>
      </x:c>
      <x:c r="E1230" s="50" t="n">
        <x:v>1</x:v>
      </x:c>
      <x:c r="F1230" s="50" t="n">
        <x:v>412.39</x:v>
      </x:c>
      <x:c r="G1230" s="50" t="n">
        <x:v>-401.73</x:v>
      </x:c>
      <x:c r="H1230" s="50" t="n">
        <x:v>478.11</x:v>
      </x:c>
      <x:c r="I1230" s="50" t="n">
        <x:v>-479.52</x:v>
      </x:c>
      <x:c r="J1230" s="50" t="n">
        <x:v>1.33</x:v>
      </x:c>
      <x:c r="K1230" s="50" t="n">
        <x:v>-0.72</x:v>
      </x:c>
      <x:c r="L1230" s="50" t="n">
        <x:v>1.51</x:v>
      </x:c>
      <x:c r="M1230" s="50" t="n">
        <x:v>0.4</x:v>
      </x:c>
      <x:c r="N1230" t="str">
        <x:v>RELATÓRIO LEITURAS INCLINOMÉTRICAS - Empreitada THE EDEN, Estoril_ R10_09-12-25.pdf</x:v>
      </x:c>
      <x:c r="O1230" t="n">
        <x:v>60</x:v>
      </x:c>
    </x:row>
    <x:row r="1231">
      <x:c r="A1231" s="48" t="n">
        <x:v>45993</x:v>
      </x:c>
      <x:c r="B1231" t="n">
        <x:v>8</x:v>
      </x:c>
      <x:c r="C1231" t="str">
        <x:v>I3</x:v>
      </x:c>
      <x:c r="D1231" t="n">
        <x:v>8</x:v>
      </x:c>
      <x:c r="E1231" s="50" t="n">
        <x:v>1.5</x:v>
      </x:c>
      <x:c r="F1231" s="50" t="n">
        <x:v>441.55</x:v>
      </x:c>
      <x:c r="G1231" s="50" t="n">
        <x:v>-437.32</x:v>
      </x:c>
      <x:c r="H1231" s="50" t="n">
        <x:v>407.57</x:v>
      </x:c>
      <x:c r="I1231" s="50" t="n">
        <x:v>-401.8</x:v>
      </x:c>
      <x:c r="J1231" s="50" t="n">
        <x:v>1.43</x:v>
      </x:c>
      <x:c r="K1231" s="50" t="n">
        <x:v>-0.88</x:v>
      </x:c>
      <x:c r="L1231" s="50" t="n">
        <x:v>1.68</x:v>
      </x:c>
      <x:c r="M1231" s="50" t="n">
        <x:v>0.49</x:v>
      </x:c>
      <x:c r="N1231" t="str">
        <x:v>RELATÓRIO LEITURAS INCLINOMÉTRICAS - Empreitada THE EDEN, Estoril_ R10_09-12-25.pdf</x:v>
      </x:c>
      <x:c r="O1231" t="n">
        <x:v>60</x:v>
      </x:c>
    </x:row>
    <x:row r="1232">
      <x:c r="A1232" s="48" t="n">
        <x:v>45993</x:v>
      </x:c>
      <x:c r="B1232" t="n">
        <x:v>8</x:v>
      </x:c>
      <x:c r="C1232" t="str">
        <x:v>I3</x:v>
      </x:c>
      <x:c r="D1232" t="n">
        <x:v>8</x:v>
      </x:c>
      <x:c r="E1232" s="50" t="n">
        <x:v>2</x:v>
      </x:c>
      <x:c r="F1232" s="50" t="n">
        <x:v>502.45</x:v>
      </x:c>
      <x:c r="G1232" s="50" t="n">
        <x:v>-495.65</x:v>
      </x:c>
      <x:c r="H1232" s="50" t="n">
        <x:v>218.68</x:v>
      </x:c>
      <x:c r="I1232" s="50" t="n">
        <x:v>-218.72</x:v>
      </x:c>
      <x:c r="J1232" s="50" t="n">
        <x:v>1.53</x:v>
      </x:c>
      <x:c r="K1232" s="50" t="n">
        <x:v>-1.01</x:v>
      </x:c>
      <x:c r="L1232" s="50" t="n">
        <x:v>1.84</x:v>
      </x:c>
      <x:c r="M1232" s="50" t="n">
        <x:v>0.5</x:v>
      </x:c>
      <x:c r="N1232" t="str">
        <x:v>RELATÓRIO LEITURAS INCLINOMÉTRICAS - Empreitada THE EDEN, Estoril_ R10_09-12-25.pdf</x:v>
      </x:c>
      <x:c r="O1232" t="n">
        <x:v>60</x:v>
      </x:c>
    </x:row>
    <x:row r="1233">
      <x:c r="A1233" s="48" t="n">
        <x:v>45993</x:v>
      </x:c>
      <x:c r="B1233" t="n">
        <x:v>8</x:v>
      </x:c>
      <x:c r="C1233" t="str">
        <x:v>I3</x:v>
      </x:c>
      <x:c r="D1233" t="n">
        <x:v>8</x:v>
      </x:c>
      <x:c r="E1233" s="50" t="n">
        <x:v>2.5</x:v>
      </x:c>
      <x:c r="F1233" s="50" t="n">
        <x:v>455.15</x:v>
      </x:c>
      <x:c r="G1233" s="50" t="n">
        <x:v>-449.38</x:v>
      </x:c>
      <x:c r="H1233" s="50" t="n">
        <x:v>127.07</x:v>
      </x:c>
      <x:c r="I1233" s="50" t="n">
        <x:v>-108.16</x:v>
      </x:c>
      <x:c r="J1233" s="50" t="n">
        <x:v>1.7</x:v>
      </x:c>
      <x:c r="K1233" s="50" t="n">
        <x:v>-1.54</x:v>
      </x:c>
      <x:c r="L1233" s="50" t="n">
        <x:v>2.29</x:v>
      </x:c>
      <x:c r="M1233" s="50" t="n">
        <x:v>0.74</x:v>
      </x:c>
      <x:c r="N1233" t="str">
        <x:v>RELATÓRIO LEITURAS INCLINOMÉTRICAS - Empreitada THE EDEN, Estoril_ R10_09-12-25.pdf</x:v>
      </x:c>
      <x:c r="O1233" t="n">
        <x:v>60</x:v>
      </x:c>
    </x:row>
    <x:row r="1234">
      <x:c r="A1234" s="48" t="n">
        <x:v>45993</x:v>
      </x:c>
      <x:c r="B1234" t="n">
        <x:v>8</x:v>
      </x:c>
      <x:c r="C1234" t="str">
        <x:v>I3</x:v>
      </x:c>
      <x:c r="D1234" t="n">
        <x:v>8</x:v>
      </x:c>
      <x:c r="E1234" s="50" t="n">
        <x:v>3</x:v>
      </x:c>
      <x:c r="F1234" s="50" t="n">
        <x:v>403.35</x:v>
      </x:c>
      <x:c r="G1234" s="50" t="n">
        <x:v>-395.91</x:v>
      </x:c>
      <x:c r="H1234" s="50" t="n">
        <x:v>-7.85</x:v>
      </x:c>
      <x:c r="I1234" s="50" t="n">
        <x:v>18.68</x:v>
      </x:c>
      <x:c r="J1234" s="50" t="n">
        <x:v>1.86</x:v>
      </x:c>
      <x:c r="K1234" s="50" t="n">
        <x:v>-1.73</x:v>
      </x:c>
      <x:c r="L1234" s="50" t="n">
        <x:v>2.54</x:v>
      </x:c>
      <x:c r="M1234" s="50" t="n">
        <x:v>0.94</x:v>
      </x:c>
      <x:c r="N1234" t="str">
        <x:v>RELATÓRIO LEITURAS INCLINOMÉTRICAS - Empreitada THE EDEN, Estoril_ R10_09-12-25.pdf</x:v>
      </x:c>
      <x:c r="O1234" t="n">
        <x:v>60</x:v>
      </x:c>
    </x:row>
    <x:row r="1235">
      <x:c r="A1235" s="48" t="n">
        <x:v>45993</x:v>
      </x:c>
      <x:c r="B1235" t="n">
        <x:v>8</x:v>
      </x:c>
      <x:c r="C1235" t="str">
        <x:v>I3</x:v>
      </x:c>
      <x:c r="D1235" t="n">
        <x:v>8</x:v>
      </x:c>
      <x:c r="E1235" s="50" t="n">
        <x:v>3.5</x:v>
      </x:c>
      <x:c r="F1235" s="50" t="n">
        <x:v>360.06</x:v>
      </x:c>
      <x:c r="G1235" s="50" t="n">
        <x:v>-354.69</x:v>
      </x:c>
      <x:c r="H1235" s="50" t="n">
        <x:v>-82.34</x:v>
      </x:c>
      <x:c r="I1235" s="50" t="n">
        <x:v>94.54</x:v>
      </x:c>
      <x:c r="J1235" s="50" t="n">
        <x:v>2.02</x:v>
      </x:c>
      <x:c r="K1235" s="50" t="n">
        <x:v>-1.94</x:v>
      </x:c>
      <x:c r="L1235" s="50" t="n">
        <x:v>2.8</x:v>
      </x:c>
      <x:c r="M1235" s="50" t="n">
        <x:v>0.95</x:v>
      </x:c>
      <x:c r="N1235" t="str">
        <x:v>RELATÓRIO LEITURAS INCLINOMÉTRICAS - Empreitada THE EDEN, Estoril_ R10_09-12-25.pdf</x:v>
      </x:c>
      <x:c r="O1235" t="n">
        <x:v>60</x:v>
      </x:c>
    </x:row>
    <x:row r="1236">
      <x:c r="A1236" s="48" t="n">
        <x:v>45993</x:v>
      </x:c>
      <x:c r="B1236" t="n">
        <x:v>8</x:v>
      </x:c>
      <x:c r="C1236" t="str">
        <x:v>I3</x:v>
      </x:c>
      <x:c r="D1236" t="n">
        <x:v>8</x:v>
      </x:c>
      <x:c r="E1236" s="50" t="n">
        <x:v>4</x:v>
      </x:c>
      <x:c r="F1236" s="50" t="n">
        <x:v>349.58</x:v>
      </x:c>
      <x:c r="G1236" s="50" t="n">
        <x:v>-343.67</x:v>
      </x:c>
      <x:c r="H1236" s="50" t="n">
        <x:v>-101.24</x:v>
      </x:c>
      <x:c r="I1236" s="50" t="n">
        <x:v>115.93</x:v>
      </x:c>
      <x:c r="J1236" s="50" t="n">
        <x:v>2.11</x:v>
      </x:c>
      <x:c r="K1236" s="50" t="n">
        <x:v>-1.76</x:v>
      </x:c>
      <x:c r="L1236" s="50" t="n">
        <x:v>2.75</x:v>
      </x:c>
      <x:c r="M1236" s="50" t="n">
        <x:v>0.91</x:v>
      </x:c>
      <x:c r="N1236" t="str">
        <x:v>RELATÓRIO LEITURAS INCLINOMÉTRICAS - Empreitada THE EDEN, Estoril_ R10_09-12-25.pdf</x:v>
      </x:c>
      <x:c r="O1236" t="n">
        <x:v>60</x:v>
      </x:c>
    </x:row>
    <x:row r="1237">
      <x:c r="A1237" s="48" t="n">
        <x:v>45993</x:v>
      </x:c>
      <x:c r="B1237" t="n">
        <x:v>8</x:v>
      </x:c>
      <x:c r="C1237" t="str">
        <x:v>I3</x:v>
      </x:c>
      <x:c r="D1237" t="n">
        <x:v>8</x:v>
      </x:c>
      <x:c r="E1237" s="50" t="n">
        <x:v>4.5</x:v>
      </x:c>
      <x:c r="F1237" s="50" t="n">
        <x:v>353.69</x:v>
      </x:c>
      <x:c r="G1237" s="50" t="n">
        <x:v>-345.73</x:v>
      </x:c>
      <x:c r="H1237" s="50" t="n">
        <x:v>-102.81</x:v>
      </x:c>
      <x:c r="I1237" s="50" t="n">
        <x:v>116.22</x:v>
      </x:c>
      <x:c r="J1237" s="50" t="n">
        <x:v>2.24</x:v>
      </x:c>
      <x:c r="K1237" s="50" t="n">
        <x:v>-1.65</x:v>
      </x:c>
      <x:c r="L1237" s="50" t="n">
        <x:v>2.78</x:v>
      </x:c>
      <x:c r="M1237" s="50" t="n">
        <x:v>0.86</x:v>
      </x:c>
      <x:c r="N1237" t="str">
        <x:v>RELATÓRIO LEITURAS INCLINOMÉTRICAS - Empreitada THE EDEN, Estoril_ R10_09-12-25.pdf</x:v>
      </x:c>
      <x:c r="O1237" t="n">
        <x:v>60</x:v>
      </x:c>
    </x:row>
    <x:row r="1238">
      <x:c r="A1238" s="48" t="n">
        <x:v>45993</x:v>
      </x:c>
      <x:c r="B1238" t="n">
        <x:v>8</x:v>
      </x:c>
      <x:c r="C1238" t="str">
        <x:v>I3</x:v>
      </x:c>
      <x:c r="D1238" t="n">
        <x:v>8</x:v>
      </x:c>
      <x:c r="E1238" s="50" t="n">
        <x:v>5</x:v>
      </x:c>
      <x:c r="F1238" s="50" t="n">
        <x:v>284.57</x:v>
      </x:c>
      <x:c r="G1238" s="50" t="n">
        <x:v>-278.65</x:v>
      </x:c>
      <x:c r="H1238" s="50" t="n">
        <x:v>-65.87</x:v>
      </x:c>
      <x:c r="I1238" s="50" t="n">
        <x:v>83.22</x:v>
      </x:c>
      <x:c r="J1238" s="50" t="n">
        <x:v>2.37</x:v>
      </x:c>
      <x:c r="K1238" s="50" t="n">
        <x:v>-1.59</x:v>
      </x:c>
      <x:c r="L1238" s="50" t="n">
        <x:v>2.85</x:v>
      </x:c>
      <x:c r="M1238" s="50" t="n">
        <x:v>0.83</x:v>
      </x:c>
      <x:c r="N1238" t="str">
        <x:v>RELATÓRIO LEITURAS INCLINOMÉTRICAS - Empreitada THE EDEN, Estoril_ R10_09-12-25.pdf</x:v>
      </x:c>
      <x:c r="O1238" t="n">
        <x:v>60</x:v>
      </x:c>
    </x:row>
    <x:row r="1239">
      <x:c r="A1239" s="48" t="n">
        <x:v>45993</x:v>
      </x:c>
      <x:c r="B1239" t="n">
        <x:v>8</x:v>
      </x:c>
      <x:c r="C1239" t="str">
        <x:v>I3</x:v>
      </x:c>
      <x:c r="D1239" t="n">
        <x:v>8</x:v>
      </x:c>
      <x:c r="E1239" s="50" t="n">
        <x:v>5.5</x:v>
      </x:c>
      <x:c r="F1239" s="50" t="n">
        <x:v>202.08</x:v>
      </x:c>
      <x:c r="G1239" s="50" t="n">
        <x:v>-194</x:v>
      </x:c>
      <x:c r="H1239" s="50" t="n">
        <x:v>-16.79</x:v>
      </x:c>
      <x:c r="I1239" s="50" t="n">
        <x:v>35.67</x:v>
      </x:c>
      <x:c r="J1239" s="50" t="n">
        <x:v>2.35</x:v>
      </x:c>
      <x:c r="K1239" s="50" t="n">
        <x:v>-1.7</x:v>
      </x:c>
      <x:c r="L1239" s="50" t="n">
        <x:v>2.9</x:v>
      </x:c>
      <x:c r="M1239" s="50" t="n">
        <x:v>0.82</x:v>
      </x:c>
      <x:c r="N1239" t="str">
        <x:v>RELATÓRIO LEITURAS INCLINOMÉTRICAS - Empreitada THE EDEN, Estoril_ R10_09-12-25.pdf</x:v>
      </x:c>
      <x:c r="O1239" t="n">
        <x:v>60</x:v>
      </x:c>
    </x:row>
    <x:row r="1240">
      <x:c r="A1240" s="48" t="n">
        <x:v>45993</x:v>
      </x:c>
      <x:c r="B1240" t="n">
        <x:v>8</x:v>
      </x:c>
      <x:c r="C1240" t="str">
        <x:v>I3</x:v>
      </x:c>
      <x:c r="D1240" t="n">
        <x:v>8</x:v>
      </x:c>
      <x:c r="E1240" s="50" t="n">
        <x:v>6</x:v>
      </x:c>
      <x:c r="F1240" s="50" t="n">
        <x:v>165.22</x:v>
      </x:c>
      <x:c r="G1240" s="50" t="n">
        <x:v>-158.72</x:v>
      </x:c>
      <x:c r="H1240" s="50" t="n">
        <x:v>22.15</x:v>
      </x:c>
      <x:c r="I1240" s="50" t="n">
        <x:v>-4.71</x:v>
      </x:c>
      <x:c r="J1240" s="50" t="n">
        <x:v>2.33</x:v>
      </x:c>
      <x:c r="K1240" s="50" t="n">
        <x:v>-1.71</x:v>
      </x:c>
      <x:c r="L1240" s="50" t="n">
        <x:v>2.89</x:v>
      </x:c>
      <x:c r="M1240" s="50" t="n">
        <x:v>0.84</x:v>
      </x:c>
      <x:c r="N1240" t="str">
        <x:v>RELATÓRIO LEITURAS INCLINOMÉTRICAS - Empreitada THE EDEN, Estoril_ R10_09-12-25.pdf</x:v>
      </x:c>
      <x:c r="O1240" t="n">
        <x:v>60</x:v>
      </x:c>
    </x:row>
    <x:row r="1241">
      <x:c r="A1241" s="48" t="n">
        <x:v>45993</x:v>
      </x:c>
      <x:c r="B1241" t="n">
        <x:v>8</x:v>
      </x:c>
      <x:c r="C1241" t="str">
        <x:v>I3</x:v>
      </x:c>
      <x:c r="D1241" t="n">
        <x:v>8</x:v>
      </x:c>
      <x:c r="E1241" s="50" t="n">
        <x:v>6.5</x:v>
      </x:c>
      <x:c r="F1241" s="50" t="n">
        <x:v>168.88</x:v>
      </x:c>
      <x:c r="G1241" s="50" t="n">
        <x:v>-160.81</x:v>
      </x:c>
      <x:c r="H1241" s="50" t="n">
        <x:v>78.14</x:v>
      </x:c>
      <x:c r="I1241" s="50" t="n">
        <x:v>-66.42</x:v>
      </x:c>
      <x:c r="J1241" s="50" t="n">
        <x:v>2.26</x:v>
      </x:c>
      <x:c r="K1241" s="50" t="n">
        <x:v>-1.95</x:v>
      </x:c>
      <x:c r="L1241" s="50" t="n">
        <x:v>2.98</x:v>
      </x:c>
      <x:c r="M1241" s="50" t="n">
        <x:v>0.91</x:v>
      </x:c>
      <x:c r="N1241" t="str">
        <x:v>RELATÓRIO LEITURAS INCLINOMÉTRICAS - Empreitada THE EDEN, Estoril_ R10_09-12-25.pdf</x:v>
      </x:c>
      <x:c r="O1241" t="n">
        <x:v>60</x:v>
      </x:c>
    </x:row>
    <x:row r="1242">
      <x:c r="A1242" s="48" t="n">
        <x:v>45993</x:v>
      </x:c>
      <x:c r="B1242" t="n">
        <x:v>8</x:v>
      </x:c>
      <x:c r="C1242" t="str">
        <x:v>I3</x:v>
      </x:c>
      <x:c r="D1242" t="n">
        <x:v>8</x:v>
      </x:c>
      <x:c r="E1242" s="50" t="n">
        <x:v>7</x:v>
      </x:c>
      <x:c r="F1242" s="50" t="n">
        <x:v>130.83</x:v>
      </x:c>
      <x:c r="G1242" s="50" t="n">
        <x:v>-124.18</x:v>
      </x:c>
      <x:c r="H1242" s="50" t="n">
        <x:v>137.9</x:v>
      </x:c>
      <x:c r="I1242" s="50" t="n">
        <x:v>-131.33</x:v>
      </x:c>
      <x:c r="J1242" s="50" t="n">
        <x:v>2.16</x:v>
      </x:c>
      <x:c r="K1242" s="50" t="n">
        <x:v>-1.94</x:v>
      </x:c>
      <x:c r="L1242" s="50" t="n">
        <x:v>2.91</x:v>
      </x:c>
      <x:c r="M1242" s="50" t="n">
        <x:v>0.92</x:v>
      </x:c>
      <x:c r="N1242" t="str">
        <x:v>RELATÓRIO LEITURAS INCLINOMÉTRICAS - Empreitada THE EDEN, Estoril_ R10_09-12-25.pdf</x:v>
      </x:c>
      <x:c r="O1242" t="n">
        <x:v>60</x:v>
      </x:c>
    </x:row>
    <x:row r="1243">
      <x:c r="A1243" s="48" t="n">
        <x:v>45993</x:v>
      </x:c>
      <x:c r="B1243" t="n">
        <x:v>8</x:v>
      </x:c>
      <x:c r="C1243" t="str">
        <x:v>I3</x:v>
      </x:c>
      <x:c r="D1243" t="n">
        <x:v>8</x:v>
      </x:c>
      <x:c r="E1243" s="50" t="n">
        <x:v>7.5</x:v>
      </x:c>
      <x:c r="F1243" s="50" t="n">
        <x:v>91.46</x:v>
      </x:c>
      <x:c r="G1243" s="50" t="n">
        <x:v>-84.32</x:v>
      </x:c>
      <x:c r="H1243" s="50" t="n">
        <x:v>211.15</x:v>
      </x:c>
      <x:c r="I1243" s="50" t="n">
        <x:v>-202.68</x:v>
      </x:c>
      <x:c r="J1243" s="50" t="n">
        <x:v>2.07</x:v>
      </x:c>
      <x:c r="K1243" s="50" t="n">
        <x:v>-1.94</x:v>
      </x:c>
      <x:c r="L1243" s="50" t="n">
        <x:v>2.84</x:v>
      </x:c>
      <x:c r="M1243" s="50" t="n">
        <x:v>0.88</x:v>
      </x:c>
      <x:c r="N1243" t="str">
        <x:v>RELATÓRIO LEITURAS INCLINOMÉTRICAS - Empreitada THE EDEN, Estoril_ R10_09-12-25.pdf</x:v>
      </x:c>
      <x:c r="O1243" t="n">
        <x:v>60</x:v>
      </x:c>
    </x:row>
    <x:row r="1244">
      <x:c r="A1244" s="48" t="n">
        <x:v>45993</x:v>
      </x:c>
      <x:c r="B1244" t="n">
        <x:v>8</x:v>
      </x:c>
      <x:c r="C1244" t="str">
        <x:v>I3</x:v>
      </x:c>
      <x:c r="D1244" t="n">
        <x:v>8</x:v>
      </x:c>
      <x:c r="E1244" s="50" t="n">
        <x:v>8</x:v>
      </x:c>
      <x:c r="F1244" s="50" t="n">
        <x:v>95.99</x:v>
      </x:c>
      <x:c r="G1244" s="50" t="n">
        <x:v>-91.94</x:v>
      </x:c>
      <x:c r="H1244" s="50" t="n">
        <x:v>239.24</x:v>
      </x:c>
      <x:c r="I1244" s="50" t="n">
        <x:v>-235.78</x:v>
      </x:c>
      <x:c r="J1244" s="50" t="n">
        <x:v>1.99</x:v>
      </x:c>
      <x:c r="K1244" s="50" t="n">
        <x:v>-1.79</x:v>
      </x:c>
      <x:c r="L1244" s="50" t="n">
        <x:v>2.68</x:v>
      </x:c>
      <x:c r="M1244" s="50" t="n">
        <x:v>0.83</x:v>
      </x:c>
      <x:c r="N1244" t="str">
        <x:v>RELATÓRIO LEITURAS INCLINOMÉTRICAS - Empreitada THE EDEN, Estoril_ R10_09-12-25.pdf</x:v>
      </x:c>
      <x:c r="O1244" t="n">
        <x:v>60</x:v>
      </x:c>
    </x:row>
    <x:row r="1245">
      <x:c r="A1245" s="48" t="n">
        <x:v>45993</x:v>
      </x:c>
      <x:c r="B1245" t="n">
        <x:v>8</x:v>
      </x:c>
      <x:c r="C1245" t="str">
        <x:v>I3</x:v>
      </x:c>
      <x:c r="D1245" t="n">
        <x:v>8</x:v>
      </x:c>
      <x:c r="E1245" s="50" t="n">
        <x:v>8.5</x:v>
      </x:c>
      <x:c r="F1245" s="50" t="n">
        <x:v>126.98</x:v>
      </x:c>
      <x:c r="G1245" s="50" t="n">
        <x:v>-121.34</x:v>
      </x:c>
      <x:c r="H1245" s="50" t="n">
        <x:v>323.31</x:v>
      </x:c>
      <x:c r="I1245" s="50" t="n">
        <x:v>-323.2</x:v>
      </x:c>
      <x:c r="J1245" s="50" t="n">
        <x:v>1.99</x:v>
      </x:c>
      <x:c r="K1245" s="50" t="n">
        <x:v>-1.84</x:v>
      </x:c>
      <x:c r="L1245" s="50" t="n">
        <x:v>2.71</x:v>
      </x:c>
      <x:c r="M1245" s="50" t="n">
        <x:v>0.84</x:v>
      </x:c>
      <x:c r="N1245" t="str">
        <x:v>RELATÓRIO LEITURAS INCLINOMÉTRICAS - Empreitada THE EDEN, Estoril_ R10_09-12-25.pdf</x:v>
      </x:c>
      <x:c r="O1245" t="n">
        <x:v>60</x:v>
      </x:c>
    </x:row>
    <x:row r="1246">
      <x:c r="A1246" s="48" t="n">
        <x:v>45993</x:v>
      </x:c>
      <x:c r="B1246" t="n">
        <x:v>8</x:v>
      </x:c>
      <x:c r="C1246" t="str">
        <x:v>I3</x:v>
      </x:c>
      <x:c r="D1246" t="n">
        <x:v>8</x:v>
      </x:c>
      <x:c r="E1246" s="50" t="n">
        <x:v>9</x:v>
      </x:c>
      <x:c r="F1246" s="50" t="n">
        <x:v>178.53</x:v>
      </x:c>
      <x:c r="G1246" s="50" t="n">
        <x:v>-170.77</x:v>
      </x:c>
      <x:c r="H1246" s="50" t="n">
        <x:v>374.33</x:v>
      </x:c>
      <x:c r="I1246" s="50" t="n">
        <x:v>-370.06</x:v>
      </x:c>
      <x:c r="J1246" s="50" t="n">
        <x:v>1.99</x:v>
      </x:c>
      <x:c r="K1246" s="50" t="n">
        <x:v>-1.57</x:v>
      </x:c>
      <x:c r="L1246" s="50" t="n">
        <x:v>2.54</x:v>
      </x:c>
      <x:c r="M1246" s="50" t="n">
        <x:v>0.74</x:v>
      </x:c>
      <x:c r="N1246" t="str">
        <x:v>RELATÓRIO LEITURAS INCLINOMÉTRICAS - Empreitada THE EDEN, Estoril_ R10_09-12-25.pdf</x:v>
      </x:c>
      <x:c r="O1246" t="n">
        <x:v>60</x:v>
      </x:c>
    </x:row>
    <x:row r="1247">
      <x:c r="A1247" s="48" t="n">
        <x:v>45993</x:v>
      </x:c>
      <x:c r="B1247" t="n">
        <x:v>8</x:v>
      </x:c>
      <x:c r="C1247" t="str">
        <x:v>I3</x:v>
      </x:c>
      <x:c r="D1247" t="n">
        <x:v>8</x:v>
      </x:c>
      <x:c r="E1247" s="50" t="n">
        <x:v>9.5</x:v>
      </x:c>
      <x:c r="F1247" s="50" t="n">
        <x:v>163.53</x:v>
      </x:c>
      <x:c r="G1247" s="50" t="n">
        <x:v>-160.1</x:v>
      </x:c>
      <x:c r="H1247" s="50" t="n">
        <x:v>431.02</x:v>
      </x:c>
      <x:c r="I1247" s="50" t="n">
        <x:v>-414.21</x:v>
      </x:c>
      <x:c r="J1247" s="50" t="n">
        <x:v>2</x:v>
      </x:c>
      <x:c r="K1247" s="50" t="n">
        <x:v>-1.37</x:v>
      </x:c>
      <x:c r="L1247" s="50" t="n">
        <x:v>2.42</x:v>
      </x:c>
      <x:c r="M1247" s="50" t="n">
        <x:v>0.68</x:v>
      </x:c>
      <x:c r="N1247" t="str">
        <x:v>RELATÓRIO LEITURAS INCLINOMÉTRICAS - Empreitada THE EDEN, Estoril_ R10_09-12-25.pdf</x:v>
      </x:c>
      <x:c r="O1247" t="n">
        <x:v>60</x:v>
      </x:c>
    </x:row>
    <x:row r="1248">
      <x:c r="A1248" s="48" t="n">
        <x:v>45993</x:v>
      </x:c>
      <x:c r="B1248" t="n">
        <x:v>8</x:v>
      </x:c>
      <x:c r="C1248" t="str">
        <x:v>I3</x:v>
      </x:c>
      <x:c r="D1248" t="n">
        <x:v>8</x:v>
      </x:c>
      <x:c r="E1248" s="50" t="n">
        <x:v>10</x:v>
      </x:c>
      <x:c r="F1248" s="50" t="n">
        <x:v>147.33</x:v>
      </x:c>
      <x:c r="G1248" s="50" t="n">
        <x:v>-140.52</x:v>
      </x:c>
      <x:c r="H1248" s="50" t="n">
        <x:v>468.88</x:v>
      </x:c>
      <x:c r="I1248" s="50" t="n">
        <x:v>-433.74</x:v>
      </x:c>
      <x:c r="J1248" s="50" t="n">
        <x:v>2</x:v>
      </x:c>
      <x:c r="K1248" s="50" t="n">
        <x:v>-1.18</x:v>
      </x:c>
      <x:c r="L1248" s="50" t="n">
        <x:v>2.32</x:v>
      </x:c>
      <x:c r="M1248" s="50" t="n">
        <x:v>0.69</x:v>
      </x:c>
      <x:c r="N1248" t="str">
        <x:v>RELATÓRIO LEITURAS INCLINOMÉTRICAS - Empreitada THE EDEN, Estoril_ R10_09-12-25.pdf</x:v>
      </x:c>
      <x:c r="O1248" t="n">
        <x:v>60</x:v>
      </x:c>
    </x:row>
    <x:row r="1249">
      <x:c r="A1249" s="48" t="n">
        <x:v>45993</x:v>
      </x:c>
      <x:c r="B1249" t="n">
        <x:v>8</x:v>
      </x:c>
      <x:c r="C1249" t="str">
        <x:v>I3</x:v>
      </x:c>
      <x:c r="D1249" t="n">
        <x:v>8</x:v>
      </x:c>
      <x:c r="E1249" s="50" t="n">
        <x:v>10.5</x:v>
      </x:c>
      <x:c r="F1249" s="50" t="n">
        <x:v>332.86</x:v>
      </x:c>
      <x:c r="G1249" s="50" t="n">
        <x:v>-325.65</x:v>
      </x:c>
      <x:c r="H1249" s="50" t="n">
        <x:v>463.24</x:v>
      </x:c>
      <x:c r="I1249" s="50" t="n">
        <x:v>-460.15</x:v>
      </x:c>
      <x:c r="J1249" s="50" t="n">
        <x:v>2.04</x:v>
      </x:c>
      <x:c r="K1249" s="50" t="n">
        <x:v>-0.95</x:v>
      </x:c>
      <x:c r="L1249" s="50" t="n">
        <x:v>2.25</x:v>
      </x:c>
      <x:c r="M1249" s="50" t="n">
        <x:v>0.62</x:v>
      </x:c>
      <x:c r="N1249" t="str">
        <x:v>RELATÓRIO LEITURAS INCLINOMÉTRICAS - Empreitada THE EDEN, Estoril_ R10_09-12-25.pdf</x:v>
      </x:c>
      <x:c r="O1249" t="n">
        <x:v>60</x:v>
      </x:c>
    </x:row>
    <x:row r="1250">
      <x:c r="A1250" s="48" t="n">
        <x:v>45993</x:v>
      </x:c>
      <x:c r="B1250" t="n">
        <x:v>8</x:v>
      </x:c>
      <x:c r="C1250" t="str">
        <x:v>I3</x:v>
      </x:c>
      <x:c r="D1250" t="n">
        <x:v>8</x:v>
      </x:c>
      <x:c r="E1250" s="50" t="n">
        <x:v>11</x:v>
      </x:c>
      <x:c r="F1250" s="50" t="n">
        <x:v>344.17</x:v>
      </x:c>
      <x:c r="G1250" s="50" t="n">
        <x:v>-337.49</x:v>
      </x:c>
      <x:c r="H1250" s="50" t="n">
        <x:v>450.2</x:v>
      </x:c>
      <x:c r="I1250" s="50" t="n">
        <x:v>-448.32</x:v>
      </x:c>
      <x:c r="J1250" s="50" t="n">
        <x:v>2.11</x:v>
      </x:c>
      <x:c r="K1250" s="50" t="n">
        <x:v>-0.93</x:v>
      </x:c>
      <x:c r="L1250" s="50" t="n">
        <x:v>2.3</x:v>
      </x:c>
      <x:c r="M1250" s="50" t="n">
        <x:v>0.63</x:v>
      </x:c>
      <x:c r="N1250" t="str">
        <x:v>RELATÓRIO LEITURAS INCLINOMÉTRICAS - Empreitada THE EDEN, Estoril_ R10_09-12-25.pdf</x:v>
      </x:c>
      <x:c r="O1250" t="n">
        <x:v>60</x:v>
      </x:c>
    </x:row>
    <x:row r="1251">
      <x:c r="A1251" s="48" t="n">
        <x:v>45993</x:v>
      </x:c>
      <x:c r="B1251" t="n">
        <x:v>8</x:v>
      </x:c>
      <x:c r="C1251" t="str">
        <x:v>I3</x:v>
      </x:c>
      <x:c r="D1251" t="n">
        <x:v>8</x:v>
      </x:c>
      <x:c r="E1251" s="50" t="n">
        <x:v>11.5</x:v>
      </x:c>
      <x:c r="F1251" s="50" t="n">
        <x:v>318.4</x:v>
      </x:c>
      <x:c r="G1251" s="50" t="n">
        <x:v>-306.25</x:v>
      </x:c>
      <x:c r="H1251" s="50" t="n">
        <x:v>369.62</x:v>
      </x:c>
      <x:c r="I1251" s="50" t="n">
        <x:v>-365.5</x:v>
      </x:c>
      <x:c r="J1251" s="50" t="n">
        <x:v>2.09</x:v>
      </x:c>
      <x:c r="K1251" s="50" t="n">
        <x:v>-1.01</x:v>
      </x:c>
      <x:c r="L1251" s="50" t="n">
        <x:v>2.32</x:v>
      </x:c>
      <x:c r="M1251" s="50" t="n">
        <x:v>0.66</x:v>
      </x:c>
      <x:c r="N1251" t="str">
        <x:v>RELATÓRIO LEITURAS INCLINOMÉTRICAS - Empreitada THE EDEN, Estoril_ R10_09-12-25.pdf</x:v>
      </x:c>
      <x:c r="O1251" t="n">
        <x:v>60</x:v>
      </x:c>
    </x:row>
    <x:row r="1252">
      <x:c r="A1252" s="48" t="n">
        <x:v>45993</x:v>
      </x:c>
      <x:c r="B1252" t="n">
        <x:v>8</x:v>
      </x:c>
      <x:c r="C1252" t="str">
        <x:v>I3</x:v>
      </x:c>
      <x:c r="D1252" t="n">
        <x:v>8</x:v>
      </x:c>
      <x:c r="E1252" s="50" t="n">
        <x:v>12</x:v>
      </x:c>
      <x:c r="F1252" s="50" t="n">
        <x:v>293.33</x:v>
      </x:c>
      <x:c r="G1252" s="50" t="n">
        <x:v>-284.83</x:v>
      </x:c>
      <x:c r="H1252" s="50" t="n">
        <x:v>287.64</x:v>
      </x:c>
      <x:c r="I1252" s="50" t="n">
        <x:v>-268.58</x:v>
      </x:c>
      <x:c r="J1252" s="50" t="n">
        <x:v>2.05</x:v>
      </x:c>
      <x:c r="K1252" s="50" t="n">
        <x:v>-1.03</x:v>
      </x:c>
      <x:c r="L1252" s="50" t="n">
        <x:v>2.29</x:v>
      </x:c>
      <x:c r="M1252" s="50" t="n">
        <x:v>0.74</x:v>
      </x:c>
      <x:c r="N1252" t="str">
        <x:v>RELATÓRIO LEITURAS INCLINOMÉTRICAS - Empreitada THE EDEN, Estoril_ R10_09-12-25.pdf</x:v>
      </x:c>
      <x:c r="O1252" t="n">
        <x:v>60</x:v>
      </x:c>
    </x:row>
    <x:row r="1253">
      <x:c r="A1253" s="48" t="n">
        <x:v>45993</x:v>
      </x:c>
      <x:c r="B1253" t="n">
        <x:v>8</x:v>
      </x:c>
      <x:c r="C1253" t="str">
        <x:v>I3</x:v>
      </x:c>
      <x:c r="D1253" t="n">
        <x:v>8</x:v>
      </x:c>
      <x:c r="E1253" s="50" t="n">
        <x:v>12.5</x:v>
      </x:c>
      <x:c r="F1253" s="50" t="n">
        <x:v>247.49</x:v>
      </x:c>
      <x:c r="G1253" s="50" t="n">
        <x:v>-240.32</x:v>
      </x:c>
      <x:c r="H1253" s="50" t="n">
        <x:v>194.13</x:v>
      </x:c>
      <x:c r="I1253" s="50" t="n">
        <x:v>-176.66</x:v>
      </x:c>
      <x:c r="J1253" s="50" t="n">
        <x:v>1.99</x:v>
      </x:c>
      <x:c r="K1253" s="50" t="n">
        <x:v>-1.16</x:v>
      </x:c>
      <x:c r="L1253" s="50" t="n">
        <x:v>2.3</x:v>
      </x:c>
      <x:c r="M1253" s="50" t="n">
        <x:v>0.74</x:v>
      </x:c>
      <x:c r="N1253" t="str">
        <x:v>RELATÓRIO LEITURAS INCLINOMÉTRICAS - Empreitada THE EDEN, Estoril_ R10_09-12-25.pdf</x:v>
      </x:c>
      <x:c r="O1253" t="n">
        <x:v>60</x:v>
      </x:c>
    </x:row>
    <x:row r="1254">
      <x:c r="A1254" s="48" t="n">
        <x:v>45993</x:v>
      </x:c>
      <x:c r="B1254" t="n">
        <x:v>8</x:v>
      </x:c>
      <x:c r="C1254" t="str">
        <x:v>I3</x:v>
      </x:c>
      <x:c r="D1254" t="n">
        <x:v>8</x:v>
      </x:c>
      <x:c r="E1254" s="50" t="n">
        <x:v>13</x:v>
      </x:c>
      <x:c r="F1254" s="50" t="n">
        <x:v>214.66</x:v>
      </x:c>
      <x:c r="G1254" s="50" t="n">
        <x:v>-206.61</x:v>
      </x:c>
      <x:c r="H1254" s="50" t="n">
        <x:v>134.89</x:v>
      </x:c>
      <x:c r="I1254" s="50" t="n">
        <x:v>-119.97</x:v>
      </x:c>
      <x:c r="J1254" s="50" t="n">
        <x:v>1.95</x:v>
      </x:c>
      <x:c r="K1254" s="50" t="n">
        <x:v>-1.3</x:v>
      </x:c>
      <x:c r="L1254" s="50" t="n">
        <x:v>2.34</x:v>
      </x:c>
      <x:c r="M1254" s="50" t="n">
        <x:v>0.75</x:v>
      </x:c>
      <x:c r="N1254" t="str">
        <x:v>RELATÓRIO LEITURAS INCLINOMÉTRICAS - Empreitada THE EDEN, Estoril_ R10_09-12-25.pdf</x:v>
      </x:c>
      <x:c r="O1254" t="n">
        <x:v>60</x:v>
      </x:c>
    </x:row>
    <x:row r="1255">
      <x:c r="A1255" s="48" t="n">
        <x:v>45993</x:v>
      </x:c>
      <x:c r="B1255" t="n">
        <x:v>8</x:v>
      </x:c>
      <x:c r="C1255" t="str">
        <x:v>I3</x:v>
      </x:c>
      <x:c r="D1255" t="n">
        <x:v>8</x:v>
      </x:c>
      <x:c r="E1255" s="50" t="n">
        <x:v>13.5</x:v>
      </x:c>
      <x:c r="F1255" s="50" t="n">
        <x:v>184.08</x:v>
      </x:c>
      <x:c r="G1255" s="50" t="n">
        <x:v>-177.96</x:v>
      </x:c>
      <x:c r="H1255" s="50" t="n">
        <x:v>147.97</x:v>
      </x:c>
      <x:c r="I1255" s="50" t="n">
        <x:v>-137.4</x:v>
      </x:c>
      <x:c r="J1255" s="50" t="n">
        <x:v>1.8</x:v>
      </x:c>
      <x:c r="K1255" s="50" t="n">
        <x:v>-1.28</x:v>
      </x:c>
      <x:c r="L1255" s="50" t="n">
        <x:v>2.21</x:v>
      </x:c>
      <x:c r="M1255" s="50" t="n">
        <x:v>0.74</x:v>
      </x:c>
      <x:c r="N1255" t="str">
        <x:v>RELATÓRIO LEITURAS INCLINOMÉTRICAS - Empreitada THE EDEN, Estoril_ R10_09-12-25.pdf</x:v>
      </x:c>
      <x:c r="O1255" t="n">
        <x:v>60</x:v>
      </x:c>
    </x:row>
    <x:row r="1256">
      <x:c r="A1256" s="48" t="n">
        <x:v>45993</x:v>
      </x:c>
      <x:c r="B1256" t="n">
        <x:v>8</x:v>
      </x:c>
      <x:c r="C1256" t="str">
        <x:v>I3</x:v>
      </x:c>
      <x:c r="D1256" t="n">
        <x:v>8</x:v>
      </x:c>
      <x:c r="E1256" s="50" t="n">
        <x:v>14</x:v>
      </x:c>
      <x:c r="F1256" s="50" t="n">
        <x:v>141.89</x:v>
      </x:c>
      <x:c r="G1256" s="50" t="n">
        <x:v>-136.11</x:v>
      </x:c>
      <x:c r="H1256" s="50" t="n">
        <x:v>160.74</x:v>
      </x:c>
      <x:c r="I1256" s="50" t="n">
        <x:v>-158.25</x:v>
      </x:c>
      <x:c r="J1256" s="50" t="n">
        <x:v>1.58</x:v>
      </x:c>
      <x:c r="K1256" s="50" t="n">
        <x:v>-0.92</x:v>
      </x:c>
      <x:c r="L1256" s="50" t="n">
        <x:v>1.83</x:v>
      </x:c>
      <x:c r="M1256" s="50" t="n">
        <x:v>0.65</x:v>
      </x:c>
      <x:c r="N1256" t="str">
        <x:v>RELATÓRIO LEITURAS INCLINOMÉTRICAS - Empreitada THE EDEN, Estoril_ R10_09-12-25.pdf</x:v>
      </x:c>
      <x:c r="O1256" t="n">
        <x:v>60</x:v>
      </x:c>
    </x:row>
    <x:row r="1257">
      <x:c r="A1257" s="48" t="n">
        <x:v>45993</x:v>
      </x:c>
      <x:c r="B1257" t="n">
        <x:v>8</x:v>
      </x:c>
      <x:c r="C1257" t="str">
        <x:v>I3</x:v>
      </x:c>
      <x:c r="D1257" t="n">
        <x:v>8</x:v>
      </x:c>
      <x:c r="E1257" s="50" t="n">
        <x:v>14.5</x:v>
      </x:c>
      <x:c r="F1257" s="50" t="n">
        <x:v>136.51</x:v>
      </x:c>
      <x:c r="G1257" s="50" t="n">
        <x:v>-128.85</x:v>
      </x:c>
      <x:c r="H1257" s="50" t="n">
        <x:v>186.75</x:v>
      </x:c>
      <x:c r="I1257" s="50" t="n">
        <x:v>-185.58</x:v>
      </x:c>
      <x:c r="J1257" s="50" t="n">
        <x:v>1.46</x:v>
      </x:c>
      <x:c r="K1257" s="50" t="n">
        <x:v>-1.37</x:v>
      </x:c>
      <x:c r="L1257" s="50" t="n">
        <x:v>2</x:v>
      </x:c>
      <x:c r="M1257" s="50" t="n">
        <x:v>0.75</x:v>
      </x:c>
      <x:c r="N1257" t="str">
        <x:v>RELATÓRIO LEITURAS INCLINOMÉTRICAS - Empreitada THE EDEN, Estoril_ R10_09-12-25.pdf</x:v>
      </x:c>
      <x:c r="O1257" t="n">
        <x:v>60</x:v>
      </x:c>
    </x:row>
    <x:row r="1258">
      <x:c r="A1258" s="48" t="n">
        <x:v>45993</x:v>
      </x:c>
      <x:c r="B1258" t="n">
        <x:v>8</x:v>
      </x:c>
      <x:c r="C1258" t="str">
        <x:v>I3</x:v>
      </x:c>
      <x:c r="D1258" t="n">
        <x:v>8</x:v>
      </x:c>
      <x:c r="E1258" s="50" t="n">
        <x:v>15</x:v>
      </x:c>
      <x:c r="F1258" s="50" t="n">
        <x:v>141.9</x:v>
      </x:c>
      <x:c r="G1258" s="50" t="n">
        <x:v>-134.91</x:v>
      </x:c>
      <x:c r="H1258" s="50" t="n">
        <x:v>266.81</x:v>
      </x:c>
      <x:c r="I1258" s="50" t="n">
        <x:v>-255.12</x:v>
      </x:c>
      <x:c r="J1258" s="50" t="n">
        <x:v>1.26</x:v>
      </x:c>
      <x:c r="K1258" s="50" t="n">
        <x:v>-1.44</x:v>
      </x:c>
      <x:c r="L1258" s="50" t="n">
        <x:v>1.92</x:v>
      </x:c>
      <x:c r="M1258" s="50" t="n">
        <x:v>0.64</x:v>
      </x:c>
      <x:c r="N1258" t="str">
        <x:v>RELATÓRIO LEITURAS INCLINOMÉTRICAS - Empreitada THE EDEN, Estoril_ R10_09-12-25.pdf</x:v>
      </x:c>
      <x:c r="O1258" t="n">
        <x:v>60</x:v>
      </x:c>
    </x:row>
    <x:row r="1259">
      <x:c r="A1259" s="48" t="n">
        <x:v>45993</x:v>
      </x:c>
      <x:c r="B1259" t="n">
        <x:v>8</x:v>
      </x:c>
      <x:c r="C1259" t="str">
        <x:v>I3</x:v>
      </x:c>
      <x:c r="D1259" t="n">
        <x:v>8</x:v>
      </x:c>
      <x:c r="E1259" s="50" t="n">
        <x:v>15.5</x:v>
      </x:c>
      <x:c r="F1259" s="50" t="n">
        <x:v>56.75</x:v>
      </x:c>
      <x:c r="G1259" s="50" t="n">
        <x:v>-55.37</x:v>
      </x:c>
      <x:c r="H1259" s="50" t="n">
        <x:v>345.58</x:v>
      </x:c>
      <x:c r="I1259" s="50" t="n">
        <x:v>-335.21</x:v>
      </x:c>
      <x:c r="J1259" s="50" t="n">
        <x:v>1.09</x:v>
      </x:c>
      <x:c r="K1259" s="50" t="n">
        <x:v>-1.44</x:v>
      </x:c>
      <x:c r="L1259" s="50" t="n">
        <x:v>1.8</x:v>
      </x:c>
      <x:c r="M1259" s="50" t="n">
        <x:v>0.64</x:v>
      </x:c>
      <x:c r="N1259" t="str">
        <x:v>RELATÓRIO LEITURAS INCLINOMÉTRICAS - Empreitada THE EDEN, Estoril_ R10_09-12-25.pdf</x:v>
      </x:c>
      <x:c r="O1259" t="n">
        <x:v>60</x:v>
      </x:c>
    </x:row>
    <x:row r="1260">
      <x:c r="A1260" s="48" t="n">
        <x:v>45993</x:v>
      </x:c>
      <x:c r="B1260" t="n">
        <x:v>8</x:v>
      </x:c>
      <x:c r="C1260" t="str">
        <x:v>I3</x:v>
      </x:c>
      <x:c r="D1260" t="n">
        <x:v>8</x:v>
      </x:c>
      <x:c r="E1260" s="50" t="n">
        <x:v>16</x:v>
      </x:c>
      <x:c r="F1260" s="50" t="n">
        <x:v>200.21</x:v>
      </x:c>
      <x:c r="G1260" s="50" t="n">
        <x:v>-186.64</x:v>
      </x:c>
      <x:c r="H1260" s="50" t="n">
        <x:v>187.77</x:v>
      </x:c>
      <x:c r="I1260" s="50" t="n">
        <x:v>-170.04</x:v>
      </x:c>
      <x:c r="J1260" s="50" t="n">
        <x:v>1.01</x:v>
      </x:c>
      <x:c r="K1260" s="50" t="n">
        <x:v>-1.47</x:v>
      </x:c>
      <x:c r="L1260" s="50" t="n">
        <x:v>1.78</x:v>
      </x:c>
      <x:c r="M1260" s="50" t="n">
        <x:v>0.65</x:v>
      </x:c>
      <x:c r="N1260" t="str">
        <x:v>RELATÓRIO LEITURAS INCLINOMÉTRICAS - Empreitada THE EDEN, Estoril_ R10_09-12-25.pdf</x:v>
      </x:c>
      <x:c r="O1260" t="n">
        <x:v>60</x:v>
      </x:c>
    </x:row>
    <x:row r="1261">
      <x:c r="A1261" s="48" t="n">
        <x:v>45993</x:v>
      </x:c>
      <x:c r="B1261" t="n">
        <x:v>8</x:v>
      </x:c>
      <x:c r="C1261" t="str">
        <x:v>I3</x:v>
      </x:c>
      <x:c r="D1261" t="n">
        <x:v>8</x:v>
      </x:c>
      <x:c r="E1261" s="50" t="n">
        <x:v>16.5</x:v>
      </x:c>
      <x:c r="F1261" s="50" t="n">
        <x:v>323.66</x:v>
      </x:c>
      <x:c r="G1261" s="50" t="n">
        <x:v>-319.4</x:v>
      </x:c>
      <x:c r="H1261" s="50" t="n">
        <x:v>212.41</x:v>
      </x:c>
      <x:c r="I1261" s="50" t="n">
        <x:v>-201</x:v>
      </x:c>
      <x:c r="J1261" s="50" t="n">
        <x:v>1.02</x:v>
      </x:c>
      <x:c r="K1261" s="50" t="n">
        <x:v>-1.77</x:v>
      </x:c>
      <x:c r="L1261" s="50" t="n">
        <x:v>2.04</x:v>
      </x:c>
      <x:c r="M1261" s="50" t="n">
        <x:v>0.8</x:v>
      </x:c>
      <x:c r="N1261" t="str">
        <x:v>RELATÓRIO LEITURAS INCLINOMÉTRICAS - Empreitada THE EDEN, Estoril_ R10_09-12-25.pdf</x:v>
      </x:c>
      <x:c r="O1261" t="n">
        <x:v>60</x:v>
      </x:c>
    </x:row>
    <x:row r="1262">
      <x:c r="A1262" s="48" t="n">
        <x:v>45993</x:v>
      </x:c>
      <x:c r="B1262" t="n">
        <x:v>8</x:v>
      </x:c>
      <x:c r="C1262" t="str">
        <x:v>I3</x:v>
      </x:c>
      <x:c r="D1262" t="n">
        <x:v>8</x:v>
      </x:c>
      <x:c r="E1262" s="50" t="n">
        <x:v>17</x:v>
      </x:c>
      <x:c r="F1262" s="50" t="n">
        <x:v>383.61</x:v>
      </x:c>
      <x:c r="G1262" s="50" t="n">
        <x:v>-374.13</x:v>
      </x:c>
      <x:c r="H1262" s="50" t="n">
        <x:v>244.62</x:v>
      </x:c>
      <x:c r="I1262" s="50" t="n">
        <x:v>-236.97</x:v>
      </x:c>
      <x:c r="J1262" s="50" t="n">
        <x:v>1.02</x:v>
      </x:c>
      <x:c r="K1262" s="50" t="n">
        <x:v>-1.4</x:v>
      </x:c>
      <x:c r="L1262" s="50" t="n">
        <x:v>1.73</x:v>
      </x:c>
      <x:c r="M1262" s="50" t="n">
        <x:v>0.61</x:v>
      </x:c>
      <x:c r="N1262" t="str">
        <x:v>RELATÓRIO LEITURAS INCLINOMÉTRICAS - Empreitada THE EDEN, Estoril_ R10_09-12-25.pdf</x:v>
      </x:c>
      <x:c r="O1262" t="n">
        <x:v>60</x:v>
      </x:c>
    </x:row>
    <x:row r="1263">
      <x:c r="A1263" s="48" t="n">
        <x:v>45993</x:v>
      </x:c>
      <x:c r="B1263" t="n">
        <x:v>8</x:v>
      </x:c>
      <x:c r="C1263" t="str">
        <x:v>I3</x:v>
      </x:c>
      <x:c r="D1263" t="n">
        <x:v>8</x:v>
      </x:c>
      <x:c r="E1263" s="50" t="n">
        <x:v>17.5</x:v>
      </x:c>
      <x:c r="F1263" s="50" t="n">
        <x:v>378.65</x:v>
      </x:c>
      <x:c r="G1263" s="50" t="n">
        <x:v>-373.15</x:v>
      </x:c>
      <x:c r="H1263" s="50" t="n">
        <x:v>157.28</x:v>
      </x:c>
      <x:c r="I1263" s="50" t="n">
        <x:v>-145.22</x:v>
      </x:c>
      <x:c r="J1263" s="50" t="n">
        <x:v>0.96</x:v>
      </x:c>
      <x:c r="K1263" s="50" t="n">
        <x:v>-1.32</x:v>
      </x:c>
      <x:c r="L1263" s="50" t="n">
        <x:v>1.63</x:v>
      </x:c>
      <x:c r="M1263" s="50" t="n">
        <x:v>0.22</x:v>
      </x:c>
      <x:c r="N1263" t="str">
        <x:v>RELATÓRIO LEITURAS INCLINOMÉTRICAS - Empreitada THE EDEN, Estoril_ R10_09-12-25.pdf</x:v>
      </x:c>
      <x:c r="O1263" t="n">
        <x:v>60</x:v>
      </x:c>
    </x:row>
    <x:row r="1264">
      <x:c r="A1264" s="48" t="n">
        <x:v>45993</x:v>
      </x:c>
      <x:c r="B1264" t="n">
        <x:v>8</x:v>
      </x:c>
      <x:c r="C1264" t="str">
        <x:v>I3</x:v>
      </x:c>
      <x:c r="D1264" t="n">
        <x:v>8</x:v>
      </x:c>
      <x:c r="E1264" s="50" t="n">
        <x:v>18</x:v>
      </x:c>
      <x:c r="F1264" s="50" t="n">
        <x:v>347.03</x:v>
      </x:c>
      <x:c r="G1264" s="50" t="n">
        <x:v>-339.88</x:v>
      </x:c>
      <x:c r="H1264" s="50" t="n">
        <x:v>93.96</x:v>
      </x:c>
      <x:c r="I1264" s="50" t="n">
        <x:v>-96.67</x:v>
      </x:c>
      <x:c r="J1264" s="50" t="n">
        <x:v>0.9</x:v>
      </x:c>
      <x:c r="K1264" s="50" t="n">
        <x:v>-1.18</x:v>
      </x:c>
      <x:c r="L1264" s="50" t="n">
        <x:v>1.48</x:v>
      </x:c>
      <x:c r="M1264" s="50" t="n">
        <x:v>0.19</x:v>
      </x:c>
      <x:c r="N1264" t="str">
        <x:v>RELATÓRIO LEITURAS INCLINOMÉTRICAS - Empreitada THE EDEN, Estoril_ R10_09-12-25.pdf</x:v>
      </x:c>
      <x:c r="O1264" t="n">
        <x:v>60</x:v>
      </x:c>
    </x:row>
    <x:row r="1265">
      <x:c r="A1265" s="48" t="n">
        <x:v>45993</x:v>
      </x:c>
      <x:c r="B1265" t="n">
        <x:v>8</x:v>
      </x:c>
      <x:c r="C1265" t="str">
        <x:v>I3</x:v>
      </x:c>
      <x:c r="D1265" t="n">
        <x:v>8</x:v>
      </x:c>
      <x:c r="E1265" s="50" t="n">
        <x:v>18.5</x:v>
      </x:c>
      <x:c r="F1265" s="50" t="n">
        <x:v>316.41</x:v>
      </x:c>
      <x:c r="G1265" s="50" t="n">
        <x:v>-311.02</x:v>
      </x:c>
      <x:c r="H1265" s="50" t="n">
        <x:v>72.79</x:v>
      </x:c>
      <x:c r="I1265" s="50" t="n">
        <x:v>-61.06</x:v>
      </x:c>
      <x:c r="J1265" s="50" t="n">
        <x:v>0.85</x:v>
      </x:c>
      <x:c r="K1265" s="50" t="n">
        <x:v>-1.18</x:v>
      </x:c>
      <x:c r="L1265" s="50" t="n">
        <x:v>1.46</x:v>
      </x:c>
      <x:c r="M1265" s="50" t="n">
        <x:v>0.23</x:v>
      </x:c>
      <x:c r="N1265" t="str">
        <x:v>RELATÓRIO LEITURAS INCLINOMÉTRICAS - Empreitada THE EDEN, Estoril_ R10_09-12-25.pdf</x:v>
      </x:c>
      <x:c r="O1265" t="n">
        <x:v>60</x:v>
      </x:c>
    </x:row>
    <x:row r="1266">
      <x:c r="A1266" s="48" t="n">
        <x:v>45993</x:v>
      </x:c>
      <x:c r="B1266" t="n">
        <x:v>8</x:v>
      </x:c>
      <x:c r="C1266" t="str">
        <x:v>I3</x:v>
      </x:c>
      <x:c r="D1266" t="n">
        <x:v>8</x:v>
      </x:c>
      <x:c r="E1266" s="50" t="n">
        <x:v>19</x:v>
      </x:c>
      <x:c r="F1266" s="50" t="n">
        <x:v>302.32</x:v>
      </x:c>
      <x:c r="G1266" s="50" t="n">
        <x:v>-298.5</x:v>
      </x:c>
      <x:c r="H1266" s="50" t="n">
        <x:v>53.26</x:v>
      </x:c>
      <x:c r="I1266" s="50" t="n">
        <x:v>-47.69</x:v>
      </x:c>
      <x:c r="J1266" s="50" t="n">
        <x:v>0.72</x:v>
      </x:c>
      <x:c r="K1266" s="50" t="n">
        <x:v>-1.18</x:v>
      </x:c>
      <x:c r="L1266" s="50" t="n">
        <x:v>1.38</x:v>
      </x:c>
      <x:c r="M1266" s="50" t="n">
        <x:v>0.22</x:v>
      </x:c>
      <x:c r="N1266" t="str">
        <x:v>RELATÓRIO LEITURAS INCLINOMÉTRICAS - Empreitada THE EDEN, Estoril_ R10_09-12-25.pdf</x:v>
      </x:c>
      <x:c r="O1266" t="n">
        <x:v>60</x:v>
      </x:c>
    </x:row>
    <x:row r="1267">
      <x:c r="A1267" s="48" t="n">
        <x:v>45993</x:v>
      </x:c>
      <x:c r="B1267" t="n">
        <x:v>8</x:v>
      </x:c>
      <x:c r="C1267" t="str">
        <x:v>I3</x:v>
      </x:c>
      <x:c r="D1267" t="n">
        <x:v>8</x:v>
      </x:c>
      <x:c r="E1267" s="50" t="n">
        <x:v>19.5</x:v>
      </x:c>
      <x:c r="F1267" s="50" t="n">
        <x:v>208.4</x:v>
      </x:c>
      <x:c r="G1267" s="50" t="n">
        <x:v>-204.32</x:v>
      </x:c>
      <x:c r="H1267" s="50" t="n">
        <x:v>98.59</x:v>
      </x:c>
      <x:c r="I1267" s="50" t="n">
        <x:v>-92.32</x:v>
      </x:c>
      <x:c r="J1267" s="50" t="n">
        <x:v>0.64</x:v>
      </x:c>
      <x:c r="K1267" s="50" t="n">
        <x:v>-1.28</x:v>
      </x:c>
      <x:c r="L1267" s="50" t="n">
        <x:v>1.43</x:v>
      </x:c>
      <x:c r="M1267" s="50" t="n">
        <x:v>0.21</x:v>
      </x:c>
      <x:c r="N1267" t="str">
        <x:v>RELATÓRIO LEITURAS INCLINOMÉTRICAS - Empreitada THE EDEN, Estoril_ R10_09-12-25.pdf</x:v>
      </x:c>
      <x:c r="O1267" t="n">
        <x:v>60</x:v>
      </x:c>
    </x:row>
    <x:row r="1268">
      <x:c r="A1268" s="48" t="n">
        <x:v>45993</x:v>
      </x:c>
      <x:c r="B1268" t="n">
        <x:v>8</x:v>
      </x:c>
      <x:c r="C1268" t="str">
        <x:v>I3</x:v>
      </x:c>
      <x:c r="D1268" t="n">
        <x:v>8</x:v>
      </x:c>
      <x:c r="E1268" s="50" t="n">
        <x:v>20</x:v>
      </x:c>
      <x:c r="F1268" s="50" t="n">
        <x:v>142.14</x:v>
      </x:c>
      <x:c r="G1268" s="50" t="n">
        <x:v>-137.39</x:v>
      </x:c>
      <x:c r="H1268" s="50" t="n">
        <x:v>148.77</x:v>
      </x:c>
      <x:c r="I1268" s="50" t="n">
        <x:v>-145.77</x:v>
      </x:c>
      <x:c r="J1268" s="50" t="n">
        <x:v>0.47</x:v>
      </x:c>
      <x:c r="K1268" s="50" t="n">
        <x:v>-0.93</x:v>
      </x:c>
      <x:c r="L1268" s="50" t="n">
        <x:v>1.05</x:v>
      </x:c>
      <x:c r="M1268" s="50" t="n">
        <x:v>0.14</x:v>
      </x:c>
      <x:c r="N1268" t="str">
        <x:v>RELATÓRIO LEITURAS INCLINOMÉTRICAS - Empreitada THE EDEN, Estoril_ R10_09-12-25.pdf</x:v>
      </x:c>
      <x:c r="O1268" t="n">
        <x:v>60</x:v>
      </x:c>
    </x:row>
    <x:row r="1269">
      <x:c r="A1269" s="48" t="n">
        <x:v>45993</x:v>
      </x:c>
      <x:c r="B1269" t="n">
        <x:v>8</x:v>
      </x:c>
      <x:c r="C1269" t="str">
        <x:v>I3</x:v>
      </x:c>
      <x:c r="D1269" t="n">
        <x:v>8</x:v>
      </x:c>
      <x:c r="E1269" s="50" t="n">
        <x:v>20.5</x:v>
      </x:c>
      <x:c r="F1269" s="50" t="n">
        <x:v>150.85</x:v>
      </x:c>
      <x:c r="G1269" s="50" t="n">
        <x:v>-146.75</x:v>
      </x:c>
      <x:c r="H1269" s="50" t="n">
        <x:v>164.21</x:v>
      </x:c>
      <x:c r="I1269" s="50" t="n">
        <x:v>-156.97</x:v>
      </x:c>
      <x:c r="J1269" s="50" t="n">
        <x:v>0.39</x:v>
      </x:c>
      <x:c r="K1269" s="50" t="n">
        <x:v>-0.69</x:v>
      </x:c>
      <x:c r="L1269" s="50" t="n">
        <x:v>0.79</x:v>
      </x:c>
      <x:c r="M1269" s="50" t="n">
        <x:v>0.07</x:v>
      </x:c>
      <x:c r="N1269" t="str">
        <x:v>RELATÓRIO LEITURAS INCLINOMÉTRICAS - Empreitada THE EDEN, Estoril_ R10_09-12-25.pdf</x:v>
      </x:c>
      <x:c r="O1269" t="n">
        <x:v>60</x:v>
      </x:c>
    </x:row>
    <x:row r="1270">
      <x:c r="A1270" s="48" t="n">
        <x:v>45993</x:v>
      </x:c>
      <x:c r="B1270" t="n">
        <x:v>8</x:v>
      </x:c>
      <x:c r="C1270" t="str">
        <x:v>I3</x:v>
      </x:c>
      <x:c r="D1270" t="n">
        <x:v>8</x:v>
      </x:c>
      <x:c r="E1270" s="50" t="n">
        <x:v>21</x:v>
      </x:c>
      <x:c r="F1270" s="50" t="n">
        <x:v>159.69</x:v>
      </x:c>
      <x:c r="G1270" s="50" t="n">
        <x:v>-154.83</x:v>
      </x:c>
      <x:c r="H1270" s="50" t="n">
        <x:v>182.06</x:v>
      </x:c>
      <x:c r="I1270" s="50" t="n">
        <x:v>-171.74</x:v>
      </x:c>
      <x:c r="J1270" s="50" t="n">
        <x:v>0.28</x:v>
      </x:c>
      <x:c r="K1270" s="50" t="n">
        <x:v>-0.22</x:v>
      </x:c>
      <x:c r="L1270" s="50" t="n">
        <x:v>0.36</x:v>
      </x:c>
      <x:c r="M1270" s="50" t="n">
        <x:v>-0.07</x:v>
      </x:c>
      <x:c r="N1270" t="str">
        <x:v>RELATÓRIO LEITURAS INCLINOMÉTRICAS - Empreitada THE EDEN, Estoril_ R10_09-12-25.pdf</x:v>
      </x:c>
      <x:c r="O1270" t="n">
        <x:v>60</x:v>
      </x:c>
    </x:row>
    <x:row r="1271">
      <x:c r="A1271" s="48" t="n">
        <x:v>45993</x:v>
      </x:c>
      <x:c r="B1271" t="n">
        <x:v>8</x:v>
      </x:c>
      <x:c r="C1271" t="str">
        <x:v>I3</x:v>
      </x:c>
      <x:c r="D1271" t="n">
        <x:v>8</x:v>
      </x:c>
      <x:c r="E1271" s="50" t="n">
        <x:v>21.5</x:v>
      </x:c>
      <x:c r="F1271" s="50" t="n">
        <x:v>176.92</x:v>
      </x:c>
      <x:c r="G1271" s="50" t="n">
        <x:v>-173.07</x:v>
      </x:c>
      <x:c r="H1271" s="50" t="n">
        <x:v>174.33</x:v>
      </x:c>
      <x:c r="I1271" s="50" t="n">
        <x:v>-170.95</x:v>
      </x:c>
      <x:c r="J1271" s="50" t="n">
        <x:v>0.15</x:v>
      </x:c>
      <x:c r="K1271" s="50" t="n">
        <x:v>0.12</x:v>
      </x:c>
      <x:c r="L1271" s="50" t="n">
        <x:v>0.19</x:v>
      </x:c>
      <x:c r="M1271" s="50" t="n">
        <x:v>0</x:v>
      </x:c>
      <x:c r="N1271" t="str">
        <x:v>RELATÓRIO LEITURAS INCLINOMÉTRICAS - Empreitada THE EDEN, Estoril_ R10_09-12-25.pdf</x:v>
      </x:c>
      <x:c r="O1271" t="n">
        <x:v>60</x:v>
      </x:c>
    </x:row>
    <x:row r="1272">
      <x:c r="A1272" s="48" t="n">
        <x:v>45993</x:v>
      </x:c>
      <x:c r="B1272" t="n">
        <x:v>8</x:v>
      </x:c>
      <x:c r="C1272" t="str">
        <x:v>I3</x:v>
      </x:c>
      <x:c r="D1272" t="n">
        <x:v>8</x:v>
      </x:c>
      <x:c r="E1272" s="50" t="n">
        <x:v>22</x:v>
      </x:c>
      <x:c r="F1272" s="50" t="n">
        <x:v>188.79</x:v>
      </x:c>
      <x:c r="G1272" s="50" t="n">
        <x:v>-183.53</x:v>
      </x:c>
      <x:c r="H1272" s="50" t="n">
        <x:v>185.4</x:v>
      </x:c>
      <x:c r="I1272" s="50" t="n">
        <x:v>-177</x:v>
      </x:c>
      <x:c r="J1272" s="50" t="n">
        <x:v>0.04</x:v>
      </x:c>
      <x:c r="K1272" s="50" t="n">
        <x:v>0.23</x:v>
      </x:c>
      <x:c r="L1272" s="50" t="n">
        <x:v>0.24</x:v>
      </x:c>
      <x:c r="M1272" s="50" t="n">
        <x:v>0.14</x:v>
      </x:c>
      <x:c r="N1272" t="str">
        <x:v>RELATÓRIO LEITURAS INCLINOMÉTRICAS - Empreitada THE EDEN, Estoril_ R10_09-12-25.pdf</x:v>
      </x:c>
      <x:c r="O1272" t="n">
        <x:v>60</x:v>
      </x:c>
    </x:row>
    <x:row r="1273">
      <x:c r="A1273" s="48" t="n">
        <x:v>46000</x:v>
      </x:c>
      <x:c r="B1273" t="n">
        <x:v>10</x:v>
      </x:c>
      <x:c r="C1273" t="str">
        <x:v>I1</x:v>
      </x:c>
      <x:c r="D1273" t="n">
        <x:v>10</x:v>
      </x:c>
      <x:c r="E1273" s="50" t="n">
        <x:v>0.5</x:v>
      </x:c>
      <x:c r="F1273" s="50" t="n">
        <x:v>-352.6</x:v>
      </x:c>
      <x:c r="G1273" s="50" t="n">
        <x:v>345.51</x:v>
      </x:c>
      <x:c r="H1273" s="50" t="n">
        <x:v>-790.88</x:v>
      </x:c>
      <x:c r="I1273" s="50" t="n">
        <x:v>861</x:v>
      </x:c>
      <x:c r="J1273" s="50" t="n">
        <x:v>-0.77</x:v>
      </x:c>
      <x:c r="K1273" s="50" t="n">
        <x:v>6.75</x:v>
      </x:c>
      <x:c r="L1273" s="50" t="n">
        <x:v>6.8</x:v>
      </x:c>
      <x:c r="M1273" s="50" t="n">
        <x:v>1.49</x:v>
      </x:c>
      <x:c r="N1273" t="str">
        <x:v>RELATÓRIO LEITURAS INCLINOMÉTRICAS - Empreitada THE EDEN, Estoril_ R10_09-12-25.pdf</x:v>
      </x:c>
      <x:c r="O1273" t="n">
        <x:v>24</x:v>
      </x:c>
    </x:row>
    <x:row r="1274">
      <x:c r="A1274" s="48" t="n">
        <x:v>46000</x:v>
      </x:c>
      <x:c r="B1274" t="n">
        <x:v>10</x:v>
      </x:c>
      <x:c r="C1274" t="str">
        <x:v>I1</x:v>
      </x:c>
      <x:c r="D1274" t="n">
        <x:v>10</x:v>
      </x:c>
      <x:c r="E1274" s="50" t="n">
        <x:v>1</x:v>
      </x:c>
      <x:c r="F1274" s="50" t="n">
        <x:v>-352.85</x:v>
      </x:c>
      <x:c r="G1274" s="50" t="n">
        <x:v>345.83</x:v>
      </x:c>
      <x:c r="H1274" s="50" t="n">
        <x:v>-790.94</x:v>
      </x:c>
      <x:c r="I1274" s="50" t="n">
        <x:v>861.09</x:v>
      </x:c>
      <x:c r="J1274" s="50" t="n">
        <x:v>0.59</x:v>
      </x:c>
      <x:c r="K1274" s="50" t="n">
        <x:v>8.12</x:v>
      </x:c>
      <x:c r="L1274" s="50" t="n">
        <x:v>8.14</x:v>
      </x:c>
      <x:c r="M1274" s="50" t="n">
        <x:v>1.29</x:v>
      </x:c>
      <x:c r="N1274" t="str">
        <x:v>RELATÓRIO LEITURAS INCLINOMÉTRICAS - Empreitada THE EDEN, Estoril_ R10_09-12-25.pdf</x:v>
      </x:c>
      <x:c r="O1274" t="n">
        <x:v>24</x:v>
      </x:c>
    </x:row>
    <x:row r="1275">
      <x:c r="A1275" s="48" t="n">
        <x:v>46000</x:v>
      </x:c>
      <x:c r="B1275" t="n">
        <x:v>10</x:v>
      </x:c>
      <x:c r="C1275" t="str">
        <x:v>I1</x:v>
      </x:c>
      <x:c r="D1275" t="n">
        <x:v>10</x:v>
      </x:c>
      <x:c r="E1275" s="50" t="n">
        <x:v>1.5</x:v>
      </x:c>
      <x:c r="F1275" s="50" t="n">
        <x:v>-10.55</x:v>
      </x:c>
      <x:c r="G1275" s="50" t="n">
        <x:v>22.74</x:v>
      </x:c>
      <x:c r="H1275" s="50" t="n">
        <x:v>-278.19</x:v>
      </x:c>
      <x:c r="I1275" s="50" t="n">
        <x:v>298.84</x:v>
      </x:c>
      <x:c r="J1275" s="50" t="n">
        <x:v>1.99</x:v>
      </x:c>
      <x:c r="K1275" s="50" t="n">
        <x:v>9.08</x:v>
      </x:c>
      <x:c r="L1275" s="50" t="n">
        <x:v>9.3</x:v>
      </x:c>
      <x:c r="M1275" s="50" t="n">
        <x:v>1.01</x:v>
      </x:c>
      <x:c r="N1275" t="str">
        <x:v>RELATÓRIO LEITURAS INCLINOMÉTRICAS - Empreitada THE EDEN, Estoril_ R10_09-12-25.pdf</x:v>
      </x:c>
      <x:c r="O1275" t="n">
        <x:v>24</x:v>
      </x:c>
    </x:row>
    <x:row r="1276">
      <x:c r="A1276" s="48" t="n">
        <x:v>46000</x:v>
      </x:c>
      <x:c r="B1276" t="n">
        <x:v>10</x:v>
      </x:c>
      <x:c r="C1276" t="str">
        <x:v>I1</x:v>
      </x:c>
      <x:c r="D1276" t="n">
        <x:v>10</x:v>
      </x:c>
      <x:c r="E1276" s="50" t="n">
        <x:v>2</x:v>
      </x:c>
      <x:c r="F1276" s="50" t="n">
        <x:v>28.76</x:v>
      </x:c>
      <x:c r="G1276" s="50" t="n">
        <x:v>-21.73</x:v>
      </x:c>
      <x:c r="H1276" s="50" t="n">
        <x:v>-238.47</x:v>
      </x:c>
      <x:c r="I1276" s="50" t="n">
        <x:v>238.89</x:v>
      </x:c>
      <x:c r="J1276" s="50" t="n">
        <x:v>1.75</x:v>
      </x:c>
      <x:c r="K1276" s="50" t="n">
        <x:v>8.84</x:v>
      </x:c>
      <x:c r="L1276" s="50" t="n">
        <x:v>9.01</x:v>
      </x:c>
      <x:c r="M1276" s="50" t="n">
        <x:v>0.92</x:v>
      </x:c>
      <x:c r="N1276" t="str">
        <x:v>RELATÓRIO LEITURAS INCLINOMÉTRICAS - Empreitada THE EDEN, Estoril_ R10_09-12-25.pdf</x:v>
      </x:c>
      <x:c r="O1276" t="n">
        <x:v>24</x:v>
      </x:c>
    </x:row>
    <x:row r="1277">
      <x:c r="A1277" s="48" t="n">
        <x:v>46000</x:v>
      </x:c>
      <x:c r="B1277" t="n">
        <x:v>10</x:v>
      </x:c>
      <x:c r="C1277" t="str">
        <x:v>I1</x:v>
      </x:c>
      <x:c r="D1277" t="n">
        <x:v>10</x:v>
      </x:c>
      <x:c r="E1277" s="50" t="n">
        <x:v>2.5</x:v>
      </x:c>
      <x:c r="F1277" s="50" t="n">
        <x:v>44.34</x:v>
      </x:c>
      <x:c r="G1277" s="50" t="n">
        <x:v>-37.2</x:v>
      </x:c>
      <x:c r="H1277" s="50" t="n">
        <x:v>-209.71</x:v>
      </x:c>
      <x:c r="I1277" s="50" t="n">
        <x:v>219.83</x:v>
      </x:c>
      <x:c r="J1277" s="50" t="n">
        <x:v>2.65</x:v>
      </x:c>
      <x:c r="K1277" s="50" t="n">
        <x:v>8.83</x:v>
      </x:c>
      <x:c r="L1277" s="50" t="n">
        <x:v>9.22</x:v>
      </x:c>
      <x:c r="M1277" s="50" t="n">
        <x:v>1.13</x:v>
      </x:c>
      <x:c r="N1277" t="str">
        <x:v>RELATÓRIO LEITURAS INCLINOMÉTRICAS - Empreitada THE EDEN, Estoril_ R10_09-12-25.pdf</x:v>
      </x:c>
      <x:c r="O1277" t="n">
        <x:v>24</x:v>
      </x:c>
    </x:row>
    <x:row r="1278">
      <x:c r="A1278" s="48" t="n">
        <x:v>46000</x:v>
      </x:c>
      <x:c r="B1278" t="n">
        <x:v>10</x:v>
      </x:c>
      <x:c r="C1278" t="str">
        <x:v>I1</x:v>
      </x:c>
      <x:c r="D1278" t="n">
        <x:v>10</x:v>
      </x:c>
      <x:c r="E1278" s="50" t="n">
        <x:v>3</x:v>
      </x:c>
      <x:c r="F1278" s="50" t="n">
        <x:v>16.78</x:v>
      </x:c>
      <x:c r="G1278" s="50" t="n">
        <x:v>-7.95</x:v>
      </x:c>
      <x:c r="H1278" s="50" t="n">
        <x:v>-150.37</x:v>
      </x:c>
      <x:c r="I1278" s="50" t="n">
        <x:v>166.15</x:v>
      </x:c>
      <x:c r="J1278" s="50" t="n">
        <x:v>3.22</x:v>
      </x:c>
      <x:c r="K1278" s="50" t="n">
        <x:v>8.73</x:v>
      </x:c>
      <x:c r="L1278" s="50" t="n">
        <x:v>9.31</x:v>
      </x:c>
      <x:c r="M1278" s="50" t="n">
        <x:v>1.17</x:v>
      </x:c>
      <x:c r="N1278" t="str">
        <x:v>RELATÓRIO LEITURAS INCLINOMÉTRICAS - Empreitada THE EDEN, Estoril_ R10_09-12-25.pdf</x:v>
      </x:c>
      <x:c r="O1278" t="n">
        <x:v>24</x:v>
      </x:c>
    </x:row>
    <x:row r="1279">
      <x:c r="A1279" s="48" t="n">
        <x:v>46000</x:v>
      </x:c>
      <x:c r="B1279" t="n">
        <x:v>10</x:v>
      </x:c>
      <x:c r="C1279" t="str">
        <x:v>I1</x:v>
      </x:c>
      <x:c r="D1279" t="n">
        <x:v>10</x:v>
      </x:c>
      <x:c r="E1279" s="50" t="n">
        <x:v>3.5</x:v>
      </x:c>
      <x:c r="F1279" s="50" t="n">
        <x:v>-6.83</x:v>
      </x:c>
      <x:c r="G1279" s="50" t="n">
        <x:v>14.35</x:v>
      </x:c>
      <x:c r="H1279" s="50" t="n">
        <x:v>-105.61</x:v>
      </x:c>
      <x:c r="I1279" s="50" t="n">
        <x:v>102.6</x:v>
      </x:c>
      <x:c r="J1279" s="50" t="n">
        <x:v>3.45</x:v>
      </x:c>
      <x:c r="K1279" s="50" t="n">
        <x:v>8.66</x:v>
      </x:c>
      <x:c r="L1279" s="50" t="n">
        <x:v>9.33</x:v>
      </x:c>
      <x:c r="M1279" s="50" t="n">
        <x:v>1.3</x:v>
      </x:c>
      <x:c r="N1279" t="str">
        <x:v>RELATÓRIO LEITURAS INCLINOMÉTRICAS - Empreitada THE EDEN, Estoril_ R10_09-12-25.pdf</x:v>
      </x:c>
      <x:c r="O1279" t="n">
        <x:v>24</x:v>
      </x:c>
    </x:row>
    <x:row r="1280">
      <x:c r="A1280" s="48" t="n">
        <x:v>46000</x:v>
      </x:c>
      <x:c r="B1280" t="n">
        <x:v>10</x:v>
      </x:c>
      <x:c r="C1280" t="str">
        <x:v>I1</x:v>
      </x:c>
      <x:c r="D1280" t="n">
        <x:v>10</x:v>
      </x:c>
      <x:c r="E1280" s="50" t="n">
        <x:v>4</x:v>
      </x:c>
      <x:c r="F1280" s="50" t="n">
        <x:v>61.62</x:v>
      </x:c>
      <x:c r="G1280" s="50" t="n">
        <x:v>-54.91</x:v>
      </x:c>
      <x:c r="H1280" s="50" t="n">
        <x:v>-81.18</x:v>
      </x:c>
      <x:c r="I1280" s="50" t="n">
        <x:v>62.31</x:v>
      </x:c>
      <x:c r="J1280" s="50" t="n">
        <x:v>3.53</x:v>
      </x:c>
      <x:c r="K1280" s="50" t="n">
        <x:v>8.68</x:v>
      </x:c>
      <x:c r="L1280" s="50" t="n">
        <x:v>9.37</x:v>
      </x:c>
      <x:c r="M1280" s="50" t="n">
        <x:v>1.15</x:v>
      </x:c>
      <x:c r="N1280" t="str">
        <x:v>RELATÓRIO LEITURAS INCLINOMÉTRICAS - Empreitada THE EDEN, Estoril_ R10_09-12-25.pdf</x:v>
      </x:c>
      <x:c r="O1280" t="n">
        <x:v>24</x:v>
      </x:c>
    </x:row>
    <x:row r="1281">
      <x:c r="A1281" s="48" t="n">
        <x:v>46000</x:v>
      </x:c>
      <x:c r="B1281" t="n">
        <x:v>10</x:v>
      </x:c>
      <x:c r="C1281" t="str">
        <x:v>I1</x:v>
      </x:c>
      <x:c r="D1281" t="n">
        <x:v>10</x:v>
      </x:c>
      <x:c r="E1281" s="50" t="n">
        <x:v>4.5</x:v>
      </x:c>
      <x:c r="F1281" s="50" t="n">
        <x:v>68.81</x:v>
      </x:c>
      <x:c r="G1281" s="50" t="n">
        <x:v>-60.95</x:v>
      </x:c>
      <x:c r="H1281" s="50" t="n">
        <x:v>-48.69</x:v>
      </x:c>
      <x:c r="I1281" s="50" t="n">
        <x:v>50.5</x:v>
      </x:c>
      <x:c r="J1281" s="50" t="n">
        <x:v>3.61</x:v>
      </x:c>
      <x:c r="K1281" s="50" t="n">
        <x:v>8.64</x:v>
      </x:c>
      <x:c r="L1281" s="50" t="n">
        <x:v>9.36</x:v>
      </x:c>
      <x:c r="M1281" s="50" t="n">
        <x:v>1.22</x:v>
      </x:c>
      <x:c r="N1281" t="str">
        <x:v>RELATÓRIO LEITURAS INCLINOMÉTRICAS - Empreitada THE EDEN, Estoril_ R10_09-12-25.pdf</x:v>
      </x:c>
      <x:c r="O1281" t="n">
        <x:v>24</x:v>
      </x:c>
    </x:row>
    <x:row r="1282">
      <x:c r="A1282" s="48" t="n">
        <x:v>46000</x:v>
      </x:c>
      <x:c r="B1282" t="n">
        <x:v>10</x:v>
      </x:c>
      <x:c r="C1282" t="str">
        <x:v>I1</x:v>
      </x:c>
      <x:c r="D1282" t="n">
        <x:v>10</x:v>
      </x:c>
      <x:c r="E1282" s="50" t="n">
        <x:v>5</x:v>
      </x:c>
      <x:c r="F1282" s="50" t="n">
        <x:v>10.99</x:v>
      </x:c>
      <x:c r="G1282" s="50" t="n">
        <x:v>-2.49</x:v>
      </x:c>
      <x:c r="H1282" s="50" t="n">
        <x:v>19.74</x:v>
      </x:c>
      <x:c r="I1282" s="50" t="n">
        <x:v>-24.52</x:v>
      </x:c>
      <x:c r="J1282" s="50" t="n">
        <x:v>4.1</x:v>
      </x:c>
      <x:c r="K1282" s="50" t="n">
        <x:v>8.22</x:v>
      </x:c>
      <x:c r="L1282" s="50" t="n">
        <x:v>9.19</x:v>
      </x:c>
      <x:c r="M1282" s="50" t="n">
        <x:v>1.19</x:v>
      </x:c>
      <x:c r="N1282" t="str">
        <x:v>RELATÓRIO LEITURAS INCLINOMÉTRICAS - Empreitada THE EDEN, Estoril_ R10_09-12-25.pdf</x:v>
      </x:c>
      <x:c r="O1282" t="n">
        <x:v>24</x:v>
      </x:c>
    </x:row>
    <x:row r="1283">
      <x:c r="A1283" s="48" t="n">
        <x:v>46000</x:v>
      </x:c>
      <x:c r="B1283" t="n">
        <x:v>10</x:v>
      </x:c>
      <x:c r="C1283" t="str">
        <x:v>I1</x:v>
      </x:c>
      <x:c r="D1283" t="n">
        <x:v>10</x:v>
      </x:c>
      <x:c r="E1283" s="50" t="n">
        <x:v>5.5</x:v>
      </x:c>
      <x:c r="F1283" s="50" t="n">
        <x:v>8.87</x:v>
      </x:c>
      <x:c r="G1283" s="50" t="n">
        <x:v>-0.32</x:v>
      </x:c>
      <x:c r="H1283" s="50" t="n">
        <x:v>16.36</x:v>
      </x:c>
      <x:c r="I1283" s="50" t="n">
        <x:v>-15.62</x:v>
      </x:c>
      <x:c r="J1283" s="50" t="n">
        <x:v>4.4</x:v>
      </x:c>
      <x:c r="K1283" s="50" t="n">
        <x:v>8.36</x:v>
      </x:c>
      <x:c r="L1283" s="50" t="n">
        <x:v>9.44</x:v>
      </x:c>
      <x:c r="M1283" s="50" t="n">
        <x:v>1.31</x:v>
      </x:c>
      <x:c r="N1283" t="str">
        <x:v>RELATÓRIO LEITURAS INCLINOMÉTRICAS - Empreitada THE EDEN, Estoril_ R10_09-12-25.pdf</x:v>
      </x:c>
      <x:c r="O1283" t="n">
        <x:v>24</x:v>
      </x:c>
    </x:row>
    <x:row r="1284">
      <x:c r="A1284" s="48" t="n">
        <x:v>46000</x:v>
      </x:c>
      <x:c r="B1284" t="n">
        <x:v>10</x:v>
      </x:c>
      <x:c r="C1284" t="str">
        <x:v>I1</x:v>
      </x:c>
      <x:c r="D1284" t="n">
        <x:v>10</x:v>
      </x:c>
      <x:c r="E1284" s="50" t="n">
        <x:v>6</x:v>
      </x:c>
      <x:c r="F1284" s="50" t="n">
        <x:v>24.12</x:v>
      </x:c>
      <x:c r="G1284" s="50" t="n">
        <x:v>-17.13</x:v>
      </x:c>
      <x:c r="H1284" s="50" t="n">
        <x:v>-46.66</x:v>
      </x:c>
      <x:c r="I1284" s="50" t="n">
        <x:v>43.96</x:v>
      </x:c>
      <x:c r="J1284" s="50" t="n">
        <x:v>4.67</x:v>
      </x:c>
      <x:c r="K1284" s="50" t="n">
        <x:v>8.52</x:v>
      </x:c>
      <x:c r="L1284" s="50" t="n">
        <x:v>9.72</x:v>
      </x:c>
      <x:c r="M1284" s="50" t="n">
        <x:v>1.39</x:v>
      </x:c>
      <x:c r="N1284" t="str">
        <x:v>RELATÓRIO LEITURAS INCLINOMÉTRICAS - Empreitada THE EDEN, Estoril_ R10_09-12-25.pdf</x:v>
      </x:c>
      <x:c r="O1284" t="n">
        <x:v>24</x:v>
      </x:c>
    </x:row>
    <x:row r="1285">
      <x:c r="A1285" s="48" t="n">
        <x:v>46000</x:v>
      </x:c>
      <x:c r="B1285" t="n">
        <x:v>10</x:v>
      </x:c>
      <x:c r="C1285" t="str">
        <x:v>I1</x:v>
      </x:c>
      <x:c r="D1285" t="n">
        <x:v>10</x:v>
      </x:c>
      <x:c r="E1285" s="50" t="n">
        <x:v>6.5</x:v>
      </x:c>
      <x:c r="F1285" s="50" t="n">
        <x:v>27</x:v>
      </x:c>
      <x:c r="G1285" s="50" t="n">
        <x:v>-17.43</x:v>
      </x:c>
      <x:c r="H1285" s="50" t="n">
        <x:v>-79.48</x:v>
      </x:c>
      <x:c r="I1285" s="50" t="n">
        <x:v>71.59</x:v>
      </x:c>
      <x:c r="J1285" s="50" t="n">
        <x:v>4.93</x:v>
      </x:c>
      <x:c r="K1285" s="50" t="n">
        <x:v>8.34</x:v>
      </x:c>
      <x:c r="L1285" s="50" t="n">
        <x:v>9.69</x:v>
      </x:c>
      <x:c r="M1285" s="50" t="n">
        <x:v>1.42</x:v>
      </x:c>
      <x:c r="N1285" t="str">
        <x:v>RELATÓRIO LEITURAS INCLINOMÉTRICAS - Empreitada THE EDEN, Estoril_ R10_09-12-25.pdf</x:v>
      </x:c>
      <x:c r="O1285" t="n">
        <x:v>24</x:v>
      </x:c>
    </x:row>
    <x:row r="1286">
      <x:c r="A1286" s="48" t="n">
        <x:v>46000</x:v>
      </x:c>
      <x:c r="B1286" t="n">
        <x:v>10</x:v>
      </x:c>
      <x:c r="C1286" t="str">
        <x:v>I1</x:v>
      </x:c>
      <x:c r="D1286" t="n">
        <x:v>10</x:v>
      </x:c>
      <x:c r="E1286" s="50" t="n">
        <x:v>7</x:v>
      </x:c>
      <x:c r="F1286" s="50" t="n">
        <x:v>107.7</x:v>
      </x:c>
      <x:c r="G1286" s="50" t="n">
        <x:v>-102.55</x:v>
      </x:c>
      <x:c r="H1286" s="50" t="n">
        <x:v>-63.51</x:v>
      </x:c>
      <x:c r="I1286" s="50" t="n">
        <x:v>49.48</x:v>
      </x:c>
      <x:c r="J1286" s="50" t="n">
        <x:v>4.74</x:v>
      </x:c>
      <x:c r="K1286" s="50" t="n">
        <x:v>7.99</x:v>
      </x:c>
      <x:c r="L1286" s="50" t="n">
        <x:v>9.29</x:v>
      </x:c>
      <x:c r="M1286" s="50" t="n">
        <x:v>1.39</x:v>
      </x:c>
      <x:c r="N1286" t="str">
        <x:v>RELATÓRIO LEITURAS INCLINOMÉTRICAS - Empreitada THE EDEN, Estoril_ R10_09-12-25.pdf</x:v>
      </x:c>
      <x:c r="O1286" t="n">
        <x:v>24</x:v>
      </x:c>
    </x:row>
    <x:row r="1287">
      <x:c r="A1287" s="48" t="n">
        <x:v>46000</x:v>
      </x:c>
      <x:c r="B1287" t="n">
        <x:v>10</x:v>
      </x:c>
      <x:c r="C1287" t="str">
        <x:v>I1</x:v>
      </x:c>
      <x:c r="D1287" t="n">
        <x:v>10</x:v>
      </x:c>
      <x:c r="E1287" s="50" t="n">
        <x:v>7.5</x:v>
      </x:c>
      <x:c r="F1287" s="50" t="n">
        <x:v>63.4</x:v>
      </x:c>
      <x:c r="G1287" s="50" t="n">
        <x:v>-56.67</x:v>
      </x:c>
      <x:c r="H1287" s="50" t="n">
        <x:v>-72.48</x:v>
      </x:c>
      <x:c r="I1287" s="50" t="n">
        <x:v>61.18</x:v>
      </x:c>
      <x:c r="J1287" s="50" t="n">
        <x:v>4.83</x:v>
      </x:c>
      <x:c r="K1287" s="50" t="n">
        <x:v>7.88</x:v>
      </x:c>
      <x:c r="L1287" s="50" t="n">
        <x:v>9.24</x:v>
      </x:c>
      <x:c r="M1287" s="50" t="n">
        <x:v>1.39</x:v>
      </x:c>
      <x:c r="N1287" t="str">
        <x:v>RELATÓRIO LEITURAS INCLINOMÉTRICAS - Empreitada THE EDEN, Estoril_ R10_09-12-25.pdf</x:v>
      </x:c>
      <x:c r="O1287" t="n">
        <x:v>24</x:v>
      </x:c>
    </x:row>
    <x:row r="1288">
      <x:c r="A1288" s="48" t="n">
        <x:v>46000</x:v>
      </x:c>
      <x:c r="B1288" t="n">
        <x:v>10</x:v>
      </x:c>
      <x:c r="C1288" t="str">
        <x:v>I1</x:v>
      </x:c>
      <x:c r="D1288" t="n">
        <x:v>10</x:v>
      </x:c>
      <x:c r="E1288" s="50" t="n">
        <x:v>8</x:v>
      </x:c>
      <x:c r="F1288" s="50" t="n">
        <x:v>42.84</x:v>
      </x:c>
      <x:c r="G1288" s="50" t="n">
        <x:v>-33.22</x:v>
      </x:c>
      <x:c r="H1288" s="50" t="n">
        <x:v>-65.91</x:v>
      </x:c>
      <x:c r="I1288" s="50" t="n">
        <x:v>68.35</x:v>
      </x:c>
      <x:c r="J1288" s="50" t="n">
        <x:v>4.66</x:v>
      </x:c>
      <x:c r="K1288" s="50" t="n">
        <x:v>7.38</x:v>
      </x:c>
      <x:c r="L1288" s="50" t="n">
        <x:v>8.72</x:v>
      </x:c>
      <x:c r="M1288" s="50" t="n">
        <x:v>1.34</x:v>
      </x:c>
      <x:c r="N1288" t="str">
        <x:v>RELATÓRIO LEITURAS INCLINOMÉTRICAS - Empreitada THE EDEN, Estoril_ R10_09-12-25.pdf</x:v>
      </x:c>
      <x:c r="O1288" t="n">
        <x:v>24</x:v>
      </x:c>
    </x:row>
    <x:row r="1289">
      <x:c r="A1289" s="48" t="n">
        <x:v>46000</x:v>
      </x:c>
      <x:c r="B1289" t="n">
        <x:v>10</x:v>
      </x:c>
      <x:c r="C1289" t="str">
        <x:v>I1</x:v>
      </x:c>
      <x:c r="D1289" t="n">
        <x:v>10</x:v>
      </x:c>
      <x:c r="E1289" s="50" t="n">
        <x:v>8.5</x:v>
      </x:c>
      <x:c r="F1289" s="50" t="n">
        <x:v>7.31</x:v>
      </x:c>
      <x:c r="G1289" s="50" t="n">
        <x:v>1.02</x:v>
      </x:c>
      <x:c r="H1289" s="50" t="n">
        <x:v>-31.75</x:v>
      </x:c>
      <x:c r="I1289" s="50" t="n">
        <x:v>34.84</x:v>
      </x:c>
      <x:c r="J1289" s="50" t="n">
        <x:v>4.54</x:v>
      </x:c>
      <x:c r="K1289" s="50" t="n">
        <x:v>6.55</x:v>
      </x:c>
      <x:c r="L1289" s="50" t="n">
        <x:v>7.97</x:v>
      </x:c>
      <x:c r="M1289" s="50" t="n">
        <x:v>1.25</x:v>
      </x:c>
      <x:c r="N1289" t="str">
        <x:v>RELATÓRIO LEITURAS INCLINOMÉTRICAS - Empreitada THE EDEN, Estoril_ R10_09-12-25.pdf</x:v>
      </x:c>
      <x:c r="O1289" t="n">
        <x:v>24</x:v>
      </x:c>
    </x:row>
    <x:row r="1290">
      <x:c r="A1290" s="48" t="n">
        <x:v>46000</x:v>
      </x:c>
      <x:c r="B1290" t="n">
        <x:v>10</x:v>
      </x:c>
      <x:c r="C1290" t="str">
        <x:v>I1</x:v>
      </x:c>
      <x:c r="D1290" t="n">
        <x:v>10</x:v>
      </x:c>
      <x:c r="E1290" s="50" t="n">
        <x:v>9</x:v>
      </x:c>
      <x:c r="F1290" s="50" t="n">
        <x:v>-40.26</x:v>
      </x:c>
      <x:c r="G1290" s="50" t="n">
        <x:v>48.79</x:v>
      </x:c>
      <x:c r="H1290" s="50" t="n">
        <x:v>-16.61</x:v>
      </x:c>
      <x:c r="I1290" s="50" t="n">
        <x:v>12.34</x:v>
      </x:c>
      <x:c r="J1290" s="50" t="n">
        <x:v>4.52</x:v>
      </x:c>
      <x:c r="K1290" s="50" t="n">
        <x:v>6.01</x:v>
      </x:c>
      <x:c r="L1290" s="50" t="n">
        <x:v>7.52</x:v>
      </x:c>
      <x:c r="M1290" s="50" t="n">
        <x:v>1.17</x:v>
      </x:c>
      <x:c r="N1290" t="str">
        <x:v>RELATÓRIO LEITURAS INCLINOMÉTRICAS - Empreitada THE EDEN, Estoril_ R10_09-12-25.pdf</x:v>
      </x:c>
      <x:c r="O1290" t="n">
        <x:v>24</x:v>
      </x:c>
    </x:row>
    <x:row r="1291">
      <x:c r="A1291" s="48" t="n">
        <x:v>46000</x:v>
      </x:c>
      <x:c r="B1291" t="n">
        <x:v>10</x:v>
      </x:c>
      <x:c r="C1291" t="str">
        <x:v>I1</x:v>
      </x:c>
      <x:c r="D1291" t="n">
        <x:v>10</x:v>
      </x:c>
      <x:c r="E1291" s="50" t="n">
        <x:v>9.5</x:v>
      </x:c>
      <x:c r="F1291" s="50" t="n">
        <x:v>-115.1</x:v>
      </x:c>
      <x:c r="G1291" s="50" t="n">
        <x:v>120.15</x:v>
      </x:c>
      <x:c r="H1291" s="50" t="n">
        <x:v>-0.74</x:v>
      </x:c>
      <x:c r="I1291" s="50" t="n">
        <x:v>-7.51</x:v>
      </x:c>
      <x:c r="J1291" s="50" t="n">
        <x:v>4.5</x:v>
      </x:c>
      <x:c r="K1291" s="50" t="n">
        <x:v>5.5</x:v>
      </x:c>
      <x:c r="L1291" s="50" t="n">
        <x:v>7.1</x:v>
      </x:c>
      <x:c r="M1291" s="50" t="n">
        <x:v>1.06</x:v>
      </x:c>
      <x:c r="N1291" t="str">
        <x:v>RELATÓRIO LEITURAS INCLINOMÉTRICAS - Empreitada THE EDEN, Estoril_ R10_09-12-25.pdf</x:v>
      </x:c>
      <x:c r="O1291" t="n">
        <x:v>24</x:v>
      </x:c>
    </x:row>
    <x:row r="1292">
      <x:c r="A1292" s="48" t="n">
        <x:v>46000</x:v>
      </x:c>
      <x:c r="B1292" t="n">
        <x:v>10</x:v>
      </x:c>
      <x:c r="C1292" t="str">
        <x:v>I1</x:v>
      </x:c>
      <x:c r="D1292" t="n">
        <x:v>10</x:v>
      </x:c>
      <x:c r="E1292" s="50" t="n">
        <x:v>10</x:v>
      </x:c>
      <x:c r="F1292" s="50" t="n">
        <x:v>-211.17</x:v>
      </x:c>
      <x:c r="G1292" s="50" t="n">
        <x:v>221.53</x:v>
      </x:c>
      <x:c r="H1292" s="50" t="n">
        <x:v>-75.81</x:v>
      </x:c>
      <x:c r="I1292" s="50" t="n">
        <x:v>77.04</x:v>
      </x:c>
      <x:c r="J1292" s="50" t="n">
        <x:v>4.2</x:v>
      </x:c>
      <x:c r="K1292" s="50" t="n">
        <x:v>5.02</x:v>
      </x:c>
      <x:c r="L1292" s="50" t="n">
        <x:v>6.54</x:v>
      </x:c>
      <x:c r="M1292" s="50" t="n">
        <x:v>0.95</x:v>
      </x:c>
      <x:c r="N1292" t="str">
        <x:v>RELATÓRIO LEITURAS INCLINOMÉTRICAS - Empreitada THE EDEN, Estoril_ R10_09-12-25.pdf</x:v>
      </x:c>
      <x:c r="O1292" t="n">
        <x:v>24</x:v>
      </x:c>
    </x:row>
    <x:row r="1293">
      <x:c r="A1293" s="48" t="n">
        <x:v>46000</x:v>
      </x:c>
      <x:c r="B1293" t="n">
        <x:v>10</x:v>
      </x:c>
      <x:c r="C1293" t="str">
        <x:v>I1</x:v>
      </x:c>
      <x:c r="D1293" t="n">
        <x:v>10</x:v>
      </x:c>
      <x:c r="E1293" s="50" t="n">
        <x:v>10.5</x:v>
      </x:c>
      <x:c r="F1293" s="50" t="n">
        <x:v>-200.07</x:v>
      </x:c>
      <x:c r="G1293" s="50" t="n">
        <x:v>209.47</x:v>
      </x:c>
      <x:c r="H1293" s="50" t="n">
        <x:v>-44.01</x:v>
      </x:c>
      <x:c r="I1293" s="50" t="n">
        <x:v>52.63</x:v>
      </x:c>
      <x:c r="J1293" s="50" t="n">
        <x:v>3.69</x:v>
      </x:c>
      <x:c r="K1293" s="50" t="n">
        <x:v>4.26</x:v>
      </x:c>
      <x:c r="L1293" s="50" t="n">
        <x:v>5.64</x:v>
      </x:c>
      <x:c r="M1293" s="50" t="n">
        <x:v>0.79</x:v>
      </x:c>
      <x:c r="N1293" t="str">
        <x:v>RELATÓRIO LEITURAS INCLINOMÉTRICAS - Empreitada THE EDEN, Estoril_ R10_09-12-25.pdf</x:v>
      </x:c>
      <x:c r="O1293" t="n">
        <x:v>24</x:v>
      </x:c>
    </x:row>
    <x:row r="1294">
      <x:c r="A1294" s="48" t="n">
        <x:v>46000</x:v>
      </x:c>
      <x:c r="B1294" t="n">
        <x:v>10</x:v>
      </x:c>
      <x:c r="C1294" t="str">
        <x:v>I1</x:v>
      </x:c>
      <x:c r="D1294" t="n">
        <x:v>10</x:v>
      </x:c>
      <x:c r="E1294" s="50" t="n">
        <x:v>11</x:v>
      </x:c>
      <x:c r="F1294" s="50" t="n">
        <x:v>-177.17</x:v>
      </x:c>
      <x:c r="G1294" s="50" t="n">
        <x:v>180.33</x:v>
      </x:c>
      <x:c r="H1294" s="50" t="n">
        <x:v>4.71</x:v>
      </x:c>
      <x:c r="I1294" s="50" t="n">
        <x:v>2.5</x:v>
      </x:c>
      <x:c r="J1294" s="50" t="n">
        <x:v>3.42</x:v>
      </x:c>
      <x:c r="K1294" s="50" t="n">
        <x:v>4.04</x:v>
      </x:c>
      <x:c r="L1294" s="50" t="n">
        <x:v>5.29</x:v>
      </x:c>
      <x:c r="M1294" s="50" t="n">
        <x:v>0.79</x:v>
      </x:c>
      <x:c r="N1294" t="str">
        <x:v>RELATÓRIO LEITURAS INCLINOMÉTRICAS - Empreitada THE EDEN, Estoril_ R10_09-12-25.pdf</x:v>
      </x:c>
      <x:c r="O1294" t="n">
        <x:v>24</x:v>
      </x:c>
    </x:row>
    <x:row r="1295">
      <x:c r="A1295" s="48" t="n">
        <x:v>46000</x:v>
      </x:c>
      <x:c r="B1295" t="n">
        <x:v>10</x:v>
      </x:c>
      <x:c r="C1295" t="str">
        <x:v>I1</x:v>
      </x:c>
      <x:c r="D1295" t="n">
        <x:v>10</x:v>
      </x:c>
      <x:c r="E1295" s="50" t="n">
        <x:v>11.5</x:v>
      </x:c>
      <x:c r="F1295" s="50" t="n">
        <x:v>-80.21</x:v>
      </x:c>
      <x:c r="G1295" s="50" t="n">
        <x:v>86.4</x:v>
      </x:c>
      <x:c r="H1295" s="50" t="n">
        <x:v>7.65</x:v>
      </x:c>
      <x:c r="I1295" s="50" t="n">
        <x:v>-11.12</x:v>
      </x:c>
      <x:c r="J1295" s="50" t="n">
        <x:v>3.19</x:v>
      </x:c>
      <x:c r="K1295" s="50" t="n">
        <x:v>3.94</x:v>
      </x:c>
      <x:c r="L1295" s="50" t="n">
        <x:v>5.07</x:v>
      </x:c>
      <x:c r="M1295" s="50" t="n">
        <x:v>0.78</x:v>
      </x:c>
      <x:c r="N1295" t="str">
        <x:v>RELATÓRIO LEITURAS INCLINOMÉTRICAS - Empreitada THE EDEN, Estoril_ R10_09-12-25.pdf</x:v>
      </x:c>
      <x:c r="O1295" t="n">
        <x:v>24</x:v>
      </x:c>
    </x:row>
    <x:row r="1296">
      <x:c r="A1296" s="48" t="n">
        <x:v>46000</x:v>
      </x:c>
      <x:c r="B1296" t="n">
        <x:v>10</x:v>
      </x:c>
      <x:c r="C1296" t="str">
        <x:v>I1</x:v>
      </x:c>
      <x:c r="D1296" t="n">
        <x:v>10</x:v>
      </x:c>
      <x:c r="E1296" s="50" t="n">
        <x:v>12</x:v>
      </x:c>
      <x:c r="F1296" s="50" t="n">
        <x:v>-146.68</x:v>
      </x:c>
      <x:c r="G1296" s="50" t="n">
        <x:v>156.07</x:v>
      </x:c>
      <x:c r="H1296" s="50" t="n">
        <x:v>-19.79</x:v>
      </x:c>
      <x:c r="I1296" s="50" t="n">
        <x:v>10.92</x:v>
      </x:c>
      <x:c r="J1296" s="50" t="n">
        <x:v>3.01</x:v>
      </x:c>
      <x:c r="K1296" s="50" t="n">
        <x:v>3.9</x:v>
      </x:c>
      <x:c r="L1296" s="50" t="n">
        <x:v>4.93</x:v>
      </x:c>
      <x:c r="M1296" s="50" t="n">
        <x:v>0.78</x:v>
      </x:c>
      <x:c r="N1296" t="str">
        <x:v>RELATÓRIO LEITURAS INCLINOMÉTRICAS - Empreitada THE EDEN, Estoril_ R10_09-12-25.pdf</x:v>
      </x:c>
      <x:c r="O1296" t="n">
        <x:v>24</x:v>
      </x:c>
    </x:row>
    <x:row r="1297">
      <x:c r="A1297" s="48" t="n">
        <x:v>46000</x:v>
      </x:c>
      <x:c r="B1297" t="n">
        <x:v>10</x:v>
      </x:c>
      <x:c r="C1297" t="str">
        <x:v>I1</x:v>
      </x:c>
      <x:c r="D1297" t="n">
        <x:v>10</x:v>
      </x:c>
      <x:c r="E1297" s="50" t="n">
        <x:v>12.5</x:v>
      </x:c>
      <x:c r="F1297" s="50" t="n">
        <x:v>-136.99</x:v>
      </x:c>
      <x:c r="G1297" s="50" t="n">
        <x:v>141.58</x:v>
      </x:c>
      <x:c r="H1297" s="50" t="n">
        <x:v>45.11</x:v>
      </x:c>
      <x:c r="I1297" s="50" t="n">
        <x:v>-49.85</x:v>
      </x:c>
      <x:c r="J1297" s="50" t="n">
        <x:v>2.94</x:v>
      </x:c>
      <x:c r="K1297" s="50" t="n">
        <x:v>3.73</x:v>
      </x:c>
      <x:c r="L1297" s="50" t="n">
        <x:v>4.75</x:v>
      </x:c>
      <x:c r="M1297" s="50" t="n">
        <x:v>0.68</x:v>
      </x:c>
      <x:c r="N1297" t="str">
        <x:v>RELATÓRIO LEITURAS INCLINOMÉTRICAS - Empreitada THE EDEN, Estoril_ R10_09-12-25.pdf</x:v>
      </x:c>
      <x:c r="O1297" t="n">
        <x:v>24</x:v>
      </x:c>
    </x:row>
    <x:row r="1298">
      <x:c r="A1298" s="48" t="n">
        <x:v>46000</x:v>
      </x:c>
      <x:c r="B1298" t="n">
        <x:v>10</x:v>
      </x:c>
      <x:c r="C1298" t="str">
        <x:v>I1</x:v>
      </x:c>
      <x:c r="D1298" t="n">
        <x:v>10</x:v>
      </x:c>
      <x:c r="E1298" s="50" t="n">
        <x:v>13</x:v>
      </x:c>
      <x:c r="F1298" s="50" t="n">
        <x:v>-70.86</x:v>
      </x:c>
      <x:c r="G1298" s="50" t="n">
        <x:v>79.16</x:v>
      </x:c>
      <x:c r="H1298" s="50" t="n">
        <x:v>45.82</x:v>
      </x:c>
      <x:c r="I1298" s="50" t="n">
        <x:v>-34.86</x:v>
      </x:c>
      <x:c r="J1298" s="50" t="n">
        <x:v>2.82</x:v>
      </x:c>
      <x:c r="K1298" s="50" t="n">
        <x:v>3.69</x:v>
      </x:c>
      <x:c r="L1298" s="50" t="n">
        <x:v>4.64</x:v>
      </x:c>
      <x:c r="M1298" s="50" t="n">
        <x:v>0.65</x:v>
      </x:c>
      <x:c r="N1298" t="str">
        <x:v>RELATÓRIO LEITURAS INCLINOMÉTRICAS - Empreitada THE EDEN, Estoril_ R10_09-12-25.pdf</x:v>
      </x:c>
      <x:c r="O1298" t="n">
        <x:v>24</x:v>
      </x:c>
    </x:row>
    <x:row r="1299">
      <x:c r="A1299" s="48" t="n">
        <x:v>46000</x:v>
      </x:c>
      <x:c r="B1299" t="n">
        <x:v>10</x:v>
      </x:c>
      <x:c r="C1299" t="str">
        <x:v>I1</x:v>
      </x:c>
      <x:c r="D1299" t="n">
        <x:v>10</x:v>
      </x:c>
      <x:c r="E1299" s="50" t="n">
        <x:v>13.5</x:v>
      </x:c>
      <x:c r="F1299" s="50" t="n">
        <x:v>-61.15</x:v>
      </x:c>
      <x:c r="G1299" s="50" t="n">
        <x:v>67.99</x:v>
      </x:c>
      <x:c r="H1299" s="50" t="n">
        <x:v>55.07</x:v>
      </x:c>
      <x:c r="I1299" s="50" t="n">
        <x:v>-53</x:v>
      </x:c>
      <x:c r="J1299" s="50" t="n">
        <x:v>2.41</x:v>
      </x:c>
      <x:c r="K1299" s="50" t="n">
        <x:v>3.58</x:v>
      </x:c>
      <x:c r="L1299" s="50" t="n">
        <x:v>4.31</x:v>
      </x:c>
      <x:c r="M1299" s="50" t="n">
        <x:v>0.55</x:v>
      </x:c>
      <x:c r="N1299" t="str">
        <x:v>RELATÓRIO LEITURAS INCLINOMÉTRICAS - Empreitada THE EDEN, Estoril_ R10_09-12-25.pdf</x:v>
      </x:c>
      <x:c r="O1299" t="n">
        <x:v>24</x:v>
      </x:c>
    </x:row>
    <x:row r="1300">
      <x:c r="A1300" s="48" t="n">
        <x:v>46000</x:v>
      </x:c>
      <x:c r="B1300" t="n">
        <x:v>10</x:v>
      </x:c>
      <x:c r="C1300" t="str">
        <x:v>I1</x:v>
      </x:c>
      <x:c r="D1300" t="n">
        <x:v>10</x:v>
      </x:c>
      <x:c r="E1300" s="50" t="n">
        <x:v>14</x:v>
      </x:c>
      <x:c r="F1300" s="50" t="n">
        <x:v>-62.22</x:v>
      </x:c>
      <x:c r="G1300" s="50" t="n">
        <x:v>67.37</x:v>
      </x:c>
      <x:c r="H1300" s="50" t="n">
        <x:v>68.46</x:v>
      </x:c>
      <x:c r="I1300" s="50" t="n">
        <x:v>-64.82</x:v>
      </x:c>
      <x:c r="J1300" s="50" t="n">
        <x:v>1.83</x:v>
      </x:c>
      <x:c r="K1300" s="50" t="n">
        <x:v>3.38</x:v>
      </x:c>
      <x:c r="L1300" s="50" t="n">
        <x:v>3.85</x:v>
      </x:c>
      <x:c r="M1300" s="50" t="n">
        <x:v>0.43</x:v>
      </x:c>
      <x:c r="N1300" t="str">
        <x:v>RELATÓRIO LEITURAS INCLINOMÉTRICAS - Empreitada THE EDEN, Estoril_ R10_09-12-25.pdf</x:v>
      </x:c>
      <x:c r="O1300" t="n">
        <x:v>24</x:v>
      </x:c>
    </x:row>
    <x:row r="1301">
      <x:c r="A1301" s="48" t="n">
        <x:v>46000</x:v>
      </x:c>
      <x:c r="B1301" t="n">
        <x:v>10</x:v>
      </x:c>
      <x:c r="C1301" t="str">
        <x:v>I1</x:v>
      </x:c>
      <x:c r="D1301" t="n">
        <x:v>10</x:v>
      </x:c>
      <x:c r="E1301" s="50" t="n">
        <x:v>14.5</x:v>
      </x:c>
      <x:c r="F1301" s="50" t="n">
        <x:v>-50.83</x:v>
      </x:c>
      <x:c r="G1301" s="50" t="n">
        <x:v>56.49</x:v>
      </x:c>
      <x:c r="H1301" s="50" t="n">
        <x:v>98.1</x:v>
      </x:c>
      <x:c r="I1301" s="50" t="n">
        <x:v>-89.06</x:v>
      </x:c>
      <x:c r="J1301" s="50" t="n">
        <x:v>1.19</x:v>
      </x:c>
      <x:c r="K1301" s="50" t="n">
        <x:v>2.89</x:v>
      </x:c>
      <x:c r="L1301" s="50" t="n">
        <x:v>3.13</x:v>
      </x:c>
      <x:c r="M1301" s="50" t="n">
        <x:v>0.35</x:v>
      </x:c>
      <x:c r="N1301" t="str">
        <x:v>RELATÓRIO LEITURAS INCLINOMÉTRICAS - Empreitada THE EDEN, Estoril_ R10_09-12-25.pdf</x:v>
      </x:c>
      <x:c r="O1301" t="n">
        <x:v>24</x:v>
      </x:c>
    </x:row>
    <x:row r="1302">
      <x:c r="A1302" s="48" t="n">
        <x:v>46000</x:v>
      </x:c>
      <x:c r="B1302" t="n">
        <x:v>10</x:v>
      </x:c>
      <x:c r="C1302" t="str">
        <x:v>I1</x:v>
      </x:c>
      <x:c r="D1302" t="n">
        <x:v>10</x:v>
      </x:c>
      <x:c r="E1302" s="50" t="n">
        <x:v>15</x:v>
      </x:c>
      <x:c r="F1302" s="50" t="n">
        <x:v>-15.08</x:v>
      </x:c>
      <x:c r="G1302" s="50" t="n">
        <x:v>22.32</x:v>
      </x:c>
      <x:c r="H1302" s="50" t="n">
        <x:v>109.85</x:v>
      </x:c>
      <x:c r="I1302" s="50" t="n">
        <x:v>-111.42</x:v>
      </x:c>
      <x:c r="J1302" s="50" t="n">
        <x:v>0.63</x:v>
      </x:c>
      <x:c r="K1302" s="50" t="n">
        <x:v>2.57</x:v>
      </x:c>
      <x:c r="L1302" s="50" t="n">
        <x:v>2.64</x:v>
      </x:c>
      <x:c r="M1302" s="50" t="n">
        <x:v>0.29</x:v>
      </x:c>
      <x:c r="N1302" t="str">
        <x:v>RELATÓRIO LEITURAS INCLINOMÉTRICAS - Empreitada THE EDEN, Estoril_ R10_09-12-25.pdf</x:v>
      </x:c>
      <x:c r="O1302" t="n">
        <x:v>24</x:v>
      </x:c>
    </x:row>
    <x:row r="1303">
      <x:c r="A1303" s="48" t="n">
        <x:v>46000</x:v>
      </x:c>
      <x:c r="B1303" t="n">
        <x:v>10</x:v>
      </x:c>
      <x:c r="C1303" t="str">
        <x:v>I1</x:v>
      </x:c>
      <x:c r="D1303" t="n">
        <x:v>10</x:v>
      </x:c>
      <x:c r="E1303" s="50" t="n">
        <x:v>15.5</x:v>
      </x:c>
      <x:c r="F1303" s="50" t="n">
        <x:v>-54.94</x:v>
      </x:c>
      <x:c r="G1303" s="50" t="n">
        <x:v>57.84</x:v>
      </x:c>
      <x:c r="H1303" s="50" t="n">
        <x:v>91.86</x:v>
      </x:c>
      <x:c r="I1303" s="50" t="n">
        <x:v>-71.68</x:v>
      </x:c>
      <x:c r="J1303" s="50" t="n">
        <x:v>0.27</x:v>
      </x:c>
      <x:c r="K1303" s="50" t="n">
        <x:v>2.32</x:v>
      </x:c>
      <x:c r="L1303" s="50" t="n">
        <x:v>2.34</x:v>
      </x:c>
      <x:c r="M1303" s="50" t="n">
        <x:v>0.23</x:v>
      </x:c>
      <x:c r="N1303" t="str">
        <x:v>RELATÓRIO LEITURAS INCLINOMÉTRICAS - Empreitada THE EDEN, Estoril_ R10_09-12-25.pdf</x:v>
      </x:c>
      <x:c r="O1303" t="n">
        <x:v>24</x:v>
      </x:c>
    </x:row>
    <x:row r="1304">
      <x:c r="A1304" s="48" t="n">
        <x:v>46000</x:v>
      </x:c>
      <x:c r="B1304" t="n">
        <x:v>10</x:v>
      </x:c>
      <x:c r="C1304" t="str">
        <x:v>I1</x:v>
      </x:c>
      <x:c r="D1304" t="n">
        <x:v>10</x:v>
      </x:c>
      <x:c r="E1304" s="50" t="n">
        <x:v>16</x:v>
      </x:c>
      <x:c r="F1304" s="50" t="n">
        <x:v>-14.38</x:v>
      </x:c>
      <x:c r="G1304" s="50" t="n">
        <x:v>18.85</x:v>
      </x:c>
      <x:c r="H1304" s="50" t="n">
        <x:v>-26.81</x:v>
      </x:c>
      <x:c r="I1304" s="50" t="n">
        <x:v>32.44</x:v>
      </x:c>
      <x:c r="J1304" s="50" t="n">
        <x:v>-0.82</x:v>
      </x:c>
      <x:c r="K1304" s="50" t="n">
        <x:v>0.96</x:v>
      </x:c>
      <x:c r="L1304" s="50" t="n">
        <x:v>1.26</x:v>
      </x:c>
      <x:c r="M1304" s="50" t="n">
        <x:v>-0.25</x:v>
      </x:c>
      <x:c r="N1304" t="str">
        <x:v>RELATÓRIO LEITURAS INCLINOMÉTRICAS - Empreitada THE EDEN, Estoril_ R10_09-12-25.pdf</x:v>
      </x:c>
      <x:c r="O1304" t="n">
        <x:v>24</x:v>
      </x:c>
    </x:row>
    <x:row r="1305">
      <x:c r="A1305" s="48" t="n">
        <x:v>46000</x:v>
      </x:c>
      <x:c r="B1305" t="n">
        <x:v>10</x:v>
      </x:c>
      <x:c r="C1305" t="str">
        <x:v>I1</x:v>
      </x:c>
      <x:c r="D1305" t="n">
        <x:v>10</x:v>
      </x:c>
      <x:c r="E1305" s="50" t="n">
        <x:v>16.5</x:v>
      </x:c>
      <x:c r="F1305" s="50" t="n">
        <x:v>5.74</x:v>
      </x:c>
      <x:c r="G1305" s="50" t="n">
        <x:v>0.23</x:v>
      </x:c>
      <x:c r="H1305" s="50" t="n">
        <x:v>-10.73</x:v>
      </x:c>
      <x:c r="I1305" s="50" t="n">
        <x:v>18.29</x:v>
      </x:c>
      <x:c r="J1305" s="50" t="n">
        <x:v>-0.76</x:v>
      </x:c>
      <x:c r="K1305" s="50" t="n">
        <x:v>1.02</x:v>
      </x:c>
      <x:c r="L1305" s="50" t="n">
        <x:v>1.27</x:v>
      </x:c>
      <x:c r="M1305" s="50" t="n">
        <x:v>-0.21</x:v>
      </x:c>
      <x:c r="N1305" t="str">
        <x:v>RELATÓRIO LEITURAS INCLINOMÉTRICAS - Empreitada THE EDEN, Estoril_ R10_09-12-25.pdf</x:v>
      </x:c>
      <x:c r="O1305" t="n">
        <x:v>24</x:v>
      </x:c>
    </x:row>
    <x:row r="1306">
      <x:c r="A1306" s="48" t="n">
        <x:v>46000</x:v>
      </x:c>
      <x:c r="B1306" t="n">
        <x:v>10</x:v>
      </x:c>
      <x:c r="C1306" t="str">
        <x:v>I1</x:v>
      </x:c>
      <x:c r="D1306" t="n">
        <x:v>10</x:v>
      </x:c>
      <x:c r="E1306" s="50" t="n">
        <x:v>17</x:v>
      </x:c>
      <x:c r="F1306" s="50" t="n">
        <x:v>15.85</x:v>
      </x:c>
      <x:c r="G1306" s="50" t="n">
        <x:v>-11.85</x:v>
      </x:c>
      <x:c r="H1306" s="50" t="n">
        <x:v>3.26</x:v>
      </x:c>
      <x:c r="I1306" s="50" t="n">
        <x:v>2.22</x:v>
      </x:c>
      <x:c r="J1306" s="50" t="n">
        <x:v>-0.73</x:v>
      </x:c>
      <x:c r="K1306" s="50" t="n">
        <x:v>1.07</x:v>
      </x:c>
      <x:c r="L1306" s="50" t="n">
        <x:v>1.29</x:v>
      </x:c>
      <x:c r="M1306" s="50" t="n">
        <x:v>-0.2</x:v>
      </x:c>
      <x:c r="N1306" t="str">
        <x:v>RELATÓRIO LEITURAS INCLINOMÉTRICAS - Empreitada THE EDEN, Estoril_ R10_09-12-25.pdf</x:v>
      </x:c>
      <x:c r="O1306" t="n">
        <x:v>24</x:v>
      </x:c>
    </x:row>
    <x:row r="1307">
      <x:c r="A1307" s="48" t="n">
        <x:v>46000</x:v>
      </x:c>
      <x:c r="B1307" t="n">
        <x:v>10</x:v>
      </x:c>
      <x:c r="C1307" t="str">
        <x:v>I1</x:v>
      </x:c>
      <x:c r="D1307" t="n">
        <x:v>10</x:v>
      </x:c>
      <x:c r="E1307" s="50" t="n">
        <x:v>17.5</x:v>
      </x:c>
      <x:c r="F1307" s="50" t="n">
        <x:v>-11.13</x:v>
      </x:c>
      <x:c r="G1307" s="50" t="n">
        <x:v>16.37</x:v>
      </x:c>
      <x:c r="H1307" s="50" t="n">
        <x:v>34.85</x:v>
      </x:c>
      <x:c r="I1307" s="50" t="n">
        <x:v>-32.76</x:v>
      </x:c>
      <x:c r="J1307" s="50" t="n">
        <x:v>-0.77</x:v>
      </x:c>
      <x:c r="K1307" s="50" t="n">
        <x:v>1.16</x:v>
      </x:c>
      <x:c r="L1307" s="50" t="n">
        <x:v>1.39</x:v>
      </x:c>
      <x:c r="M1307" s="50" t="n">
        <x:v>-0.23</x:v>
      </x:c>
      <x:c r="N1307" t="str">
        <x:v>RELATÓRIO LEITURAS INCLINOMÉTRICAS - Empreitada THE EDEN, Estoril_ R10_09-12-25.pdf</x:v>
      </x:c>
      <x:c r="O1307" t="n">
        <x:v>24</x:v>
      </x:c>
    </x:row>
    <x:row r="1308">
      <x:c r="A1308" s="48" t="n">
        <x:v>46000</x:v>
      </x:c>
      <x:c r="B1308" t="n">
        <x:v>10</x:v>
      </x:c>
      <x:c r="C1308" t="str">
        <x:v>I1</x:v>
      </x:c>
      <x:c r="D1308" t="n">
        <x:v>10</x:v>
      </x:c>
      <x:c r="E1308" s="50" t="n">
        <x:v>18</x:v>
      </x:c>
      <x:c r="F1308" s="50" t="n">
        <x:v>-31.2</x:v>
      </x:c>
      <x:c r="G1308" s="50" t="n">
        <x:v>35.83</x:v>
      </x:c>
      <x:c r="H1308" s="50" t="n">
        <x:v>51.07</x:v>
      </x:c>
      <x:c r="I1308" s="50" t="n">
        <x:v>-43.2</x:v>
      </x:c>
      <x:c r="J1308" s="50" t="n">
        <x:v>-0.76</x:v>
      </x:c>
      <x:c r="K1308" s="50" t="n">
        <x:v>1.19</x:v>
      </x:c>
      <x:c r="L1308" s="50" t="n">
        <x:v>1.41</x:v>
      </x:c>
      <x:c r="M1308" s="50" t="n">
        <x:v>-0.2</x:v>
      </x:c>
      <x:c r="N1308" t="str">
        <x:v>RELATÓRIO LEITURAS INCLINOMÉTRICAS - Empreitada THE EDEN, Estoril_ R10_09-12-25.pdf</x:v>
      </x:c>
      <x:c r="O1308" t="n">
        <x:v>24</x:v>
      </x:c>
    </x:row>
    <x:row r="1309">
      <x:c r="A1309" s="48" t="n">
        <x:v>46000</x:v>
      </x:c>
      <x:c r="B1309" t="n">
        <x:v>10</x:v>
      </x:c>
      <x:c r="C1309" t="str">
        <x:v>I1</x:v>
      </x:c>
      <x:c r="D1309" t="n">
        <x:v>10</x:v>
      </x:c>
      <x:c r="E1309" s="50" t="n">
        <x:v>18.5</x:v>
      </x:c>
      <x:c r="F1309" s="50" t="n">
        <x:v>-34.04</x:v>
      </x:c>
      <x:c r="G1309" s="50" t="n">
        <x:v>46.2</x:v>
      </x:c>
      <x:c r="H1309" s="50" t="n">
        <x:v>73.98</x:v>
      </x:c>
      <x:c r="I1309" s="50" t="n">
        <x:v>-55.04</x:v>
      </x:c>
      <x:c r="J1309" s="50" t="n">
        <x:v>-0.77</x:v>
      </x:c>
      <x:c r="K1309" s="50" t="n">
        <x:v>1.25</x:v>
      </x:c>
      <x:c r="L1309" s="50" t="n">
        <x:v>1.47</x:v>
      </x:c>
      <x:c r="M1309" s="50" t="n">
        <x:v>-0.17</x:v>
      </x:c>
      <x:c r="N1309" t="str">
        <x:v>RELATÓRIO LEITURAS INCLINOMÉTRICAS - Empreitada THE EDEN, Estoril_ R10_09-12-25.pdf</x:v>
      </x:c>
      <x:c r="O1309" t="n">
        <x:v>24</x:v>
      </x:c>
    </x:row>
    <x:row r="1310">
      <x:c r="A1310" s="48" t="n">
        <x:v>46000</x:v>
      </x:c>
      <x:c r="B1310" t="n">
        <x:v>10</x:v>
      </x:c>
      <x:c r="C1310" t="str">
        <x:v>I1</x:v>
      </x:c>
      <x:c r="D1310" t="n">
        <x:v>10</x:v>
      </x:c>
      <x:c r="E1310" s="50" t="n">
        <x:v>19</x:v>
      </x:c>
      <x:c r="F1310" s="50" t="n">
        <x:v>-138.9</x:v>
      </x:c>
      <x:c r="G1310" s="50" t="n">
        <x:v>136.41</x:v>
      </x:c>
      <x:c r="H1310" s="50" t="n">
        <x:v>-33.5</x:v>
      </x:c>
      <x:c r="I1310" s="50" t="n">
        <x:v>40.24</x:v>
      </x:c>
      <x:c r="J1310" s="50" t="n">
        <x:v>-0.76</x:v>
      </x:c>
      <x:c r="K1310" s="50" t="n">
        <x:v>1.23</x:v>
      </x:c>
      <x:c r="L1310" s="50" t="n">
        <x:v>1.44</x:v>
      </x:c>
      <x:c r="M1310" s="50" t="n">
        <x:v>-0.14</x:v>
      </x:c>
      <x:c r="N1310" t="str">
        <x:v>RELATÓRIO LEITURAS INCLINOMÉTRICAS - Empreitada THE EDEN, Estoril_ R10_09-12-25.pdf</x:v>
      </x:c>
      <x:c r="O1310" t="n">
        <x:v>24</x:v>
      </x:c>
    </x:row>
    <x:row r="1311">
      <x:c r="A1311" s="48" t="n">
        <x:v>46000</x:v>
      </x:c>
      <x:c r="B1311" t="n">
        <x:v>10</x:v>
      </x:c>
      <x:c r="C1311" t="str">
        <x:v>I1</x:v>
      </x:c>
      <x:c r="D1311" t="n">
        <x:v>10</x:v>
      </x:c>
      <x:c r="E1311" s="50" t="n">
        <x:v>19.5</x:v>
      </x:c>
      <x:c r="F1311" s="50" t="n">
        <x:v>-133.64</x:v>
      </x:c>
      <x:c r="G1311" s="50" t="n">
        <x:v>137.02</x:v>
      </x:c>
      <x:c r="H1311" s="50" t="n">
        <x:v>-49.87</x:v>
      </x:c>
      <x:c r="I1311" s="50" t="n">
        <x:v>36.58</x:v>
      </x:c>
      <x:c r="J1311" s="50" t="n">
        <x:v>-0.8</x:v>
      </x:c>
      <x:c r="K1311" s="50" t="n">
        <x:v>1.26</x:v>
      </x:c>
      <x:c r="L1311" s="50" t="n">
        <x:v>1.49</x:v>
      </x:c>
      <x:c r="M1311" s="50" t="n">
        <x:v>-0.14</x:v>
      </x:c>
      <x:c r="N1311" t="str">
        <x:v>RELATÓRIO LEITURAS INCLINOMÉTRICAS - Empreitada THE EDEN, Estoril_ R10_09-12-25.pdf</x:v>
      </x:c>
      <x:c r="O1311" t="n">
        <x:v>24</x:v>
      </x:c>
    </x:row>
    <x:row r="1312">
      <x:c r="A1312" s="48" t="n">
        <x:v>46000</x:v>
      </x:c>
      <x:c r="B1312" t="n">
        <x:v>10</x:v>
      </x:c>
      <x:c r="C1312" t="str">
        <x:v>I1</x:v>
      </x:c>
      <x:c r="D1312" t="n">
        <x:v>10</x:v>
      </x:c>
      <x:c r="E1312" s="50" t="n">
        <x:v>20</x:v>
      </x:c>
      <x:c r="F1312" s="50" t="n">
        <x:v>-142.64</x:v>
      </x:c>
      <x:c r="G1312" s="50" t="n">
        <x:v>147.7</x:v>
      </x:c>
      <x:c r="H1312" s="50" t="n">
        <x:v>-46.7</x:v>
      </x:c>
      <x:c r="I1312" s="50" t="n">
        <x:v>43.52</x:v>
      </x:c>
      <x:c r="J1312" s="50" t="n">
        <x:v>-0.86</x:v>
      </x:c>
      <x:c r="K1312" s="50" t="n">
        <x:v>1.11</x:v>
      </x:c>
      <x:c r="L1312" s="50" t="n">
        <x:v>1.4</x:v>
      </x:c>
      <x:c r="M1312" s="50" t="n">
        <x:v>-0.19</x:v>
      </x:c>
      <x:c r="N1312" t="str">
        <x:v>RELATÓRIO LEITURAS INCLINOMÉTRICAS - Empreitada THE EDEN, Estoril_ R10_09-12-25.pdf</x:v>
      </x:c>
      <x:c r="O1312" t="n">
        <x:v>24</x:v>
      </x:c>
    </x:row>
    <x:row r="1313">
      <x:c r="A1313" s="48" t="n">
        <x:v>46000</x:v>
      </x:c>
      <x:c r="B1313" t="n">
        <x:v>10</x:v>
      </x:c>
      <x:c r="C1313" t="str">
        <x:v>I1</x:v>
      </x:c>
      <x:c r="D1313" t="n">
        <x:v>10</x:v>
      </x:c>
      <x:c r="E1313" s="50" t="n">
        <x:v>20.5</x:v>
      </x:c>
      <x:c r="F1313" s="50" t="n">
        <x:v>-167.33</x:v>
      </x:c>
      <x:c r="G1313" s="50" t="n">
        <x:v>170.6</x:v>
      </x:c>
      <x:c r="H1313" s="50" t="n">
        <x:v>-28.69</x:v>
      </x:c>
      <x:c r="I1313" s="50" t="n">
        <x:v>16.94</x:v>
      </x:c>
      <x:c r="J1313" s="50" t="n">
        <x:v>-0.89</x:v>
      </x:c>
      <x:c r="K1313" s="50" t="n">
        <x:v>0.92</x:v>
      </x:c>
      <x:c r="L1313" s="50" t="n">
        <x:v>1.28</x:v>
      </x:c>
      <x:c r="M1313" s="50" t="n">
        <x:v>-0.24</x:v>
      </x:c>
      <x:c r="N1313" t="str">
        <x:v>RELATÓRIO LEITURAS INCLINOMÉTRICAS - Empreitada THE EDEN, Estoril_ R10_09-12-25.pdf</x:v>
      </x:c>
      <x:c r="O1313" t="n">
        <x:v>24</x:v>
      </x:c>
    </x:row>
    <x:row r="1314">
      <x:c r="A1314" s="48" t="n">
        <x:v>46000</x:v>
      </x:c>
      <x:c r="B1314" t="n">
        <x:v>10</x:v>
      </x:c>
      <x:c r="C1314" t="str">
        <x:v>I1</x:v>
      </x:c>
      <x:c r="D1314" t="n">
        <x:v>10</x:v>
      </x:c>
      <x:c r="E1314" s="50" t="n">
        <x:v>21</x:v>
      </x:c>
      <x:c r="F1314" s="50" t="n">
        <x:v>-154.51</x:v>
      </x:c>
      <x:c r="G1314" s="50" t="n">
        <x:v>158.36</x:v>
      </x:c>
      <x:c r="H1314" s="50" t="n">
        <x:v>-23.11</x:v>
      </x:c>
      <x:c r="I1314" s="50" t="n">
        <x:v>15.36</x:v>
      </x:c>
      <x:c r="J1314" s="50" t="n">
        <x:v>-0.89</x:v>
      </x:c>
      <x:c r="K1314" s="50" t="n">
        <x:v>0.85</x:v>
      </x:c>
      <x:c r="L1314" s="50" t="n">
        <x:v>1.22</x:v>
      </x:c>
      <x:c r="M1314" s="50" t="n">
        <x:v>-0.17</x:v>
      </x:c>
      <x:c r="N1314" t="str">
        <x:v>RELATÓRIO LEITURAS INCLINOMÉTRICAS - Empreitada THE EDEN, Estoril_ R10_09-12-25.pdf</x:v>
      </x:c>
      <x:c r="O1314" t="n">
        <x:v>24</x:v>
      </x:c>
    </x:row>
    <x:row r="1315">
      <x:c r="A1315" s="48" t="n">
        <x:v>46000</x:v>
      </x:c>
      <x:c r="B1315" t="n">
        <x:v>10</x:v>
      </x:c>
      <x:c r="C1315" t="str">
        <x:v>I1</x:v>
      </x:c>
      <x:c r="D1315" t="n">
        <x:v>10</x:v>
      </x:c>
      <x:c r="E1315" s="50" t="n">
        <x:v>21.5</x:v>
      </x:c>
      <x:c r="F1315" s="50" t="n">
        <x:v>-77.05</x:v>
      </x:c>
      <x:c r="G1315" s="50" t="n">
        <x:v>82.88</x:v>
      </x:c>
      <x:c r="H1315" s="50" t="n">
        <x:v>-23.99</x:v>
      </x:c>
      <x:c r="I1315" s="50" t="n">
        <x:v>32.54</x:v>
      </x:c>
      <x:c r="J1315" s="50" t="n">
        <x:v>-0.87</x:v>
      </x:c>
      <x:c r="K1315" s="50" t="n">
        <x:v>0.82</x:v>
      </x:c>
      <x:c r="L1315" s="50" t="n">
        <x:v>1.2</x:v>
      </x:c>
      <x:c r="M1315" s="50" t="n">
        <x:v>-0.14</x:v>
      </x:c>
      <x:c r="N1315" t="str">
        <x:v>RELATÓRIO LEITURAS INCLINOMÉTRICAS - Empreitada THE EDEN, Estoril_ R10_09-12-25.pdf</x:v>
      </x:c>
      <x:c r="O1315" t="n">
        <x:v>24</x:v>
      </x:c>
    </x:row>
    <x:row r="1316">
      <x:c r="A1316" s="48" t="n">
        <x:v>46000</x:v>
      </x:c>
      <x:c r="B1316" t="n">
        <x:v>10</x:v>
      </x:c>
      <x:c r="C1316" t="str">
        <x:v>I1</x:v>
      </x:c>
      <x:c r="D1316" t="n">
        <x:v>10</x:v>
      </x:c>
      <x:c r="E1316" s="50" t="n">
        <x:v>22</x:v>
      </x:c>
      <x:c r="F1316" s="50" t="n">
        <x:v>-2.48</x:v>
      </x:c>
      <x:c r="G1316" s="50" t="n">
        <x:v>2.61</x:v>
      </x:c>
      <x:c r="H1316" s="50" t="n">
        <x:v>-109.55</x:v>
      </x:c>
      <x:c r="I1316" s="50" t="n">
        <x:v>100.61</x:v>
      </x:c>
      <x:c r="J1316" s="50" t="n">
        <x:v>-0.92</x:v>
      </x:c>
      <x:c r="K1316" s="50" t="n">
        <x:v>0.73</x:v>
      </x:c>
      <x:c r="L1316" s="50" t="n">
        <x:v>1.18</x:v>
      </x:c>
      <x:c r="M1316" s="50" t="n">
        <x:v>-0.14</x:v>
      </x:c>
      <x:c r="N1316" t="str">
        <x:v>RELATÓRIO LEITURAS INCLINOMÉTRICAS - Empreitada THE EDEN, Estoril_ R10_09-12-25.pdf</x:v>
      </x:c>
      <x:c r="O1316" t="n">
        <x:v>24</x:v>
      </x:c>
    </x:row>
    <x:row r="1317">
      <x:c r="A1317" s="48" t="n">
        <x:v>46000</x:v>
      </x:c>
      <x:c r="B1317" t="n">
        <x:v>10</x:v>
      </x:c>
      <x:c r="C1317" t="str">
        <x:v>I1</x:v>
      </x:c>
      <x:c r="D1317" t="n">
        <x:v>10</x:v>
      </x:c>
      <x:c r="E1317" s="50" t="n">
        <x:v>22.5</x:v>
      </x:c>
      <x:c r="F1317" s="50" t="n">
        <x:v>-38.21</x:v>
      </x:c>
      <x:c r="G1317" s="50" t="n">
        <x:v>40.74</x:v>
      </x:c>
      <x:c r="H1317" s="50" t="n">
        <x:v>-61.19</x:v>
      </x:c>
      <x:c r="I1317" s="50" t="n">
        <x:v>48.04</x:v>
      </x:c>
      <x:c r="J1317" s="50" t="n">
        <x:v>-1.17</x:v>
      </x:c>
      <x:c r="K1317" s="50" t="n">
        <x:v>0.66</x:v>
      </x:c>
      <x:c r="L1317" s="50" t="n">
        <x:v>1.34</x:v>
      </x:c>
      <x:c r="M1317" s="50" t="n">
        <x:v>-0.21</x:v>
      </x:c>
      <x:c r="N1317" t="str">
        <x:v>RELATÓRIO LEITURAS INCLINOMÉTRICAS - Empreitada THE EDEN, Estoril_ R10_09-12-25.pdf</x:v>
      </x:c>
      <x:c r="O1317" t="n">
        <x:v>24</x:v>
      </x:c>
    </x:row>
    <x:row r="1318">
      <x:c r="A1318" s="48" t="n">
        <x:v>46000</x:v>
      </x:c>
      <x:c r="B1318" t="n">
        <x:v>10</x:v>
      </x:c>
      <x:c r="C1318" t="str">
        <x:v>I1</x:v>
      </x:c>
      <x:c r="D1318" t="n">
        <x:v>10</x:v>
      </x:c>
      <x:c r="E1318" s="50" t="n">
        <x:v>23</x:v>
      </x:c>
      <x:c r="F1318" s="50" t="n">
        <x:v>-54.84</x:v>
      </x:c>
      <x:c r="G1318" s="50" t="n">
        <x:v>56.67</x:v>
      </x:c>
      <x:c r="H1318" s="50" t="n">
        <x:v>-17.39</x:v>
      </x:c>
      <x:c r="I1318" s="50" t="n">
        <x:v>7.95</x:v>
      </x:c>
      <x:c r="J1318" s="50" t="n">
        <x:v>-1.53</x:v>
      </x:c>
      <x:c r="K1318" s="50" t="n">
        <x:v>0.28</x:v>
      </x:c>
      <x:c r="L1318" s="50" t="n">
        <x:v>1.55</x:v>
      </x:c>
      <x:c r="M1318" s="50" t="n">
        <x:v>-0.27</x:v>
      </x:c>
      <x:c r="N1318" t="str">
        <x:v>RELATÓRIO LEITURAS INCLINOMÉTRICAS - Empreitada THE EDEN, Estoril_ R10_09-12-25.pdf</x:v>
      </x:c>
      <x:c r="O1318" t="n">
        <x:v>24</x:v>
      </x:c>
    </x:row>
    <x:row r="1319">
      <x:c r="A1319" s="48" t="n">
        <x:v>46000</x:v>
      </x:c>
      <x:c r="B1319" t="n">
        <x:v>10</x:v>
      </x:c>
      <x:c r="C1319" t="str">
        <x:v>I1</x:v>
      </x:c>
      <x:c r="D1319" t="n">
        <x:v>10</x:v>
      </x:c>
      <x:c r="E1319" s="50" t="n">
        <x:v>23.5</x:v>
      </x:c>
      <x:c r="F1319" s="50" t="n">
        <x:v>-62.78</x:v>
      </x:c>
      <x:c r="G1319" s="50" t="n">
        <x:v>65.8</x:v>
      </x:c>
      <x:c r="H1319" s="50" t="n">
        <x:v>7.25</x:v>
      </x:c>
      <x:c r="I1319" s="50" t="n">
        <x:v>-18.62</x:v>
      </x:c>
      <x:c r="J1319" s="50" t="n">
        <x:v>-1.71</x:v>
      </x:c>
      <x:c r="K1319" s="50" t="n">
        <x:v>-0.04</x:v>
      </x:c>
      <x:c r="L1319" s="50" t="n">
        <x:v>1.71</x:v>
      </x:c>
      <x:c r="M1319" s="50" t="n">
        <x:v>-0.26</x:v>
      </x:c>
      <x:c r="N1319" t="str">
        <x:v>RELATÓRIO LEITURAS INCLINOMÉTRICAS - Empreitada THE EDEN, Estoril_ R10_09-12-25.pdf</x:v>
      </x:c>
      <x:c r="O1319" t="n">
        <x:v>24</x:v>
      </x:c>
    </x:row>
    <x:row r="1320">
      <x:c r="A1320" s="48" t="n">
        <x:v>46000</x:v>
      </x:c>
      <x:c r="B1320" t="n">
        <x:v>10</x:v>
      </x:c>
      <x:c r="C1320" t="str">
        <x:v>I1</x:v>
      </x:c>
      <x:c r="D1320" t="n">
        <x:v>10</x:v>
      </x:c>
      <x:c r="E1320" s="50" t="n">
        <x:v>24</x:v>
      </x:c>
      <x:c r="F1320" s="50" t="n">
        <x:v>-74.93</x:v>
      </x:c>
      <x:c r="G1320" s="50" t="n">
        <x:v>80.76</x:v>
      </x:c>
      <x:c r="H1320" s="50" t="n">
        <x:v>15.88</x:v>
      </x:c>
      <x:c r="I1320" s="50" t="n">
        <x:v>-19.9</x:v>
      </x:c>
      <x:c r="J1320" s="50" t="n">
        <x:v>-1.62</x:v>
      </x:c>
      <x:c r="K1320" s="50" t="n">
        <x:v>-0.25</x:v>
      </x:c>
      <x:c r="L1320" s="50" t="n">
        <x:v>1.64</x:v>
      </x:c>
      <x:c r="M1320" s="50" t="n">
        <x:v>-0.24</x:v>
      </x:c>
      <x:c r="N1320" t="str">
        <x:v>RELATÓRIO LEITURAS INCLINOMÉTRICAS - Empreitada THE EDEN, Estoril_ R10_09-12-25.pdf</x:v>
      </x:c>
      <x:c r="O1320" t="n">
        <x:v>24</x:v>
      </x:c>
    </x:row>
    <x:row r="1321">
      <x:c r="A1321" s="48" t="n">
        <x:v>46000</x:v>
      </x:c>
      <x:c r="B1321" t="n">
        <x:v>10</x:v>
      </x:c>
      <x:c r="C1321" t="str">
        <x:v>I1</x:v>
      </x:c>
      <x:c r="D1321" t="n">
        <x:v>10</x:v>
      </x:c>
      <x:c r="E1321" s="50" t="n">
        <x:v>24.5</x:v>
      </x:c>
      <x:c r="F1321" s="50" t="n">
        <x:v>-103.68</x:v>
      </x:c>
      <x:c r="G1321" s="50" t="n">
        <x:v>98.3</x:v>
      </x:c>
      <x:c r="H1321" s="50" t="n">
        <x:v>51.25</x:v>
      </x:c>
      <x:c r="I1321" s="50" t="n">
        <x:v>-25.65</x:v>
      </x:c>
      <x:c r="J1321" s="50" t="n">
        <x:v>-1.3</x:v>
      </x:c>
      <x:c r="K1321" s="50" t="n">
        <x:v>-0.38</x:v>
      </x:c>
      <x:c r="L1321" s="50" t="n">
        <x:v>1.35</x:v>
      </x:c>
      <x:c r="M1321" s="50" t="n">
        <x:v>-0.22</x:v>
      </x:c>
      <x:c r="N1321" t="str">
        <x:v>RELATÓRIO LEITURAS INCLINOMÉTRICAS - Empreitada THE EDEN, Estoril_ R10_09-12-25.pdf</x:v>
      </x:c>
      <x:c r="O1321" t="n">
        <x:v>24</x:v>
      </x:c>
    </x:row>
    <x:row r="1322">
      <x:c r="A1322" s="48" t="n">
        <x:v>46000</x:v>
      </x:c>
      <x:c r="B1322" t="n">
        <x:v>10</x:v>
      </x:c>
      <x:c r="C1322" t="str">
        <x:v>I1</x:v>
      </x:c>
      <x:c r="D1322" t="n">
        <x:v>10</x:v>
      </x:c>
      <x:c r="E1322" s="50" t="n">
        <x:v>25</x:v>
      </x:c>
      <x:c r="F1322" s="50" t="n">
        <x:v>-106.03</x:v>
      </x:c>
      <x:c r="G1322" s="50" t="n">
        <x:v>115.6</x:v>
      </x:c>
      <x:c r="H1322" s="50" t="n">
        <x:v>-14.73</x:v>
      </x:c>
      <x:c r="I1322" s="50" t="n">
        <x:v>53.77</x:v>
      </x:c>
      <x:c r="J1322" s="50" t="n">
        <x:v>-0.82</x:v>
      </x:c>
      <x:c r="K1322" s="50" t="n">
        <x:v>0.29</x:v>
      </x:c>
      <x:c r="L1322" s="50" t="n">
        <x:v>0.87</x:v>
      </x:c>
      <x:c r="M1322" s="50" t="n">
        <x:v>-0.61</x:v>
      </x:c>
      <x:c r="N1322" t="str">
        <x:v>RELATÓRIO LEITURAS INCLINOMÉTRICAS - Empreitada THE EDEN, Estoril_ R10_09-12-25.pdf</x:v>
      </x:c>
      <x:c r="O1322" t="n">
        <x:v>24</x:v>
      </x:c>
    </x:row>
    <x:row r="1323">
      <x:c r="A1323" s="48" t="n">
        <x:v>46000</x:v>
      </x:c>
      <x:c r="B1323" t="n">
        <x:v>10</x:v>
      </x:c>
      <x:c r="C1323" t="str">
        <x:v>I1</x:v>
      </x:c>
      <x:c r="D1323" t="n">
        <x:v>10</x:v>
      </x:c>
      <x:c r="E1323" s="50" t="n">
        <x:v>25.5</x:v>
      </x:c>
      <x:c r="F1323" s="50" t="n">
        <x:v>-98.13</x:v>
      </x:c>
      <x:c r="G1323" s="50" t="n">
        <x:v>101.33</x:v>
      </x:c>
      <x:c r="H1323" s="50" t="n">
        <x:v>-37.91</x:v>
      </x:c>
      <x:c r="I1323" s="50" t="n">
        <x:v>41.99</x:v>
      </x:c>
      <x:c r="J1323" s="50" t="n">
        <x:v>-0.82</x:v>
      </x:c>
      <x:c r="K1323" s="50" t="n">
        <x:v>0.37</x:v>
      </x:c>
      <x:c r="L1323" s="50" t="n">
        <x:v>0.9</x:v>
      </x:c>
      <x:c r="M1323" s="50" t="n">
        <x:v>-0.28</x:v>
      </x:c>
      <x:c r="N1323" t="str">
        <x:v>RELATÓRIO LEITURAS INCLINOMÉTRICAS - Empreitada THE EDEN, Estoril_ R10_09-12-25.pdf</x:v>
      </x:c>
      <x:c r="O1323" t="n">
        <x:v>24</x:v>
      </x:c>
    </x:row>
    <x:row r="1324">
      <x:c r="A1324" s="48" t="n">
        <x:v>46000</x:v>
      </x:c>
      <x:c r="B1324" t="n">
        <x:v>10</x:v>
      </x:c>
      <x:c r="C1324" t="str">
        <x:v>I1</x:v>
      </x:c>
      <x:c r="D1324" t="n">
        <x:v>10</x:v>
      </x:c>
      <x:c r="E1324" s="50" t="n">
        <x:v>26</x:v>
      </x:c>
      <x:c r="F1324" s="50" t="n">
        <x:v>-61.49</x:v>
      </x:c>
      <x:c r="G1324" s="50" t="n">
        <x:v>64.13</x:v>
      </x:c>
      <x:c r="H1324" s="50" t="n">
        <x:v>-31.84</x:v>
      </x:c>
      <x:c r="I1324" s="50" t="n">
        <x:v>29.77</x:v>
      </x:c>
      <x:c r="J1324" s="50" t="n">
        <x:v>-0.96</x:v>
      </x:c>
      <x:c r="K1324" s="50" t="n">
        <x:v>0.25</x:v>
      </x:c>
      <x:c r="L1324" s="50" t="n">
        <x:v>0.99</x:v>
      </x:c>
      <x:c r="M1324" s="50" t="n">
        <x:v>-0.15</x:v>
      </x:c>
      <x:c r="N1324" t="str">
        <x:v>RELATÓRIO LEITURAS INCLINOMÉTRICAS - Empreitada THE EDEN, Estoril_ R10_09-12-25.pdf</x:v>
      </x:c>
      <x:c r="O1324" t="n">
        <x:v>24</x:v>
      </x:c>
    </x:row>
    <x:row r="1325">
      <x:c r="A1325" s="48" t="n">
        <x:v>46000</x:v>
      </x:c>
      <x:c r="B1325" t="n">
        <x:v>10</x:v>
      </x:c>
      <x:c r="C1325" t="str">
        <x:v>I1</x:v>
      </x:c>
      <x:c r="D1325" t="n">
        <x:v>10</x:v>
      </x:c>
      <x:c r="E1325" s="50" t="n">
        <x:v>26.5</x:v>
      </x:c>
      <x:c r="F1325" s="50" t="n">
        <x:v>-13.99</x:v>
      </x:c>
      <x:c r="G1325" s="50" t="n">
        <x:v>16.81</x:v>
      </x:c>
      <x:c r="H1325" s="50" t="n">
        <x:v>6.4</x:v>
      </x:c>
      <x:c r="I1325" s="50" t="n">
        <x:v>-4.24</x:v>
      </x:c>
      <x:c r="J1325" s="50" t="n">
        <x:v>-0.98</x:v>
      </x:c>
      <x:c r="K1325" s="50" t="n">
        <x:v>0.16</x:v>
      </x:c>
      <x:c r="L1325" s="50" t="n">
        <x:v>1</x:v>
      </x:c>
      <x:c r="M1325" s="50" t="n">
        <x:v>0.03</x:v>
      </x:c>
      <x:c r="N1325" t="str">
        <x:v>RELATÓRIO LEITURAS INCLINOMÉTRICAS - Empreitada THE EDEN, Estoril_ R10_09-12-25.pdf</x:v>
      </x:c>
      <x:c r="O1325" t="n">
        <x:v>24</x:v>
      </x:c>
    </x:row>
    <x:row r="1326">
      <x:c r="A1326" s="48" t="n">
        <x:v>46000</x:v>
      </x:c>
      <x:c r="B1326" t="n">
        <x:v>10</x:v>
      </x:c>
      <x:c r="C1326" t="str">
        <x:v>I1</x:v>
      </x:c>
      <x:c r="D1326" t="n">
        <x:v>10</x:v>
      </x:c>
      <x:c r="E1326" s="50" t="n">
        <x:v>27</x:v>
      </x:c>
      <x:c r="F1326" s="50" t="n">
        <x:v>40.55</x:v>
      </x:c>
      <x:c r="G1326" s="50" t="n">
        <x:v>-37.68</x:v>
      </x:c>
      <x:c r="H1326" s="50" t="n">
        <x:v>53.05</x:v>
      </x:c>
      <x:c r="I1326" s="50" t="n">
        <x:v>-58.65</x:v>
      </x:c>
      <x:c r="J1326" s="50" t="n">
        <x:v>-0.58</x:v>
      </x:c>
      <x:c r="K1326" s="50" t="n">
        <x:v>0.05</x:v>
      </x:c>
      <x:c r="L1326" s="50" t="n">
        <x:v>0.59</x:v>
      </x:c>
      <x:c r="M1326" s="50" t="n">
        <x:v>0.01</x:v>
      </x:c>
      <x:c r="N1326" t="str">
        <x:v>RELATÓRIO LEITURAS INCLINOMÉTRICAS - Empreitada THE EDEN, Estoril_ R10_09-12-25.pdf</x:v>
      </x:c>
      <x:c r="O1326" t="n">
        <x:v>24</x:v>
      </x:c>
    </x:row>
    <x:row r="1327">
      <x:c r="A1327" s="48" t="n">
        <x:v>46000</x:v>
      </x:c>
      <x:c r="B1327" t="n">
        <x:v>10</x:v>
      </x:c>
      <x:c r="C1327" t="str">
        <x:v>I2</x:v>
      </x:c>
      <x:c r="D1327" t="n">
        <x:v>10</x:v>
      </x:c>
      <x:c r="E1327" s="50" t="n">
        <x:v>0.5</x:v>
      </x:c>
      <x:c r="F1327" s="50" t="n">
        <x:v>-415.46</x:v>
      </x:c>
      <x:c r="G1327" s="50" t="n">
        <x:v>413.47</x:v>
      </x:c>
      <x:c r="H1327" s="50" t="n">
        <x:v>-169.61</x:v>
      </x:c>
      <x:c r="I1327" s="50" t="n">
        <x:v>175.23</x:v>
      </x:c>
      <x:c r="J1327" s="50" t="n">
        <x:v>2.84</x:v>
      </x:c>
      <x:c r="K1327" s="50" t="n">
        <x:v>-4.35</x:v>
      </x:c>
      <x:c r="L1327" s="50" t="n">
        <x:v>5.2</x:v>
      </x:c>
      <x:c r="M1327" s="50" t="n">
        <x:v>-1.56</x:v>
      </x:c>
      <x:c r="N1327" t="str">
        <x:v>RELATÓRIO LEITURAS INCLINOMÉTRICAS - Empreitada THE EDEN, Estoril_ R10_09-12-25.pdf</x:v>
      </x:c>
      <x:c r="O1327" t="n">
        <x:v>44</x:v>
      </x:c>
    </x:row>
    <x:row r="1328">
      <x:c r="A1328" s="48" t="n">
        <x:v>46000</x:v>
      </x:c>
      <x:c r="B1328" t="n">
        <x:v>10</x:v>
      </x:c>
      <x:c r="C1328" t="str">
        <x:v>I2</x:v>
      </x:c>
      <x:c r="D1328" t="n">
        <x:v>10</x:v>
      </x:c>
      <x:c r="E1328" s="50" t="n">
        <x:v>1</x:v>
      </x:c>
      <x:c r="F1328" s="50" t="n">
        <x:v>-414.95</x:v>
      </x:c>
      <x:c r="G1328" s="50" t="n">
        <x:v>414.55</x:v>
      </x:c>
      <x:c r="H1328" s="50" t="n">
        <x:v>-171.79</x:v>
      </x:c>
      <x:c r="I1328" s="50" t="n">
        <x:v>167.92</x:v>
      </x:c>
      <x:c r="J1328" s="50" t="n">
        <x:v>2.9</x:v>
      </x:c>
      <x:c r="K1328" s="50" t="n">
        <x:v>-4.32</x:v>
      </x:c>
      <x:c r="L1328" s="50" t="n">
        <x:v>5.2</x:v>
      </x:c>
      <x:c r="M1328" s="50" t="n">
        <x:v>-0.64</x:v>
      </x:c>
      <x:c r="N1328" t="str">
        <x:v>RELATÓRIO LEITURAS INCLINOMÉTRICAS - Empreitada THE EDEN, Estoril_ R10_09-12-25.pdf</x:v>
      </x:c>
      <x:c r="O1328" t="n">
        <x:v>44</x:v>
      </x:c>
    </x:row>
    <x:row r="1329">
      <x:c r="A1329" s="48" t="n">
        <x:v>46000</x:v>
      </x:c>
      <x:c r="B1329" t="n">
        <x:v>10</x:v>
      </x:c>
      <x:c r="C1329" t="str">
        <x:v>I2</x:v>
      </x:c>
      <x:c r="D1329" t="n">
        <x:v>10</x:v>
      </x:c>
      <x:c r="E1329" s="50" t="n">
        <x:v>1.5</x:v>
      </x:c>
      <x:c r="F1329" s="50" t="n">
        <x:v>-376.21</x:v>
      </x:c>
      <x:c r="G1329" s="50" t="n">
        <x:v>379.16</x:v>
      </x:c>
      <x:c r="H1329" s="50" t="n">
        <x:v>-179.1</x:v>
      </x:c>
      <x:c r="I1329" s="50" t="n">
        <x:v>161.79</x:v>
      </x:c>
      <x:c r="J1329" s="50" t="n">
        <x:v>3.03</x:v>
      </x:c>
      <x:c r="K1329" s="50" t="n">
        <x:v>-4.26</x:v>
      </x:c>
      <x:c r="L1329" s="50" t="n">
        <x:v>5.22</x:v>
      </x:c>
      <x:c r="M1329" s="50" t="n">
        <x:v>0.03</x:v>
      </x:c>
      <x:c r="N1329" t="str">
        <x:v>RELATÓRIO LEITURAS INCLINOMÉTRICAS - Empreitada THE EDEN, Estoril_ R10_09-12-25.pdf</x:v>
      </x:c>
      <x:c r="O1329" t="n">
        <x:v>44</x:v>
      </x:c>
    </x:row>
    <x:row r="1330">
      <x:c r="A1330" s="48" t="n">
        <x:v>46000</x:v>
      </x:c>
      <x:c r="B1330" t="n">
        <x:v>10</x:v>
      </x:c>
      <x:c r="C1330" t="str">
        <x:v>I2</x:v>
      </x:c>
      <x:c r="D1330" t="n">
        <x:v>10</x:v>
      </x:c>
      <x:c r="E1330" s="50" t="n">
        <x:v>2</x:v>
      </x:c>
      <x:c r="F1330" s="50" t="n">
        <x:v>-331.52</x:v>
      </x:c>
      <x:c r="G1330" s="50" t="n">
        <x:v>338.97</x:v>
      </x:c>
      <x:c r="H1330" s="50" t="n">
        <x:v>-209.83</x:v>
      </x:c>
      <x:c r="I1330" s="50" t="n">
        <x:v>204.48</x:v>
      </x:c>
      <x:c r="J1330" s="50" t="n">
        <x:v>3.18</x:v>
      </x:c>
      <x:c r="K1330" s="50" t="n">
        <x:v>-4.52</x:v>
      </x:c>
      <x:c r="L1330" s="50" t="n">
        <x:v>5.53</x:v>
      </x:c>
      <x:c r="M1330" s="50" t="n">
        <x:v>0.34</x:v>
      </x:c>
      <x:c r="N1330" t="str">
        <x:v>RELATÓRIO LEITURAS INCLINOMÉTRICAS - Empreitada THE EDEN, Estoril_ R10_09-12-25.pdf</x:v>
      </x:c>
      <x:c r="O1330" t="n">
        <x:v>44</x:v>
      </x:c>
    </x:row>
    <x:row r="1331">
      <x:c r="A1331" s="48" t="n">
        <x:v>46000</x:v>
      </x:c>
      <x:c r="B1331" t="n">
        <x:v>10</x:v>
      </x:c>
      <x:c r="C1331" t="str">
        <x:v>I2</x:v>
      </x:c>
      <x:c r="D1331" t="n">
        <x:v>10</x:v>
      </x:c>
      <x:c r="E1331" s="50" t="n">
        <x:v>2.5</x:v>
      </x:c>
      <x:c r="F1331" s="50" t="n">
        <x:v>-306.47</x:v>
      </x:c>
      <x:c r="G1331" s="50" t="n">
        <x:v>312.14</x:v>
      </x:c>
      <x:c r="H1331" s="50" t="n">
        <x:v>-193.56</x:v>
      </x:c>
      <x:c r="I1331" s="50" t="n">
        <x:v>194.85</x:v>
      </x:c>
      <x:c r="J1331" s="50" t="n">
        <x:v>3.27</x:v>
      </x:c>
      <x:c r="K1331" s="50" t="n">
        <x:v>-4.37</x:v>
      </x:c>
      <x:c r="L1331" s="50" t="n">
        <x:v>5.46</x:v>
      </x:c>
      <x:c r="M1331" s="50" t="n">
        <x:v>0.33</x:v>
      </x:c>
      <x:c r="N1331" t="str">
        <x:v>RELATÓRIO LEITURAS INCLINOMÉTRICAS - Empreitada THE EDEN, Estoril_ R10_09-12-25.pdf</x:v>
      </x:c>
      <x:c r="O1331" t="n">
        <x:v>44</x:v>
      </x:c>
    </x:row>
    <x:row r="1332">
      <x:c r="A1332" s="48" t="n">
        <x:v>46000</x:v>
      </x:c>
      <x:c r="B1332" t="n">
        <x:v>10</x:v>
      </x:c>
      <x:c r="C1332" t="str">
        <x:v>I2</x:v>
      </x:c>
      <x:c r="D1332" t="n">
        <x:v>10</x:v>
      </x:c>
      <x:c r="E1332" s="50" t="n">
        <x:v>3</x:v>
      </x:c>
      <x:c r="F1332" s="50" t="n">
        <x:v>-268.5</x:v>
      </x:c>
      <x:c r="G1332" s="50" t="n">
        <x:v>275.01</x:v>
      </x:c>
      <x:c r="H1332" s="50" t="n">
        <x:v>-140.31</x:v>
      </x:c>
      <x:c r="I1332" s="50" t="n">
        <x:v>130.32</x:v>
      </x:c>
      <x:c r="J1332" s="50" t="n">
        <x:v>3.31</x:v>
      </x:c>
      <x:c r="K1332" s="50" t="n">
        <x:v>-4.47</x:v>
      </x:c>
      <x:c r="L1332" s="50" t="n">
        <x:v>5.57</x:v>
      </x:c>
      <x:c r="M1332" s="50" t="n">
        <x:v>0.29</x:v>
      </x:c>
      <x:c r="N1332" t="str">
        <x:v>RELATÓRIO LEITURAS INCLINOMÉTRICAS - Empreitada THE EDEN, Estoril_ R10_09-12-25.pdf</x:v>
      </x:c>
      <x:c r="O1332" t="n">
        <x:v>44</x:v>
      </x:c>
    </x:row>
    <x:row r="1333">
      <x:c r="A1333" s="48" t="n">
        <x:v>46000</x:v>
      </x:c>
      <x:c r="B1333" t="n">
        <x:v>10</x:v>
      </x:c>
      <x:c r="C1333" t="str">
        <x:v>I2</x:v>
      </x:c>
      <x:c r="D1333" t="n">
        <x:v>10</x:v>
      </x:c>
      <x:c r="E1333" s="50" t="n">
        <x:v>3.5</x:v>
      </x:c>
      <x:c r="F1333" s="50" t="n">
        <x:v>-205.34</x:v>
      </x:c>
      <x:c r="G1333" s="50" t="n">
        <x:v>214.37</x:v>
      </x:c>
      <x:c r="H1333" s="50" t="n">
        <x:v>-81.43</x:v>
      </x:c>
      <x:c r="I1333" s="50" t="n">
        <x:v>78.24</x:v>
      </x:c>
      <x:c r="J1333" s="50" t="n">
        <x:v>3.39</x:v>
      </x:c>
      <x:c r="K1333" s="50" t="n">
        <x:v>-4.41</x:v>
      </x:c>
      <x:c r="L1333" s="50" t="n">
        <x:v>5.56</x:v>
      </x:c>
      <x:c r="M1333" s="50" t="n">
        <x:v>0.36</x:v>
      </x:c>
      <x:c r="N1333" t="str">
        <x:v>RELATÓRIO LEITURAS INCLINOMÉTRICAS - Empreitada THE EDEN, Estoril_ R10_09-12-25.pdf</x:v>
      </x:c>
      <x:c r="O1333" t="n">
        <x:v>44</x:v>
      </x:c>
    </x:row>
    <x:row r="1334">
      <x:c r="A1334" s="48" t="n">
        <x:v>46000</x:v>
      </x:c>
      <x:c r="B1334" t="n">
        <x:v>10</x:v>
      </x:c>
      <x:c r="C1334" t="str">
        <x:v>I2</x:v>
      </x:c>
      <x:c r="D1334" t="n">
        <x:v>10</x:v>
      </x:c>
      <x:c r="E1334" s="50" t="n">
        <x:v>4</x:v>
      </x:c>
      <x:c r="F1334" s="50" t="n">
        <x:v>-148.52</x:v>
      </x:c>
      <x:c r="G1334" s="50" t="n">
        <x:v>156.92</x:v>
      </x:c>
      <x:c r="H1334" s="50" t="n">
        <x:v>-68.1</x:v>
      </x:c>
      <x:c r="I1334" s="50" t="n">
        <x:v>68.72</x:v>
      </x:c>
      <x:c r="J1334" s="50" t="n">
        <x:v>3.52</x:v>
      </x:c>
      <x:c r="K1334" s="50" t="n">
        <x:v>-4.24</x:v>
      </x:c>
      <x:c r="L1334" s="50" t="n">
        <x:v>5.51</x:v>
      </x:c>
      <x:c r="M1334" s="50" t="n">
        <x:v>0.45</x:v>
      </x:c>
      <x:c r="N1334" t="str">
        <x:v>RELATÓRIO LEITURAS INCLINOMÉTRICAS - Empreitada THE EDEN, Estoril_ R10_09-12-25.pdf</x:v>
      </x:c>
      <x:c r="O1334" t="n">
        <x:v>44</x:v>
      </x:c>
    </x:row>
    <x:row r="1335">
      <x:c r="A1335" s="48" t="n">
        <x:v>46000</x:v>
      </x:c>
      <x:c r="B1335" t="n">
        <x:v>10</x:v>
      </x:c>
      <x:c r="C1335" t="str">
        <x:v>I2</x:v>
      </x:c>
      <x:c r="D1335" t="n">
        <x:v>10</x:v>
      </x:c>
      <x:c r="E1335" s="50" t="n">
        <x:v>4.5</x:v>
      </x:c>
      <x:c r="F1335" s="50" t="n">
        <x:v>-100.44</x:v>
      </x:c>
      <x:c r="G1335" s="50" t="n">
        <x:v>105.5</x:v>
      </x:c>
      <x:c r="H1335" s="50" t="n">
        <x:v>-120.84</x:v>
      </x:c>
      <x:c r="I1335" s="50" t="n">
        <x:v>129.68</x:v>
      </x:c>
      <x:c r="J1335" s="50" t="n">
        <x:v>3.69</x:v>
      </x:c>
      <x:c r="K1335" s="50" t="n">
        <x:v>-4.27</x:v>
      </x:c>
      <x:c r="L1335" s="50" t="n">
        <x:v>5.65</x:v>
      </x:c>
      <x:c r="M1335" s="50" t="n">
        <x:v>0.49</x:v>
      </x:c>
      <x:c r="N1335" t="str">
        <x:v>RELATÓRIO LEITURAS INCLINOMÉTRICAS - Empreitada THE EDEN, Estoril_ R10_09-12-25.pdf</x:v>
      </x:c>
      <x:c r="O1335" t="n">
        <x:v>44</x:v>
      </x:c>
    </x:row>
    <x:row r="1336">
      <x:c r="A1336" s="48" t="n">
        <x:v>46000</x:v>
      </x:c>
      <x:c r="B1336" t="n">
        <x:v>10</x:v>
      </x:c>
      <x:c r="C1336" t="str">
        <x:v>I2</x:v>
      </x:c>
      <x:c r="D1336" t="n">
        <x:v>10</x:v>
      </x:c>
      <x:c r="E1336" s="50" t="n">
        <x:v>5</x:v>
      </x:c>
      <x:c r="F1336" s="50" t="n">
        <x:v>-26.04</x:v>
      </x:c>
      <x:c r="G1336" s="50" t="n">
        <x:v>32.76</x:v>
      </x:c>
      <x:c r="H1336" s="50" t="n">
        <x:v>-158.86</x:v>
      </x:c>
      <x:c r="I1336" s="50" t="n">
        <x:v>171.85</x:v>
      </x:c>
      <x:c r="J1336" s="50" t="n">
        <x:v>3.87</x:v>
      </x:c>
      <x:c r="K1336" s="50" t="n">
        <x:v>-4.49</x:v>
      </x:c>
      <x:c r="L1336" s="50" t="n">
        <x:v>5.92</x:v>
      </x:c>
      <x:c r="M1336" s="50" t="n">
        <x:v>0.58</x:v>
      </x:c>
      <x:c r="N1336" t="str">
        <x:v>RELATÓRIO LEITURAS INCLINOMÉTRICAS - Empreitada THE EDEN, Estoril_ R10_09-12-25.pdf</x:v>
      </x:c>
      <x:c r="O1336" t="n">
        <x:v>44</x:v>
      </x:c>
    </x:row>
    <x:row r="1337">
      <x:c r="A1337" s="48" t="n">
        <x:v>46000</x:v>
      </x:c>
      <x:c r="B1337" t="n">
        <x:v>10</x:v>
      </x:c>
      <x:c r="C1337" t="str">
        <x:v>I2</x:v>
      </x:c>
      <x:c r="D1337" t="n">
        <x:v>10</x:v>
      </x:c>
      <x:c r="E1337" s="50" t="n">
        <x:v>5.5</x:v>
      </x:c>
      <x:c r="F1337" s="50" t="n">
        <x:v>41.15</x:v>
      </x:c>
      <x:c r="G1337" s="50" t="n">
        <x:v>-33.14</x:v>
      </x:c>
      <x:c r="H1337" s="50" t="n">
        <x:v>-151.36</x:v>
      </x:c>
      <x:c r="I1337" s="50" t="n">
        <x:v>151.46</x:v>
      </x:c>
      <x:c r="J1337" s="50" t="n">
        <x:v>4.11</x:v>
      </x:c>
      <x:c r="K1337" s="50" t="n">
        <x:v>-4.82</x:v>
      </x:c>
      <x:c r="L1337" s="50" t="n">
        <x:v>6.34</x:v>
      </x:c>
      <x:c r="M1337" s="50" t="n">
        <x:v>0.8</x:v>
      </x:c>
      <x:c r="N1337" t="str">
        <x:v>RELATÓRIO LEITURAS INCLINOMÉTRICAS - Empreitada THE EDEN, Estoril_ R10_09-12-25.pdf</x:v>
      </x:c>
      <x:c r="O1337" t="n">
        <x:v>44</x:v>
      </x:c>
    </x:row>
    <x:row r="1338">
      <x:c r="A1338" s="48" t="n">
        <x:v>46000</x:v>
      </x:c>
      <x:c r="B1338" t="n">
        <x:v>10</x:v>
      </x:c>
      <x:c r="C1338" t="str">
        <x:v>I2</x:v>
      </x:c>
      <x:c r="D1338" t="n">
        <x:v>10</x:v>
      </x:c>
      <x:c r="E1338" s="50" t="n">
        <x:v>6</x:v>
      </x:c>
      <x:c r="F1338" s="50" t="n">
        <x:v>75.78</x:v>
      </x:c>
      <x:c r="G1338" s="50" t="n">
        <x:v>-69.3</x:v>
      </x:c>
      <x:c r="H1338" s="50" t="n">
        <x:v>-183.07</x:v>
      </x:c>
      <x:c r="I1338" s="50" t="n">
        <x:v>181.57</x:v>
      </x:c>
      <x:c r="J1338" s="50" t="n">
        <x:v>4.36</x:v>
      </x:c>
      <x:c r="K1338" s="50" t="n">
        <x:v>-4.91</x:v>
      </x:c>
      <x:c r="L1338" s="50" t="n">
        <x:v>6.57</x:v>
      </x:c>
      <x:c r="M1338" s="50" t="n">
        <x:v>0.83</x:v>
      </x:c>
      <x:c r="N1338" t="str">
        <x:v>RELATÓRIO LEITURAS INCLINOMÉTRICAS - Empreitada THE EDEN, Estoril_ R10_09-12-25.pdf</x:v>
      </x:c>
      <x:c r="O1338" t="n">
        <x:v>44</x:v>
      </x:c>
    </x:row>
    <x:row r="1339">
      <x:c r="A1339" s="48" t="n">
        <x:v>46000</x:v>
      </x:c>
      <x:c r="B1339" t="n">
        <x:v>10</x:v>
      </x:c>
      <x:c r="C1339" t="str">
        <x:v>I2</x:v>
      </x:c>
      <x:c r="D1339" t="n">
        <x:v>10</x:v>
      </x:c>
      <x:c r="E1339" s="50" t="n">
        <x:v>6.5</x:v>
      </x:c>
      <x:c r="F1339" s="50" t="n">
        <x:v>180.4</x:v>
      </x:c>
      <x:c r="G1339" s="50" t="n">
        <x:v>-172.96</x:v>
      </x:c>
      <x:c r="H1339" s="50" t="n">
        <x:v>-177.95</x:v>
      </x:c>
      <x:c r="I1339" s="50" t="n">
        <x:v>170.24</x:v>
      </x:c>
      <x:c r="J1339" s="50" t="n">
        <x:v>4.52</x:v>
      </x:c>
      <x:c r="K1339" s="50" t="n">
        <x:v>-4.78</x:v>
      </x:c>
      <x:c r="L1339" s="50" t="n">
        <x:v>6.59</x:v>
      </x:c>
      <x:c r="M1339" s="50" t="n">
        <x:v>0.77</x:v>
      </x:c>
      <x:c r="N1339" t="str">
        <x:v>RELATÓRIO LEITURAS INCLINOMÉTRICAS - Empreitada THE EDEN, Estoril_ R10_09-12-25.pdf</x:v>
      </x:c>
      <x:c r="O1339" t="n">
        <x:v>44</x:v>
      </x:c>
    </x:row>
    <x:row r="1340">
      <x:c r="A1340" s="48" t="n">
        <x:v>46000</x:v>
      </x:c>
      <x:c r="B1340" t="n">
        <x:v>10</x:v>
      </x:c>
      <x:c r="C1340" t="str">
        <x:v>I2</x:v>
      </x:c>
      <x:c r="D1340" t="n">
        <x:v>10</x:v>
      </x:c>
      <x:c r="E1340" s="50" t="n">
        <x:v>7</x:v>
      </x:c>
      <x:c r="F1340" s="50" t="n">
        <x:v>283.45</x:v>
      </x:c>
      <x:c r="G1340" s="50" t="n">
        <x:v>-276.9</x:v>
      </x:c>
      <x:c r="H1340" s="50" t="n">
        <x:v>-182.77</x:v>
      </x:c>
      <x:c r="I1340" s="50" t="n">
        <x:v>171.66</x:v>
      </x:c>
      <x:c r="J1340" s="50" t="n">
        <x:v>4.73</x:v>
      </x:c>
      <x:c r="K1340" s="50" t="n">
        <x:v>-4.57</x:v>
      </x:c>
      <x:c r="L1340" s="50" t="n">
        <x:v>6.58</x:v>
      </x:c>
      <x:c r="M1340" s="50" t="n">
        <x:v>0.76</x:v>
      </x:c>
      <x:c r="N1340" t="str">
        <x:v>RELATÓRIO LEITURAS INCLINOMÉTRICAS - Empreitada THE EDEN, Estoril_ R10_09-12-25.pdf</x:v>
      </x:c>
      <x:c r="O1340" t="n">
        <x:v>44</x:v>
      </x:c>
    </x:row>
    <x:row r="1341">
      <x:c r="A1341" s="48" t="n">
        <x:v>46000</x:v>
      </x:c>
      <x:c r="B1341" t="n">
        <x:v>10</x:v>
      </x:c>
      <x:c r="C1341" t="str">
        <x:v>I2</x:v>
      </x:c>
      <x:c r="D1341" t="n">
        <x:v>10</x:v>
      </x:c>
      <x:c r="E1341" s="50" t="n">
        <x:v>7.5</x:v>
      </x:c>
      <x:c r="F1341" s="50" t="n">
        <x:v>308.52</x:v>
      </x:c>
      <x:c r="G1341" s="50" t="n">
        <x:v>-293.48</x:v>
      </x:c>
      <x:c r="H1341" s="50" t="n">
        <x:v>-168.33</x:v>
      </x:c>
      <x:c r="I1341" s="50" t="n">
        <x:v>169.71</x:v>
      </x:c>
      <x:c r="J1341" s="50" t="n">
        <x:v>4.87</x:v>
      </x:c>
      <x:c r="K1341" s="50" t="n">
        <x:v>-4.32</x:v>
      </x:c>
      <x:c r="L1341" s="50" t="n">
        <x:v>6.51</x:v>
      </x:c>
      <x:c r="M1341" s="50" t="n">
        <x:v>0.67</x:v>
      </x:c>
      <x:c r="N1341" t="str">
        <x:v>RELATÓRIO LEITURAS INCLINOMÉTRICAS - Empreitada THE EDEN, Estoril_ R10_09-12-25.pdf</x:v>
      </x:c>
      <x:c r="O1341" t="n">
        <x:v>44</x:v>
      </x:c>
    </x:row>
    <x:row r="1342">
      <x:c r="A1342" s="48" t="n">
        <x:v>46000</x:v>
      </x:c>
      <x:c r="B1342" t="n">
        <x:v>10</x:v>
      </x:c>
      <x:c r="C1342" t="str">
        <x:v>I2</x:v>
      </x:c>
      <x:c r="D1342" t="n">
        <x:v>10</x:v>
      </x:c>
      <x:c r="E1342" s="50" t="n">
        <x:v>8</x:v>
      </x:c>
      <x:c r="F1342" s="50" t="n">
        <x:v>272.81</x:v>
      </x:c>
      <x:c r="G1342" s="50" t="n">
        <x:v>-271.1</x:v>
      </x:c>
      <x:c r="H1342" s="50" t="n">
        <x:v>-70.71</x:v>
      </x:c>
      <x:c r="I1342" s="50" t="n">
        <x:v>73.72</x:v>
      </x:c>
      <x:c r="J1342" s="50" t="n">
        <x:v>5.1</x:v>
      </x:c>
      <x:c r="K1342" s="50" t="n">
        <x:v>-4.44</x:v>
      </x:c>
      <x:c r="L1342" s="50" t="n">
        <x:v>6.76</x:v>
      </x:c>
      <x:c r="M1342" s="50" t="n">
        <x:v>0.54</x:v>
      </x:c>
      <x:c r="N1342" t="str">
        <x:v>RELATÓRIO LEITURAS INCLINOMÉTRICAS - Empreitada THE EDEN, Estoril_ R10_09-12-25.pdf</x:v>
      </x:c>
      <x:c r="O1342" t="n">
        <x:v>44</x:v>
      </x:c>
    </x:row>
    <x:row r="1343">
      <x:c r="A1343" s="48" t="n">
        <x:v>46000</x:v>
      </x:c>
      <x:c r="B1343" t="n">
        <x:v>10</x:v>
      </x:c>
      <x:c r="C1343" t="str">
        <x:v>I2</x:v>
      </x:c>
      <x:c r="D1343" t="n">
        <x:v>10</x:v>
      </x:c>
      <x:c r="E1343" s="50" t="n">
        <x:v>8.5</x:v>
      </x:c>
      <x:c r="F1343" s="50" t="n">
        <x:v>338.41</x:v>
      </x:c>
      <x:c r="G1343" s="50" t="n">
        <x:v>-328.81</x:v>
      </x:c>
      <x:c r="H1343" s="50" t="n">
        <x:v>-9.99</x:v>
      </x:c>
      <x:c r="I1343" s="50" t="n">
        <x:v>20.06</x:v>
      </x:c>
      <x:c r="J1343" s="50" t="n">
        <x:v>5.28</x:v>
      </x:c>
      <x:c r="K1343" s="50" t="n">
        <x:v>-4.47</x:v>
      </x:c>
      <x:c r="L1343" s="50" t="n">
        <x:v>6.92</x:v>
      </x:c>
      <x:c r="M1343" s="50" t="n">
        <x:v>0.54</x:v>
      </x:c>
      <x:c r="N1343" t="str">
        <x:v>RELATÓRIO LEITURAS INCLINOMÉTRICAS - Empreitada THE EDEN, Estoril_ R10_09-12-25.pdf</x:v>
      </x:c>
      <x:c r="O1343" t="n">
        <x:v>44</x:v>
      </x:c>
    </x:row>
    <x:row r="1344">
      <x:c r="A1344" s="48" t="n">
        <x:v>46000</x:v>
      </x:c>
      <x:c r="B1344" t="n">
        <x:v>10</x:v>
      </x:c>
      <x:c r="C1344" t="str">
        <x:v>I2</x:v>
      </x:c>
      <x:c r="D1344" t="n">
        <x:v>10</x:v>
      </x:c>
      <x:c r="E1344" s="50" t="n">
        <x:v>9</x:v>
      </x:c>
      <x:c r="F1344" s="50" t="n">
        <x:v>325.37</x:v>
      </x:c>
      <x:c r="G1344" s="50" t="n">
        <x:v>-318.16</x:v>
      </x:c>
      <x:c r="H1344" s="50" t="n">
        <x:v>42.99</x:v>
      </x:c>
      <x:c r="I1344" s="50" t="n">
        <x:v>-33.81</x:v>
      </x:c>
      <x:c r="J1344" s="50" t="n">
        <x:v>5.35</x:v>
      </x:c>
      <x:c r="K1344" s="50" t="n">
        <x:v>-4.73</x:v>
      </x:c>
      <x:c r="L1344" s="50" t="n">
        <x:v>7.14</x:v>
      </x:c>
      <x:c r="M1344" s="50" t="n">
        <x:v>0.58</x:v>
      </x:c>
      <x:c r="N1344" t="str">
        <x:v>RELATÓRIO LEITURAS INCLINOMÉTRICAS - Empreitada THE EDEN, Estoril_ R10_09-12-25.pdf</x:v>
      </x:c>
      <x:c r="O1344" t="n">
        <x:v>44</x:v>
      </x:c>
    </x:row>
    <x:row r="1345">
      <x:c r="A1345" s="48" t="n">
        <x:v>46000</x:v>
      </x:c>
      <x:c r="B1345" t="n">
        <x:v>10</x:v>
      </x:c>
      <x:c r="C1345" t="str">
        <x:v>I2</x:v>
      </x:c>
      <x:c r="D1345" t="n">
        <x:v>10</x:v>
      </x:c>
      <x:c r="E1345" s="50" t="n">
        <x:v>9.5</x:v>
      </x:c>
      <x:c r="F1345" s="50" t="n">
        <x:v>214.23</x:v>
      </x:c>
      <x:c r="G1345" s="50" t="n">
        <x:v>-206.19</x:v>
      </x:c>
      <x:c r="H1345" s="50" t="n">
        <x:v>105.82</x:v>
      </x:c>
      <x:c r="I1345" s="50" t="n">
        <x:v>-125.95</x:v>
      </x:c>
      <x:c r="J1345" s="50" t="n">
        <x:v>5.61</x:v>
      </x:c>
      <x:c r="K1345" s="50" t="n">
        <x:v>-5.16</x:v>
      </x:c>
      <x:c r="L1345" s="50" t="n">
        <x:v>7.62</x:v>
      </x:c>
      <x:c r="M1345" s="50" t="n">
        <x:v>0.63</x:v>
      </x:c>
      <x:c r="N1345" t="str">
        <x:v>RELATÓRIO LEITURAS INCLINOMÉTRICAS - Empreitada THE EDEN, Estoril_ R10_09-12-25.pdf</x:v>
      </x:c>
      <x:c r="O1345" t="n">
        <x:v>44</x:v>
      </x:c>
    </x:row>
    <x:row r="1346">
      <x:c r="A1346" s="48" t="n">
        <x:v>46000</x:v>
      </x:c>
      <x:c r="B1346" t="n">
        <x:v>10</x:v>
      </x:c>
      <x:c r="C1346" t="str">
        <x:v>I2</x:v>
      </x:c>
      <x:c r="D1346" t="n">
        <x:v>10</x:v>
      </x:c>
      <x:c r="E1346" s="50" t="n">
        <x:v>10</x:v>
      </x:c>
      <x:c r="F1346" s="50" t="n">
        <x:v>71.2</x:v>
      </x:c>
      <x:c r="G1346" s="50" t="n">
        <x:v>-54.74</x:v>
      </x:c>
      <x:c r="H1346" s="50" t="n">
        <x:v>146.06</x:v>
      </x:c>
      <x:c r="I1346" s="50" t="n">
        <x:v>-146.03</x:v>
      </x:c>
      <x:c r="J1346" s="50" t="n">
        <x:v>5.94</x:v>
      </x:c>
      <x:c r="K1346" s="50" t="n">
        <x:v>-5.21</x:v>
      </x:c>
      <x:c r="L1346" s="50" t="n">
        <x:v>7.9</x:v>
      </x:c>
      <x:c r="M1346" s="50" t="n">
        <x:v>0.7</x:v>
      </x:c>
      <x:c r="N1346" t="str">
        <x:v>RELATÓRIO LEITURAS INCLINOMÉTRICAS - Empreitada THE EDEN, Estoril_ R10_09-12-25.pdf</x:v>
      </x:c>
      <x:c r="O1346" t="n">
        <x:v>44</x:v>
      </x:c>
    </x:row>
    <x:row r="1347">
      <x:c r="A1347" s="48" t="n">
        <x:v>46000</x:v>
      </x:c>
      <x:c r="B1347" t="n">
        <x:v>10</x:v>
      </x:c>
      <x:c r="C1347" t="str">
        <x:v>I2</x:v>
      </x:c>
      <x:c r="D1347" t="n">
        <x:v>10</x:v>
      </x:c>
      <x:c r="E1347" s="50" t="n">
        <x:v>10.5</x:v>
      </x:c>
      <x:c r="F1347" s="50" t="n">
        <x:v>87.95</x:v>
      </x:c>
      <x:c r="G1347" s="50" t="n">
        <x:v>-82.05</x:v>
      </x:c>
      <x:c r="H1347" s="50" t="n">
        <x:v>75.1</x:v>
      </x:c>
      <x:c r="I1347" s="50" t="n">
        <x:v>-74.59</x:v>
      </x:c>
      <x:c r="J1347" s="50" t="n">
        <x:v>6.15</x:v>
      </x:c>
      <x:c r="K1347" s="50" t="n">
        <x:v>-5.45</x:v>
      </x:c>
      <x:c r="L1347" s="50" t="n">
        <x:v>8.22</x:v>
      </x:c>
      <x:c r="M1347" s="50" t="n">
        <x:v>0.69</x:v>
      </x:c>
      <x:c r="N1347" t="str">
        <x:v>RELATÓRIO LEITURAS INCLINOMÉTRICAS - Empreitada THE EDEN, Estoril_ R10_09-12-25.pdf</x:v>
      </x:c>
      <x:c r="O1347" t="n">
        <x:v>44</x:v>
      </x:c>
    </x:row>
    <x:row r="1348">
      <x:c r="A1348" s="48" t="n">
        <x:v>46000</x:v>
      </x:c>
      <x:c r="B1348" t="n">
        <x:v>10</x:v>
      </x:c>
      <x:c r="C1348" t="str">
        <x:v>I2</x:v>
      </x:c>
      <x:c r="D1348" t="n">
        <x:v>10</x:v>
      </x:c>
      <x:c r="E1348" s="50" t="n">
        <x:v>11</x:v>
      </x:c>
      <x:c r="F1348" s="50" t="n">
        <x:v>19.79</x:v>
      </x:c>
      <x:c r="G1348" s="50" t="n">
        <x:v>-10.24</x:v>
      </x:c>
      <x:c r="H1348" s="50" t="n">
        <x:v>31.85</x:v>
      </x:c>
      <x:c r="I1348" s="50" t="n">
        <x:v>-40.5</x:v>
      </x:c>
      <x:c r="J1348" s="50" t="n">
        <x:v>6.37</x:v>
      </x:c>
      <x:c r="K1348" s="50" t="n">
        <x:v>-5.54</x:v>
      </x:c>
      <x:c r="L1348" s="50" t="n">
        <x:v>8.44</x:v>
      </x:c>
      <x:c r="M1348" s="50" t="n">
        <x:v>0.74</x:v>
      </x:c>
      <x:c r="N1348" t="str">
        <x:v>RELATÓRIO LEITURAS INCLINOMÉTRICAS - Empreitada THE EDEN, Estoril_ R10_09-12-25.pdf</x:v>
      </x:c>
      <x:c r="O1348" t="n">
        <x:v>44</x:v>
      </x:c>
    </x:row>
    <x:row r="1349">
      <x:c r="A1349" s="48" t="n">
        <x:v>46000</x:v>
      </x:c>
      <x:c r="B1349" t="n">
        <x:v>10</x:v>
      </x:c>
      <x:c r="C1349" t="str">
        <x:v>I2</x:v>
      </x:c>
      <x:c r="D1349" t="n">
        <x:v>10</x:v>
      </x:c>
      <x:c r="E1349" s="50" t="n">
        <x:v>11.5</x:v>
      </x:c>
      <x:c r="F1349" s="50" t="n">
        <x:v>-63.04</x:v>
      </x:c>
      <x:c r="G1349" s="50" t="n">
        <x:v>66.64</x:v>
      </x:c>
      <x:c r="H1349" s="50" t="n">
        <x:v>9.82</x:v>
      </x:c>
      <x:c r="I1349" s="50" t="n">
        <x:v>-16.24</x:v>
      </x:c>
      <x:c r="J1349" s="50" t="n">
        <x:v>6.53</x:v>
      </x:c>
      <x:c r="K1349" s="50" t="n">
        <x:v>-5.63</x:v>
      </x:c>
      <x:c r="L1349" s="50" t="n">
        <x:v>8.62</x:v>
      </x:c>
      <x:c r="M1349" s="50" t="n">
        <x:v>0.7</x:v>
      </x:c>
      <x:c r="N1349" t="str">
        <x:v>RELATÓRIO LEITURAS INCLINOMÉTRICAS - Empreitada THE EDEN, Estoril_ R10_09-12-25.pdf</x:v>
      </x:c>
      <x:c r="O1349" t="n">
        <x:v>44</x:v>
      </x:c>
    </x:row>
    <x:row r="1350">
      <x:c r="A1350" s="48" t="n">
        <x:v>46000</x:v>
      </x:c>
      <x:c r="B1350" t="n">
        <x:v>10</x:v>
      </x:c>
      <x:c r="C1350" t="str">
        <x:v>I2</x:v>
      </x:c>
      <x:c r="D1350" t="n">
        <x:v>10</x:v>
      </x:c>
      <x:c r="E1350" s="50" t="n">
        <x:v>12</x:v>
      </x:c>
      <x:c r="F1350" s="50" t="n">
        <x:v>-78.94</x:v>
      </x:c>
      <x:c r="G1350" s="50" t="n">
        <x:v>89.99</x:v>
      </x:c>
      <x:c r="H1350" s="50" t="n">
        <x:v>24.49</x:v>
      </x:c>
      <x:c r="I1350" s="50" t="n">
        <x:v>-28.06</x:v>
      </x:c>
      <x:c r="J1350" s="50" t="n">
        <x:v>6.49</x:v>
      </x:c>
      <x:c r="K1350" s="50" t="n">
        <x:v>-5.45</x:v>
      </x:c>
      <x:c r="L1350" s="50" t="n">
        <x:v>8.47</x:v>
      </x:c>
      <x:c r="M1350" s="50" t="n">
        <x:v>0.77</x:v>
      </x:c>
      <x:c r="N1350" t="str">
        <x:v>RELATÓRIO LEITURAS INCLINOMÉTRICAS - Empreitada THE EDEN, Estoril_ R10_09-12-25.pdf</x:v>
      </x:c>
      <x:c r="O1350" t="n">
        <x:v>44</x:v>
      </x:c>
    </x:row>
    <x:row r="1351">
      <x:c r="A1351" s="48" t="n">
        <x:v>46000</x:v>
      </x:c>
      <x:c r="B1351" t="n">
        <x:v>10</x:v>
      </x:c>
      <x:c r="C1351" t="str">
        <x:v>I2</x:v>
      </x:c>
      <x:c r="D1351" t="n">
        <x:v>10</x:v>
      </x:c>
      <x:c r="E1351" s="50" t="n">
        <x:v>12.5</x:v>
      </x:c>
      <x:c r="F1351" s="50" t="n">
        <x:v>-48.26</x:v>
      </x:c>
      <x:c r="G1351" s="50" t="n">
        <x:v>57.69</x:v>
      </x:c>
      <x:c r="H1351" s="50" t="n">
        <x:v>21.1</x:v>
      </x:c>
      <x:c r="I1351" s="50" t="n">
        <x:v>-23.95</x:v>
      </x:c>
      <x:c r="J1351" s="50" t="n">
        <x:v>6.35</x:v>
      </x:c>
      <x:c r="K1351" s="50" t="n">
        <x:v>-5.19</x:v>
      </x:c>
      <x:c r="L1351" s="50" t="n">
        <x:v>8.2</x:v>
      </x:c>
      <x:c r="M1351" s="50" t="n">
        <x:v>0.77</x:v>
      </x:c>
      <x:c r="N1351" t="str">
        <x:v>RELATÓRIO LEITURAS INCLINOMÉTRICAS - Empreitada THE EDEN, Estoril_ R10_09-12-25.pdf</x:v>
      </x:c>
      <x:c r="O1351" t="n">
        <x:v>44</x:v>
      </x:c>
    </x:row>
    <x:row r="1352">
      <x:c r="A1352" s="48" t="n">
        <x:v>46000</x:v>
      </x:c>
      <x:c r="B1352" t="n">
        <x:v>10</x:v>
      </x:c>
      <x:c r="C1352" t="str">
        <x:v>I2</x:v>
      </x:c>
      <x:c r="D1352" t="n">
        <x:v>10</x:v>
      </x:c>
      <x:c r="E1352" s="50" t="n">
        <x:v>13</x:v>
      </x:c>
      <x:c r="F1352" s="50" t="n">
        <x:v>-102.99</x:v>
      </x:c>
      <x:c r="G1352" s="50" t="n">
        <x:v>110.31</x:v>
      </x:c>
      <x:c r="H1352" s="50" t="n">
        <x:v>-22.52</x:v>
      </x:c>
      <x:c r="I1352" s="50" t="n">
        <x:v>33.96</x:v>
      </x:c>
      <x:c r="J1352" s="50" t="n">
        <x:v>6.06</x:v>
      </x:c>
      <x:c r="K1352" s="50" t="n">
        <x:v>-4.97</x:v>
      </x:c>
      <x:c r="L1352" s="50" t="n">
        <x:v>7.84</x:v>
      </x:c>
      <x:c r="M1352" s="50" t="n">
        <x:v>0.76</x:v>
      </x:c>
      <x:c r="N1352" t="str">
        <x:v>RELATÓRIO LEITURAS INCLINOMÉTRICAS - Empreitada THE EDEN, Estoril_ R10_09-12-25.pdf</x:v>
      </x:c>
      <x:c r="O1352" t="n">
        <x:v>44</x:v>
      </x:c>
    </x:row>
    <x:row r="1353">
      <x:c r="A1353" s="48" t="n">
        <x:v>46000</x:v>
      </x:c>
      <x:c r="B1353" t="n">
        <x:v>10</x:v>
      </x:c>
      <x:c r="C1353" t="str">
        <x:v>I2</x:v>
      </x:c>
      <x:c r="D1353" t="n">
        <x:v>10</x:v>
      </x:c>
      <x:c r="E1353" s="50" t="n">
        <x:v>13.5</x:v>
      </x:c>
      <x:c r="F1353" s="50" t="n">
        <x:v>-267.97</x:v>
      </x:c>
      <x:c r="G1353" s="50" t="n">
        <x:v>277.72</x:v>
      </x:c>
      <x:c r="H1353" s="50" t="n">
        <x:v>-179.14</x:v>
      </x:c>
      <x:c r="I1353" s="50" t="n">
        <x:v>174.48</x:v>
      </x:c>
      <x:c r="J1353" s="50" t="n">
        <x:v>5.88</x:v>
      </x:c>
      <x:c r="K1353" s="50" t="n">
        <x:v>-4.72</x:v>
      </x:c>
      <x:c r="L1353" s="50" t="n">
        <x:v>7.54</x:v>
      </x:c>
      <x:c r="M1353" s="50" t="n">
        <x:v>0.68</x:v>
      </x:c>
      <x:c r="N1353" t="str">
        <x:v>RELATÓRIO LEITURAS INCLINOMÉTRICAS - Empreitada THE EDEN, Estoril_ R10_09-12-25.pdf</x:v>
      </x:c>
      <x:c r="O1353" t="n">
        <x:v>44</x:v>
      </x:c>
    </x:row>
    <x:row r="1354">
      <x:c r="A1354" s="48" t="n">
        <x:v>46000</x:v>
      </x:c>
      <x:c r="B1354" t="n">
        <x:v>10</x:v>
      </x:c>
      <x:c r="C1354" t="str">
        <x:v>I2</x:v>
      </x:c>
      <x:c r="D1354" t="n">
        <x:v>10</x:v>
      </x:c>
      <x:c r="E1354" s="50" t="n">
        <x:v>14</x:v>
      </x:c>
      <x:c r="F1354" s="50" t="n">
        <x:v>-294.92</x:v>
      </x:c>
      <x:c r="G1354" s="50" t="n">
        <x:v>304.54</x:v>
      </x:c>
      <x:c r="H1354" s="50" t="n">
        <x:v>-296.81</x:v>
      </x:c>
      <x:c r="I1354" s="50" t="n">
        <x:v>292.32</x:v>
      </x:c>
      <x:c r="J1354" s="50" t="n">
        <x:v>5.75</x:v>
      </x:c>
      <x:c r="K1354" s="50" t="n">
        <x:v>-4.65</x:v>
      </x:c>
      <x:c r="L1354" s="50" t="n">
        <x:v>7.39</x:v>
      </x:c>
      <x:c r="M1354" s="50" t="n">
        <x:v>0.75</x:v>
      </x:c>
      <x:c r="N1354" t="str">
        <x:v>RELATÓRIO LEITURAS INCLINOMÉTRICAS - Empreitada THE EDEN, Estoril_ R10_09-12-25.pdf</x:v>
      </x:c>
      <x:c r="O1354" t="n">
        <x:v>44</x:v>
      </x:c>
    </x:row>
    <x:row r="1355">
      <x:c r="A1355" s="48" t="n">
        <x:v>46000</x:v>
      </x:c>
      <x:c r="B1355" t="n">
        <x:v>10</x:v>
      </x:c>
      <x:c r="C1355" t="str">
        <x:v>I2</x:v>
      </x:c>
      <x:c r="D1355" t="n">
        <x:v>10</x:v>
      </x:c>
      <x:c r="E1355" s="50" t="n">
        <x:v>14.5</x:v>
      </x:c>
      <x:c r="F1355" s="50" t="n">
        <x:v>-269.28</x:v>
      </x:c>
      <x:c r="G1355" s="50" t="n">
        <x:v>278.85</x:v>
      </x:c>
      <x:c r="H1355" s="50" t="n">
        <x:v>-254.36</x:v>
      </x:c>
      <x:c r="I1355" s="50" t="n">
        <x:v>250.86</x:v>
      </x:c>
      <x:c r="J1355" s="50" t="n">
        <x:v>5.7</x:v>
      </x:c>
      <x:c r="K1355" s="50" t="n">
        <x:v>-4.41</x:v>
      </x:c>
      <x:c r="L1355" s="50" t="n">
        <x:v>7.21</x:v>
      </x:c>
      <x:c r="M1355" s="50" t="n">
        <x:v>0.72</x:v>
      </x:c>
      <x:c r="N1355" t="str">
        <x:v>RELATÓRIO LEITURAS INCLINOMÉTRICAS - Empreitada THE EDEN, Estoril_ R10_09-12-25.pdf</x:v>
      </x:c>
      <x:c r="O1355" t="n">
        <x:v>44</x:v>
      </x:c>
    </x:row>
    <x:row r="1356">
      <x:c r="A1356" s="48" t="n">
        <x:v>46000</x:v>
      </x:c>
      <x:c r="B1356" t="n">
        <x:v>10</x:v>
      </x:c>
      <x:c r="C1356" t="str">
        <x:v>I2</x:v>
      </x:c>
      <x:c r="D1356" t="n">
        <x:v>10</x:v>
      </x:c>
      <x:c r="E1356" s="50" t="n">
        <x:v>15</x:v>
      </x:c>
      <x:c r="F1356" s="50" t="n">
        <x:v>-234.91</x:v>
      </x:c>
      <x:c r="G1356" s="50" t="n">
        <x:v>246.49</x:v>
      </x:c>
      <x:c r="H1356" s="50" t="n">
        <x:v>-195.57</x:v>
      </x:c>
      <x:c r="I1356" s="50" t="n">
        <x:v>188.08</x:v>
      </x:c>
      <x:c r="J1356" s="50" t="n">
        <x:v>5.42</x:v>
      </x:c>
      <x:c r="K1356" s="50" t="n">
        <x:v>-4.29</x:v>
      </x:c>
      <x:c r="L1356" s="50" t="n">
        <x:v>6.91</x:v>
      </x:c>
      <x:c r="M1356" s="50" t="n">
        <x:v>0.71</x:v>
      </x:c>
      <x:c r="N1356" t="str">
        <x:v>RELATÓRIO LEITURAS INCLINOMÉTRICAS - Empreitada THE EDEN, Estoril_ R10_09-12-25.pdf</x:v>
      </x:c>
      <x:c r="O1356" t="n">
        <x:v>44</x:v>
      </x:c>
    </x:row>
    <x:row r="1357">
      <x:c r="A1357" s="48" t="n">
        <x:v>46000</x:v>
      </x:c>
      <x:c r="B1357" t="n">
        <x:v>10</x:v>
      </x:c>
      <x:c r="C1357" t="str">
        <x:v>I2</x:v>
      </x:c>
      <x:c r="D1357" t="n">
        <x:v>10</x:v>
      </x:c>
      <x:c r="E1357" s="50" t="n">
        <x:v>15.5</x:v>
      </x:c>
      <x:c r="F1357" s="50" t="n">
        <x:v>-165.86</x:v>
      </x:c>
      <x:c r="G1357" s="50" t="n">
        <x:v>171.06</x:v>
      </x:c>
      <x:c r="H1357" s="50" t="n">
        <x:v>-186.57</x:v>
      </x:c>
      <x:c r="I1357" s="50" t="n">
        <x:v>174.24</x:v>
      </x:c>
      <x:c r="J1357" s="50" t="n">
        <x:v>5.09</x:v>
      </x:c>
      <x:c r="K1357" s="50" t="n">
        <x:v>-4.04</x:v>
      </x:c>
      <x:c r="L1357" s="50" t="n">
        <x:v>6.5</x:v>
      </x:c>
      <x:c r="M1357" s="50" t="n">
        <x:v>0.72</x:v>
      </x:c>
      <x:c r="N1357" t="str">
        <x:v>RELATÓRIO LEITURAS INCLINOMÉTRICAS - Empreitada THE EDEN, Estoril_ R10_09-12-25.pdf</x:v>
      </x:c>
      <x:c r="O1357" t="n">
        <x:v>44</x:v>
      </x:c>
    </x:row>
    <x:row r="1358">
      <x:c r="A1358" s="48" t="n">
        <x:v>46000</x:v>
      </x:c>
      <x:c r="B1358" t="n">
        <x:v>10</x:v>
      </x:c>
      <x:c r="C1358" t="str">
        <x:v>I2</x:v>
      </x:c>
      <x:c r="D1358" t="n">
        <x:v>10</x:v>
      </x:c>
      <x:c r="E1358" s="50" t="n">
        <x:v>16</x:v>
      </x:c>
      <x:c r="F1358" s="50" t="n">
        <x:v>-79.1</x:v>
      </x:c>
      <x:c r="G1358" s="50" t="n">
        <x:v>86.55</x:v>
      </x:c>
      <x:c r="H1358" s="50" t="n">
        <x:v>-166.17</x:v>
      </x:c>
      <x:c r="I1358" s="50" t="n">
        <x:v>168.32</x:v>
      </x:c>
      <x:c r="J1358" s="50" t="n">
        <x:v>4.9</x:v>
      </x:c>
      <x:c r="K1358" s="50" t="n">
        <x:v>-3.85</x:v>
      </x:c>
      <x:c r="L1358" s="50" t="n">
        <x:v>6.23</x:v>
      </x:c>
      <x:c r="M1358" s="50" t="n">
        <x:v>0.72</x:v>
      </x:c>
      <x:c r="N1358" t="str">
        <x:v>RELATÓRIO LEITURAS INCLINOMÉTRICAS - Empreitada THE EDEN, Estoril_ R10_09-12-25.pdf</x:v>
      </x:c>
      <x:c r="O1358" t="n">
        <x:v>44</x:v>
      </x:c>
    </x:row>
    <x:row r="1359">
      <x:c r="A1359" s="48" t="n">
        <x:v>46000</x:v>
      </x:c>
      <x:c r="B1359" t="n">
        <x:v>10</x:v>
      </x:c>
      <x:c r="C1359" t="str">
        <x:v>I2</x:v>
      </x:c>
      <x:c r="D1359" t="n">
        <x:v>10</x:v>
      </x:c>
      <x:c r="E1359" s="50" t="n">
        <x:v>16.5</x:v>
      </x:c>
      <x:c r="F1359" s="50" t="n">
        <x:v>104.7</x:v>
      </x:c>
      <x:c r="G1359" s="50" t="n">
        <x:v>-97.82</x:v>
      </x:c>
      <x:c r="H1359" s="50" t="n">
        <x:v>-109.06</x:v>
      </x:c>
      <x:c r="I1359" s="50" t="n">
        <x:v>124.08</x:v>
      </x:c>
      <x:c r="J1359" s="50" t="n">
        <x:v>4.72</x:v>
      </x:c>
      <x:c r="K1359" s="50" t="n">
        <x:v>-3.75</x:v>
      </x:c>
      <x:c r="L1359" s="50" t="n">
        <x:v>6.03</x:v>
      </x:c>
      <x:c r="M1359" s="50" t="n">
        <x:v>0.71</x:v>
      </x:c>
      <x:c r="N1359" t="str">
        <x:v>RELATÓRIO LEITURAS INCLINOMÉTRICAS - Empreitada THE EDEN, Estoril_ R10_09-12-25.pdf</x:v>
      </x:c>
      <x:c r="O1359" t="n">
        <x:v>44</x:v>
      </x:c>
    </x:row>
    <x:row r="1360">
      <x:c r="A1360" s="48" t="n">
        <x:v>46000</x:v>
      </x:c>
      <x:c r="B1360" t="n">
        <x:v>10</x:v>
      </x:c>
      <x:c r="C1360" t="str">
        <x:v>I2</x:v>
      </x:c>
      <x:c r="D1360" t="n">
        <x:v>10</x:v>
      </x:c>
      <x:c r="E1360" s="50" t="n">
        <x:v>17</x:v>
      </x:c>
      <x:c r="F1360" s="50" t="n">
        <x:v>261.96</x:v>
      </x:c>
      <x:c r="G1360" s="50" t="n">
        <x:v>-254.22</x:v>
      </x:c>
      <x:c r="H1360" s="50" t="n">
        <x:v>-60.57</x:v>
      </x:c>
      <x:c r="I1360" s="50" t="n">
        <x:v>51.64</x:v>
      </x:c>
      <x:c r="J1360" s="50" t="n">
        <x:v>4.53</x:v>
      </x:c>
      <x:c r="K1360" s="50" t="n">
        <x:v>-3.91</x:v>
      </x:c>
      <x:c r="L1360" s="50" t="n">
        <x:v>5.98</x:v>
      </x:c>
      <x:c r="M1360" s="50" t="n">
        <x:v>0.79</x:v>
      </x:c>
      <x:c r="N1360" t="str">
        <x:v>RELATÓRIO LEITURAS INCLINOMÉTRICAS - Empreitada THE EDEN, Estoril_ R10_09-12-25.pdf</x:v>
      </x:c>
      <x:c r="O1360" t="n">
        <x:v>44</x:v>
      </x:c>
    </x:row>
    <x:row r="1361">
      <x:c r="A1361" s="48" t="n">
        <x:v>46000</x:v>
      </x:c>
      <x:c r="B1361" t="n">
        <x:v>10</x:v>
      </x:c>
      <x:c r="C1361" t="str">
        <x:v>I2</x:v>
      </x:c>
      <x:c r="D1361" t="n">
        <x:v>10</x:v>
      </x:c>
      <x:c r="E1361" s="50" t="n">
        <x:v>17.5</x:v>
      </x:c>
      <x:c r="F1361" s="50" t="n">
        <x:v>314.84</x:v>
      </x:c>
      <x:c r="G1361" s="50" t="n">
        <x:v>-308.9</x:v>
      </x:c>
      <x:c r="H1361" s="50" t="n">
        <x:v>-61.91</x:v>
      </x:c>
      <x:c r="I1361" s="50" t="n">
        <x:v>59.1</x:v>
      </x:c>
      <x:c r="J1361" s="50" t="n">
        <x:v>4.24</x:v>
      </x:c>
      <x:c r="K1361" s="50" t="n">
        <x:v>-3.61</x:v>
      </x:c>
      <x:c r="L1361" s="50" t="n">
        <x:v>5.57</x:v>
      </x:c>
      <x:c r="M1361" s="50" t="n">
        <x:v>0.69</x:v>
      </x:c>
      <x:c r="N1361" t="str">
        <x:v>RELATÓRIO LEITURAS INCLINOMÉTRICAS - Empreitada THE EDEN, Estoril_ R10_09-12-25.pdf</x:v>
      </x:c>
      <x:c r="O1361" t="n">
        <x:v>44</x:v>
      </x:c>
    </x:row>
    <x:row r="1362">
      <x:c r="A1362" s="48" t="n">
        <x:v>46000</x:v>
      </x:c>
      <x:c r="B1362" t="n">
        <x:v>10</x:v>
      </x:c>
      <x:c r="C1362" t="str">
        <x:v>I2</x:v>
      </x:c>
      <x:c r="D1362" t="n">
        <x:v>10</x:v>
      </x:c>
      <x:c r="E1362" s="50" t="n">
        <x:v>18</x:v>
      </x:c>
      <x:c r="F1362" s="50" t="n">
        <x:v>389.79</x:v>
      </x:c>
      <x:c r="G1362" s="50" t="n">
        <x:v>-381.55</x:v>
      </x:c>
      <x:c r="H1362" s="50" t="n">
        <x:v>-100.24</x:v>
      </x:c>
      <x:c r="I1362" s="50" t="n">
        <x:v>97.69</x:v>
      </x:c>
      <x:c r="J1362" s="50" t="n">
        <x:v>3.96</x:v>
      </x:c>
      <x:c r="K1362" s="50" t="n">
        <x:v>-3.28</x:v>
      </x:c>
      <x:c r="L1362" s="50" t="n">
        <x:v>5.14</x:v>
      </x:c>
      <x:c r="M1362" s="50" t="n">
        <x:v>0.6</x:v>
      </x:c>
      <x:c r="N1362" t="str">
        <x:v>RELATÓRIO LEITURAS INCLINOMÉTRICAS - Empreitada THE EDEN, Estoril_ R10_09-12-25.pdf</x:v>
      </x:c>
      <x:c r="O1362" t="n">
        <x:v>44</x:v>
      </x:c>
    </x:row>
    <x:row r="1363">
      <x:c r="A1363" s="48" t="n">
        <x:v>46000</x:v>
      </x:c>
      <x:c r="B1363" t="n">
        <x:v>10</x:v>
      </x:c>
      <x:c r="C1363" t="str">
        <x:v>I2</x:v>
      </x:c>
      <x:c r="D1363" t="n">
        <x:v>10</x:v>
      </x:c>
      <x:c r="E1363" s="50" t="n">
        <x:v>18.5</x:v>
      </x:c>
      <x:c r="F1363" s="50" t="n">
        <x:v>433.93</x:v>
      </x:c>
      <x:c r="G1363" s="50" t="n">
        <x:v>-426.57</x:v>
      </x:c>
      <x:c r="H1363" s="50" t="n">
        <x:v>-106.61</x:v>
      </x:c>
      <x:c r="I1363" s="50" t="n">
        <x:v>113.73</x:v>
      </x:c>
      <x:c r="J1363" s="50" t="n">
        <x:v>3.82</x:v>
      </x:c>
      <x:c r="K1363" s="50" t="n">
        <x:v>-3.18</x:v>
      </x:c>
      <x:c r="L1363" s="50" t="n">
        <x:v>4.97</x:v>
      </x:c>
      <x:c r="M1363" s="50" t="n">
        <x:v>0.67</x:v>
      </x:c>
      <x:c r="N1363" t="str">
        <x:v>RELATÓRIO LEITURAS INCLINOMÉTRICAS - Empreitada THE EDEN, Estoril_ R10_09-12-25.pdf</x:v>
      </x:c>
      <x:c r="O1363" t="n">
        <x:v>44</x:v>
      </x:c>
    </x:row>
    <x:row r="1364">
      <x:c r="A1364" s="48" t="n">
        <x:v>46000</x:v>
      </x:c>
      <x:c r="B1364" t="n">
        <x:v>10</x:v>
      </x:c>
      <x:c r="C1364" t="str">
        <x:v>I2</x:v>
      </x:c>
      <x:c r="D1364" t="n">
        <x:v>10</x:v>
      </x:c>
      <x:c r="E1364" s="50" t="n">
        <x:v>19</x:v>
      </x:c>
      <x:c r="F1364" s="50" t="n">
        <x:v>432.99</x:v>
      </x:c>
      <x:c r="G1364" s="50" t="n">
        <x:v>-428.06</x:v>
      </x:c>
      <x:c r="H1364" s="50" t="n">
        <x:v>-104.81</x:v>
      </x:c>
      <x:c r="I1364" s="50" t="n">
        <x:v>105.3</x:v>
      </x:c>
      <x:c r="J1364" s="50" t="n">
        <x:v>3.69</x:v>
      </x:c>
      <x:c r="K1364" s="50" t="n">
        <x:v>-3.02</x:v>
      </x:c>
      <x:c r="L1364" s="50" t="n">
        <x:v>4.77</x:v>
      </x:c>
      <x:c r="M1364" s="50" t="n">
        <x:v>0.69</x:v>
      </x:c>
      <x:c r="N1364" t="str">
        <x:v>RELATÓRIO LEITURAS INCLINOMÉTRICAS - Empreitada THE EDEN, Estoril_ R10_09-12-25.pdf</x:v>
      </x:c>
      <x:c r="O1364" t="n">
        <x:v>44</x:v>
      </x:c>
    </x:row>
    <x:row r="1365">
      <x:c r="A1365" s="48" t="n">
        <x:v>46000</x:v>
      </x:c>
      <x:c r="B1365" t="n">
        <x:v>10</x:v>
      </x:c>
      <x:c r="C1365" t="str">
        <x:v>I2</x:v>
      </x:c>
      <x:c r="D1365" t="n">
        <x:v>10</x:v>
      </x:c>
      <x:c r="E1365" s="50" t="n">
        <x:v>19.5</x:v>
      </x:c>
      <x:c r="F1365" s="50" t="n">
        <x:v>319.14</x:v>
      </x:c>
      <x:c r="G1365" s="50" t="n">
        <x:v>-318.92</x:v>
      </x:c>
      <x:c r="H1365" s="50" t="n">
        <x:v>-44.03</x:v>
      </x:c>
      <x:c r="I1365" s="50" t="n">
        <x:v>51.81</x:v>
      </x:c>
      <x:c r="J1365" s="50" t="n">
        <x:v>3.32</x:v>
      </x:c>
      <x:c r="K1365" s="50" t="n">
        <x:v>-2.66</x:v>
      </x:c>
      <x:c r="L1365" s="50" t="n">
        <x:v>4.26</x:v>
      </x:c>
      <x:c r="M1365" s="50" t="n">
        <x:v>0.61</x:v>
      </x:c>
      <x:c r="N1365" t="str">
        <x:v>RELATÓRIO LEITURAS INCLINOMÉTRICAS - Empreitada THE EDEN, Estoril_ R10_09-12-25.pdf</x:v>
      </x:c>
      <x:c r="O1365" t="n">
        <x:v>44</x:v>
      </x:c>
    </x:row>
    <x:row r="1366">
      <x:c r="A1366" s="48" t="n">
        <x:v>46000</x:v>
      </x:c>
      <x:c r="B1366" t="n">
        <x:v>10</x:v>
      </x:c>
      <x:c r="C1366" t="str">
        <x:v>I2</x:v>
      </x:c>
      <x:c r="D1366" t="n">
        <x:v>10</x:v>
      </x:c>
      <x:c r="E1366" s="50" t="n">
        <x:v>20</x:v>
      </x:c>
      <x:c r="F1366" s="50" t="n">
        <x:v>183.33</x:v>
      </x:c>
      <x:c r="G1366" s="50" t="n">
        <x:v>-176.24</x:v>
      </x:c>
      <x:c r="H1366" s="50" t="n">
        <x:v>2.46</x:v>
      </x:c>
      <x:c r="I1366" s="50" t="n">
        <x:v>6.27</x:v>
      </x:c>
      <x:c r="J1366" s="50" t="n">
        <x:v>3.14</x:v>
      </x:c>
      <x:c r="K1366" s="50" t="n">
        <x:v>-2.63</x:v>
      </x:c>
      <x:c r="L1366" s="50" t="n">
        <x:v>4.09</x:v>
      </x:c>
      <x:c r="M1366" s="50" t="n">
        <x:v>0.65</x:v>
      </x:c>
      <x:c r="N1366" t="str">
        <x:v>RELATÓRIO LEITURAS INCLINOMÉTRICAS - Empreitada THE EDEN, Estoril_ R10_09-12-25.pdf</x:v>
      </x:c>
      <x:c r="O1366" t="n">
        <x:v>44</x:v>
      </x:c>
    </x:row>
    <x:row r="1367">
      <x:c r="A1367" s="48" t="n">
        <x:v>46000</x:v>
      </x:c>
      <x:c r="B1367" t="n">
        <x:v>10</x:v>
      </x:c>
      <x:c r="C1367" t="str">
        <x:v>I2</x:v>
      </x:c>
      <x:c r="D1367" t="n">
        <x:v>10</x:v>
      </x:c>
      <x:c r="E1367" s="50" t="n">
        <x:v>20.5</x:v>
      </x:c>
      <x:c r="F1367" s="50" t="n">
        <x:v>148.7</x:v>
      </x:c>
      <x:c r="G1367" s="50" t="n">
        <x:v>-143.17</x:v>
      </x:c>
      <x:c r="H1367" s="50" t="n">
        <x:v>-3.07</x:v>
      </x:c>
      <x:c r="I1367" s="50" t="n">
        <x:v>11.64</x:v>
      </x:c>
      <x:c r="J1367" s="50" t="n">
        <x:v>2.8</x:v>
      </x:c>
      <x:c r="K1367" s="50" t="n">
        <x:v>-2.36</x:v>
      </x:c>
      <x:c r="L1367" s="50" t="n">
        <x:v>3.67</x:v>
      </x:c>
      <x:c r="M1367" s="50" t="n">
        <x:v>0.57</x:v>
      </x:c>
      <x:c r="N1367" t="str">
        <x:v>RELATÓRIO LEITURAS INCLINOMÉTRICAS - Empreitada THE EDEN, Estoril_ R10_09-12-25.pdf</x:v>
      </x:c>
      <x:c r="O1367" t="n">
        <x:v>44</x:v>
      </x:c>
    </x:row>
    <x:row r="1368">
      <x:c r="A1368" s="48" t="n">
        <x:v>46000</x:v>
      </x:c>
      <x:c r="B1368" t="n">
        <x:v>10</x:v>
      </x:c>
      <x:c r="C1368" t="str">
        <x:v>I2</x:v>
      </x:c>
      <x:c r="D1368" t="n">
        <x:v>10</x:v>
      </x:c>
      <x:c r="E1368" s="50" t="n">
        <x:v>21</x:v>
      </x:c>
      <x:c r="F1368" s="50" t="n">
        <x:v>107.99</x:v>
      </x:c>
      <x:c r="G1368" s="50" t="n">
        <x:v>-100.59</x:v>
      </x:c>
      <x:c r="H1368" s="50" t="n">
        <x:v>-3.22</x:v>
      </x:c>
      <x:c r="I1368" s="50" t="n">
        <x:v>12.39</x:v>
      </x:c>
      <x:c r="J1368" s="50" t="n">
        <x:v>2.55</x:v>
      </x:c>
      <x:c r="K1368" s="50" t="n">
        <x:v>-2.15</x:v>
      </x:c>
      <x:c r="L1368" s="50" t="n">
        <x:v>3.34</x:v>
      </x:c>
      <x:c r="M1368" s="50" t="n">
        <x:v>0.49</x:v>
      </x:c>
      <x:c r="N1368" t="str">
        <x:v>RELATÓRIO LEITURAS INCLINOMÉTRICAS - Empreitada THE EDEN, Estoril_ R10_09-12-25.pdf</x:v>
      </x:c>
      <x:c r="O1368" t="n">
        <x:v>44</x:v>
      </x:c>
    </x:row>
    <x:row r="1369">
      <x:c r="A1369" s="48" t="n">
        <x:v>46000</x:v>
      </x:c>
      <x:c r="B1369" t="n">
        <x:v>10</x:v>
      </x:c>
      <x:c r="C1369" t="str">
        <x:v>I2</x:v>
      </x:c>
      <x:c r="D1369" t="n">
        <x:v>10</x:v>
      </x:c>
      <x:c r="E1369" s="50" t="n">
        <x:v>21.5</x:v>
      </x:c>
      <x:c r="F1369" s="50" t="n">
        <x:v>-18.47</x:v>
      </x:c>
      <x:c r="G1369" s="50" t="n">
        <x:v>26.81</x:v>
      </x:c>
      <x:c r="H1369" s="50" t="n">
        <x:v>-14.67</x:v>
      </x:c>
      <x:c r="I1369" s="50" t="n">
        <x:v>16.87</x:v>
      </x:c>
      <x:c r="J1369" s="50" t="n">
        <x:v>2.16</x:v>
      </x:c>
      <x:c r="K1369" s="50" t="n">
        <x:v>-2.14</x:v>
      </x:c>
      <x:c r="L1369" s="50" t="n">
        <x:v>3.04</x:v>
      </x:c>
      <x:c r="M1369" s="50" t="n">
        <x:v>0.41</x:v>
      </x:c>
      <x:c r="N1369" t="str">
        <x:v>RELATÓRIO LEITURAS INCLINOMÉTRICAS - Empreitada THE EDEN, Estoril_ R10_09-12-25.pdf</x:v>
      </x:c>
      <x:c r="O1369" t="n">
        <x:v>44</x:v>
      </x:c>
    </x:row>
    <x:row r="1370">
      <x:c r="A1370" s="48" t="n">
        <x:v>46000</x:v>
      </x:c>
      <x:c r="B1370" t="n">
        <x:v>10</x:v>
      </x:c>
      <x:c r="C1370" t="str">
        <x:v>I2</x:v>
      </x:c>
      <x:c r="D1370" t="n">
        <x:v>10</x:v>
      </x:c>
      <x:c r="E1370" s="50" t="n">
        <x:v>22</x:v>
      </x:c>
      <x:c r="F1370" s="50" t="n">
        <x:v>-64.65</x:v>
      </x:c>
      <x:c r="G1370" s="50" t="n">
        <x:v>70.66</x:v>
      </x:c>
      <x:c r="H1370" s="50" t="n">
        <x:v>-3.6</x:v>
      </x:c>
      <x:c r="I1370" s="50" t="n">
        <x:v>21.99</x:v>
      </x:c>
      <x:c r="J1370" s="50" t="n">
        <x:v>1.97</x:v>
      </x:c>
      <x:c r="K1370" s="50" t="n">
        <x:v>-1.82</x:v>
      </x:c>
      <x:c r="L1370" s="50" t="n">
        <x:v>2.69</x:v>
      </x:c>
      <x:c r="M1370" s="50" t="n">
        <x:v>0.35</x:v>
      </x:c>
      <x:c r="N1370" t="str">
        <x:v>RELATÓRIO LEITURAS INCLINOMÉTRICAS - Empreitada THE EDEN, Estoril_ R10_09-12-25.pdf</x:v>
      </x:c>
      <x:c r="O1370" t="n">
        <x:v>44</x:v>
      </x:c>
    </x:row>
    <x:row r="1371">
      <x:c r="A1371" s="48" t="n">
        <x:v>46000</x:v>
      </x:c>
      <x:c r="B1371" t="n">
        <x:v>10</x:v>
      </x:c>
      <x:c r="C1371" t="str">
        <x:v>I2</x:v>
      </x:c>
      <x:c r="D1371" t="n">
        <x:v>10</x:v>
      </x:c>
      <x:c r="E1371" s="50" t="n">
        <x:v>22.5</x:v>
      </x:c>
      <x:c r="F1371" s="50" t="n">
        <x:v>-51.97</x:v>
      </x:c>
      <x:c r="G1371" s="50" t="n">
        <x:v>60.32</x:v>
      </x:c>
      <x:c r="H1371" s="50" t="n">
        <x:v>-96.69</x:v>
      </x:c>
      <x:c r="I1371" s="50" t="n">
        <x:v>119.64</x:v>
      </x:c>
      <x:c r="J1371" s="50" t="n">
        <x:v>1.78</x:v>
      </x:c>
      <x:c r="K1371" s="50" t="n">
        <x:v>-1.67</x:v>
      </x:c>
      <x:c r="L1371" s="50" t="n">
        <x:v>2.44</x:v>
      </x:c>
      <x:c r="M1371" s="50" t="n">
        <x:v>0.3</x:v>
      </x:c>
      <x:c r="N1371" t="str">
        <x:v>RELATÓRIO LEITURAS INCLINOMÉTRICAS - Empreitada THE EDEN, Estoril_ R10_09-12-25.pdf</x:v>
      </x:c>
      <x:c r="O1371" t="n">
        <x:v>44</x:v>
      </x:c>
    </x:row>
    <x:row r="1372">
      <x:c r="A1372" s="48" t="n">
        <x:v>46000</x:v>
      </x:c>
      <x:c r="B1372" t="n">
        <x:v>10</x:v>
      </x:c>
      <x:c r="C1372" t="str">
        <x:v>I2</x:v>
      </x:c>
      <x:c r="D1372" t="n">
        <x:v>10</x:v>
      </x:c>
      <x:c r="E1372" s="50" t="n">
        <x:v>23</x:v>
      </x:c>
      <x:c r="F1372" s="50" t="n">
        <x:v>-64.98</x:v>
      </x:c>
      <x:c r="G1372" s="50" t="n">
        <x:v>68.3</x:v>
      </x:c>
      <x:c r="H1372" s="50" t="n">
        <x:v>-161.91</x:v>
      </x:c>
      <x:c r="I1372" s="50" t="n">
        <x:v>157.8</x:v>
      </x:c>
      <x:c r="J1372" s="50" t="n">
        <x:v>1.57</x:v>
      </x:c>
      <x:c r="K1372" s="50" t="n">
        <x:v>-1.32</x:v>
      </x:c>
      <x:c r="L1372" s="50" t="n">
        <x:v>2.05</x:v>
      </x:c>
      <x:c r="M1372" s="50" t="n">
        <x:v>0.17</x:v>
      </x:c>
      <x:c r="N1372" t="str">
        <x:v>RELATÓRIO LEITURAS INCLINOMÉTRICAS - Empreitada THE EDEN, Estoril_ R10_09-12-25.pdf</x:v>
      </x:c>
      <x:c r="O1372" t="n">
        <x:v>44</x:v>
      </x:c>
    </x:row>
    <x:row r="1373">
      <x:c r="A1373" s="48" t="n">
        <x:v>46000</x:v>
      </x:c>
      <x:c r="B1373" t="n">
        <x:v>10</x:v>
      </x:c>
      <x:c r="C1373" t="str">
        <x:v>I2</x:v>
      </x:c>
      <x:c r="D1373" t="n">
        <x:v>10</x:v>
      </x:c>
      <x:c r="E1373" s="50" t="n">
        <x:v>23.5</x:v>
      </x:c>
      <x:c r="F1373" s="50" t="n">
        <x:v>-128.87</x:v>
      </x:c>
      <x:c r="G1373" s="50" t="n">
        <x:v>138.55</x:v>
      </x:c>
      <x:c r="H1373" s="50" t="n">
        <x:v>-196.55</x:v>
      </x:c>
      <x:c r="I1373" s="50" t="n">
        <x:v>209.44</x:v>
      </x:c>
      <x:c r="J1373" s="50" t="n">
        <x:v>1.37</x:v>
      </x:c>
      <x:c r="K1373" s="50" t="n">
        <x:v>-1.2</x:v>
      </x:c>
      <x:c r="L1373" s="50" t="n">
        <x:v>1.82</x:v>
      </x:c>
      <x:c r="M1373" s="50" t="n">
        <x:v>0.11</x:v>
      </x:c>
      <x:c r="N1373" t="str">
        <x:v>RELATÓRIO LEITURAS INCLINOMÉTRICAS - Empreitada THE EDEN, Estoril_ R10_09-12-25.pdf</x:v>
      </x:c>
      <x:c r="O1373" t="n">
        <x:v>44</x:v>
      </x:c>
    </x:row>
    <x:row r="1374">
      <x:c r="A1374" s="48" t="n">
        <x:v>46000</x:v>
      </x:c>
      <x:c r="B1374" t="n">
        <x:v>10</x:v>
      </x:c>
      <x:c r="C1374" t="str">
        <x:v>I2</x:v>
      </x:c>
      <x:c r="D1374" t="n">
        <x:v>10</x:v>
      </x:c>
      <x:c r="E1374" s="50" t="n">
        <x:v>24</x:v>
      </x:c>
      <x:c r="F1374" s="50" t="n">
        <x:v>-162.47</x:v>
      </x:c>
      <x:c r="G1374" s="50" t="n">
        <x:v>169.64</x:v>
      </x:c>
      <x:c r="H1374" s="50" t="n">
        <x:v>-239.9</x:v>
      </x:c>
      <x:c r="I1374" s="50" t="n">
        <x:v>254.45</x:v>
      </x:c>
      <x:c r="J1374" s="50" t="n">
        <x:v>1.23</x:v>
      </x:c>
      <x:c r="K1374" s="50" t="n">
        <x:v>-1.19</x:v>
      </x:c>
      <x:c r="L1374" s="50" t="n">
        <x:v>1.71</x:v>
      </x:c>
      <x:c r="M1374" s="50" t="n">
        <x:v>0.14</x:v>
      </x:c>
      <x:c r="N1374" t="str">
        <x:v>RELATÓRIO LEITURAS INCLINOMÉTRICAS - Empreitada THE EDEN, Estoril_ R10_09-12-25.pdf</x:v>
      </x:c>
      <x:c r="O1374" t="n">
        <x:v>44</x:v>
      </x:c>
    </x:row>
    <x:row r="1375">
      <x:c r="A1375" s="48" t="n">
        <x:v>46000</x:v>
      </x:c>
      <x:c r="B1375" t="n">
        <x:v>10</x:v>
      </x:c>
      <x:c r="C1375" t="str">
        <x:v>I2</x:v>
      </x:c>
      <x:c r="D1375" t="n">
        <x:v>10</x:v>
      </x:c>
      <x:c r="E1375" s="50" t="n">
        <x:v>24.5</x:v>
      </x:c>
      <x:c r="F1375" s="50" t="n">
        <x:v>-59.38</x:v>
      </x:c>
      <x:c r="G1375" s="50" t="n">
        <x:v>61.72</x:v>
      </x:c>
      <x:c r="H1375" s="50" t="n">
        <x:v>-245.85</x:v>
      </x:c>
      <x:c r="I1375" s="50" t="n">
        <x:v>236.16</x:v>
      </x:c>
      <x:c r="J1375" s="50" t="n">
        <x:v>1.07</x:v>
      </x:c>
      <x:c r="K1375" s="50" t="n">
        <x:v>-0.88</x:v>
      </x:c>
      <x:c r="L1375" s="50" t="n">
        <x:v>1.38</x:v>
      </x:c>
      <x:c r="M1375" s="50" t="n">
        <x:v>0.08</x:v>
      </x:c>
      <x:c r="N1375" t="str">
        <x:v>RELATÓRIO LEITURAS INCLINOMÉTRICAS - Empreitada THE EDEN, Estoril_ R10_09-12-25.pdf</x:v>
      </x:c>
      <x:c r="O1375" t="n">
        <x:v>44</x:v>
      </x:c>
    </x:row>
    <x:row r="1376">
      <x:c r="A1376" s="48" t="n">
        <x:v>46000</x:v>
      </x:c>
      <x:c r="B1376" t="n">
        <x:v>10</x:v>
      </x:c>
      <x:c r="C1376" t="str">
        <x:v>I2</x:v>
      </x:c>
      <x:c r="D1376" t="n">
        <x:v>10</x:v>
      </x:c>
      <x:c r="E1376" s="50" t="n">
        <x:v>25</x:v>
      </x:c>
      <x:c r="F1376" s="50" t="n">
        <x:v>36.68</x:v>
      </x:c>
      <x:c r="G1376" s="50" t="n">
        <x:v>-29.35</x:v>
      </x:c>
      <x:c r="H1376" s="50" t="n">
        <x:v>-229.56</x:v>
      </x:c>
      <x:c r="I1376" s="50" t="n">
        <x:v>218.23</x:v>
      </x:c>
      <x:c r="J1376" s="50" t="n">
        <x:v>0.85</x:v>
      </x:c>
      <x:c r="K1376" s="50" t="n">
        <x:v>-0.87</x:v>
      </x:c>
      <x:c r="L1376" s="50" t="n">
        <x:v>1.22</x:v>
      </x:c>
      <x:c r="M1376" s="50" t="n">
        <x:v>-0.01</x:v>
      </x:c>
      <x:c r="N1376" t="str">
        <x:v>RELATÓRIO LEITURAS INCLINOMÉTRICAS - Empreitada THE EDEN, Estoril_ R10_09-12-25.pdf</x:v>
      </x:c>
      <x:c r="O1376" t="n">
        <x:v>44</x:v>
      </x:c>
    </x:row>
    <x:row r="1377">
      <x:c r="A1377" s="48" t="n">
        <x:v>46000</x:v>
      </x:c>
      <x:c r="B1377" t="n">
        <x:v>10</x:v>
      </x:c>
      <x:c r="C1377" t="str">
        <x:v>I2</x:v>
      </x:c>
      <x:c r="D1377" t="n">
        <x:v>10</x:v>
      </x:c>
      <x:c r="E1377" s="50" t="n">
        <x:v>25.5</x:v>
      </x:c>
      <x:c r="F1377" s="50" t="n">
        <x:v>93.62</x:v>
      </x:c>
      <x:c r="G1377" s="50" t="n">
        <x:v>-88.38</x:v>
      </x:c>
      <x:c r="H1377" s="50" t="n">
        <x:v>-189.78</x:v>
      </x:c>
      <x:c r="I1377" s="50" t="n">
        <x:v>188.39</x:v>
      </x:c>
      <x:c r="J1377" s="50" t="n">
        <x:v>0.63</x:v>
      </x:c>
      <x:c r="K1377" s="50" t="n">
        <x:v>-0.66</x:v>
      </x:c>
      <x:c r="L1377" s="50" t="n">
        <x:v>0.91</x:v>
      </x:c>
      <x:c r="M1377" s="50" t="n">
        <x:v>-0.02</x:v>
      </x:c>
      <x:c r="N1377" t="str">
        <x:v>RELATÓRIO LEITURAS INCLINOMÉTRICAS - Empreitada THE EDEN, Estoril_ R10_09-12-25.pdf</x:v>
      </x:c>
      <x:c r="O1377" t="n">
        <x:v>44</x:v>
      </x:c>
    </x:row>
    <x:row r="1378">
      <x:c r="A1378" s="48" t="n">
        <x:v>46000</x:v>
      </x:c>
      <x:c r="B1378" t="n">
        <x:v>10</x:v>
      </x:c>
      <x:c r="C1378" t="str">
        <x:v>I2</x:v>
      </x:c>
      <x:c r="D1378" t="n">
        <x:v>10</x:v>
      </x:c>
      <x:c r="E1378" s="50" t="n">
        <x:v>26</x:v>
      </x:c>
      <x:c r="F1378" s="50" t="n">
        <x:v>139.91</x:v>
      </x:c>
      <x:c r="G1378" s="50" t="n">
        <x:v>-132.32</x:v>
      </x:c>
      <x:c r="H1378" s="50" t="n">
        <x:v>-228.72</x:v>
      </x:c>
      <x:c r="I1378" s="50" t="n">
        <x:v>241.88</x:v>
      </x:c>
      <x:c r="J1378" s="50" t="n">
        <x:v>0.43</x:v>
      </x:c>
      <x:c r="K1378" s="50" t="n">
        <x:v>-0.2</x:v>
      </x:c>
      <x:c r="L1378" s="50" t="n">
        <x:v>0.48</x:v>
      </x:c>
      <x:c r="M1378" s="50" t="n">
        <x:v>0</x:v>
      </x:c>
      <x:c r="N1378" t="str">
        <x:v>RELATÓRIO LEITURAS INCLINOMÉTRICAS - Empreitada THE EDEN, Estoril_ R10_09-12-25.pdf</x:v>
      </x:c>
      <x:c r="O1378" t="n">
        <x:v>44</x:v>
      </x:c>
    </x:row>
    <x:row r="1379">
      <x:c r="A1379" s="48" t="n">
        <x:v>46000</x:v>
      </x:c>
      <x:c r="B1379" t="n">
        <x:v>10</x:v>
      </x:c>
      <x:c r="C1379" t="str">
        <x:v>I2</x:v>
      </x:c>
      <x:c r="D1379" t="n">
        <x:v>10</x:v>
      </x:c>
      <x:c r="E1379" s="50" t="n">
        <x:v>26.5</x:v>
      </x:c>
      <x:c r="F1379" s="50" t="n">
        <x:v>143.59</x:v>
      </x:c>
      <x:c r="G1379" s="50" t="n">
        <x:v>-139.01</x:v>
      </x:c>
      <x:c r="H1379" s="50" t="n">
        <x:v>-257.9</x:v>
      </x:c>
      <x:c r="I1379" s="50" t="n">
        <x:v>257.63</x:v>
      </x:c>
      <x:c r="J1379" s="50" t="n">
        <x:v>0.23</x:v>
      </x:c>
      <x:c r="K1379" s="50" t="n">
        <x:v>0.05</x:v>
      </x:c>
      <x:c r="L1379" s="50" t="n">
        <x:v>0.24</x:v>
      </x:c>
      <x:c r="M1379" s="50" t="n">
        <x:v>0.03</x:v>
      </x:c>
      <x:c r="N1379" t="str">
        <x:v>RELATÓRIO LEITURAS INCLINOMÉTRICAS - Empreitada THE EDEN, Estoril_ R10_09-12-25.pdf</x:v>
      </x:c>
      <x:c r="O1379" t="n">
        <x:v>44</x:v>
      </x:c>
    </x:row>
    <x:row r="1380">
      <x:c r="A1380" s="48" t="n">
        <x:v>46000</x:v>
      </x:c>
      <x:c r="B1380" t="n">
        <x:v>9</x:v>
      </x:c>
      <x:c r="C1380" t="str">
        <x:v>I3</x:v>
      </x:c>
      <x:c r="D1380" t="n">
        <x:v>9</x:v>
      </x:c>
      <x:c r="E1380" s="50" t="n">
        <x:v>0.5</x:v>
      </x:c>
      <x:c r="F1380" s="50" t="n">
        <x:v>421.23</x:v>
      </x:c>
      <x:c r="G1380" s="50" t="n">
        <x:v>-412.47</x:v>
      </x:c>
      <x:c r="H1380" s="50" t="n">
        <x:v>481.07</x:v>
      </x:c>
      <x:c r="I1380" s="50" t="n">
        <x:v>-467.26</x:v>
      </x:c>
      <x:c r="J1380" s="50" t="n">
        <x:v>2.04</x:v>
      </x:c>
      <x:c r="K1380" s="50" t="n">
        <x:v>-0.22</x:v>
      </x:c>
      <x:c r="L1380" s="50" t="n">
        <x:v>2.06</x:v>
      </x:c>
      <x:c r="M1380" s="50" t="n">
        <x:v>0.7</x:v>
      </x:c>
      <x:c r="N1380" t="str">
        <x:v>RELATÓRIO LEITURAS INCLINOMÉTRICAS - Empreitada THE EDEN, Estoril_ R10_09-12-25.pdf</x:v>
      </x:c>
      <x:c r="O1380" t="n">
        <x:v>62</x:v>
      </x:c>
    </x:row>
    <x:row r="1381">
      <x:c r="A1381" s="48" t="n">
        <x:v>46000</x:v>
      </x:c>
      <x:c r="B1381" t="n">
        <x:v>9</x:v>
      </x:c>
      <x:c r="C1381" t="str">
        <x:v>I3</x:v>
      </x:c>
      <x:c r="D1381" t="n">
        <x:v>9</x:v>
      </x:c>
      <x:c r="E1381" s="50" t="n">
        <x:v>1</x:v>
      </x:c>
      <x:c r="F1381" s="50" t="n">
        <x:v>421.38</x:v>
      </x:c>
      <x:c r="G1381" s="50" t="n">
        <x:v>-412.28</x:v>
      </x:c>
      <x:c r="H1381" s="50" t="n">
        <x:v>476.25</x:v>
      </x:c>
      <x:c r="I1381" s="50" t="n">
        <x:v>-467.77</x:v>
      </x:c>
      <x:c r="J1381" s="50" t="n">
        <x:v>2.38</x:v>
      </x:c>
      <x:c r="K1381" s="50" t="n">
        <x:v>-0.49</x:v>
      </x:c>
      <x:c r="L1381" s="50" t="n">
        <x:v>2.43</x:v>
      </x:c>
      <x:c r="M1381" s="50" t="n">
        <x:v>0.92</x:v>
      </x:c>
      <x:c r="N1381" t="str">
        <x:v>RELATÓRIO LEITURAS INCLINOMÉTRICAS - Empreitada THE EDEN, Estoril_ R10_09-12-25.pdf</x:v>
      </x:c>
      <x:c r="O1381" t="n">
        <x:v>62</x:v>
      </x:c>
    </x:row>
    <x:row r="1382">
      <x:c r="A1382" s="48" t="n">
        <x:v>46000</x:v>
      </x:c>
      <x:c r="B1382" t="n">
        <x:v>9</x:v>
      </x:c>
      <x:c r="C1382" t="str">
        <x:v>I3</x:v>
      </x:c>
      <x:c r="D1382" t="n">
        <x:v>9</x:v>
      </x:c>
      <x:c r="E1382" s="50" t="n">
        <x:v>1.5</x:v>
      </x:c>
      <x:c r="F1382" s="50" t="n">
        <x:v>452.36</x:v>
      </x:c>
      <x:c r="G1382" s="50" t="n">
        <x:v>-447</x:v>
      </x:c>
      <x:c r="H1382" s="50" t="n">
        <x:v>408.45</x:v>
      </x:c>
      <x:c r="I1382" s="50" t="n">
        <x:v>-401.95</x:v>
      </x:c>
      <x:c r="J1382" s="50" t="n">
        <x:v>2.73</x:v>
      </x:c>
      <x:c r="K1382" s="50" t="n">
        <x:v>-0.82</x:v>
      </x:c>
      <x:c r="L1382" s="50" t="n">
        <x:v>2.85</x:v>
      </x:c>
      <x:c r="M1382" s="50" t="n">
        <x:v>1.17</x:v>
      </x:c>
      <x:c r="N1382" t="str">
        <x:v>RELATÓRIO LEITURAS INCLINOMÉTRICAS - Empreitada THE EDEN, Estoril_ R10_09-12-25.pdf</x:v>
      </x:c>
      <x:c r="O1382" t="n">
        <x:v>62</x:v>
      </x:c>
    </x:row>
    <x:row r="1383">
      <x:c r="A1383" s="48" t="n">
        <x:v>46000</x:v>
      </x:c>
      <x:c r="B1383" t="n">
        <x:v>9</x:v>
      </x:c>
      <x:c r="C1383" t="str">
        <x:v>I3</x:v>
      </x:c>
      <x:c r="D1383" t="n">
        <x:v>9</x:v>
      </x:c>
      <x:c r="E1383" s="50" t="n">
        <x:v>2</x:v>
      </x:c>
      <x:c r="F1383" s="50" t="n">
        <x:v>512.81</x:v>
      </x:c>
      <x:c r="G1383" s="50" t="n">
        <x:v>-506.47</x:v>
      </x:c>
      <x:c r="H1383" s="50" t="n">
        <x:v>249.3</x:v>
      </x:c>
      <x:c r="I1383" s="50" t="n">
        <x:v>-229.61</x:v>
      </x:c>
      <x:c r="J1383" s="50" t="n">
        <x:v>3.08</x:v>
      </x:c>
      <x:c r="K1383" s="50" t="n">
        <x:v>-0.94</x:v>
      </x:c>
      <x:c r="L1383" s="50" t="n">
        <x:v>3.22</x:v>
      </x:c>
      <x:c r="M1383" s="50" t="n">
        <x:v>1.39</x:v>
      </x:c>
      <x:c r="N1383" t="str">
        <x:v>RELATÓRIO LEITURAS INCLINOMÉTRICAS - Empreitada THE EDEN, Estoril_ R10_09-12-25.pdf</x:v>
      </x:c>
      <x:c r="O1383" t="n">
        <x:v>62</x:v>
      </x:c>
    </x:row>
    <x:row r="1384">
      <x:c r="A1384" s="48" t="n">
        <x:v>46000</x:v>
      </x:c>
      <x:c r="B1384" t="n">
        <x:v>9</x:v>
      </x:c>
      <x:c r="C1384" t="str">
        <x:v>I3</x:v>
      </x:c>
      <x:c r="D1384" t="n">
        <x:v>9</x:v>
      </x:c>
      <x:c r="E1384" s="50" t="n">
        <x:v>2.5</x:v>
      </x:c>
      <x:c r="F1384" s="50" t="n">
        <x:v>465.09</x:v>
      </x:c>
      <x:c r="G1384" s="50" t="n">
        <x:v>-459.44</x:v>
      </x:c>
      <x:c r="H1384" s="50" t="n">
        <x:v>127.61</x:v>
      </x:c>
      <x:c r="I1384" s="50" t="n">
        <x:v>-120</x:v>
      </x:c>
      <x:c r="J1384" s="50" t="n">
        <x:v>3.52</x:v>
      </x:c>
      <x:c r="K1384" s="50" t="n">
        <x:v>-0.95</x:v>
      </x:c>
      <x:c r="L1384" s="50" t="n">
        <x:v>3.64</x:v>
      </x:c>
      <x:c r="M1384" s="50" t="n">
        <x:v>1.35</x:v>
      </x:c>
      <x:c r="N1384" t="str">
        <x:v>RELATÓRIO LEITURAS INCLINOMÉTRICAS - Empreitada THE EDEN, Estoril_ R10_09-12-25.pdf</x:v>
      </x:c>
      <x:c r="O1384" t="n">
        <x:v>62</x:v>
      </x:c>
    </x:row>
    <x:row r="1385">
      <x:c r="A1385" s="48" t="n">
        <x:v>46000</x:v>
      </x:c>
      <x:c r="B1385" t="n">
        <x:v>9</x:v>
      </x:c>
      <x:c r="C1385" t="str">
        <x:v>I3</x:v>
      </x:c>
      <x:c r="D1385" t="n">
        <x:v>9</x:v>
      </x:c>
      <x:c r="E1385" s="50" t="n">
        <x:v>3</x:v>
      </x:c>
      <x:c r="F1385" s="50" t="n">
        <x:v>415.51</x:v>
      </x:c>
      <x:c r="G1385" s="50" t="n">
        <x:v>-408.18</x:v>
      </x:c>
      <x:c r="H1385" s="50" t="n">
        <x:v>-8.16</x:v>
      </x:c>
      <x:c r="I1385" s="50" t="n">
        <x:v>7.19</x:v>
      </x:c>
      <x:c r="J1385" s="50" t="n">
        <x:v>3.93</x:v>
      </x:c>
      <x:c r="K1385" s="50" t="n">
        <x:v>-0.99</x:v>
      </x:c>
      <x:c r="L1385" s="50" t="n">
        <x:v>4.05</x:v>
      </x:c>
      <x:c r="M1385" s="50" t="n">
        <x:v>1.51</x:v>
      </x:c>
      <x:c r="N1385" t="str">
        <x:v>RELATÓRIO LEITURAS INCLINOMÉTRICAS - Empreitada THE EDEN, Estoril_ R10_09-12-25.pdf</x:v>
      </x:c>
      <x:c r="O1385" t="n">
        <x:v>62</x:v>
      </x:c>
    </x:row>
    <x:row r="1386">
      <x:c r="A1386" s="48" t="n">
        <x:v>46000</x:v>
      </x:c>
      <x:c r="B1386" t="n">
        <x:v>9</x:v>
      </x:c>
      <x:c r="C1386" t="str">
        <x:v>I3</x:v>
      </x:c>
      <x:c r="D1386" t="n">
        <x:v>9</x:v>
      </x:c>
      <x:c r="E1386" s="50" t="n">
        <x:v>3.5</x:v>
      </x:c>
      <x:c r="F1386" s="50" t="n">
        <x:v>370.86</x:v>
      </x:c>
      <x:c r="G1386" s="50" t="n">
        <x:v>-365.61</x:v>
      </x:c>
      <x:c r="H1386" s="50" t="n">
        <x:v>-83.58</x:v>
      </x:c>
      <x:c r="I1386" s="50" t="n">
        <x:v>95.22</x:v>
      </x:c>
      <x:c r="J1386" s="50" t="n">
        <x:v>4.39</x:v>
      </x:c>
      <x:c r="K1386" s="50" t="n">
        <x:v>-1.06</x:v>
      </x:c>
      <x:c r="L1386" s="50" t="n">
        <x:v>4.51</x:v>
      </x:c>
      <x:c r="M1386" s="50" t="n">
        <x:v>1.72</x:v>
      </x:c>
      <x:c r="N1386" t="str">
        <x:v>RELATÓRIO LEITURAS INCLINOMÉTRICAS - Empreitada THE EDEN, Estoril_ R10_09-12-25.pdf</x:v>
      </x:c>
      <x:c r="O1386" t="n">
        <x:v>62</x:v>
      </x:c>
    </x:row>
    <x:row r="1387">
      <x:c r="A1387" s="48" t="n">
        <x:v>46000</x:v>
      </x:c>
      <x:c r="B1387" t="n">
        <x:v>9</x:v>
      </x:c>
      <x:c r="C1387" t="str">
        <x:v>I3</x:v>
      </x:c>
      <x:c r="D1387" t="n">
        <x:v>9</x:v>
      </x:c>
      <x:c r="E1387" s="50" t="n">
        <x:v>4</x:v>
      </x:c>
      <x:c r="F1387" s="50" t="n">
        <x:v>364.11</x:v>
      </x:c>
      <x:c r="G1387" s="50" t="n">
        <x:v>-357.84</x:v>
      </x:c>
      <x:c r="H1387" s="50" t="n">
        <x:v>-102.9</x:v>
      </x:c>
      <x:c r="I1387" s="50" t="n">
        <x:v>119.29</x:v>
      </x:c>
      <x:c r="J1387" s="50" t="n">
        <x:v>4.75</x:v>
      </x:c>
      <x:c r="K1387" s="50" t="n">
        <x:v>-0.9</x:v>
      </x:c>
      <x:c r="L1387" s="50" t="n">
        <x:v>4.84</x:v>
      </x:c>
      <x:c r="M1387" s="50" t="n">
        <x:v>2.09</x:v>
      </x:c>
      <x:c r="N1387" t="str">
        <x:v>RELATÓRIO LEITURAS INCLINOMÉTRICAS - Empreitada THE EDEN, Estoril_ R10_09-12-25.pdf</x:v>
      </x:c>
      <x:c r="O1387" t="n">
        <x:v>62</x:v>
      </x:c>
    </x:row>
    <x:row r="1388">
      <x:c r="A1388" s="48" t="n">
        <x:v>46000</x:v>
      </x:c>
      <x:c r="B1388" t="n">
        <x:v>9</x:v>
      </x:c>
      <x:c r="C1388" t="str">
        <x:v>I3</x:v>
      </x:c>
      <x:c r="D1388" t="n">
        <x:v>9</x:v>
      </x:c>
      <x:c r="E1388" s="50" t="n">
        <x:v>4.5</x:v>
      </x:c>
      <x:c r="F1388" s="50" t="n">
        <x:v>369.11</x:v>
      </x:c>
      <x:c r="G1388" s="50" t="n">
        <x:v>-360.25</x:v>
      </x:c>
      <x:c r="H1388" s="50" t="n">
        <x:v>-104.49</x:v>
      </x:c>
      <x:c r="I1388" s="50" t="n">
        <x:v>123.32</x:v>
      </x:c>
      <x:c r="J1388" s="50" t="n">
        <x:v>5.24</x:v>
      </x:c>
      <x:c r="K1388" s="50" t="n">
        <x:v>-0.85</x:v>
      </x:c>
      <x:c r="L1388" s="50" t="n">
        <x:v>5.31</x:v>
      </x:c>
      <x:c r="M1388" s="50" t="n">
        <x:v>2.53</x:v>
      </x:c>
      <x:c r="N1388" t="str">
        <x:v>RELATÓRIO LEITURAS INCLINOMÉTRICAS - Empreitada THE EDEN, Estoril_ R10_09-12-25.pdf</x:v>
      </x:c>
      <x:c r="O1388" t="n">
        <x:v>62</x:v>
      </x:c>
    </x:row>
    <x:row r="1389">
      <x:c r="A1389" s="48" t="n">
        <x:v>46000</x:v>
      </x:c>
      <x:c r="B1389" t="n">
        <x:v>9</x:v>
      </x:c>
      <x:c r="C1389" t="str">
        <x:v>I3</x:v>
      </x:c>
      <x:c r="D1389" t="n">
        <x:v>9</x:v>
      </x:c>
      <x:c r="E1389" s="50" t="n">
        <x:v>5</x:v>
      </x:c>
      <x:c r="F1389" s="50" t="n">
        <x:v>287.46</x:v>
      </x:c>
      <x:c r="G1389" s="50" t="n">
        <x:v>-280.82</x:v>
      </x:c>
      <x:c r="H1389" s="50" t="n">
        <x:v>-68.63</x:v>
      </x:c>
      <x:c r="I1389" s="50" t="n">
        <x:v>90.97</x:v>
      </x:c>
      <x:c r="J1389" s="50" t="n">
        <x:v>5.75</x:v>
      </x:c>
      <x:c r="K1389" s="50" t="n">
        <x:v>-0.9</x:v>
      </x:c>
      <x:c r="L1389" s="50" t="n">
        <x:v>5.82</x:v>
      </x:c>
      <x:c r="M1389" s="50" t="n">
        <x:v>2.96</x:v>
      </x:c>
      <x:c r="N1389" t="str">
        <x:v>RELATÓRIO LEITURAS INCLINOMÉTRICAS - Empreitada THE EDEN, Estoril_ R10_09-12-25.pdf</x:v>
      </x:c>
      <x:c r="O1389" t="n">
        <x:v>62</x:v>
      </x:c>
    </x:row>
    <x:row r="1390">
      <x:c r="A1390" s="48" t="n">
        <x:v>46000</x:v>
      </x:c>
      <x:c r="B1390" t="n">
        <x:v>9</x:v>
      </x:c>
      <x:c r="C1390" t="str">
        <x:v>I3</x:v>
      </x:c>
      <x:c r="D1390" t="n">
        <x:v>9</x:v>
      </x:c>
      <x:c r="E1390" s="50" t="n">
        <x:v>5.5</x:v>
      </x:c>
      <x:c r="F1390" s="50" t="n">
        <x:v>205.3</x:v>
      </x:c>
      <x:c r="G1390" s="50" t="n">
        <x:v>-197.29</x:v>
      </x:c>
      <x:c r="H1390" s="50" t="n">
        <x:v>-18.5</x:v>
      </x:c>
      <x:c r="I1390" s="50" t="n">
        <x:v>47.46</x:v>
      </x:c>
      <x:c r="J1390" s="50" t="n">
        <x:v>5.79</x:v>
      </x:c>
      <x:c r="K1390" s="50" t="n">
        <x:v>-1.14</x:v>
      </x:c>
      <x:c r="L1390" s="50" t="n">
        <x:v>5.9</x:v>
      </x:c>
      <x:c r="M1390" s="50" t="n">
        <x:v>3</x:v>
      </x:c>
      <x:c r="N1390" t="str">
        <x:v>RELATÓRIO LEITURAS INCLINOMÉTRICAS - Empreitada THE EDEN, Estoril_ R10_09-12-25.pdf</x:v>
      </x:c>
      <x:c r="O1390" t="n">
        <x:v>62</x:v>
      </x:c>
    </x:row>
    <x:row r="1391">
      <x:c r="A1391" s="48" t="n">
        <x:v>46000</x:v>
      </x:c>
      <x:c r="B1391" t="n">
        <x:v>9</x:v>
      </x:c>
      <x:c r="C1391" t="str">
        <x:v>I3</x:v>
      </x:c>
      <x:c r="D1391" t="n">
        <x:v>9</x:v>
      </x:c>
      <x:c r="E1391" s="50" t="n">
        <x:v>6</x:v>
      </x:c>
      <x:c r="F1391" s="50" t="n">
        <x:v>174.14</x:v>
      </x:c>
      <x:c r="G1391" s="50" t="n">
        <x:v>-166.96</x:v>
      </x:c>
      <x:c r="H1391" s="50" t="n">
        <x:v>10.97</x:v>
      </x:c>
      <x:c r="I1391" s="50" t="n">
        <x:v>8.03</x:v>
      </x:c>
      <x:c r="J1391" s="50" t="n">
        <x:v>5.85</x:v>
      </x:c>
      <x:c r="K1391" s="50" t="n">
        <x:v>-1.32</x:v>
      </x:c>
      <x:c r="L1391" s="50" t="n">
        <x:v>5.99</x:v>
      </x:c>
      <x:c r="M1391" s="50" t="n">
        <x:v>3.11</x:v>
      </x:c>
      <x:c r="N1391" t="str">
        <x:v>RELATÓRIO LEITURAS INCLINOMÉTRICAS - Empreitada THE EDEN, Estoril_ R10_09-12-25.pdf</x:v>
      </x:c>
      <x:c r="O1391" t="n">
        <x:v>62</x:v>
      </x:c>
    </x:row>
    <x:row r="1392">
      <x:c r="A1392" s="48" t="n">
        <x:v>46000</x:v>
      </x:c>
      <x:c r="B1392" t="n">
        <x:v>9</x:v>
      </x:c>
      <x:c r="C1392" t="str">
        <x:v>I3</x:v>
      </x:c>
      <x:c r="D1392" t="n">
        <x:v>9</x:v>
      </x:c>
      <x:c r="E1392" s="50" t="n">
        <x:v>6.5</x:v>
      </x:c>
      <x:c r="F1392" s="50" t="n">
        <x:v>170.64</x:v>
      </x:c>
      <x:c r="G1392" s="50" t="n">
        <x:v>-162.31</x:v>
      </x:c>
      <x:c r="H1392" s="50" t="n">
        <x:v>74.48</x:v>
      </x:c>
      <x:c r="I1392" s="50" t="n">
        <x:v>-63.12</x:v>
      </x:c>
      <x:c r="J1392" s="50" t="n">
        <x:v>5.99</x:v>
      </x:c>
      <x:c r="K1392" s="50" t="n">
        <x:v>-1.86</x:v>
      </x:c>
      <x:c r="L1392" s="50" t="n">
        <x:v>6.27</x:v>
      </x:c>
      <x:c r="M1392" s="50" t="n">
        <x:v>3.29</x:v>
      </x:c>
      <x:c r="N1392" t="str">
        <x:v>RELATÓRIO LEITURAS INCLINOMÉTRICAS - Empreitada THE EDEN, Estoril_ R10_09-12-25.pdf</x:v>
      </x:c>
      <x:c r="O1392" t="n">
        <x:v>62</x:v>
      </x:c>
    </x:row>
    <x:row r="1393">
      <x:c r="A1393" s="48" t="n">
        <x:v>46000</x:v>
      </x:c>
      <x:c r="B1393" t="n">
        <x:v>9</x:v>
      </x:c>
      <x:c r="C1393" t="str">
        <x:v>I3</x:v>
      </x:c>
      <x:c r="D1393" t="n">
        <x:v>9</x:v>
      </x:c>
      <x:c r="E1393" s="50" t="n">
        <x:v>7</x:v>
      </x:c>
      <x:c r="F1393" s="50" t="n">
        <x:v>131.13</x:v>
      </x:c>
      <x:c r="G1393" s="50" t="n">
        <x:v>-122.77</x:v>
      </x:c>
      <x:c r="H1393" s="50" t="n">
        <x:v>138.46</x:v>
      </x:c>
      <x:c r="I1393" s="50" t="n">
        <x:v>-125.02</x:v>
      </x:c>
      <x:c r="J1393" s="50" t="n">
        <x:v>5.94</x:v>
      </x:c>
      <x:c r="K1393" s="50" t="n">
        <x:v>-1.94</x:v>
      </x:c>
      <x:c r="L1393" s="50" t="n">
        <x:v>6.25</x:v>
      </x:c>
      <x:c r="M1393" s="50" t="n">
        <x:v>3.34</x:v>
      </x:c>
      <x:c r="N1393" t="str">
        <x:v>RELATÓRIO LEITURAS INCLINOMÉTRICAS - Empreitada THE EDEN, Estoril_ R10_09-12-25.pdf</x:v>
      </x:c>
      <x:c r="O1393" t="n">
        <x:v>62</x:v>
      </x:c>
    </x:row>
    <x:row r="1394">
      <x:c r="A1394" s="48" t="n">
        <x:v>46000</x:v>
      </x:c>
      <x:c r="B1394" t="n">
        <x:v>9</x:v>
      </x:c>
      <x:c r="C1394" t="str">
        <x:v>I3</x:v>
      </x:c>
      <x:c r="D1394" t="n">
        <x:v>9</x:v>
      </x:c>
      <x:c r="E1394" s="50" t="n">
        <x:v>7.5</x:v>
      </x:c>
      <x:c r="F1394" s="50" t="n">
        <x:v>80.54</x:v>
      </x:c>
      <x:c r="G1394" s="50" t="n">
        <x:v>-72.78</x:v>
      </x:c>
      <x:c r="H1394" s="50" t="n">
        <x:v>207.77</x:v>
      </x:c>
      <x:c r="I1394" s="50" t="n">
        <x:v>-202.97</x:v>
      </x:c>
      <x:c r="J1394" s="50" t="n">
        <x:v>5.83</x:v>
      </x:c>
      <x:c r="K1394" s="50" t="n">
        <x:v>-2.02</x:v>
      </x:c>
      <x:c r="L1394" s="50" t="n">
        <x:v>6.17</x:v>
      </x:c>
      <x:c r="M1394" s="50" t="n">
        <x:v>3.33</x:v>
      </x:c>
      <x:c r="N1394" t="str">
        <x:v>RELATÓRIO LEITURAS INCLINOMÉTRICAS - Empreitada THE EDEN, Estoril_ R10_09-12-25.pdf</x:v>
      </x:c>
      <x:c r="O1394" t="n">
        <x:v>62</x:v>
      </x:c>
    </x:row>
    <x:row r="1395">
      <x:c r="A1395" s="48" t="n">
        <x:v>46000</x:v>
      </x:c>
      <x:c r="B1395" t="n">
        <x:v>9</x:v>
      </x:c>
      <x:c r="C1395" t="str">
        <x:v>I3</x:v>
      </x:c>
      <x:c r="D1395" t="n">
        <x:v>9</x:v>
      </x:c>
      <x:c r="E1395" s="50" t="n">
        <x:v>8</x:v>
      </x:c>
      <x:c r="F1395" s="50" t="n">
        <x:v>79.42</x:v>
      </x:c>
      <x:c r="G1395" s="50" t="n">
        <x:v>-72.68</x:v>
      </x:c>
      <x:c r="H1395" s="50" t="n">
        <x:v>230.48</x:v>
      </x:c>
      <x:c r="I1395" s="50" t="n">
        <x:v>-232.44</x:v>
      </x:c>
      <x:c r="J1395" s="50" t="n">
        <x:v>5.47</x:v>
      </x:c>
      <x:c r="K1395" s="50" t="n">
        <x:v>-1.91</x:v>
      </x:c>
      <x:c r="L1395" s="50" t="n">
        <x:v>5.79</x:v>
      </x:c>
      <x:c r="M1395" s="50" t="n">
        <x:v>3.11</x:v>
      </x:c>
      <x:c r="N1395" t="str">
        <x:v>RELATÓRIO LEITURAS INCLINOMÉTRICAS - Empreitada THE EDEN, Estoril_ R10_09-12-25.pdf</x:v>
      </x:c>
      <x:c r="O1395" t="n">
        <x:v>62</x:v>
      </x:c>
    </x:row>
    <x:row r="1396">
      <x:c r="A1396" s="48" t="n">
        <x:v>46000</x:v>
      </x:c>
      <x:c r="B1396" t="n">
        <x:v>9</x:v>
      </x:c>
      <x:c r="C1396" t="str">
        <x:v>I3</x:v>
      </x:c>
      <x:c r="D1396" t="n">
        <x:v>9</x:v>
      </x:c>
      <x:c r="E1396" s="50" t="n">
        <x:v>8.5</x:v>
      </x:c>
      <x:c r="F1396" s="50" t="n">
        <x:v>111.03</x:v>
      </x:c>
      <x:c r="G1396" s="50" t="n">
        <x:v>-104.21</x:v>
      </x:c>
      <x:c r="H1396" s="50" t="n">
        <x:v>323.82</x:v>
      </x:c>
      <x:c r="I1396" s="50" t="n">
        <x:v>-322.24</x:v>
      </x:c>
      <x:c r="J1396" s="50" t="n">
        <x:v>5.02</x:v>
      </x:c>
      <x:c r="K1396" s="50" t="n">
        <x:v>-2.1</x:v>
      </x:c>
      <x:c r="L1396" s="50" t="n">
        <x:v>5.45</x:v>
      </x:c>
      <x:c r="M1396" s="50" t="n">
        <x:v>2.74</x:v>
      </x:c>
      <x:c r="N1396" t="str">
        <x:v>RELATÓRIO LEITURAS INCLINOMÉTRICAS - Empreitada THE EDEN, Estoril_ R10_09-12-25.pdf</x:v>
      </x:c>
      <x:c r="O1396" t="n">
        <x:v>62</x:v>
      </x:c>
    </x:row>
    <x:row r="1397">
      <x:c r="A1397" s="48" t="n">
        <x:v>46000</x:v>
      </x:c>
      <x:c r="B1397" t="n">
        <x:v>9</x:v>
      </x:c>
      <x:c r="C1397" t="str">
        <x:v>I3</x:v>
      </x:c>
      <x:c r="D1397" t="n">
        <x:v>9</x:v>
      </x:c>
      <x:c r="E1397" s="50" t="n">
        <x:v>9</x:v>
      </x:c>
      <x:c r="F1397" s="50" t="n">
        <x:v>165.18</x:v>
      </x:c>
      <x:c r="G1397" s="50" t="n">
        <x:v>-155.88</x:v>
      </x:c>
      <x:c r="H1397" s="50" t="n">
        <x:v>380.34</x:v>
      </x:c>
      <x:c r="I1397" s="50" t="n">
        <x:v>-377.64</x:v>
      </x:c>
      <x:c r="J1397" s="50" t="n">
        <x:v>4.61</x:v>
      </x:c>
      <x:c r="K1397" s="50" t="n">
        <x:v>-1.84</x:v>
      </x:c>
      <x:c r="L1397" s="50" t="n">
        <x:v>4.97</x:v>
      </x:c>
      <x:c r="M1397" s="50" t="n">
        <x:v>2.43</x:v>
      </x:c>
      <x:c r="N1397" t="str">
        <x:v>RELATÓRIO LEITURAS INCLINOMÉTRICAS - Empreitada THE EDEN, Estoril_ R10_09-12-25.pdf</x:v>
      </x:c>
      <x:c r="O1397" t="n">
        <x:v>62</x:v>
      </x:c>
    </x:row>
    <x:row r="1398">
      <x:c r="A1398" s="48" t="n">
        <x:v>46000</x:v>
      </x:c>
      <x:c r="B1398" t="n">
        <x:v>9</x:v>
      </x:c>
      <x:c r="C1398" t="str">
        <x:v>I3</x:v>
      </x:c>
      <x:c r="D1398" t="n">
        <x:v>9</x:v>
      </x:c>
      <x:c r="E1398" s="50" t="n">
        <x:v>9.5</x:v>
      </x:c>
      <x:c r="F1398" s="50" t="n">
        <x:v>143.3</x:v>
      </x:c>
      <x:c r="G1398" s="50" t="n">
        <x:v>-139.36</x:v>
      </x:c>
      <x:c r="H1398" s="50" t="n">
        <x:v>440.38</x:v>
      </x:c>
      <x:c r="I1398" s="50" t="n">
        <x:v>-428.21</x:v>
      </x:c>
      <x:c r="J1398" s="50" t="n">
        <x:v>4.26</x:v>
      </x:c>
      <x:c r="K1398" s="50" t="n">
        <x:v>-1.47</x:v>
      </x:c>
      <x:c r="L1398" s="50" t="n">
        <x:v>4.51</x:v>
      </x:c>
      <x:c r="M1398" s="50" t="n">
        <x:v>2.09</x:v>
      </x:c>
      <x:c r="N1398" t="str">
        <x:v>RELATÓRIO LEITURAS INCLINOMÉTRICAS - Empreitada THE EDEN, Estoril_ R10_09-12-25.pdf</x:v>
      </x:c>
      <x:c r="O1398" t="n">
        <x:v>62</x:v>
      </x:c>
    </x:row>
    <x:row r="1399">
      <x:c r="A1399" s="48" t="n">
        <x:v>46000</x:v>
      </x:c>
      <x:c r="B1399" t="n">
        <x:v>9</x:v>
      </x:c>
      <x:c r="C1399" t="str">
        <x:v>I3</x:v>
      </x:c>
      <x:c r="D1399" t="n">
        <x:v>9</x:v>
      </x:c>
      <x:c r="E1399" s="50" t="n">
        <x:v>10</x:v>
      </x:c>
      <x:c r="F1399" s="50" t="n">
        <x:v>137.76</x:v>
      </x:c>
      <x:c r="G1399" s="50" t="n">
        <x:v>-133.02</x:v>
      </x:c>
      <x:c r="H1399" s="50" t="n">
        <x:v>446.22</x:v>
      </x:c>
      <x:c r="I1399" s="50" t="n">
        <x:v>-436.23</x:v>
      </x:c>
      <x:c r="J1399" s="50" t="n">
        <x:v>3.75</x:v>
      </x:c>
      <x:c r="K1399" s="50" t="n">
        <x:v>-0.99</x:v>
      </x:c>
      <x:c r="L1399" s="50" t="n">
        <x:v>3.88</x:v>
      </x:c>
      <x:c r="M1399" s="50" t="n">
        <x:v>1.56</x:v>
      </x:c>
      <x:c r="N1399" t="str">
        <x:v>RELATÓRIO LEITURAS INCLINOMÉTRICAS - Empreitada THE EDEN, Estoril_ R10_09-12-25.pdf</x:v>
      </x:c>
      <x:c r="O1399" t="n">
        <x:v>62</x:v>
      </x:c>
    </x:row>
    <x:row r="1400">
      <x:c r="A1400" s="48" t="n">
        <x:v>46000</x:v>
      </x:c>
      <x:c r="B1400" t="n">
        <x:v>9</x:v>
      </x:c>
      <x:c r="C1400" t="str">
        <x:v>I3</x:v>
      </x:c>
      <x:c r="D1400" t="n">
        <x:v>9</x:v>
      </x:c>
      <x:c r="E1400" s="50" t="n">
        <x:v>10.5</x:v>
      </x:c>
      <x:c r="F1400" s="50" t="n">
        <x:v>324.02</x:v>
      </x:c>
      <x:c r="G1400" s="50" t="n">
        <x:v>-319.31</x:v>
      </x:c>
      <x:c r="H1400" s="50" t="n">
        <x:v>463.15</x:v>
      </x:c>
      <x:c r="I1400" s="50" t="n">
        <x:v>-457.27</x:v>
      </x:c>
      <x:c r="J1400" s="50" t="n">
        <x:v>3.58</x:v>
      </x:c>
      <x:c r="K1400" s="50" t="n">
        <x:v>-1.01</x:v>
      </x:c>
      <x:c r="L1400" s="50" t="n">
        <x:v>3.72</x:v>
      </x:c>
      <x:c r="M1400" s="50" t="n">
        <x:v>1.47</x:v>
      </x:c>
      <x:c r="N1400" t="str">
        <x:v>RELATÓRIO LEITURAS INCLINOMÉTRICAS - Empreitada THE EDEN, Estoril_ R10_09-12-25.pdf</x:v>
      </x:c>
      <x:c r="O1400" t="n">
        <x:v>62</x:v>
      </x:c>
    </x:row>
    <x:row r="1401">
      <x:c r="A1401" s="48" t="n">
        <x:v>46000</x:v>
      </x:c>
      <x:c r="B1401" t="n">
        <x:v>9</x:v>
      </x:c>
      <x:c r="C1401" t="str">
        <x:v>I3</x:v>
      </x:c>
      <x:c r="D1401" t="n">
        <x:v>9</x:v>
      </x:c>
      <x:c r="E1401" s="50" t="n">
        <x:v>11</x:v>
      </x:c>
      <x:c r="F1401" s="50" t="n">
        <x:v>336.78</x:v>
      </x:c>
      <x:c r="G1401" s="50" t="n">
        <x:v>-330.01</x:v>
      </x:c>
      <x:c r="H1401" s="50" t="n">
        <x:v>473.23</x:v>
      </x:c>
      <x:c r="I1401" s="50" t="n">
        <x:v>-447.46</x:v>
      </x:c>
      <x:c r="J1401" s="50" t="n">
        <x:v>3.46</x:v>
      </x:c>
      <x:c r="K1401" s="50" t="n">
        <x:v>-1.02</x:v>
      </x:c>
      <x:c r="L1401" s="50" t="n">
        <x:v>3.61</x:v>
      </x:c>
      <x:c r="M1401" s="50" t="n">
        <x:v>1.31</x:v>
      </x:c>
      <x:c r="N1401" t="str">
        <x:v>RELATÓRIO LEITURAS INCLINOMÉTRICAS - Empreitada THE EDEN, Estoril_ R10_09-12-25.pdf</x:v>
      </x:c>
      <x:c r="O1401" t="n">
        <x:v>62</x:v>
      </x:c>
    </x:row>
    <x:row r="1402">
      <x:c r="A1402" s="48" t="n">
        <x:v>46000</x:v>
      </x:c>
      <x:c r="B1402" t="n">
        <x:v>9</x:v>
      </x:c>
      <x:c r="C1402" t="str">
        <x:v>I3</x:v>
      </x:c>
      <x:c r="D1402" t="n">
        <x:v>9</x:v>
      </x:c>
      <x:c r="E1402" s="50" t="n">
        <x:v>11.5</x:v>
      </x:c>
      <x:c r="F1402" s="50" t="n">
        <x:v>309.44</x:v>
      </x:c>
      <x:c r="G1402" s="50" t="n">
        <x:v>-298.1</x:v>
      </x:c>
      <x:c r="H1402" s="50" t="n">
        <x:v>367.22</x:v>
      </x:c>
      <x:c r="I1402" s="50" t="n">
        <x:v>-363.06</x:v>
      </x:c>
      <x:c r="J1402" s="50" t="n">
        <x:v>3.25</x:v>
      </x:c>
      <x:c r="K1402" s="50" t="n">
        <x:v>-0.83</x:v>
      </x:c>
      <x:c r="L1402" s="50" t="n">
        <x:v>3.36</x:v>
      </x:c>
      <x:c r="M1402" s="50" t="n">
        <x:v>1.04</x:v>
      </x:c>
      <x:c r="N1402" t="str">
        <x:v>RELATÓRIO LEITURAS INCLINOMÉTRICAS - Empreitada THE EDEN, Estoril_ R10_09-12-25.pdf</x:v>
      </x:c>
      <x:c r="O1402" t="n">
        <x:v>62</x:v>
      </x:c>
    </x:row>
    <x:row r="1403">
      <x:c r="A1403" s="48" t="n">
        <x:v>46000</x:v>
      </x:c>
      <x:c r="B1403" t="n">
        <x:v>9</x:v>
      </x:c>
      <x:c r="C1403" t="str">
        <x:v>I3</x:v>
      </x:c>
      <x:c r="D1403" t="n">
        <x:v>9</x:v>
      </x:c>
      <x:c r="E1403" s="50" t="n">
        <x:v>12</x:v>
      </x:c>
      <x:c r="F1403" s="50" t="n">
        <x:v>286.86</x:v>
      </x:c>
      <x:c r="G1403" s="50" t="n">
        <x:v>-278.26</x:v>
      </x:c>
      <x:c r="H1403" s="50" t="n">
        <x:v>290.7</x:v>
      </x:c>
      <x:c r="I1403" s="50" t="n">
        <x:v>-267.67</x:v>
      </x:c>
      <x:c r="J1403" s="50" t="n">
        <x:v>3</x:v>
      </x:c>
      <x:c r="K1403" s="50" t="n">
        <x:v>-0.91</x:v>
      </x:c>
      <x:c r="L1403" s="50" t="n">
        <x:v>3.13</x:v>
      </x:c>
      <x:c r="M1403" s="50" t="n">
        <x:v>0.84</x:v>
      </x:c>
      <x:c r="N1403" t="str">
        <x:v>RELATÓRIO LEITURAS INCLINOMÉTRICAS - Empreitada THE EDEN, Estoril_ R10_09-12-25.pdf</x:v>
      </x:c>
      <x:c r="O1403" t="n">
        <x:v>62</x:v>
      </x:c>
    </x:row>
    <x:row r="1404">
      <x:c r="A1404" s="48" t="n">
        <x:v>46000</x:v>
      </x:c>
      <x:c r="B1404" t="n">
        <x:v>9</x:v>
      </x:c>
      <x:c r="C1404" t="str">
        <x:v>I3</x:v>
      </x:c>
      <x:c r="D1404" t="n">
        <x:v>9</x:v>
      </x:c>
      <x:c r="E1404" s="50" t="n">
        <x:v>12.5</x:v>
      </x:c>
      <x:c r="F1404" s="50" t="n">
        <x:v>245.42</x:v>
      </x:c>
      <x:c r="G1404" s="50" t="n">
        <x:v>-238.38</x:v>
      </x:c>
      <x:c r="H1404" s="50" t="n">
        <x:v>187.9</x:v>
      </x:c>
      <x:c r="I1404" s="50" t="n">
        <x:v>-184.08</x:v>
      </x:c>
      <x:c r="J1404" s="50" t="n">
        <x:v>2.78</x:v>
      </x:c>
      <x:c r="K1404" s="50" t="n">
        <x:v>-1.01</x:v>
      </x:c>
      <x:c r="L1404" s="50" t="n">
        <x:v>2.95</x:v>
      </x:c>
      <x:c r="M1404" s="50" t="n">
        <x:v>0.65</x:v>
      </x:c>
      <x:c r="N1404" t="str">
        <x:v>RELATÓRIO LEITURAS INCLINOMÉTRICAS - Empreitada THE EDEN, Estoril_ R10_09-12-25.pdf</x:v>
      </x:c>
      <x:c r="O1404" t="n">
        <x:v>62</x:v>
      </x:c>
    </x:row>
    <x:row r="1405">
      <x:c r="A1405" s="48" t="n">
        <x:v>46000</x:v>
      </x:c>
      <x:c r="B1405" t="n">
        <x:v>9</x:v>
      </x:c>
      <x:c r="C1405" t="str">
        <x:v>I3</x:v>
      </x:c>
      <x:c r="D1405" t="n">
        <x:v>9</x:v>
      </x:c>
      <x:c r="E1405" s="50" t="n">
        <x:v>13</x:v>
      </x:c>
      <x:c r="F1405" s="50" t="n">
        <x:v>210.05</x:v>
      </x:c>
      <x:c r="G1405" s="50" t="n">
        <x:v>-202.39</x:v>
      </x:c>
      <x:c r="H1405" s="50" t="n">
        <x:v>131.4</x:v>
      </x:c>
      <x:c r="I1405" s="50" t="n">
        <x:v>-123.11</x:v>
      </x:c>
      <x:c r="J1405" s="50" t="n">
        <x:v>2.69</x:v>
      </x:c>
      <x:c r="K1405" s="50" t="n">
        <x:v>-1.13</x:v>
      </x:c>
      <x:c r="L1405" s="50" t="n">
        <x:v>2.92</x:v>
      </x:c>
      <x:c r="M1405" s="50" t="n">
        <x:v>0.58</x:v>
      </x:c>
      <x:c r="N1405" t="str">
        <x:v>RELATÓRIO LEITURAS INCLINOMÉTRICAS - Empreitada THE EDEN, Estoril_ R10_09-12-25.pdf</x:v>
      </x:c>
      <x:c r="O1405" t="n">
        <x:v>62</x:v>
      </x:c>
    </x:row>
    <x:row r="1406">
      <x:c r="A1406" s="48" t="n">
        <x:v>46000</x:v>
      </x:c>
      <x:c r="B1406" t="n">
        <x:v>9</x:v>
      </x:c>
      <x:c r="C1406" t="str">
        <x:v>I3</x:v>
      </x:c>
      <x:c r="D1406" t="n">
        <x:v>9</x:v>
      </x:c>
      <x:c r="E1406" s="50" t="n">
        <x:v>13.5</x:v>
      </x:c>
      <x:c r="F1406" s="50" t="n">
        <x:v>179.52</x:v>
      </x:c>
      <x:c r="G1406" s="50" t="n">
        <x:v>-173.98</x:v>
      </x:c>
      <x:c r="H1406" s="50" t="n">
        <x:v>143.56</x:v>
      </x:c>
      <x:c r="I1406" s="50" t="n">
        <x:v>-143.31</x:v>
      </x:c>
      <x:c r="J1406" s="50" t="n">
        <x:v>2.43</x:v>
      </x:c>
      <x:c r="K1406" s="50" t="n">
        <x:v>-1.12</x:v>
      </x:c>
      <x:c r="L1406" s="50" t="n">
        <x:v>2.68</x:v>
      </x:c>
      <x:c r="M1406" s="50" t="n">
        <x:v>0.47</x:v>
      </x:c>
      <x:c r="N1406" t="str">
        <x:v>RELATÓRIO LEITURAS INCLINOMÉTRICAS - Empreitada THE EDEN, Estoril_ R10_09-12-25.pdf</x:v>
      </x:c>
      <x:c r="O1406" t="n">
        <x:v>62</x:v>
      </x:c>
    </x:row>
    <x:row r="1407">
      <x:c r="A1407" s="48" t="n">
        <x:v>46000</x:v>
      </x:c>
      <x:c r="B1407" t="n">
        <x:v>9</x:v>
      </x:c>
      <x:c r="C1407" t="str">
        <x:v>I3</x:v>
      </x:c>
      <x:c r="D1407" t="n">
        <x:v>9</x:v>
      </x:c>
      <x:c r="E1407" s="50" t="n">
        <x:v>14</x:v>
      </x:c>
      <x:c r="F1407" s="50" t="n">
        <x:v>137.93</x:v>
      </x:c>
      <x:c r="G1407" s="50" t="n">
        <x:v>-132.52</x:v>
      </x:c>
      <x:c r="H1407" s="50" t="n">
        <x:v>159.71</x:v>
      </x:c>
      <x:c r="I1407" s="50" t="n">
        <x:v>-163.41</x:v>
      </x:c>
      <x:c r="J1407" s="50" t="n">
        <x:v>2.1</x:v>
      </x:c>
      <x:c r="K1407" s="50" t="n">
        <x:v>-0.74</x:v>
      </x:c>
      <x:c r="L1407" s="50" t="n">
        <x:v>2.23</x:v>
      </x:c>
      <x:c r="M1407" s="50" t="n">
        <x:v>0.4</x:v>
      </x:c>
      <x:c r="N1407" t="str">
        <x:v>RELATÓRIO LEITURAS INCLINOMÉTRICAS - Empreitada THE EDEN, Estoril_ R10_09-12-25.pdf</x:v>
      </x:c>
      <x:c r="O1407" t="n">
        <x:v>62</x:v>
      </x:c>
    </x:row>
    <x:row r="1408">
      <x:c r="A1408" s="48" t="n">
        <x:v>46000</x:v>
      </x:c>
      <x:c r="B1408" t="n">
        <x:v>9</x:v>
      </x:c>
      <x:c r="C1408" t="str">
        <x:v>I3</x:v>
      </x:c>
      <x:c r="D1408" t="n">
        <x:v>9</x:v>
      </x:c>
      <x:c r="E1408" s="50" t="n">
        <x:v>14.5</x:v>
      </x:c>
      <x:c r="F1408" s="50" t="n">
        <x:v>133.2</x:v>
      </x:c>
      <x:c r="G1408" s="50" t="n">
        <x:v>-125.95</x:v>
      </x:c>
      <x:c r="H1408" s="50" t="n">
        <x:v>184.57</x:v>
      </x:c>
      <x:c r="I1408" s="50" t="n">
        <x:v>-184.12</x:v>
      </x:c>
      <x:c r="J1408" s="50" t="n">
        <x:v>1.89</x:v>
      </x:c>
      <x:c r="K1408" s="50" t="n">
        <x:v>-1.14</x:v>
      </x:c>
      <x:c r="L1408" s="50" t="n">
        <x:v>2.21</x:v>
      </x:c>
      <x:c r="M1408" s="50" t="n">
        <x:v>0.2</x:v>
      </x:c>
      <x:c r="N1408" t="str">
        <x:v>RELATÓRIO LEITURAS INCLINOMÉTRICAS - Empreitada THE EDEN, Estoril_ R10_09-12-25.pdf</x:v>
      </x:c>
      <x:c r="O1408" t="n">
        <x:v>62</x:v>
      </x:c>
    </x:row>
    <x:row r="1409">
      <x:c r="A1409" s="48" t="n">
        <x:v>46000</x:v>
      </x:c>
      <x:c r="B1409" t="n">
        <x:v>9</x:v>
      </x:c>
      <x:c r="C1409" t="str">
        <x:v>I3</x:v>
      </x:c>
      <x:c r="D1409" t="n">
        <x:v>9</x:v>
      </x:c>
      <x:c r="E1409" s="50" t="n">
        <x:v>15</x:v>
      </x:c>
      <x:c r="F1409" s="50" t="n">
        <x:v>139.25</x:v>
      </x:c>
      <x:c r="G1409" s="50" t="n">
        <x:v>-132.04</x:v>
      </x:c>
      <x:c r="H1409" s="50" t="n">
        <x:v>269.35</x:v>
      </x:c>
      <x:c r="I1409" s="50" t="n">
        <x:v>-273.68</x:v>
      </x:c>
      <x:c r="J1409" s="50" t="n">
        <x:v>1.61</x:v>
      </x:c>
      <x:c r="K1409" s="50" t="n">
        <x:v>-1.26</x:v>
      </x:c>
      <x:c r="L1409" s="50" t="n">
        <x:v>2.05</x:v>
      </x:c>
      <x:c r="M1409" s="50" t="n">
        <x:v>0.13</x:v>
      </x:c>
      <x:c r="N1409" t="str">
        <x:v>RELATÓRIO LEITURAS INCLINOMÉTRICAS - Empreitada THE EDEN, Estoril_ R10_09-12-25.pdf</x:v>
      </x:c>
      <x:c r="O1409" t="n">
        <x:v>62</x:v>
      </x:c>
    </x:row>
    <x:row r="1410">
      <x:c r="A1410" s="48" t="n">
        <x:v>46000</x:v>
      </x:c>
      <x:c r="B1410" t="n">
        <x:v>9</x:v>
      </x:c>
      <x:c r="C1410" t="str">
        <x:v>I3</x:v>
      </x:c>
      <x:c r="D1410" t="n">
        <x:v>9</x:v>
      </x:c>
      <x:c r="E1410" s="50" t="n">
        <x:v>15.5</x:v>
      </x:c>
      <x:c r="F1410" s="50" t="n">
        <x:v>54.86</x:v>
      </x:c>
      <x:c r="G1410" s="50" t="n">
        <x:v>-53.77</x:v>
      </x:c>
      <x:c r="H1410" s="50" t="n">
        <x:v>348.34</x:v>
      </x:c>
      <x:c r="I1410" s="50" t="n">
        <x:v>-339</x:v>
      </x:c>
      <x:c r="J1410" s="50" t="n">
        <x:v>1.37</x:v>
      </x:c>
      <x:c r="K1410" s="50" t="n">
        <x:v>-0.99</x:v>
      </x:c>
      <x:c r="L1410" s="50" t="n">
        <x:v>1.69</x:v>
      </x:c>
      <x:c r="M1410" s="50" t="n">
        <x:v>-0.11</x:v>
      </x:c>
      <x:c r="N1410" t="str">
        <x:v>RELATÓRIO LEITURAS INCLINOMÉTRICAS - Empreitada THE EDEN, Estoril_ R10_09-12-25.pdf</x:v>
      </x:c>
      <x:c r="O1410" t="n">
        <x:v>62</x:v>
      </x:c>
    </x:row>
    <x:row r="1411">
      <x:c r="A1411" s="48" t="n">
        <x:v>46000</x:v>
      </x:c>
      <x:c r="B1411" t="n">
        <x:v>9</x:v>
      </x:c>
      <x:c r="C1411" t="str">
        <x:v>I3</x:v>
      </x:c>
      <x:c r="D1411" t="n">
        <x:v>9</x:v>
      </x:c>
      <x:c r="E1411" s="50" t="n">
        <x:v>16</x:v>
      </x:c>
      <x:c r="F1411" s="50" t="n">
        <x:v>199.28</x:v>
      </x:c>
      <x:c r="G1411" s="50" t="n">
        <x:v>-186.36</x:v>
      </x:c>
      <x:c r="H1411" s="50" t="n">
        <x:v>192.62</x:v>
      </x:c>
      <x:c r="I1411" s="50" t="n">
        <x:v>-188.53</x:v>
      </x:c>
      <x:c r="J1411" s="50" t="n">
        <x:v>1.25</x:v>
      </x:c>
      <x:c r="K1411" s="50" t="n">
        <x:v>-0.94</x:v>
      </x:c>
      <x:c r="L1411" s="50" t="n">
        <x:v>1.56</x:v>
      </x:c>
      <x:c r="M1411" s="50" t="n">
        <x:v>-0.22</x:v>
      </x:c>
      <x:c r="N1411" t="str">
        <x:v>RELATÓRIO LEITURAS INCLINOMÉTRICAS - Empreitada THE EDEN, Estoril_ R10_09-12-25.pdf</x:v>
      </x:c>
      <x:c r="O1411" t="n">
        <x:v>62</x:v>
      </x:c>
    </x:row>
    <x:row r="1412">
      <x:c r="A1412" s="48" t="n">
        <x:v>46000</x:v>
      </x:c>
      <x:c r="B1412" t="n">
        <x:v>9</x:v>
      </x:c>
      <x:c r="C1412" t="str">
        <x:v>I3</x:v>
      </x:c>
      <x:c r="D1412" t="n">
        <x:v>9</x:v>
      </x:c>
      <x:c r="E1412" s="50" t="n">
        <x:v>16.5</x:v>
      </x:c>
      <x:c r="F1412" s="50" t="n">
        <x:v>321.24</x:v>
      </x:c>
      <x:c r="G1412" s="50" t="n">
        <x:v>-318.79</x:v>
      </x:c>
      <x:c r="H1412" s="50" t="n">
        <x:v>209.06</x:v>
      </x:c>
      <x:c r="I1412" s="50" t="n">
        <x:v>-202.8</x:v>
      </x:c>
      <x:c r="J1412" s="50" t="n">
        <x:v>1.24</x:v>
      </x:c>
      <x:c r="K1412" s="50" t="n">
        <x:v>-0.95</x:v>
      </x:c>
      <x:c r="L1412" s="50" t="n">
        <x:v>1.56</x:v>
      </x:c>
      <x:c r="M1412" s="50" t="n">
        <x:v>-0.48</x:v>
      </x:c>
      <x:c r="N1412" t="str">
        <x:v>RELATÓRIO LEITURAS INCLINOMÉTRICAS - Empreitada THE EDEN, Estoril_ R10_09-12-25.pdf</x:v>
      </x:c>
      <x:c r="O1412" t="n">
        <x:v>62</x:v>
      </x:c>
    </x:row>
    <x:row r="1413">
      <x:c r="A1413" s="48" t="n">
        <x:v>46000</x:v>
      </x:c>
      <x:c r="B1413" t="n">
        <x:v>9</x:v>
      </x:c>
      <x:c r="C1413" t="str">
        <x:v>I3</x:v>
      </x:c>
      <x:c r="D1413" t="n">
        <x:v>9</x:v>
      </x:c>
      <x:c r="E1413" s="50" t="n">
        <x:v>17</x:v>
      </x:c>
      <x:c r="F1413" s="50" t="n">
        <x:v>382.41</x:v>
      </x:c>
      <x:c r="G1413" s="50" t="n">
        <x:v>-374.55</x:v>
      </x:c>
      <x:c r="H1413" s="50" t="n">
        <x:v>241.68</x:v>
      </x:c>
      <x:c r="I1413" s="50" t="n">
        <x:v>-252.73</x:v>
      </x:c>
      <x:c r="J1413" s="50" t="n">
        <x:v>1.2</x:v>
      </x:c>
      <x:c r="K1413" s="50" t="n">
        <x:v>-0.6</x:v>
      </x:c>
      <x:c r="L1413" s="50" t="n">
        <x:v>1.34</x:v>
      </x:c>
      <x:c r="M1413" s="50" t="n">
        <x:v>-0.39</x:v>
      </x:c>
      <x:c r="N1413" t="str">
        <x:v>RELATÓRIO LEITURAS INCLINOMÉTRICAS - Empreitada THE EDEN, Estoril_ R10_09-12-25.pdf</x:v>
      </x:c>
      <x:c r="O1413" t="n">
        <x:v>62</x:v>
      </x:c>
    </x:row>
    <x:row r="1414">
      <x:c r="A1414" s="48" t="n">
        <x:v>46000</x:v>
      </x:c>
      <x:c r="B1414" t="n">
        <x:v>9</x:v>
      </x:c>
      <x:c r="C1414" t="str">
        <x:v>I3</x:v>
      </x:c>
      <x:c r="D1414" t="n">
        <x:v>9</x:v>
      </x:c>
      <x:c r="E1414" s="50" t="n">
        <x:v>17.5</x:v>
      </x:c>
      <x:c r="F1414" s="50" t="n">
        <x:v>376.13</x:v>
      </x:c>
      <x:c r="G1414" s="50" t="n">
        <x:v>-373.77</x:v>
      </x:c>
      <x:c r="H1414" s="50" t="n">
        <x:v>142.53</x:v>
      </x:c>
      <x:c r="I1414" s="50" t="n">
        <x:v>-155.1</x:v>
      </x:c>
      <x:c r="J1414" s="50" t="n">
        <x:v>1.13</x:v>
      </x:c>
      <x:c r="K1414" s="50" t="n">
        <x:v>-0.36</x:v>
      </x:c>
      <x:c r="L1414" s="50" t="n">
        <x:v>1.19</x:v>
      </x:c>
      <x:c r="M1414" s="50" t="n">
        <x:v>-0.44</x:v>
      </x:c>
      <x:c r="N1414" t="str">
        <x:v>RELATÓRIO LEITURAS INCLINOMÉTRICAS - Empreitada THE EDEN, Estoril_ R10_09-12-25.pdf</x:v>
      </x:c>
      <x:c r="O1414" t="n">
        <x:v>62</x:v>
      </x:c>
    </x:row>
    <x:row r="1415">
      <x:c r="A1415" s="48" t="n">
        <x:v>46000</x:v>
      </x:c>
      <x:c r="B1415" t="n">
        <x:v>9</x:v>
      </x:c>
      <x:c r="C1415" t="str">
        <x:v>I3</x:v>
      </x:c>
      <x:c r="D1415" t="n">
        <x:v>9</x:v>
      </x:c>
      <x:c r="E1415" s="50" t="n">
        <x:v>18</x:v>
      </x:c>
      <x:c r="F1415" s="50" t="n">
        <x:v>345.96</x:v>
      </x:c>
      <x:c r="G1415" s="50" t="n">
        <x:v>-339.44</x:v>
      </x:c>
      <x:c r="H1415" s="50" t="n">
        <x:v>94.8</x:v>
      </x:c>
      <x:c r="I1415" s="50" t="n">
        <x:v>-96.45</x:v>
      </x:c>
      <x:c r="J1415" s="50" t="n">
        <x:v>1.05</x:v>
      </x:c>
      <x:c r="K1415" s="50" t="n">
        <x:v>-0.28</x:v>
      </x:c>
      <x:c r="L1415" s="50" t="n">
        <x:v>1.08</x:v>
      </x:c>
      <x:c r="M1415" s="50" t="n">
        <x:v>-0.4</x:v>
      </x:c>
      <x:c r="N1415" t="str">
        <x:v>RELATÓRIO LEITURAS INCLINOMÉTRICAS - Empreitada THE EDEN, Estoril_ R10_09-12-25.pdf</x:v>
      </x:c>
      <x:c r="O1415" t="n">
        <x:v>62</x:v>
      </x:c>
    </x:row>
    <x:row r="1416">
      <x:c r="A1416" s="48" t="n">
        <x:v>46000</x:v>
      </x:c>
      <x:c r="B1416" t="n">
        <x:v>9</x:v>
      </x:c>
      <x:c r="C1416" t="str">
        <x:v>I3</x:v>
      </x:c>
      <x:c r="D1416" t="n">
        <x:v>9</x:v>
      </x:c>
      <x:c r="E1416" s="50" t="n">
        <x:v>18.5</x:v>
      </x:c>
      <x:c r="F1416" s="50" t="n">
        <x:v>314.73</x:v>
      </x:c>
      <x:c r="G1416" s="50" t="n">
        <x:v>-310.52</x:v>
      </x:c>
      <x:c r="H1416" s="50" t="n">
        <x:v>56.71</x:v>
      </x:c>
      <x:c r="I1416" s="50" t="n">
        <x:v>-61.56</x:v>
      </x:c>
      <x:c r="J1416" s="50" t="n">
        <x:v>0.98</x:v>
      </x:c>
      <x:c r="K1416" s="50" t="n">
        <x:v>-0.28</x:v>
      </x:c>
      <x:c r="L1416" s="50" t="n">
        <x:v>1.02</x:v>
      </x:c>
      <x:c r="M1416" s="50" t="n">
        <x:v>-0.44</x:v>
      </x:c>
      <x:c r="N1416" t="str">
        <x:v>RELATÓRIO LEITURAS INCLINOMÉTRICAS - Empreitada THE EDEN, Estoril_ R10_09-12-25.pdf</x:v>
      </x:c>
      <x:c r="O1416" t="n">
        <x:v>62</x:v>
      </x:c>
    </x:row>
    <x:row r="1417">
      <x:c r="A1417" s="48" t="n">
        <x:v>46000</x:v>
      </x:c>
      <x:c r="B1417" t="n">
        <x:v>9</x:v>
      </x:c>
      <x:c r="C1417" t="str">
        <x:v>I3</x:v>
      </x:c>
      <x:c r="D1417" t="n">
        <x:v>9</x:v>
      </x:c>
      <x:c r="E1417" s="50" t="n">
        <x:v>19</x:v>
      </x:c>
      <x:c r="F1417" s="50" t="n">
        <x:v>300.54</x:v>
      </x:c>
      <x:c r="G1417" s="50" t="n">
        <x:v>-297.42</x:v>
      </x:c>
      <x:c r="H1417" s="50" t="n">
        <x:v>47.86</x:v>
      </x:c>
      <x:c r="I1417" s="50" t="n">
        <x:v>-50.01</x:v>
      </x:c>
      <x:c r="J1417" s="50" t="n">
        <x:v>0.82</x:v>
      </x:c>
      <x:c r="K1417" s="50" t="n">
        <x:v>-0.46</x:v>
      </x:c>
      <x:c r="L1417" s="50" t="n">
        <x:v>0.94</x:v>
      </x:c>
      <x:c r="M1417" s="50" t="n">
        <x:v>-0.43</x:v>
      </x:c>
      <x:c r="N1417" t="str">
        <x:v>RELATÓRIO LEITURAS INCLINOMÉTRICAS - Empreitada THE EDEN, Estoril_ R10_09-12-25.pdf</x:v>
      </x:c>
      <x:c r="O1417" t="n">
        <x:v>62</x:v>
      </x:c>
    </x:row>
    <x:row r="1418">
      <x:c r="A1418" s="48" t="n">
        <x:v>46000</x:v>
      </x:c>
      <x:c r="B1418" t="n">
        <x:v>9</x:v>
      </x:c>
      <x:c r="C1418" t="str">
        <x:v>I3</x:v>
      </x:c>
      <x:c r="D1418" t="n">
        <x:v>9</x:v>
      </x:c>
      <x:c r="E1418" s="50" t="n">
        <x:v>19.5</x:v>
      </x:c>
      <x:c r="F1418" s="50" t="n">
        <x:v>207.62</x:v>
      </x:c>
      <x:c r="G1418" s="50" t="n">
        <x:v>-202.64</x:v>
      </x:c>
      <x:c r="H1418" s="50" t="n">
        <x:v>100.55</x:v>
      </x:c>
      <x:c r="I1418" s="50" t="n">
        <x:v>-98.21</x:v>
      </x:c>
      <x:c r="J1418" s="50" t="n">
        <x:v>0.71</x:v>
      </x:c>
      <x:c r="K1418" s="50" t="n">
        <x:v>-0.6</x:v>
      </x:c>
      <x:c r="L1418" s="50" t="n">
        <x:v>0.93</x:v>
      </x:c>
      <x:c r="M1418" s="50" t="n">
        <x:v>-0.5</x:v>
      </x:c>
      <x:c r="N1418" t="str">
        <x:v>RELATÓRIO LEITURAS INCLINOMÉTRICAS - Empreitada THE EDEN, Estoril_ R10_09-12-25.pdf</x:v>
      </x:c>
      <x:c r="O1418" t="n">
        <x:v>62</x:v>
      </x:c>
    </x:row>
    <x:row r="1419">
      <x:c r="A1419" s="48" t="n">
        <x:v>46000</x:v>
      </x:c>
      <x:c r="B1419" t="n">
        <x:v>9</x:v>
      </x:c>
      <x:c r="C1419" t="str">
        <x:v>I3</x:v>
      </x:c>
      <x:c r="D1419" t="n">
        <x:v>9</x:v>
      </x:c>
      <x:c r="E1419" s="50" t="n">
        <x:v>20</x:v>
      </x:c>
      <x:c r="F1419" s="50" t="n">
        <x:v>141.33</x:v>
      </x:c>
      <x:c r="G1419" s="50" t="n">
        <x:v>-137.21</x:v>
      </x:c>
      <x:c r="H1419" s="50" t="n">
        <x:v>142.11</x:v>
      </x:c>
      <x:c r="I1419" s="50" t="n">
        <x:v>-143.18</x:v>
      </x:c>
      <x:c r="J1419" s="50" t="n">
        <x:v>0.51</x:v>
      </x:c>
      <x:c r="K1419" s="50" t="n">
        <x:v>-0.16</x:v>
      </x:c>
      <x:c r="L1419" s="50" t="n">
        <x:v>0.54</x:v>
      </x:c>
      <x:c r="M1419" s="50" t="n">
        <x:v>-0.51</x:v>
      </x:c>
      <x:c r="N1419" t="str">
        <x:v>RELATÓRIO LEITURAS INCLINOMÉTRICAS - Empreitada THE EDEN, Estoril_ R10_09-12-25.pdf</x:v>
      </x:c>
      <x:c r="O1419" t="n">
        <x:v>62</x:v>
      </x:c>
    </x:row>
    <x:row r="1420">
      <x:c r="A1420" s="48" t="n">
        <x:v>46000</x:v>
      </x:c>
      <x:c r="B1420" t="n">
        <x:v>9</x:v>
      </x:c>
      <x:c r="C1420" t="str">
        <x:v>I3</x:v>
      </x:c>
      <x:c r="D1420" t="n">
        <x:v>9</x:v>
      </x:c>
      <x:c r="E1420" s="50" t="n">
        <x:v>20.5</x:v>
      </x:c>
      <x:c r="F1420" s="50" t="n">
        <x:v>148.42</x:v>
      </x:c>
      <x:c r="G1420" s="50" t="n">
        <x:v>-146.7</x:v>
      </x:c>
      <x:c r="H1420" s="50" t="n">
        <x:v>147.31</x:v>
      </x:c>
      <x:c r="I1420" s="50" t="n">
        <x:v>-159.45</x:v>
      </x:c>
      <x:c r="J1420" s="50" t="n">
        <x:v>0.41</x:v>
      </x:c>
      <x:c r="K1420" s="50" t="n">
        <x:v>-0.03</x:v>
      </x:c>
      <x:c r="L1420" s="50" t="n">
        <x:v>0.41</x:v>
      </x:c>
      <x:c r="M1420" s="50" t="n">
        <x:v>-0.38</x:v>
      </x:c>
      <x:c r="N1420" t="str">
        <x:v>RELATÓRIO LEITURAS INCLINOMÉTRICAS - Empreitada THE EDEN, Estoril_ R10_09-12-25.pdf</x:v>
      </x:c>
      <x:c r="O1420" t="n">
        <x:v>62</x:v>
      </x:c>
    </x:row>
    <x:row r="1421">
      <x:c r="A1421" s="48" t="n">
        <x:v>46000</x:v>
      </x:c>
      <x:c r="B1421" t="n">
        <x:v>9</x:v>
      </x:c>
      <x:c r="C1421" t="str">
        <x:v>I3</x:v>
      </x:c>
      <x:c r="D1421" t="n">
        <x:v>9</x:v>
      </x:c>
      <x:c r="E1421" s="50" t="n">
        <x:v>21</x:v>
      </x:c>
      <x:c r="F1421" s="50" t="n">
        <x:v>159.19</x:v>
      </x:c>
      <x:c r="G1421" s="50" t="n">
        <x:v>-155.72</x:v>
      </x:c>
      <x:c r="H1421" s="50" t="n">
        <x:v>166.87</x:v>
      </x:c>
      <x:c r="I1421" s="50" t="n">
        <x:v>-165.56</x:v>
      </x:c>
      <x:c r="J1421" s="50" t="n">
        <x:v>0.27</x:v>
      </x:c>
      <x:c r="K1421" s="50" t="n">
        <x:v>0.25</x:v>
      </x:c>
      <x:c r="L1421" s="50" t="n">
        <x:v>0.37</x:v>
      </x:c>
      <x:c r="M1421" s="50" t="n">
        <x:v>0.01</x:v>
      </x:c>
      <x:c r="N1421" t="str">
        <x:v>RELATÓRIO LEITURAS INCLINOMÉTRICAS - Empreitada THE EDEN, Estoril_ R10_09-12-25.pdf</x:v>
      </x:c>
      <x:c r="O1421" t="n">
        <x:v>62</x:v>
      </x:c>
    </x:row>
    <x:row r="1422">
      <x:c r="A1422" s="48" t="n">
        <x:v>46000</x:v>
      </x:c>
      <x:c r="B1422" t="n">
        <x:v>9</x:v>
      </x:c>
      <x:c r="C1422" t="str">
        <x:v>I3</x:v>
      </x:c>
      <x:c r="D1422" t="n">
        <x:v>9</x:v>
      </x:c>
      <x:c r="E1422" s="50" t="n">
        <x:v>21.5</x:v>
      </x:c>
      <x:c r="F1422" s="50" t="n">
        <x:v>176.38</x:v>
      </x:c>
      <x:c r="G1422" s="50" t="n">
        <x:v>-173.66</x:v>
      </x:c>
      <x:c r="H1422" s="50" t="n">
        <x:v>157.24</x:v>
      </x:c>
      <x:c r="I1422" s="50" t="n">
        <x:v>-171.26</x:v>
      </x:c>
      <x:c r="J1422" s="50" t="n">
        <x:v>0.15</x:v>
      </x:c>
      <x:c r="K1422" s="50" t="n">
        <x:v>0.32</x:v>
      </x:c>
      <x:c r="L1422" s="50" t="n">
        <x:v>0.36</x:v>
      </x:c>
      <x:c r="M1422" s="50" t="n">
        <x:v>0.17</x:v>
      </x:c>
      <x:c r="N1422" t="str">
        <x:v>RELATÓRIO LEITURAS INCLINOMÉTRICAS - Empreitada THE EDEN, Estoril_ R10_09-12-25.pdf</x:v>
      </x:c>
      <x:c r="O1422" t="n">
        <x:v>62</x:v>
      </x:c>
    </x:row>
    <x:row r="1423">
      <x:c r="A1423" s="48" t="n">
        <x:v>46000</x:v>
      </x:c>
      <x:c r="B1423" t="n">
        <x:v>9</x:v>
      </x:c>
      <x:c r="C1423" t="str">
        <x:v>I3</x:v>
      </x:c>
      <x:c r="D1423" t="n">
        <x:v>9</x:v>
      </x:c>
      <x:c r="E1423" s="50" t="n">
        <x:v>22</x:v>
      </x:c>
      <x:c r="F1423" s="50" t="n">
        <x:v>188.06</x:v>
      </x:c>
      <x:c r="G1423" s="50" t="n">
        <x:v>-184.26</x:v>
      </x:c>
      <x:c r="H1423" s="50" t="n">
        <x:v>185.68</x:v>
      </x:c>
      <x:c r="I1423" s="50" t="n">
        <x:v>-176.72</x:v>
      </x:c>
      <x:c r="J1423" s="50" t="n">
        <x:v>0.04</x:v>
      </x:c>
      <x:c r="K1423" s="50" t="n">
        <x:v>0.23</x:v>
      </x:c>
      <x:c r="L1423" s="50" t="n">
        <x:v>0.24</x:v>
      </x:c>
      <x:c r="M1423" s="50" t="n">
        <x:v>0</x:v>
      </x:c>
      <x:c r="N1423" t="str">
        <x:v>RELATÓRIO LEITURAS INCLINOMÉTRICAS - Empreitada THE EDEN, Estoril_ R10_09-12-25.pdf</x:v>
      </x:c>
      <x:c r="O1423" t="n">
        <x:v>62</x:v>
      </x:c>
    </x:row>
  </x:sheetData>
  <x:conditionalFormatting sqref="L2:L712">
    <x:cfRule type="dataBar" priority="1">
      <x:dataBar>
        <x:cfvo type="min"/>
        <x:cfvo type="max"/>
        <x:color rgb="FF4472C4"/>
      </x:dataBar>
      <x:extLst>
        <x:ext xmlns:x14="http://schemas.microsoft.com/office/spreadsheetml/2009/9/main" uri="{B025F937-C7B1-47D3-B67F-A62EFF666E3E}">
          <x14:id>{5FE2B89B-589E-BE46-230D-44D2FF134CBD}</x14:id>
        </x:ext>
      </x:extLst>
    </x:cfRule>
  </x:conditionalFormatting>
  <x:conditionalFormatting sqref="P2:P712">
    <x:cfRule type="expression" dxfId="6" priority="2">
      <x:formula>$P2="Válida"</x:formula>
    </x:cfRule>
    <x:cfRule type="expression" dxfId="7" priority="3">
      <x:formula>LEFT($P2,7)="Excluir"</x:formula>
    </x:cfRule>
  </x:conditionalFormatting>
  <x:conditionalFormatting sqref="L2:L1423">
    <x:cfRule type="dataBar" priority="4">
      <x:dataBar>
        <x:cfvo type="min"/>
        <x:cfvo type="max"/>
        <x:color rgb="FF4472C4"/>
      </x:dataBar>
      <x:extLst>
        <x:ext xmlns:x14="http://schemas.microsoft.com/office/spreadsheetml/2009/9/main" uri="{B025F937-C7B1-47D3-B67F-A62EFF666E3E}">
          <x14:id>{6C2C5BC0-A446-5BFD-C6B8-605C5E09719B}</x14:id>
        </x:ext>
      </x:extLst>
    </x:cfRule>
  </x:conditionalFormatting>
  <x:conditionalFormatting sqref="P2:P1423">
    <x:cfRule type="expression" dxfId="12" priority="5">
      <x:formula>$P2="Válida"</x:formula>
    </x:cfRule>
    <x:cfRule type="expression" dxfId="13" priority="6">
      <x:formula>LEFT($P2,7)="Excluir"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3305c8bbf74e8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FE2B89B-589E-BE46-230D-44D2FF134CBD}">
            <x14:dataBar gradient="1">
              <x14:cfvo type="min"/>
              <x14:cfvo type="max"/>
              <x14:fillColor rgb="FF4472C4"/>
            </x14:dataBar>
          </x14:cfRule>
          <xm:sqref>L2:L712</xm:sqref>
        </x14:conditionalFormatting>
        <x14:conditionalFormatting>
          <x14:cfRule type="dataBar" priority="4" id="{6C2C5BC0-A446-5BFD-C6B8-605C5E09719B}">
            <x14:dataBar gradient="1">
              <x14:cfvo type="min"/>
              <x14:cfvo type="max"/>
              <x14:fillColor rgb="FF4472C4"/>
            </x14:dataBar>
          </x14:cfRule>
          <xm:sqref>L2:L1423</xm:sqref>
        </x14:conditionalFormatting>
      </x14:conditionalFormattings>
    </x:ext>
  </x:extLst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14" hidden="0" customWidth="1"/>
    <x:col min="4" max="4" width="18" hidden="0" customWidth="1"/>
    <x:col min="5" max="5" width="30" hidden="0" customWidth="1"/>
    <x:col min="6" max="6" width="27" hidden="0" customWidth="1"/>
    <x:col min="7" max="7" width="24" hidden="0" customWidth="1"/>
    <x:col min="8" max="8" width="24" hidden="0" customWidth="1"/>
    <x:col min="9" max="9" width="30" hidden="0" customWidth="1"/>
    <x:col min="10" max="10" width="17" hidden="0" customWidth="1"/>
    <x:col min="11" max="11" width="68" hidden="0" customWidth="1"/>
    <x:col min="12" max="12" width="9" hidden="0" customWidth="1"/>
  </x:cols>
  <x:sheetData>
    <x:row r="1" ht="32" customHeight="1">
      <x:c r="A1" s="60" t="str">
        <x:v>Data</x:v>
      </x:c>
      <x:c r="B1" s="60" t="str">
        <x:v>Campanha</x:v>
      </x:c>
      <x:c r="C1" s="60" t="str">
        <x:v>Piezómetro</x:v>
      </x:c>
      <x:c r="D1" s="60" t="str">
        <x:v>Cota da boca (m)</x:v>
      </x:c>
      <x:c r="E1" s="60" t="str">
        <x:v>Profundidade reportada com sinal (m)</x:v>
      </x:c>
      <x:c r="F1" s="60" t="str">
        <x:v>Profundidade abaixo da boca (m)</x:v>
      </x:c>
      <x:c r="G1" s="60" t="str">
        <x:v>Cota da água reportada (m)</x:v>
      </x:c>
      <x:c r="H1" s="60" t="str">
        <x:v>Cota da água calculada (m)</x:v>
      </x:c>
      <x:c r="I1" s="60" t="str">
        <x:v>Diferença reportado-calculado (m)</x:v>
      </x:c>
      <x:c r="J1" s="60" t="str">
        <x:v>Comprimento (m)</x:v>
      </x:c>
      <x:c r="K1" s="60" t="str">
        <x:v>Ficheiro fonte</x:v>
      </x:c>
      <x:c r="L1" s="60" t="str">
        <x:v>Página</x:v>
      </x:c>
    </x:row>
    <x:row r="2">
      <x:c r="A2" s="48" t="n">
        <x:v>45936</x:v>
      </x:c>
      <x:c r="B2" t="n">
        <x:v>1</x:v>
      </x:c>
      <x:c r="C2" t="str">
        <x:v>PZ1</x:v>
      </x:c>
      <x:c r="D2" s="50" t="n">
        <x:v>21</x:v>
      </x:c>
      <x:c r="E2" s="50" t="n">
        <x:v>-5.28</x:v>
      </x:c>
      <x:c r="F2" s="50" t="n">
        <x:f>-E2</x:f>
        <x:v>5.28</x:v>
      </x:c>
      <x:c r="G2" s="50" t="n">
        <x:v>15.72</x:v>
      </x:c>
      <x:c r="H2" s="50" t="n">
        <x:f>D2+E2</x:f>
        <x:v>15.719999999999999</x:v>
      </x:c>
      <x:c r="I2" s="50" t="n">
        <x:f>G2-H2</x:f>
        <x:v>1.7763568394002505e-15</x:v>
      </x:c>
      <x:c r="J2" s="50" t="n">
        <x:v>22.5</x:v>
      </x:c>
      <x:c r="K2" t="str">
        <x:v>RELATÓRIO LEITURAS PIEZOMÈTRICAS - Empreitada THE EDEN, Estoril_ R05_03-11-25.pdf</x:v>
      </x:c>
      <x:c r="L2" t="n">
        <x:v>4</x:v>
      </x:c>
    </x:row>
    <x:row r="3">
      <x:c r="A3" s="48" t="n">
        <x:v>45944</x:v>
      </x:c>
      <x:c r="B3" t="n">
        <x:v>2</x:v>
      </x:c>
      <x:c r="C3" t="str">
        <x:v>PZ1</x:v>
      </x:c>
      <x:c r="D3" s="50" t="n">
        <x:v>21</x:v>
      </x:c>
      <x:c r="E3" s="50" t="n">
        <x:v>-5.78</x:v>
      </x:c>
      <x:c r="F3" s="50" t="n">
        <x:f>-E3</x:f>
        <x:v>5.78</x:v>
      </x:c>
      <x:c r="G3" s="50" t="n">
        <x:v>15.22</x:v>
      </x:c>
      <x:c r="H3" s="50" t="n">
        <x:f>D3+E3</x:f>
        <x:v>15.219999999999999</x:v>
      </x:c>
      <x:c r="I3" s="50" t="n">
        <x:f>G3-H3</x:f>
        <x:v>1.7763568394002505e-15</x:v>
      </x:c>
      <x:c r="J3" s="50" t="n">
        <x:v>22.5</x:v>
      </x:c>
      <x:c r="K3" t="str">
        <x:v>RELATÓRIO LEITURAS PIEZOMÈTRICAS - Empreitada THE EDEN, Estoril_ R05_03-11-25.pdf</x:v>
      </x:c>
      <x:c r="L3" t="n">
        <x:v>4</x:v>
      </x:c>
    </x:row>
    <x:row r="4">
      <x:c r="A4" s="48" t="n">
        <x:v>45950</x:v>
      </x:c>
      <x:c r="B4" t="n">
        <x:v>3</x:v>
      </x:c>
      <x:c r="C4" t="str">
        <x:v>PZ1</x:v>
      </x:c>
      <x:c r="D4" s="50" t="n">
        <x:v>21</x:v>
      </x:c>
      <x:c r="E4" s="50" t="n">
        <x:v>-6.1</x:v>
      </x:c>
      <x:c r="F4" s="50" t="n">
        <x:f>-E4</x:f>
        <x:v>6.1</x:v>
      </x:c>
      <x:c r="G4" s="50" t="n">
        <x:v>14.9</x:v>
      </x:c>
      <x:c r="H4" s="50" t="n">
        <x:f>D4+E4</x:f>
        <x:v>14.9</x:v>
      </x:c>
      <x:c r="I4" s="50" t="n">
        <x:f>G4-H4</x:f>
        <x:v>0</x:v>
      </x:c>
      <x:c r="J4" s="50" t="n">
        <x:v>22.5</x:v>
      </x:c>
      <x:c r="K4" t="str">
        <x:v>RELATÓRIO LEITURAS PIEZOMÈTRICAS - Empreitada THE EDEN, Estoril_ R05_03-11-25.pdf</x:v>
      </x:c>
      <x:c r="L4" t="n">
        <x:v>4</x:v>
      </x:c>
    </x:row>
    <x:row r="5">
      <x:c r="A5" s="48" t="n">
        <x:v>45959</x:v>
      </x:c>
      <x:c r="B5" t="n">
        <x:v>4</x:v>
      </x:c>
      <x:c r="C5" t="str">
        <x:v>PZ1</x:v>
      </x:c>
      <x:c r="D5" s="50" t="n">
        <x:v>21</x:v>
      </x:c>
      <x:c r="E5" s="50" t="n">
        <x:v>-6.61</x:v>
      </x:c>
      <x:c r="F5" s="50" t="n">
        <x:f>-E5</x:f>
        <x:v>6.61</x:v>
      </x:c>
      <x:c r="G5" s="50" t="n">
        <x:v>14.39</x:v>
      </x:c>
      <x:c r="H5" s="50" t="n">
        <x:f>D5+E5</x:f>
        <x:v>14.39</x:v>
      </x:c>
      <x:c r="I5" s="50" t="n">
        <x:f>G5-H5</x:f>
        <x:v>0</x:v>
      </x:c>
      <x:c r="J5" s="50" t="n">
        <x:v>22.5</x:v>
      </x:c>
      <x:c r="K5" t="str">
        <x:v>RELATÓRIO LEITURAS PIEZOMÈTRICAS - Empreitada THE EDEN, Estoril_ R05_03-11-25.pdf</x:v>
      </x:c>
      <x:c r="L5" t="n">
        <x:v>4</x:v>
      </x:c>
    </x:row>
    <x:row r="6">
      <x:c r="A6" s="48" t="n">
        <x:v>45964</x:v>
      </x:c>
      <x:c r="B6" t="n">
        <x:v>5</x:v>
      </x:c>
      <x:c r="C6" t="str">
        <x:v>PZ1</x:v>
      </x:c>
      <x:c r="D6" s="50" t="n">
        <x:v>21</x:v>
      </x:c>
      <x:c r="E6" s="50" t="n">
        <x:v>-6.71</x:v>
      </x:c>
      <x:c r="F6" s="50" t="n">
        <x:f>-E6</x:f>
        <x:v>6.71</x:v>
      </x:c>
      <x:c r="G6" s="50" t="n">
        <x:v>14.29</x:v>
      </x:c>
      <x:c r="H6" s="50" t="n">
        <x:f>D6+E6</x:f>
        <x:v>14.29</x:v>
      </x:c>
      <x:c r="I6" s="50" t="n">
        <x:f>G6-H6</x:f>
        <x:v>0</x:v>
      </x:c>
      <x:c r="J6" s="50" t="n">
        <x:v>22.5</x:v>
      </x:c>
      <x:c r="K6" t="str">
        <x:v>RELATÓRIO LEITURAS PIEZOMÈTRICAS - Empreitada THE EDEN, Estoril_ R05_03-11-25.pdf</x:v>
      </x:c>
      <x:c r="L6" t="n">
        <x:v>4</x:v>
      </x:c>
    </x:row>
    <x:row r="7">
      <x:c r="A7" s="48" t="n">
        <x:v>45971</x:v>
      </x:c>
      <x:c r="B7" t="n">
        <x:v>6</x:v>
      </x:c>
      <x:c r="C7" t="str">
        <x:v>PZ1</x:v>
      </x:c>
      <x:c r="D7" s="50" t="n">
        <x:v>21</x:v>
      </x:c>
      <x:c r="E7" s="50" t="n">
        <x:v>-6.48</x:v>
      </x:c>
      <x:c r="F7" s="50" t="n">
        <x:f>-E7</x:f>
        <x:v>6.48</x:v>
      </x:c>
      <x:c r="G7" s="50" t="n">
        <x:v>14.52</x:v>
      </x:c>
      <x:c r="H7" s="50" t="n">
        <x:f>D7+E7</x:f>
        <x:v>14.52</x:v>
      </x:c>
      <x:c r="I7" s="50" t="n">
        <x:f>G7-H7</x:f>
        <x:v>0</x:v>
      </x:c>
      <x:c r="J7" s="50" t="n">
        <x:v>22.5</x:v>
      </x:c>
      <x:c r="K7" t="str">
        <x:v>RELATÓRIO LEITURAS PIEZOMÈTRICAS - Empreitada THE EDEN, Estoril_ R10_09-12-25.pdf</x:v>
      </x:c>
      <x:c r="L7" t="n">
        <x:v>4</x:v>
      </x:c>
    </x:row>
    <x:row r="8">
      <x:c r="A8" s="48" t="n">
        <x:v>45978</x:v>
      </x:c>
      <x:c r="B8" t="n">
        <x:v>7</x:v>
      </x:c>
      <x:c r="C8" t="str">
        <x:v>PZ1</x:v>
      </x:c>
      <x:c r="D8" s="50" t="n">
        <x:v>21</x:v>
      </x:c>
      <x:c r="E8" s="50" t="n">
        <x:v>-6.15</x:v>
      </x:c>
      <x:c r="F8" s="50" t="n">
        <x:f>-E8</x:f>
        <x:v>6.15</x:v>
      </x:c>
      <x:c r="G8" s="50" t="n">
        <x:v>14.85</x:v>
      </x:c>
      <x:c r="H8" s="50" t="n">
        <x:f>D8+E8</x:f>
        <x:v>14.85</x:v>
      </x:c>
      <x:c r="I8" s="50" t="n">
        <x:f>G8-H8</x:f>
        <x:v>0</x:v>
      </x:c>
      <x:c r="J8" s="50" t="n">
        <x:v>22.5</x:v>
      </x:c>
      <x:c r="K8" t="str">
        <x:v>RELATÓRIO LEITURAS PIEZOMÈTRICAS - Empreitada THE EDEN, Estoril_ R10_09-12-25.pdf</x:v>
      </x:c>
      <x:c r="L8" t="n">
        <x:v>4</x:v>
      </x:c>
    </x:row>
    <x:row r="9">
      <x:c r="A9" s="48" t="n">
        <x:v>45985</x:v>
      </x:c>
      <x:c r="B9" t="n">
        <x:v>8</x:v>
      </x:c>
      <x:c r="C9" t="str">
        <x:v>PZ1</x:v>
      </x:c>
      <x:c r="D9" s="50" t="n">
        <x:v>21</x:v>
      </x:c>
      <x:c r="E9" s="50" t="n">
        <x:v>-6.99</x:v>
      </x:c>
      <x:c r="F9" s="50" t="n">
        <x:f>-E9</x:f>
        <x:v>6.99</x:v>
      </x:c>
      <x:c r="G9" s="50" t="n">
        <x:v>14.01</x:v>
      </x:c>
      <x:c r="H9" s="50" t="n">
        <x:f>D9+E9</x:f>
        <x:v>14.01</x:v>
      </x:c>
      <x:c r="I9" s="50" t="n">
        <x:f>G9-H9</x:f>
        <x:v>0</x:v>
      </x:c>
      <x:c r="J9" s="50" t="n">
        <x:v>22.5</x:v>
      </x:c>
      <x:c r="K9" t="str">
        <x:v>RELATÓRIO LEITURAS PIEZOMÈTRICAS - Empreitada THE EDEN, Estoril_ R10_09-12-25.pdf</x:v>
      </x:c>
      <x:c r="L9" t="n">
        <x:v>4</x:v>
      </x:c>
    </x:row>
    <x:row r="10">
      <x:c r="A10" s="48" t="n">
        <x:v>45993</x:v>
      </x:c>
      <x:c r="B10" t="n">
        <x:v>9</x:v>
      </x:c>
      <x:c r="C10" t="str">
        <x:v>PZ1</x:v>
      </x:c>
      <x:c r="D10" s="50" t="n">
        <x:v>21</x:v>
      </x:c>
      <x:c r="E10" s="50" t="n">
        <x:v>-8.16</x:v>
      </x:c>
      <x:c r="F10" s="50" t="n">
        <x:f>-E10</x:f>
        <x:v>8.16</x:v>
      </x:c>
      <x:c r="G10" s="50" t="n">
        <x:v>12.84</x:v>
      </x:c>
      <x:c r="H10" s="50" t="n">
        <x:f>D10+E10</x:f>
        <x:v>12.84</x:v>
      </x:c>
      <x:c r="I10" s="50" t="n">
        <x:f>G10-H10</x:f>
        <x:v>0</x:v>
      </x:c>
      <x:c r="J10" s="50" t="n">
        <x:v>22.5</x:v>
      </x:c>
      <x:c r="K10" t="str">
        <x:v>RELATÓRIO LEITURAS PIEZOMÈTRICAS - Empreitada THE EDEN, Estoril_ R10_09-12-25.pdf</x:v>
      </x:c>
      <x:c r="L10" t="n">
        <x:v>4</x:v>
      </x:c>
    </x:row>
    <x:row r="11">
      <x:c r="A11" s="48" t="n">
        <x:v>46000</x:v>
      </x:c>
      <x:c r="B11" t="n">
        <x:v>10</x:v>
      </x:c>
      <x:c r="C11" t="str">
        <x:v>PZ1</x:v>
      </x:c>
      <x:c r="D11" s="50" t="n">
        <x:v>21</x:v>
      </x:c>
      <x:c r="E11" s="50" t="n">
        <x:v>-8.37</x:v>
      </x:c>
      <x:c r="F11" s="50" t="n">
        <x:f>-E11</x:f>
        <x:v>8.37</x:v>
      </x:c>
      <x:c r="G11" s="50" t="n">
        <x:v>12.63</x:v>
      </x:c>
      <x:c r="H11" s="50" t="n">
        <x:f>D11+E11</x:f>
        <x:v>12.63</x:v>
      </x:c>
      <x:c r="I11" s="50" t="n">
        <x:f>G11-H11</x:f>
        <x:v>0</x:v>
      </x:c>
      <x:c r="J11" s="50" t="n">
        <x:v>22.5</x:v>
      </x:c>
      <x:c r="K11" t="str">
        <x:v>RELATÓRIO LEITURAS PIEZOMÈTRICAS - Empreitada THE EDEN, Estoril_ R10_09-12-25.pdf</x:v>
      </x:c>
      <x:c r="L11" t="n">
        <x:v>4</x:v>
      </x:c>
    </x:row>
  </x:sheetData>
  <x:conditionalFormatting sqref="G2:G6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G2:G11">
    <x:cfRule type="colorScale" priority="2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0983733c134411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14" hidden="0" customWidth="1"/>
    <x:col min="4" max="4" width="17" hidden="0" customWidth="1"/>
    <x:col min="5" max="5" width="20" hidden="0" customWidth="1"/>
    <x:col min="6" max="6" width="16" hidden="0" customWidth="1"/>
    <x:col min="7" max="7" width="20" hidden="0" customWidth="1"/>
    <x:col min="8" max="8" width="18" hidden="0" customWidth="1"/>
    <x:col min="9" max="9" width="20" hidden="0" customWidth="1"/>
    <x:col min="10" max="10" width="20" hidden="0" customWidth="1"/>
    <x:col min="11" max="11" width="14" hidden="0" customWidth="1"/>
    <x:col min="12" max="12" width="12" hidden="0" customWidth="1"/>
    <x:col min="13" max="13" width="17" hidden="0" customWidth="1"/>
    <x:col min="14" max="14" width="18" hidden="0" customWidth="1"/>
    <x:col min="15" max="15" width="68" hidden="0" customWidth="1"/>
    <x:col min="16" max="16" width="9" hidden="0" customWidth="1"/>
  </x:cols>
  <x:sheetData>
    <x:row r="1" ht="32" customHeight="1">
      <x:c r="A1" s="60" t="str">
        <x:v>Data</x:v>
      </x:c>
      <x:c r="B1" s="60" t="str">
        <x:v>Campanha</x:v>
      </x:c>
      <x:c r="C1" s="60" t="str">
        <x:v>Ancoragem</x:v>
      </x:c>
      <x:c r="D1" s="60" t="str">
        <x:v>Célula</x:v>
      </x:c>
      <x:c r="E1" s="60" t="str">
        <x:v>Carga prevista (kN)</x:v>
      </x:c>
      <x:c r="F1" s="60" t="str">
        <x:v>Blocagem (kN)</x:v>
      </x:c>
      <x:c r="G1" s="60" t="str">
        <x:v>Leitura elétrica (mA)</x:v>
      </x:c>
      <x:c r="H1" s="60" t="str">
        <x:v>Carga atual (kN)</x:v>
      </x:c>
      <x:c r="I1" s="60" t="str">
        <x:v>Variação reportada</x:v>
      </x:c>
      <x:c r="J1" s="60" t="str">
        <x:v>Variação calculada</x:v>
      </x:c>
      <x:c r="K1" s="60" t="str">
        <x:v>Diferença</x:v>
      </x:c>
      <x:c r="L1" s="60" t="str">
        <x:v>Estado</x:v>
      </x:c>
      <x:c r="M1" s="60" t="str">
        <x:v>Resistência (Ω)</x:v>
      </x:c>
      <x:c r="N1" s="60" t="str">
        <x:v>Temperatura (°C)</x:v>
      </x:c>
      <x:c r="O1" s="60" t="str">
        <x:v>Ficheiro fonte</x:v>
      </x:c>
      <x:c r="P1" s="60" t="str">
        <x:v>Página</x:v>
      </x:c>
    </x:row>
    <x:row r="2">
      <x:c r="A2" s="48" t="n">
        <x:v>46000</x:v>
      </x:c>
      <x:c r="B2" t="n">
        <x:v>1</x:v>
      </x:c>
      <x:c r="C2" t="str">
        <x:v>A26</x:v>
      </x:c>
      <x:c r="D2" t="str">
        <x:v>CC 2501796</x:v>
      </x:c>
      <x:c r="E2" s="68" t="n">
        <x:v>1000</x:v>
      </x:c>
      <x:c r="F2" s="68" t="n">
        <x:v>833.5</x:v>
      </x:c>
      <x:c r="G2" s="68" t="n">
        <x:v>14.472</x:v>
      </x:c>
      <x:c r="H2" s="68" t="n">
        <x:v>957.4</x:v>
      </x:c>
      <x:c r="I2" s="54" t="n">
        <x:v>0.149</x:v>
      </x:c>
      <x:c r="J2" s="54" t="n">
        <x:f>(H2-F2)/F2</x:f>
        <x:v>0.14865026994601077</x:v>
      </x:c>
      <x:c r="K2" s="54" t="n">
        <x:f>I2-J2</x:f>
        <x:v>0.0003497300539892223</x:v>
      </x:c>
      <x:c r="L2" t="str">
        <x:f>IF(J2&gt;25%,"Alarme",IF(J2&gt;=15%,"Alerta","Regular"))</x:f>
        <x:v>Regular</x:v>
      </x:c>
      <x:c r="M2"/>
      <x:c r="N2"/>
      <x:c r="O2" t="str">
        <x:v>RELATÓRIO LEITURAS CÉLULAS CARGA - Empreitada THE EDEN, Estoril_ R5_05-01-26.pdf</x:v>
      </x:c>
      <x:c r="P2" t="n">
        <x:v>5</x:v>
      </x:c>
    </x:row>
    <x:row r="3">
      <x:c r="A3" s="48" t="n">
        <x:v>46006</x:v>
      </x:c>
      <x:c r="B3" t="n">
        <x:v>2</x:v>
      </x:c>
      <x:c r="C3" t="str">
        <x:v>A26</x:v>
      </x:c>
      <x:c r="D3" t="str">
        <x:v>CC 2501796</x:v>
      </x:c>
      <x:c r="E3" s="68" t="n">
        <x:v>850</x:v>
      </x:c>
      <x:c r="F3" s="68" t="n">
        <x:v>833.5</x:v>
      </x:c>
      <x:c r="G3" s="68" t="n">
        <x:v>14.499</x:v>
      </x:c>
      <x:c r="H3" s="68" t="n">
        <x:v>959.9</x:v>
      </x:c>
      <x:c r="I3" s="54" t="n">
        <x:v>0.152</x:v>
      </x:c>
      <x:c r="J3" s="54" t="n">
        <x:f>(H3-F3)/F3</x:f>
        <x:v>0.15164967006598679</x:v>
      </x:c>
      <x:c r="K3" s="54" t="n">
        <x:f>I3-J3</x:f>
        <x:v>0.00035032993401321044</x:v>
      </x:c>
      <x:c r="L3" t="str">
        <x:f>IF(J3&gt;25%,"Alarme",IF(J3&gt;=15%,"Alerta","Regular"))</x:f>
        <x:v>Alerta</x:v>
      </x:c>
      <x:c r="M3"/>
      <x:c r="N3"/>
      <x:c r="O3" t="str">
        <x:v>RELATÓRIO LEITURAS CÉLULAS CARGA - Empreitada THE EDEN, Estoril_ R5_05-01-26.pdf</x:v>
      </x:c>
      <x:c r="P3" t="n">
        <x:v>5</x:v>
      </x:c>
    </x:row>
    <x:row r="4">
      <x:c r="A4" s="48" t="n">
        <x:v>46013</x:v>
      </x:c>
      <x:c r="B4" t="n">
        <x:v>3</x:v>
      </x:c>
      <x:c r="C4" t="str">
        <x:v>A26</x:v>
      </x:c>
      <x:c r="D4" t="str">
        <x:v>CC 2501796</x:v>
      </x:c>
      <x:c r="E4" s="68" t="n">
        <x:v>850</x:v>
      </x:c>
      <x:c r="F4" s="68" t="n">
        <x:v>833.5</x:v>
      </x:c>
      <x:c r="G4" s="68" t="n">
        <x:v>14.559</x:v>
      </x:c>
      <x:c r="H4" s="68" t="n">
        <x:v>965.6</x:v>
      </x:c>
      <x:c r="I4" s="54" t="n">
        <x:v>0.158</x:v>
      </x:c>
      <x:c r="J4" s="54" t="n">
        <x:f>(H4-F4)/F4</x:f>
        <x:v>0.15848830233953212</x:v>
      </x:c>
      <x:c r="K4" s="54" t="n">
        <x:f>I4-J4</x:f>
        <x:v>-0.0004883023395321207</x:v>
      </x:c>
      <x:c r="L4" t="str">
        <x:f>IF(J4&gt;25%,"Alarme",IF(J4&gt;=15%,"Alerta","Regular"))</x:f>
        <x:v>Alerta</x:v>
      </x:c>
      <x:c r="M4"/>
      <x:c r="N4"/>
      <x:c r="O4" t="str">
        <x:v>RELATÓRIO LEITURAS CÉLULAS CARGA - Empreitada THE EDEN, Estoril_ R5_05-01-26.pdf</x:v>
      </x:c>
      <x:c r="P4" t="n">
        <x:v>5</x:v>
      </x:c>
    </x:row>
    <x:row r="5">
      <x:c r="A5" s="48" t="n">
        <x:v>46020</x:v>
      </x:c>
      <x:c r="B5" t="n">
        <x:v>4</x:v>
      </x:c>
      <x:c r="C5" t="str">
        <x:v>A26</x:v>
      </x:c>
      <x:c r="D5" t="str">
        <x:v>CC 2501796</x:v>
      </x:c>
      <x:c r="E5" s="68" t="n">
        <x:v>850</x:v>
      </x:c>
      <x:c r="F5" s="68" t="n">
        <x:v>833.5</x:v>
      </x:c>
      <x:c r="G5" s="68" t="n">
        <x:v>14.661</x:v>
      </x:c>
      <x:c r="H5" s="68" t="n">
        <x:v>975.1</x:v>
      </x:c>
      <x:c r="I5" s="54" t="n">
        <x:v>0.17</x:v>
      </x:c>
      <x:c r="J5" s="54" t="n">
        <x:f>(H5-F5)/F5</x:f>
        <x:v>0.16988602279544093</x:v>
      </x:c>
      <x:c r="K5" s="54" t="n">
        <x:f>I5-J5</x:f>
        <x:v>0.00011397720455907923</x:v>
      </x:c>
      <x:c r="L5" t="str">
        <x:f>IF(J5&gt;25%,"Alarme",IF(J5&gt;=15%,"Alerta","Regular"))</x:f>
        <x:v>Alerta</x:v>
      </x:c>
      <x:c r="M5"/>
      <x:c r="N5"/>
      <x:c r="O5" t="str">
        <x:v>RELATÓRIO LEITURAS CÉLULAS CARGA - Empreitada THE EDEN, Estoril_ R5_05-01-26.pdf</x:v>
      </x:c>
      <x:c r="P5" t="n">
        <x:v>5</x:v>
      </x:c>
    </x:row>
    <x:row r="6">
      <x:c r="A6" s="48" t="n">
        <x:v>46027</x:v>
      </x:c>
      <x:c r="B6" t="n">
        <x:v>5</x:v>
      </x:c>
      <x:c r="C6" t="str">
        <x:v>A26</x:v>
      </x:c>
      <x:c r="D6" t="str">
        <x:v>CC 2501796</x:v>
      </x:c>
      <x:c r="E6" s="68" t="n">
        <x:v>850</x:v>
      </x:c>
      <x:c r="F6" s="68" t="n">
        <x:v>833.5</x:v>
      </x:c>
      <x:c r="G6" s="68" t="n">
        <x:v>14.563</x:v>
      </x:c>
      <x:c r="H6" s="68" t="n">
        <x:v>965.9</x:v>
      </x:c>
      <x:c r="I6" s="54" t="n">
        <x:v>0.159</x:v>
      </x:c>
      <x:c r="J6" s="54" t="n">
        <x:f>(H6-F6)/F6</x:f>
        <x:v>0.1588482303539292</x:v>
      </x:c>
      <x:c r="K6" s="54" t="n">
        <x:f>I6-J6</x:f>
        <x:v>0.000151769646070804</x:v>
      </x:c>
      <x:c r="L6" t="str">
        <x:f>IF(J6&gt;25%,"Alarme",IF(J6&gt;=15%,"Alerta","Regular"))</x:f>
        <x:v>Alerta</x:v>
      </x:c>
      <x:c r="M6"/>
      <x:c r="N6"/>
      <x:c r="O6" t="str">
        <x:v>RELATÓRIO LEITURAS CÉLULAS CARGA - Empreitada THE EDEN, Estoril_ R5_05-01-26.pdf</x:v>
      </x:c>
      <x:c r="P6" t="n">
        <x:v>5</x:v>
      </x:c>
    </x:row>
    <x:row r="7">
      <x:c r="A7" s="48" t="n">
        <x:v>46034</x:v>
      </x:c>
      <x:c r="B7" t="n">
        <x:v>6</x:v>
      </x:c>
      <x:c r="C7" t="str">
        <x:v>A26</x:v>
      </x:c>
      <x:c r="D7" t="str">
        <x:v>CC 2501796</x:v>
      </x:c>
      <x:c r="E7" s="68" t="n">
        <x:v>850</x:v>
      </x:c>
      <x:c r="F7" s="68" t="n">
        <x:v>833.5</x:v>
      </x:c>
      <x:c r="G7" s="68" t="n">
        <x:v>14.702</x:v>
      </x:c>
      <x:c r="H7" s="68" t="n">
        <x:v>978.9</x:v>
      </x:c>
      <x:c r="I7" s="54" t="n">
        <x:v>0.174</x:v>
      </x:c>
      <x:c r="J7" s="54" t="n">
        <x:f>(H7-F7)/F7</x:f>
        <x:v>0.1744451109778044</x:v>
      </x:c>
      <x:c r="K7" s="54" t="n">
        <x:f>I7-J7</x:f>
        <x:v>-0.00044511097780441933</x:v>
      </x:c>
      <x:c r="L7" t="str">
        <x:f>IF(J7&gt;25%,"Alarme",IF(J7&gt;=15%,"Alerta","Regular"))</x:f>
        <x:v>Alerta</x:v>
      </x:c>
      <x:c r="M7"/>
      <x:c r="N7"/>
      <x:c r="O7" t="str">
        <x:v>RELATÓRIO LEITURAS CÉLULAS CARGA - Empreitada THE EDEN, Estoril_ R10_09-02-26.pdf</x:v>
      </x:c>
      <x:c r="P7" t="n">
        <x:v>6</x:v>
      </x:c>
    </x:row>
    <x:row r="8">
      <x:c r="A8" s="48" t="n">
        <x:v>46041</x:v>
      </x:c>
      <x:c r="B8" t="n">
        <x:v>7</x:v>
      </x:c>
      <x:c r="C8" t="str">
        <x:v>A26</x:v>
      </x:c>
      <x:c r="D8" t="str">
        <x:v>CC 2501796</x:v>
      </x:c>
      <x:c r="E8" s="68" t="n">
        <x:v>850</x:v>
      </x:c>
      <x:c r="F8" s="68" t="n">
        <x:v>833.5</x:v>
      </x:c>
      <x:c r="G8" s="68" t="n">
        <x:v>15.101</x:v>
      </x:c>
      <x:c r="H8" s="68" t="n">
        <x:v>1016.1</x:v>
      </x:c>
      <x:c r="I8" s="54" t="n">
        <x:v>0.219</x:v>
      </x:c>
      <x:c r="J8" s="54" t="n">
        <x:f>(H8-F8)/F8</x:f>
        <x:v>0.2190761847630474</x:v>
      </x:c>
      <x:c r="K8" s="54" t="n">
        <x:f>I8-J8</x:f>
        <x:v>-0.00007618476304740995</x:v>
      </x:c>
      <x:c r="L8" t="str">
        <x:f>IF(J8&gt;25%,"Alarme",IF(J8&gt;=15%,"Alerta","Regular"))</x:f>
        <x:v>Alerta</x:v>
      </x:c>
      <x:c r="M8"/>
      <x:c r="N8"/>
      <x:c r="O8" t="str">
        <x:v>RELATÓRIO LEITURAS CÉLULAS CARGA - Empreitada THE EDEN, Estoril_ R10_09-02-26.pdf</x:v>
      </x:c>
      <x:c r="P8" t="n">
        <x:v>6</x:v>
      </x:c>
    </x:row>
    <x:row r="9">
      <x:c r="A9" s="48" t="n">
        <x:v>46048</x:v>
      </x:c>
      <x:c r="B9" t="n">
        <x:v>8</x:v>
      </x:c>
      <x:c r="C9" t="str">
        <x:v>A26</x:v>
      </x:c>
      <x:c r="D9" t="str">
        <x:v>CC 2501796</x:v>
      </x:c>
      <x:c r="E9" s="68" t="n">
        <x:v>850</x:v>
      </x:c>
      <x:c r="F9" s="68" t="n">
        <x:v>833.5</x:v>
      </x:c>
      <x:c r="G9" s="68" t="n">
        <x:v>15.34</x:v>
      </x:c>
      <x:c r="H9" s="68" t="n">
        <x:v>1038.4</x:v>
      </x:c>
      <x:c r="I9" s="54" t="n">
        <x:v>0.246</x:v>
      </x:c>
      <x:c r="J9" s="54" t="n">
        <x:f>(H9-F9)/F9</x:f>
        <x:v>0.24583083383323345</x:v>
      </x:c>
      <x:c r="K9" s="54" t="n">
        <x:f>I9-J9</x:f>
        <x:v>0.0001691661667665434</x:v>
      </x:c>
      <x:c r="L9" t="str">
        <x:f>IF(J9&gt;25%,"Alarme",IF(J9&gt;=15%,"Alerta","Regular"))</x:f>
        <x:v>Alerta</x:v>
      </x:c>
      <x:c r="M9"/>
      <x:c r="N9"/>
      <x:c r="O9" t="str">
        <x:v>RELATÓRIO LEITURAS CÉLULAS CARGA - Empreitada THE EDEN, Estoril_ R10_09-02-26.pdf</x:v>
      </x:c>
      <x:c r="P9" t="n">
        <x:v>6</x:v>
      </x:c>
    </x:row>
    <x:row r="10">
      <x:c r="A10" s="48" t="n">
        <x:v>46048</x:v>
      </x:c>
      <x:c r="B10" t="n">
        <x:v>8</x:v>
      </x:c>
      <x:c r="C10" t="str">
        <x:v>DE</x:v>
      </x:c>
      <x:c r="D10" t="str">
        <x:v>CC 200792</x:v>
      </x:c>
      <x:c r="E10" s="68" t="n">
        <x:v>600</x:v>
      </x:c>
      <x:c r="F10" s="68" t="n">
        <x:v>670</x:v>
      </x:c>
      <x:c r="G10" s="68" t="n">
        <x:v>11.634</x:v>
      </x:c>
      <x:c r="H10" s="68" t="n">
        <x:v>678</x:v>
      </x:c>
      <x:c r="I10" s="54" t="n">
        <x:v>0.012</x:v>
      </x:c>
      <x:c r="J10" s="54" t="n">
        <x:f>(H10-F10)/F10</x:f>
        <x:v>0.011940298507462687</x:v>
      </x:c>
      <x:c r="K10" s="54" t="n">
        <x:f>I10-J10</x:f>
        <x:v>0.000059701492537313564</x:v>
      </x:c>
      <x:c r="L10" t="str">
        <x:f>IF(J10&gt;25%,"Alarme",IF(J10&gt;=15%,"Alerta","Regular"))</x:f>
        <x:v>Regular</x:v>
      </x:c>
      <x:c r="M10"/>
      <x:c r="N10"/>
      <x:c r="O10" t="str">
        <x:v>RELATÓRIO LEITURAS CÉLULAS CARGA - Empreitada THE EDEN, Estoril_ R10_09-02-26.pdf</x:v>
      </x:c>
      <x:c r="P10" t="n">
        <x:v>7</x:v>
      </x:c>
    </x:row>
    <x:row r="11">
      <x:c r="A11" s="48" t="n">
        <x:v>46055</x:v>
      </x:c>
      <x:c r="B11" t="n">
        <x:v>9</x:v>
      </x:c>
      <x:c r="C11" t="str">
        <x:v>A26</x:v>
      </x:c>
      <x:c r="D11" t="str">
        <x:v>CC 2501796</x:v>
      </x:c>
      <x:c r="E11" s="68" t="n">
        <x:v>850</x:v>
      </x:c>
      <x:c r="F11" s="68" t="n">
        <x:v>833.5</x:v>
      </x:c>
      <x:c r="G11" s="68" t="n">
        <x:v>15.532</x:v>
      </x:c>
      <x:c r="H11" s="68" t="n">
        <x:v>1056.2</x:v>
      </x:c>
      <x:c r="I11" s="54" t="n">
        <x:v>0.267</x:v>
      </x:c>
      <x:c r="J11" s="54" t="n">
        <x:f>(H11-F11)/F11</x:f>
        <x:v>0.26718656268746255</x:v>
      </x:c>
      <x:c r="K11" s="54" t="n">
        <x:f>I11-J11</x:f>
        <x:v>-0.00018656268746253257</x:v>
      </x:c>
      <x:c r="L11" t="str">
        <x:f>IF(J11&gt;25%,"Alarme",IF(J11&gt;=15%,"Alerta","Regular"))</x:f>
        <x:v>Alarme</x:v>
      </x:c>
      <x:c r="M11"/>
      <x:c r="N11"/>
      <x:c r="O11" t="str">
        <x:v>RELATÓRIO LEITURAS CÉLULAS CARGA - Empreitada THE EDEN, Estoril_ R10_09-02-26.pdf</x:v>
      </x:c>
      <x:c r="P11" t="n">
        <x:v>6</x:v>
      </x:c>
    </x:row>
    <x:row r="12">
      <x:c r="A12" s="48" t="n">
        <x:v>46055</x:v>
      </x:c>
      <x:c r="B12" t="n">
        <x:v>9</x:v>
      </x:c>
      <x:c r="C12" t="str">
        <x:v>DE</x:v>
      </x:c>
      <x:c r="D12" t="str">
        <x:v>CC 200792</x:v>
      </x:c>
      <x:c r="E12" s="68" t="n">
        <x:v>600</x:v>
      </x:c>
      <x:c r="F12" s="68" t="n">
        <x:v>670</x:v>
      </x:c>
      <x:c r="G12" s="68" t="n">
        <x:v>11.612</x:v>
      </x:c>
      <x:c r="H12" s="68" t="n">
        <x:v>676.1</x:v>
      </x:c>
      <x:c r="I12" s="54" t="n">
        <x:v>0.009</x:v>
      </x:c>
      <x:c r="J12" s="54" t="n">
        <x:f>(H12-F12)/F12</x:f>
        <x:v>0.009104477611940333</x:v>
      </x:c>
      <x:c r="K12" s="54" t="n">
        <x:f>I12-J12</x:f>
        <x:v>-0.00010447761194033386</x:v>
      </x:c>
      <x:c r="L12" t="str">
        <x:f>IF(J12&gt;25%,"Alarme",IF(J12&gt;=15%,"Alerta","Regular"))</x:f>
        <x:v>Regular</x:v>
      </x:c>
      <x:c r="M12"/>
      <x:c r="N12"/>
      <x:c r="O12" t="str">
        <x:v>RELATÓRIO LEITURAS CÉLULAS CARGA - Empreitada THE EDEN, Estoril_ R10_09-02-26.pdf</x:v>
      </x:c>
      <x:c r="P12" t="n">
        <x:v>7</x:v>
      </x:c>
    </x:row>
    <x:row r="13">
      <x:c r="A13" s="48" t="n">
        <x:v>46062</x:v>
      </x:c>
      <x:c r="B13" t="n">
        <x:v>10</x:v>
      </x:c>
      <x:c r="C13" t="str">
        <x:v>A26</x:v>
      </x:c>
      <x:c r="D13" t="str">
        <x:v>CC 2501796</x:v>
      </x:c>
      <x:c r="E13" s="68" t="n">
        <x:v>850</x:v>
      </x:c>
      <x:c r="F13" s="68" t="n">
        <x:v>833.5</x:v>
      </x:c>
      <x:c r="G13" s="68" t="n">
        <x:v>15.706</x:v>
      </x:c>
      <x:c r="H13" s="68" t="n">
        <x:v>1072.4</x:v>
      </x:c>
      <x:c r="I13" s="54" t="n">
        <x:v>0.287</x:v>
      </x:c>
      <x:c r="J13" s="54" t="n">
        <x:f>(H13-F13)/F13</x:f>
        <x:v>0.2866226754649071</x:v>
      </x:c>
      <x:c r="K13" s="54" t="n">
        <x:f>I13-J13</x:f>
        <x:v>0.0003773245350928711</x:v>
      </x:c>
      <x:c r="L13" t="str">
        <x:f>IF(J13&gt;25%,"Alarme",IF(J13&gt;=15%,"Alerta","Regular"))</x:f>
        <x:v>Alarme</x:v>
      </x:c>
      <x:c r="M13"/>
      <x:c r="N13"/>
      <x:c r="O13" t="str">
        <x:v>RELATÓRIO LEITURAS CÉLULAS CARGA - Empreitada THE EDEN, Estoril_ R10_09-02-26.pdf</x:v>
      </x:c>
      <x:c r="P13" t="n">
        <x:v>6</x:v>
      </x:c>
    </x:row>
    <x:row r="14">
      <x:c r="A14" s="48" t="n">
        <x:v>46062</x:v>
      </x:c>
      <x:c r="B14" t="n">
        <x:v>10</x:v>
      </x:c>
      <x:c r="C14" t="str">
        <x:v>DE</x:v>
      </x:c>
      <x:c r="D14" t="str">
        <x:v>CC 200792</x:v>
      </x:c>
      <x:c r="E14" s="68" t="n">
        <x:v>600</x:v>
      </x:c>
      <x:c r="F14" s="68" t="n">
        <x:v>670</x:v>
      </x:c>
      <x:c r="G14" s="68" t="n">
        <x:v>11.721</x:v>
      </x:c>
      <x:c r="H14" s="68" t="n">
        <x:v>685.9</x:v>
      </x:c>
      <x:c r="I14" s="54" t="n">
        <x:v>0.024</x:v>
      </x:c>
      <x:c r="J14" s="54" t="n">
        <x:f>(H14-F14)/F14</x:f>
        <x:v>0.023731343283582056</x:v>
      </x:c>
      <x:c r="K14" s="54" t="n">
        <x:f>I14-J14</x:f>
        <x:v>0.00026865671641794486</x:v>
      </x:c>
      <x:c r="L14" t="str">
        <x:f>IF(J14&gt;25%,"Alarme",IF(J14&gt;=15%,"Alerta","Regular"))</x:f>
        <x:v>Regular</x:v>
      </x:c>
      <x:c r="M14"/>
      <x:c r="N14"/>
      <x:c r="O14" t="str">
        <x:v>RELATÓRIO LEITURAS CÉLULAS CARGA - Empreitada THE EDEN, Estoril_ R10_09-02-26.pdf</x:v>
      </x:c>
      <x:c r="P14" t="n">
        <x:v>7</x:v>
      </x:c>
    </x:row>
  </x:sheetData>
  <x:conditionalFormatting sqref="L2:L6">
    <x:cfRule type="expression" dxfId="3" priority="1">
      <x:formula>$L2="Regular"</x:formula>
    </x:cfRule>
    <x:cfRule type="expression" dxfId="4" priority="2">
      <x:formula>$L2="Alerta"</x:formula>
    </x:cfRule>
    <x:cfRule type="expression" dxfId="5" priority="3">
      <x:formula>$L2="Alarme"</x:formula>
    </x:cfRule>
  </x:conditionalFormatting>
  <x:conditionalFormatting sqref="L2:L14">
    <x:cfRule type="expression" dxfId="14" priority="4">
      <x:formula>$L2="Regular"</x:formula>
    </x:cfRule>
    <x:cfRule type="expression" dxfId="15" priority="5">
      <x:formula>$L2="Alerta"</x:formula>
    </x:cfRule>
    <x:cfRule type="expression" dxfId="16" priority="6">
      <x:formula>$L2="Alarme"</x:formula>
    </x:cfRule>
    <x:cfRule type="expression" dxfId="17" priority="7">
      <x:formula>$L2="Sem leitura"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7d4c9990d204a19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2" hidden="0" customWidth="1"/>
    <x:col min="3" max="3" width="65" hidden="0" customWidth="1"/>
    <x:col min="4" max="4" width="65" hidden="0" customWidth="1"/>
  </x:cols>
  <x:sheetData>
    <x:row r="1" ht="32" customHeight="1">
      <x:c r="A1" s="60" t="str">
        <x:v>N.º</x:v>
      </x:c>
      <x:c r="B1" s="60" t="str">
        <x:v>Tipo</x:v>
      </x:c>
      <x:c r="C1" s="60" t="str">
        <x:v>Questão identificada</x:v>
      </x:c>
      <x:c r="D1" s="60" t="str">
        <x:v>Tratamento adotado no Excel</x:v>
      </x:c>
    </x:row>
    <x:row r="2" ht="45" customHeight="1">
      <x:c r="A2" s="76" t="n">
        <x:v>1</x:v>
      </x:c>
      <x:c r="B2" s="76" t="str">
        <x:v>Alvos topográficos</x:v>
      </x:c>
      <x:c r="C2" s="76" t="str">
        <x:v>O texto introdutório refere 12 alvos/prismas, mas as tabelas apresentam 16 identificações: A1-A8, B1-B4 e C1-C4.</x:v>
      </x:c>
      <x:c r="D2" s="76" t="str">
        <x:v>Foram registados os 16 alvos efetivamente presentes nas tabelas de coordenadas.</x:v>
      </x:c>
    </x:row>
    <x:row r="3" ht="45" customHeight="1">
      <x:c r="A3" s="76" t="n">
        <x:v>2</x:v>
      </x:c>
      <x:c r="B3" s="76" t="str">
        <x:v>Inclinómetros</x:v>
      </x:c>
      <x:c r="C3" s="76" t="str">
        <x:v>No relatório de 14/10/2025, o resumo refere I3 = 2,30 m @ 13,00 m, embora as tabelas usem milímetros.</x:v>
      </x:c>
      <x:c r="D3" s="76" t="str">
        <x:v>O valor foi tratado como 2,30 mm, em coerência com a unidade das tabelas e dos restantes resultados.</x:v>
      </x:c>
    </x:row>
    <x:row r="4" ht="45" customHeight="1">
      <x:c r="A4" s="76" t="n">
        <x:v>3</x:v>
      </x:c>
      <x:c r="B4" s="76" t="str">
        <x:v>Inclinómetros</x:v>
      </x:c>
      <x:c r="C4" s="76" t="str">
        <x:v>O inclinómetro I3 não apresenta leitura em 06/10/2025; a sua primeira leitura ocorre em 14/10/2025.</x:v>
      </x:c>
      <x:c r="D4" s="76" t="str">
        <x:v>A numeração própria do I3 foi preservada e a campanha geral foi registada separadamente.</x:v>
      </x:c>
    </x:row>
    <x:row r="5" ht="45" customHeight="1">
      <x:c r="A5" s="76" t="n">
        <x:v>4</x:v>
      </x:c>
      <x:c r="B5" s="76" t="str">
        <x:v>Piezómetro</x:v>
      </x:c>
      <x:c r="C5" s="76" t="str">
        <x:v>A coluna Prof.(m) é apresentada com valores negativos, em simultâneo com a cota positiva do nível de água.</x:v>
      </x:c>
      <x:c r="D5" s="76" t="str">
        <x:v>Foi preservado o valor com sinal e criada uma coluna calculada com a profundidade positiva abaixo da boca.</x:v>
      </x:c>
    </x:row>
    <x:row r="6" ht="45" customHeight="1">
      <x:c r="A6" s="76" t="n">
        <x:v>5</x:v>
      </x:c>
      <x:c r="B6" s="76" t="str">
        <x:v>Célula de carga</x:v>
      </x:c>
      <x:c r="C6" s="76" t="str">
        <x:v>A carga prevista é 1000 kN no primeiro relatório e 850 kN nos relatórios seguintes.</x:v>
      </x:c>
      <x:c r="D6" s="76" t="str">
        <x:v>O valor foi mantido por campanha, sem uniformização artificial.</x:v>
      </x:c>
    </x:row>
    <x:row r="7" ht="45" customHeight="1">
      <x:c r="A7" s="76" t="n">
        <x:v>6</x:v>
      </x:c>
      <x:c r="B7" s="76" t="str">
        <x:v>Célula de carga</x:v>
      </x:c>
      <x:c r="C7" s="76" t="str">
        <x:v>As colunas de resistência e temperatura não contêm valores nas campanhas fornecidas.</x:v>
      </x:c>
      <x:c r="D7" s="76" t="str">
        <x:v>As colunas foram mantidas no modelo, com células vazias, para futura atualização.</x:v>
      </x:c>
    </x:row>
    <x:row r="8" ht="45" customHeight="1">
      <x:c r="A8" s="76" t="n">
        <x:v>8</x:v>
      </x:c>
      <x:c r="B8" s="76" t="str">
        <x:v>Alvos topográficos</x:v>
      </x:c>
      <x:c r="C8" s="76" t="str">
        <x:v>Os alvos A5 a A8 ficaram tapados por um painel publicitário; foram instalados A5b a A8b e zerados em 20/10/2025.</x:v>
      </x:c>
      <x:c r="D8" s="76" t="str">
        <x:v>As séries antigas foram preservadas como sem leitura e foram criadas séries autónomas para A5b-A8b.</x:v>
      </x:c>
    </x:row>
    <x:row r="9" ht="48" customHeight="1">
      <x:c r="A9" s="76" t="n">
        <x:v>9</x:v>
      </x:c>
      <x:c r="B9" s="76" t="str">
        <x:v>Alvos/prismas da contenção</x:v>
      </x:c>
      <x:c r="C9" s="76" t="str">
        <x:v>A instrumentação da escavação e contenção periférica possui datas de zeragem diferentes consoante o alvo/prisma.</x:v>
      </x:c>
      <x:c r="D9" s="76" t="str">
        <x:v>Foi criada uma linha de campanha 0 por instrumento, utilizando a respetiva data individual de zeragem.</x:v>
      </x:c>
    </x:row>
    <x:row r="10" ht="48" customHeight="1">
      <x:c r="A10" s="76" t="n">
        <x:v>10</x:v>
      </x:c>
      <x:c r="B10" s="76" t="str">
        <x:v>Inclinómetros</x:v>
      </x:c>
      <x:c r="C10" s="76" t="str">
        <x:v>O relatório R10 apresenta no resumo I3 = 6,27 mm @ 6,50 m, mas não inclui o perfil detalhado da leitura 10 do I3.</x:v>
      </x:c>
      <x:c r="D10" s="76" t="str">
        <x:v>O máximo foi registado na folha de resumo; não foram inventadas linhas de perfil para essa campanha.</x:v>
      </x:c>
    </x:row>
    <x:row r="11" ht="48" customHeight="1">
      <x:c r="A11" s="76" t="n">
        <x:v>11</x:v>
      </x:c>
      <x:c r="B11" s="76" t="str">
        <x:v>Células de carga</x:v>
      </x:c>
      <x:c r="C11" s="76" t="str">
        <x:v>A célula do alçado DE surge a partir de 26/01/2026, com blocagem de 670,0 kN e carga prevista de 600,0 kN.</x:v>
      </x:c>
      <x:c r="D11" s="76" t="str">
        <x:v>Foi adicionada como instrumento autónomo e mantida separada da série da ancoragem A26.</x:v>
      </x:c>
    </x:row>
    <x:row r="12" ht="48" customHeight="1">
      <x:c r="A12" s="76"/>
      <x:c r="B12" s="76"/>
      <x:c r="C12" s="76"/>
      <x:c r="D12" s="76"/>
    </x:row>
  </x:sheetData>
  <x:pageMargins left="0.7" right="0.7" top="0.75" bottom="0.75" header="0.3" footer="0.3"/>
  <x:tableParts count="1">
    <x:tablePart xmlns:r="http://schemas.openxmlformats.org/officeDocument/2006/relationships" r:id="Rbab4fc57312e44a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32" hidden="0" customWidth="1"/>
    <x:col min="3" max="3" width="78" hidden="0" customWidth="1"/>
    <x:col min="4" max="4" width="22" hidden="0" customWidth="1"/>
  </x:cols>
  <x:sheetData>
    <x:row r="1" ht="32" customHeight="1">
      <x:c r="A1" s="60" t="str">
        <x:v>Folha</x:v>
      </x:c>
      <x:c r="B1" s="60" t="str">
        <x:v>Campo / conjunto</x:v>
      </x:c>
      <x:c r="C1" s="60" t="str">
        <x:v>Descrição</x:v>
      </x:c>
      <x:c r="D1" s="60" t="str">
        <x:v>Unidade / formato</x:v>
      </x:c>
    </x:row>
    <x:row r="2" ht="40" customHeight="1">
      <x:c r="A2" s="76" t="str">
        <x:v>Instrumentos</x:v>
      </x:c>
      <x:c r="B2" s="76" t="str">
        <x:v>Uma linha por instrumento</x:v>
      </x:c>
      <x:c r="C2" s="76" t="str">
        <x:v>Cadastro principal e características estáticas de cada instrumento.</x:v>
      </x:c>
      <x:c r="D2" s="76" t="str">
        <x:v>Várias</x:v>
      </x:c>
    </x:row>
    <x:row r="3" ht="40" customHeight="1">
      <x:c r="A3" s="76" t="str">
        <x:v>Campanhas</x:v>
      </x:c>
      <x:c r="B3" s="76" t="str">
        <x:v>Uma linha por relatório</x:v>
      </x:c>
      <x:c r="C3" s="76" t="str">
        <x:v>Índice cronológico dos 20 relatórios entregues.</x:v>
      </x:c>
      <x:c r="D3" s="76" t="str">
        <x:v>Data dd/mm/aaaa</x:v>
      </x:c>
    </x:row>
    <x:row r="4" ht="40" customHeight="1">
      <x:c r="A4" s="76" t="str">
        <x:v>Alvos_Topograficos</x:v>
      </x:c>
      <x:c r="B4" s="76" t="str">
        <x:v>Δ incremental</x:v>
      </x:c>
      <x:c r="C4" s="76" t="str">
        <x:v>Variação relativamente à campanha anterior.</x:v>
      </x:c>
      <x:c r="D4" s="76" t="str">
        <x:v>mm</x:v>
      </x:c>
    </x:row>
    <x:row r="5" ht="40" customHeight="1">
      <x:c r="A5" s="76" t="str">
        <x:v>Alvos_Topograficos</x:v>
      </x:c>
      <x:c r="B5" s="76" t="str">
        <x:v>Δ acumulado</x:v>
      </x:c>
      <x:c r="C5" s="76" t="str">
        <x:v>Variação relativamente à leitura de zeragem.</x:v>
      </x:c>
      <x:c r="D5" s="76" t="str">
        <x:v>mm</x:v>
      </x:c>
    </x:row>
    <x:row r="6" ht="40" customHeight="1">
      <x:c r="A6" s="76" t="str">
        <x:v>Alvos_Topograficos</x:v>
      </x:c>
      <x:c r="B6" s="76" t="str">
        <x:v>Desloc. horizontal acumulado</x:v>
      </x:c>
      <x:c r="C6" s="76" t="str">
        <x:v>SQRT((ΔM acumulado)^2 + (ΔP acumulado)^2).</x:v>
      </x:c>
      <x:c r="D6" s="76" t="str">
        <x:v>mm</x:v>
      </x:c>
    </x:row>
    <x:row r="7" ht="40" customHeight="1">
      <x:c r="A7" s="76" t="str">
        <x:v>Alvos_Topograficos</x:v>
      </x:c>
      <x:c r="B7" s="76" t="str">
        <x:v>Estado</x:v>
      </x:c>
      <x:c r="C7" s="76" t="str">
        <x:v>Regular: H&lt;15 mm e |V|&lt;10 mm; Alerta: H≥15 mm ou |V|≥10 mm; Alarme: H≥25 mm ou |V|≥20 mm.</x:v>
      </x:c>
      <x:c r="D7" s="76" t="str">
        <x:v>Texto</x:v>
      </x:c>
    </x:row>
    <x:row r="8" ht="40" customHeight="1">
      <x:c r="A8" s="76" t="str">
        <x:v>Inclinometros_Perfis</x:v>
      </x:c>
      <x:c r="B8" s="76" t="str">
        <x:v>Uma linha por profundidade</x:v>
      </x:c>
      <x:c r="C8" s="76" t="str">
        <x:v>Valores brutos e deslocamentos acumulados/parciais para cada profundidade.</x:v>
      </x:c>
      <x:c r="D8" s="76" t="str">
        <x:v>digit / mm</x:v>
      </x:c>
    </x:row>
    <x:row r="9" ht="40" customHeight="1">
      <x:c r="A9" s="76" t="str">
        <x:v>Inclinometros_Resumo</x:v>
      </x:c>
      <x:c r="B9" s="76" t="str">
        <x:v>Máximo por leitura</x:v>
      </x:c>
      <x:c r="C9" s="76" t="str">
        <x:v>Máximo do deslocamento acumulado total calculado a partir dos perfis.</x:v>
      </x:c>
      <x:c r="D9" s="76" t="str">
        <x:v>mm / m</x:v>
      </x:c>
    </x:row>
    <x:row r="10" ht="40" customHeight="1">
      <x:c r="A10" s="76" t="str">
        <x:v>Piezometros</x:v>
      </x:c>
      <x:c r="B10" s="76" t="str">
        <x:v>Profundidade com sinal</x:v>
      </x:c>
      <x:c r="C10" s="76" t="str">
        <x:v>Valor reportado no relatório; negativo abaixo da boca.</x:v>
      </x:c>
      <x:c r="D10" s="76" t="str">
        <x:v>m</x:v>
      </x:c>
    </x:row>
    <x:row r="11" ht="40" customHeight="1">
      <x:c r="A11" s="76" t="str">
        <x:v>Piezometros</x:v>
      </x:c>
      <x:c r="B11" s="76" t="str">
        <x:v>Cota da água calculada</x:v>
      </x:c>
      <x:c r="C11" s="76" t="str">
        <x:v>Cota da boca + profundidade reportada com sinal.</x:v>
      </x:c>
      <x:c r="D11" s="76" t="str">
        <x:v>m</x:v>
      </x:c>
    </x:row>
    <x:row r="12" ht="40" customHeight="1">
      <x:c r="A12" s="76" t="str">
        <x:v>Celulas_Carga</x:v>
      </x:c>
      <x:c r="B12" s="76" t="str">
        <x:v>Variação calculada</x:v>
      </x:c>
      <x:c r="C12" s="76" t="str">
        <x:v>(Carga atual - blocagem) / blocagem.</x:v>
      </x:c>
      <x:c r="D12" s="76" t="str">
        <x:v>%</x:v>
      </x:c>
    </x:row>
    <x:row r="13" ht="40" customHeight="1">
      <x:c r="A13" s="76" t="str">
        <x:v>Celulas_Carga</x:v>
      </x:c>
      <x:c r="B13" s="76" t="str">
        <x:v>Estado</x:v>
      </x:c>
      <x:c r="C13" s="76" t="str">
        <x:v>Regular &lt;15%; Alerta 15%-25%; Alarme &gt;25%.</x:v>
      </x:c>
      <x:c r="D13" s="76" t="str">
        <x:v>Texto</x:v>
      </x:c>
    </x:row>
    <x:row r="14" ht="40" customHeight="1">
      <x:c r="A14" s="76" t="str">
        <x:v>Todas</x:v>
      </x:c>
      <x:c r="B14" s="76" t="str">
        <x:v>Ficheiro fonte / Página</x:v>
      </x:c>
      <x:c r="C14" s="76" t="str">
        <x:v>Rastreabilidade do dado para o relatório PDF de origem.</x:v>
      </x:c>
      <x:c r="D14" s="76" t="str">
        <x:v>Texto / inteiro</x:v>
      </x:c>
    </x:row>
    <x:row r="15" ht="42" customHeight="1">
      <x:c r="A15" s="76" t="str">
        <x:v>Alvos_Topograficos</x:v>
      </x:c>
      <x:c r="B15" s="76" t="str">
        <x:v>Sem leitura</x:v>
      </x:c>
      <x:c r="C15" s="76" t="str">
        <x:v>Indica que o alvo tem coordenadas de referência, mas não pôde ser observado nessa campanha.</x:v>
      </x:c>
      <x:c r="D15" s="76" t="str">
        <x:v>Texto</x:v>
      </x:c>
    </x:row>
    <x:row r="16" ht="42" customHeight="1">
      <x:c r="A16" s="76" t="str">
        <x:v>Alvos_Topograficos</x:v>
      </x:c>
      <x:c r="B16" s="76" t="str">
        <x:v>Critérios - contenção 17 m</x:v>
      </x:c>
      <x:c r="C16" s="76" t="str">
        <x:v>Alçados AB, CD, BF e PQ: alerta horizontal 20 mm, alarme horizontal 40 mm; alerta vertical 10 mm e alarme vertical 15 mm.</x:v>
      </x:c>
      <x:c r="D16" s="76" t="str">
        <x:v>mm</x:v>
      </x:c>
    </x:row>
    <x:row r="17" ht="42" customHeight="1">
      <x:c r="A17" s="76" t="str">
        <x:v>Alvos_Topograficos</x:v>
      </x:c>
      <x:c r="B17" s="76" t="str">
        <x:v>Critérios - contenção 24 m</x:v>
      </x:c>
      <x:c r="C17" s="76" t="str">
        <x:v>Alçados FG, GH, JK, KL, MNO e OP: alerta horizontal 30 mm, alarme horizontal 40 mm; alerta vertical 10 mm e alarme vertical 15 mm.</x:v>
      </x:c>
      <x:c r="D17" s="76" t="str">
        <x:v>mm</x:v>
      </x:c>
    </x:row>
    <x:row r="18" ht="42" customHeight="1">
      <x:c r="A18" s="76" t="str">
        <x:v>Inclinometros_Resumo</x:v>
      </x:c>
      <x:c r="B18" s="76" t="str">
        <x:v>Perfil detalhado indisponível</x:v>
      </x:c>
      <x:c r="C18" s="76" t="str">
        <x:v>O valor pode ser registado a partir do resumo do relatório quando a tabela de perfil não consta do documento.</x:v>
      </x:c>
      <x:c r="D18" s="76" t="str">
        <x:v>Texto</x:v>
      </x:c>
    </x:row>
  </x:sheetData>
  <x:pageMargins left="0.7" right="0.7" top="0.75" bottom="0.75" header="0.3" footer="0.3"/>
  <x:tableParts count="1">
    <x:tablePart xmlns:r="http://schemas.openxmlformats.org/officeDocument/2006/relationships" r:id="R498ba3a9fd5f4a0f"/>
  </x:tableParts>
</x:worksheet>
</file>